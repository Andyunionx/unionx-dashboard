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elip\Desktop\UNIONX\FORECAST FINAL SKU\Analisis Planificacion\"/>
    </mc:Choice>
  </mc:AlternateContent>
  <xr:revisionPtr revIDLastSave="0" documentId="13_ncr:1_{81E662D7-D4A1-41AB-8886-50FADEB46B21}" xr6:coauthVersionLast="47" xr6:coauthVersionMax="47" xr10:uidLastSave="{00000000-0000-0000-0000-000000000000}"/>
  <bookViews>
    <workbookView xWindow="-108" yWindow="-108" windowWidth="23256" windowHeight="12456" tabRatio="835" firstSheet="2" activeTab="5" xr2:uid="{00000000-000D-0000-FFFF-FFFF00000000}"/>
  </bookViews>
  <sheets>
    <sheet name="CST x Marca" sheetId="1" r:id="rId1"/>
    <sheet name="Critico x Marca" sheetId="2" r:id="rId2"/>
    <sheet name="Detalle Critico" sheetId="3" r:id="rId3"/>
    <sheet name="Sobrestock x SKU Padre" sheetId="4" r:id="rId4"/>
    <sheet name="Tránsitos por Embarque" sheetId="5" r:id="rId5"/>
    <sheet name="Nuevos en Tránsito" sheetId="6" r:id="rId6"/>
    <sheet name="TD REPORTES UNID (2)" sheetId="7" r:id="rId7"/>
    <sheet name="TD REPORTES CST MP+N SKU" sheetId="8" r:id="rId8"/>
  </sheets>
  <definedNames>
    <definedName name="_xlnm._FilterDatabase" localSheetId="1" hidden="1">'Critico x Marca'!$A$2:$J$10</definedName>
    <definedName name="_xlnm._FilterDatabase" localSheetId="0" hidden="1">'CST x Marca'!$A$3:$R$11</definedName>
    <definedName name="_xlnm._FilterDatabase" localSheetId="2" hidden="1">'Detalle Critico'!$A$2:$S$122</definedName>
    <definedName name="_xlnm._FilterDatabase" localSheetId="5" hidden="1">'Nuevos en Tránsito'!$A$2:$F$51</definedName>
    <definedName name="_xlnm._FilterDatabase" localSheetId="4" hidden="1">'Tránsitos por Embarque'!$A$2:$K$230</definedName>
  </definedNames>
  <calcPr calcId="191029"/>
  <pivotCaches>
    <pivotCache cacheId="211" r:id="rId9"/>
    <pivotCache cacheId="212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2" i="8" l="1"/>
</calcChain>
</file>

<file path=xl/sharedStrings.xml><?xml version="1.0" encoding="utf-8"?>
<sst xmlns="http://schemas.openxmlformats.org/spreadsheetml/2006/main" count="2651" uniqueCount="1223">
  <si>
    <t>TRÁNSITOS POR EMBARQUE  —  Colores: rosa=ALTO riesgo | amarillo=MEDIO | verde=BAJO  |  [+] para ver SKUs</t>
  </si>
  <si>
    <t>PI / Embarque</t>
  </si>
  <si>
    <t>ETA Chile  |  Descripción SKU</t>
  </si>
  <si>
    <t>ETA
Bodega</t>
  </si>
  <si>
    <t>Mes
Llegada</t>
  </si>
  <si>
    <t>Marcas</t>
  </si>
  <si>
    <t>SKUs
Distintos</t>
  </si>
  <si>
    <t>Críticos
&lt;1m</t>
  </si>
  <si>
    <t>Inquiet.
1-2m</t>
  </si>
  <si>
    <t>Unidades</t>
  </si>
  <si>
    <t>Valor USD</t>
  </si>
  <si>
    <t>Nivel
Riesgo</t>
  </si>
  <si>
    <t>26TP0811PI</t>
  </si>
  <si>
    <t>28/09/2026</t>
  </si>
  <si>
    <t>03/10/2026</t>
  </si>
  <si>
    <t>OCT26</t>
  </si>
  <si>
    <t>Bandú, Lhotse, Simplit, T-Care</t>
  </si>
  <si>
    <t>ALTO</t>
  </si>
  <si>
    <t xml:space="preserve">  ↳  LHSHNUCO-BG</t>
  </si>
  <si>
    <t>Shaker Vaso Proteina Acero Inox NutriCore 500ml Beige Lhotse</t>
  </si>
  <si>
    <t>Sin stock</t>
  </si>
  <si>
    <t xml:space="preserve">  ↳  LHSHNUCO-NY</t>
  </si>
  <si>
    <t>Shaker Vaso Proteina Acero Inox NutriCore 500ml Blue Lhotse</t>
  </si>
  <si>
    <t xml:space="preserve">  ↳  BDPZMG2E1</t>
  </si>
  <si>
    <t>Pizarra Madera Infantil Magnética 2 en 1 Didáctica Bandú</t>
  </si>
  <si>
    <t xml:space="preserve">  ↳  TCMULTSTY5N1</t>
  </si>
  <si>
    <t>Secador de pelo Multistyler T-Care 5 en 1</t>
  </si>
  <si>
    <t xml:space="preserve">  ↳  BDSETDOC</t>
  </si>
  <si>
    <t>Set Juego de Roles Doctor Niños Madera 12 pcs Bandú</t>
  </si>
  <si>
    <t xml:space="preserve">  ↳  TCMULTSTY5N1-BG</t>
  </si>
  <si>
    <t>Secador de pelo Multistyler 5 en 1 AeroFlow Beige</t>
  </si>
  <si>
    <t xml:space="preserve">  ↳  BDCOCMEDI</t>
  </si>
  <si>
    <t>Cocina de Juguete Infantil Niños Madera 11 Accesorios Bandú</t>
  </si>
  <si>
    <t xml:space="preserve">  ↳  BDGMNMVBB</t>
  </si>
  <si>
    <t>Gimnasio Móvil de Madera Bebé Infantil Bandú</t>
  </si>
  <si>
    <t xml:space="preserve">  ↳  BDCOCPQMD</t>
  </si>
  <si>
    <t>Cocina de Juguete Infantil Niños Madera Rosada con Acc Bandú</t>
  </si>
  <si>
    <t xml:space="preserve">  ↳  67327712330533</t>
  </si>
  <si>
    <t>Set de 7 Contenedores Herméticos Plástico Negro Simplit</t>
  </si>
  <si>
    <t xml:space="preserve">  ↳  BDCASMUÑEC-WD</t>
  </si>
  <si>
    <t>Casa de Muñecas de Madera Juguete Infantil Bandú</t>
  </si>
  <si>
    <t xml:space="preserve">  ↳  BDTOCMD-WH</t>
  </si>
  <si>
    <t>Tocador Infantil Para Niñas Espejo Maquillaje Madera Bandú</t>
  </si>
  <si>
    <t xml:space="preserve">  ↳  BDCOCGRND</t>
  </si>
  <si>
    <t>Cocina de Juguete Infantil Niños Madera Accesorios Bandú</t>
  </si>
  <si>
    <t xml:space="preserve">  ↳  BDMESHERRA</t>
  </si>
  <si>
    <t>Juego de Construcción Herramientas Madera para Niños Bandú</t>
  </si>
  <si>
    <t xml:space="preserve">  ↳  BDJUETRE</t>
  </si>
  <si>
    <t>Pista de Autos y Tren de Madera Juego Didactico 70pcs Bandú</t>
  </si>
  <si>
    <t>26TP0815PI</t>
  </si>
  <si>
    <t>02/10/2026</t>
  </si>
  <si>
    <t>07/10/2026</t>
  </si>
  <si>
    <t>Simplit, Xroad</t>
  </si>
  <si>
    <t xml:space="preserve">  ↳  SMBATOXCR</t>
  </si>
  <si>
    <t>Batería de Cocina Antiadherente Oxford Beige 15 pcs Simplit</t>
  </si>
  <si>
    <t xml:space="preserve">  ↳  XRCARRTRACT-CL</t>
  </si>
  <si>
    <t>Carro de Transporte con Techo 150 KG Negro Xroad</t>
  </si>
  <si>
    <t xml:space="preserve">  ↳  XRTOLLAT270-BG</t>
  </si>
  <si>
    <t>Toldo Camping Lateral Para Auto Techo 270° Xroad</t>
  </si>
  <si>
    <t xml:space="preserve">  ↳  XRCOOLPORT40-GR</t>
  </si>
  <si>
    <t>Cooler Eléctrico Portátil 40L 12V Gris Xroad</t>
  </si>
  <si>
    <t xml:space="preserve">  ↳  1650302269777</t>
  </si>
  <si>
    <t>Toldo Camping Lateral Para Auto Techo Xroad</t>
  </si>
  <si>
    <t xml:space="preserve">  ↳  XRCOOLPORT-GR</t>
  </si>
  <si>
    <t>Cooler Eléctrico Portátil 30L 12V Gris Xroad</t>
  </si>
  <si>
    <t xml:space="preserve">  ↳  SMBATSAV9-CR</t>
  </si>
  <si>
    <t>Batería de Cocina Antiadherente Savannah 9 Piezas</t>
  </si>
  <si>
    <t>26TP0818PI</t>
  </si>
  <si>
    <t>09/10/2026</t>
  </si>
  <si>
    <t>14/10/2026</t>
  </si>
  <si>
    <t>NOV26</t>
  </si>
  <si>
    <t>Dynamo, Lhotse, Simplit, Xroad</t>
  </si>
  <si>
    <t xml:space="preserve">  ↳  XRCARINF34-CL</t>
  </si>
  <si>
    <t>Carpa Inflable 3-4 Personas 3 Estaciones Beige Xroad</t>
  </si>
  <si>
    <t xml:space="preserve">  ↳  SIMBOWTAZ-4</t>
  </si>
  <si>
    <t>Set 4 Tazas Cerámica 330ml Amalfi Simplit</t>
  </si>
  <si>
    <t xml:space="preserve">  ↳  DYNTALSPER</t>
  </si>
  <si>
    <t>Kit Taladro Destornillador Inalámbrico Dynamo 21v 2 Baterías</t>
  </si>
  <si>
    <t xml:space="preserve">  ↳  SIMJULZOPO-30</t>
  </si>
  <si>
    <t>Juego de Loza 30 pcs Cerámica Oporto Simplit</t>
  </si>
  <si>
    <t xml:space="preserve">  ↳  1564150661249</t>
  </si>
  <si>
    <t>Audifonos Bluetooth Inalambrico RM12 Black Lhotse</t>
  </si>
  <si>
    <t xml:space="preserve">  ↳  1629726159155</t>
  </si>
  <si>
    <t>Cafetera Italiana Negra Granito 4 Tazas Simplit</t>
  </si>
  <si>
    <t xml:space="preserve">  ↳  SIMJULZSIE-30</t>
  </si>
  <si>
    <t>Juego Loza Cerámica 30 pcs Siena 6 personas Simplit</t>
  </si>
  <si>
    <t xml:space="preserve">  ↳  SIMBOWAMA-4</t>
  </si>
  <si>
    <t>Set 4 Bowls Cerámica 8,5cm Amalfi Simplit</t>
  </si>
  <si>
    <t xml:space="preserve">  ↳  1564150627423</t>
  </si>
  <si>
    <t>Audifonos Bluetooth Inalambrico RM12 White Lhotse</t>
  </si>
  <si>
    <t>26TP0819PI</t>
  </si>
  <si>
    <t>Levo, Lhotse, Simplit, Xroad</t>
  </si>
  <si>
    <t xml:space="preserve">  ↳  LHMALFRONT-L</t>
  </si>
  <si>
    <t>Maleta Grande L Frontier Lhotse</t>
  </si>
  <si>
    <t xml:space="preserve">  ↳  LHMALFRONT-M</t>
  </si>
  <si>
    <t>Maleta Mediana M Frontier Lhotse</t>
  </si>
  <si>
    <t xml:space="preserve">  ↳  LHMALFRONT-S</t>
  </si>
  <si>
    <t>Maleta Cabina S Frontier Lhotse</t>
  </si>
  <si>
    <t xml:space="preserve">  ↳  LHMOCLATK-BK</t>
  </si>
  <si>
    <t>Mochila Outdoor 28L Latok Black Lhotse</t>
  </si>
  <si>
    <t xml:space="preserve">  ↳  LHMOCLATK-BU</t>
  </si>
  <si>
    <t>Mochila Outdoor 28L Latok Burdeo Lhotse</t>
  </si>
  <si>
    <t xml:space="preserve">  ↳  LVPANTOTPUB-50</t>
  </si>
  <si>
    <t>Pantalla Totem Publicitario 50" Touch Android Wifi Usb LEVO</t>
  </si>
  <si>
    <t xml:space="preserve">  ↳  XRCOOLPOR50-BK</t>
  </si>
  <si>
    <t>Cooler Portátil 50L con Ruedas Negro Xroad</t>
  </si>
  <si>
    <t xml:space="preserve">  ↳  LHMOPUM-BK</t>
  </si>
  <si>
    <t>Mochila Urbana Impermeable Porta Notebook 22L Pumori Black Lhotse</t>
  </si>
  <si>
    <t xml:space="preserve">  ↳  LHMOMAK-BK</t>
  </si>
  <si>
    <t>Mochila Urbana Roll Top Impermeable Porta Notebook 22L Makalu Black Lhotse</t>
  </si>
  <si>
    <t xml:space="preserve">  ↳  LVPANTOTPUB-43</t>
  </si>
  <si>
    <t>Pantalla Totem Publicitario 43" Touch Android Wifi Usb LEVO</t>
  </si>
  <si>
    <t xml:space="preserve">  ↳  1650301031879</t>
  </si>
  <si>
    <t>Barras Portaequipaje de Aluminio para Techo Xroad</t>
  </si>
  <si>
    <t xml:space="preserve">  ↳  1660857800718</t>
  </si>
  <si>
    <t>Especiero Condimentos de Madera 8 Frascos Vidrio Simplit</t>
  </si>
  <si>
    <t xml:space="preserve">  ↳  LVSILLERGO-BL</t>
  </si>
  <si>
    <t>Silla Escritorio Oficina Ergonómica Reclinable Ergotech LEVO</t>
  </si>
  <si>
    <t xml:space="preserve">  ↳  1615383366170</t>
  </si>
  <si>
    <t>Pick-up Pad Lhotse Porta 6 Bicicletas</t>
  </si>
  <si>
    <t>26TP0826PI</t>
  </si>
  <si>
    <t>16/10/2026</t>
  </si>
  <si>
    <t>21/10/2026</t>
  </si>
  <si>
    <t xml:space="preserve">  ↳  LVSPTVUN</t>
  </si>
  <si>
    <t>Soporte de Television Ajustable 32" a 72" LEVO</t>
  </si>
  <si>
    <t xml:space="preserve">  ↳  LVTELELE-100</t>
  </si>
  <si>
    <t>Telón Proyector 100 pulgadas Eléctrico 200 x 150 cm LEVO</t>
  </si>
  <si>
    <t xml:space="preserve">  ↳  SIMHIECHAR</t>
  </si>
  <si>
    <t>Hielera Vidrio Charlotte Tapa Madera 3,8lts Simplit</t>
  </si>
  <si>
    <t xml:space="preserve">  ↳  1623703942966</t>
  </si>
  <si>
    <t>Banano Lhotse Impermeable Negro</t>
  </si>
  <si>
    <t xml:space="preserve">  ↳  LVTELELE-80</t>
  </si>
  <si>
    <t>Telón Proyector 80 pulgadas Eléctrico 165 x 125 cm LEVO</t>
  </si>
  <si>
    <t xml:space="preserve">  ↳  1629726117626</t>
  </si>
  <si>
    <t>Set 12 Utensilios De Cocina Silicona Negro Simplit</t>
  </si>
  <si>
    <t xml:space="preserve">  ↳  SMBATOXBK</t>
  </si>
  <si>
    <t>Batería de Cocina Antiadherente Oxford Granito 15pcs Simplit</t>
  </si>
  <si>
    <t xml:space="preserve">  ↳  LVTELBK-100</t>
  </si>
  <si>
    <t>Telón Proyector 100 pulgadas 200 x 150 cm Negro LEVO</t>
  </si>
  <si>
    <t xml:space="preserve">  ↳  1629726091782</t>
  </si>
  <si>
    <t>Set 12 Utensilios De Cocina Silicona Calipso Simplit</t>
  </si>
  <si>
    <t xml:space="preserve">  ↳  68432930518995</t>
  </si>
  <si>
    <t>Espumador de Leche 4 en 1 Blanco Simplit</t>
  </si>
  <si>
    <t xml:space="preserve">  ↳  1660859171584</t>
  </si>
  <si>
    <t>Espumador de Leche 4 en 1 Negro Simplit</t>
  </si>
  <si>
    <t xml:space="preserve">  ↳  1652825295706</t>
  </si>
  <si>
    <t>Cafetera Italiana Negra Granito 12 Tazas Simplit</t>
  </si>
  <si>
    <t>26TP0806PI</t>
  </si>
  <si>
    <t>29/10/2026</t>
  </si>
  <si>
    <t>03/11/2026</t>
  </si>
  <si>
    <t>Bandú, Levo, Lhotse, Simplit, Xroad</t>
  </si>
  <si>
    <t xml:space="preserve">  ↳  LHMOBI001-BK</t>
  </si>
  <si>
    <t>Mochila Outdoor con Bolsa de Agua HydroRoad Black Lhotse</t>
  </si>
  <si>
    <t xml:space="preserve">  ↳  XRPARTBAT-GR</t>
  </si>
  <si>
    <t>Partidor de Batería Portátil con Compresor de Aire 12V Xroad</t>
  </si>
  <si>
    <t xml:space="preserve">  ↳  SIMCUROM-30</t>
  </si>
  <si>
    <t>Set de Cuchillería 30 pcs Cubiertos Acero Inoxidable Sicilia</t>
  </si>
  <si>
    <t xml:space="preserve">  ↳  SIMJULZBRU-30</t>
  </si>
  <si>
    <t>Juego de Loza 30 pcs Cerámica Bruselas 6 personas Simplit</t>
  </si>
  <si>
    <t xml:space="preserve">  ↳  SIMPLSIE-4</t>
  </si>
  <si>
    <t>Set 4 Platos Fondo Cerámica 26,7cm Siena Simplit</t>
  </si>
  <si>
    <t xml:space="preserve">  ↳  SIMDECROU</t>
  </si>
  <si>
    <t>Decantador Aireador Vino Rouge 1500ml</t>
  </si>
  <si>
    <t xml:space="preserve">  ↳  1659990828178</t>
  </si>
  <si>
    <t>Control Joystick Inalámbrico doble Shock P4 Negro LEVO</t>
  </si>
  <si>
    <t xml:space="preserve">  ↳  66436804863605</t>
  </si>
  <si>
    <t>Control Joystick Inalámbrico doble Shock P4 Rojo LEVO</t>
  </si>
  <si>
    <t xml:space="preserve">  ↳  XRHYDLAV-OR</t>
  </si>
  <si>
    <t>Hidrolavadora Eléctrica HydroX 1800W 120 Bar Xroad</t>
  </si>
  <si>
    <t xml:space="preserve">  ↳  SIMCUHOL-5</t>
  </si>
  <si>
    <t>Set Cuchillos Holz 5 pcs Acero Inoxidable + Taco Simplit</t>
  </si>
  <si>
    <t xml:space="preserve">  ↳  LHMOBROBK</t>
  </si>
  <si>
    <t>Mochila Viaje Impermeable Porta Notebook 17.3" 40L Broadpeak Black Lhotse</t>
  </si>
  <si>
    <t xml:space="preserve">  ↳  1628018206370</t>
  </si>
  <si>
    <t>Juego De 4 Cachos Eco Cuero Negro Simplit</t>
  </si>
  <si>
    <t xml:space="preserve">  ↳  BDGIMPIK</t>
  </si>
  <si>
    <t>Gimnasio Infantil Juego Pikler Parque 8 en 1 Bandú</t>
  </si>
  <si>
    <t xml:space="preserve">  ↳  LHBOADV-WH</t>
  </si>
  <si>
    <t>Botella Termica Insulada 650ml Adventure White Lhotse</t>
  </si>
  <si>
    <t xml:space="preserve">  ↳  LHBANK2BK</t>
  </si>
  <si>
    <t>Banano Outdoor Impermeable K2 Negro 2L Lhotse</t>
  </si>
  <si>
    <t xml:space="preserve">  ↳  LHTRMU-BK</t>
  </si>
  <si>
    <t>Botella Termica Insulada 900ml Travel Mug Black Lhotse</t>
  </si>
  <si>
    <t xml:space="preserve">  ↳  LHBOADV-BL</t>
  </si>
  <si>
    <t>Botella Termica Insulada 650ml Adventure Blue Lhotse</t>
  </si>
  <si>
    <t xml:space="preserve">  ↳  SIMCUMAR-BK</t>
  </si>
  <si>
    <t>Set Cuchillos 5 pcs Paris Acero Inoxidable Simplit</t>
  </si>
  <si>
    <t xml:space="preserve">  ↳  SMVABOR4</t>
  </si>
  <si>
    <t>Set 4 Vasos Vidrio Borosilicato 550 ml Simplit</t>
  </si>
  <si>
    <t>26TP0927PI</t>
  </si>
  <si>
    <t>11/11/2026</t>
  </si>
  <si>
    <t>16/11/2026</t>
  </si>
  <si>
    <t>DIC26</t>
  </si>
  <si>
    <t>Bandú, UMA</t>
  </si>
  <si>
    <t xml:space="preserve">  ↳  MTBOTFIBARLIPR-900</t>
  </si>
  <si>
    <t>Botella Termica Insulada Fit Barbie Light Print 900ml</t>
  </si>
  <si>
    <t xml:space="preserve">  ↳  MTBOTFIBARFL-900</t>
  </si>
  <si>
    <t>Botella Termica Insulada Fit Barbie Flow 900ml</t>
  </si>
  <si>
    <t xml:space="preserve">  ↳  MTBOTCLBARLIPR-750</t>
  </si>
  <si>
    <t>Botella Termica Insulada Classic Barbie Light Print 750ml</t>
  </si>
  <si>
    <t xml:space="preserve">  ↳  MTBOTCLBARLIN-750</t>
  </si>
  <si>
    <t>Botella Termica Insulada Classic Barbie Lines 750ml</t>
  </si>
  <si>
    <t xml:space="preserve">  ↳  MTBOTFIBARDAPR-900</t>
  </si>
  <si>
    <t>Botella Termica Insulada Fit Barbie Dark Print 900ml</t>
  </si>
  <si>
    <t xml:space="preserve">  ↳  MTBOTCLBARDAPR-750</t>
  </si>
  <si>
    <t>Botella Termica Insulada Classic Barbie Dark Print 750ml</t>
  </si>
  <si>
    <t xml:space="preserve">  ↳  MTSHBARLIPR-500</t>
  </si>
  <si>
    <t>Shaker Vaso Proteina Acero Inoxidable Barbie Light Print 500ml</t>
  </si>
  <si>
    <t xml:space="preserve">  ↳  BDPKMESILL</t>
  </si>
  <si>
    <t>Pack Infantil 1 Mesa 2 Sillas Madera Didáctico Bandú</t>
  </si>
  <si>
    <t xml:space="preserve">  ↳  BDANDDIDAC-PK</t>
  </si>
  <si>
    <t>Andador Correpasillos Bebe Didáctico Madera Bandú</t>
  </si>
  <si>
    <t xml:space="preserve">  ↳  BNANDCONTRU</t>
  </si>
  <si>
    <t>Andador Correpasillos Bebe Juego Construccion Madera Bandú</t>
  </si>
  <si>
    <t xml:space="preserve">  ↳  BDSETLIMP</t>
  </si>
  <si>
    <t>Set Juego de Limpieza y Aseo Madera Bandú</t>
  </si>
  <si>
    <t xml:space="preserve">  ↳  BDSETMAQ</t>
  </si>
  <si>
    <t>Juego de Maquillaje Set Belleza de Roll Niños Madera Bandú</t>
  </si>
  <si>
    <t xml:space="preserve">  ↳  BDJUEAUT</t>
  </si>
  <si>
    <t>Set Autos de Juguete Tren Pista y Señaleticas Madera Bandú</t>
  </si>
  <si>
    <t xml:space="preserve">  ↳  BDANDDIDAC-GR</t>
  </si>
  <si>
    <t xml:space="preserve">  ↳  BDMROBLDESC</t>
  </si>
  <si>
    <t>Torre Aprendizaje Infantil Pikler Escalada Montessori Bandú</t>
  </si>
  <si>
    <t>26TP0909PI</t>
  </si>
  <si>
    <t>13/11/2026</t>
  </si>
  <si>
    <t>18/11/2026</t>
  </si>
  <si>
    <t>Bandú, Levo, Lhotse, Simplit, UMA</t>
  </si>
  <si>
    <t xml:space="preserve">  ↳  LVMONPVS-15</t>
  </si>
  <si>
    <t>Monitor Portátil Gamer PivotScope 15.6" Full HD 1080P LEVO</t>
  </si>
  <si>
    <t xml:space="preserve">  ↳  BDSILLEVREG</t>
  </si>
  <si>
    <t>Silla de Comer Infantil Evolutiva Madera Regulable Bandú</t>
  </si>
  <si>
    <t xml:space="preserve">  ↳  MTBOTBARCL-500</t>
  </si>
  <si>
    <t>Botella Termica Insulada Barbie Club 500ml</t>
  </si>
  <si>
    <t xml:space="preserve">  ↳  MTBOTBARDR-500</t>
  </si>
  <si>
    <t>Botella Termica Insulada Barbie Dream 500ml</t>
  </si>
  <si>
    <t xml:space="preserve">  ↳  LVPRONOV-WH</t>
  </si>
  <si>
    <t>Proyector Portatil Smart NOVUS 9000lm WiFi BT Android LEVO</t>
  </si>
  <si>
    <t xml:space="preserve">  ↳  BDTORRAPR</t>
  </si>
  <si>
    <t>Torre Aprendizaje Plegable Montesori Madera 3 Niveles Bandú</t>
  </si>
  <si>
    <t xml:space="preserve">  ↳  SMCONTCAFMI</t>
  </si>
  <si>
    <t>Contenedor Hermético De Café Acero Inoxidable Milán Simplit</t>
  </si>
  <si>
    <t xml:space="preserve">  ↳  LVCAMSEGEX-BK</t>
  </si>
  <si>
    <t>Cámara de Seguridad Impermeable Wifi 5G 2MP GuardPro X5 LEVO</t>
  </si>
  <si>
    <t xml:space="preserve">  ↳  67933857637909</t>
  </si>
  <si>
    <t>Set 6 Vasos Largo Vintage Charlotte 350ml Simplit</t>
  </si>
  <si>
    <t xml:space="preserve">  ↳  1654207748340</t>
  </si>
  <si>
    <t>Set 3 Bowls con Tapa Acero Inoxidable Antideslizante Simplit</t>
  </si>
  <si>
    <t xml:space="preserve">  ↳  1659989549286</t>
  </si>
  <si>
    <t>Set Alcuza Cerámica 2 Piezas Cuadrada 500 ml Simplit</t>
  </si>
  <si>
    <t xml:space="preserve">  ↳  1661873799978</t>
  </si>
  <si>
    <t>Mochila Volcano Lhotse 19 Lt Negra</t>
  </si>
  <si>
    <t xml:space="preserve">  ↳  SIMMANCC-BK</t>
  </si>
  <si>
    <t>Mantequillero cerámica tapa bamboo con cuchillo 600ml NEGRO</t>
  </si>
  <si>
    <t xml:space="preserve">  ↳  SIMCAFFRCO</t>
  </si>
  <si>
    <t>Cafetera Prensa Francesa Vidrio Cobre 600 ml Simplit</t>
  </si>
  <si>
    <t xml:space="preserve">  ↳  1660858101318</t>
  </si>
  <si>
    <t>Mantequillero de Cerámica Tapa Bamboo 300 ml Simplit</t>
  </si>
  <si>
    <t xml:space="preserve">  ↳  1658329968514</t>
  </si>
  <si>
    <t>Vr Box Ultra + Audífonos Lentes de Realidad Virtual  LEVO</t>
  </si>
  <si>
    <t xml:space="preserve">  ↳  LVMOPRL-BK</t>
  </si>
  <si>
    <t>Mochila Notebook Prime Lite 15,6” Negra LEVO</t>
  </si>
  <si>
    <t xml:space="preserve">  ↳  1661873818029</t>
  </si>
  <si>
    <t>Mochila Volcano Lhotse 19 Lt Verde</t>
  </si>
  <si>
    <t xml:space="preserve">  ↳  SIMMANCC-WH</t>
  </si>
  <si>
    <t>Mantequillero Cerámica Tapa Bamboo + Cuchillo 600 ml Simplit</t>
  </si>
  <si>
    <t>TOTAL  —  8 PIs en tránsito</t>
  </si>
  <si>
    <t>REPORTE CST x MARCA — COBERTURA Y FLUJO 2026  (valores en $M CLP)</t>
  </si>
  <si>
    <t>STOCK HOY</t>
  </si>
  <si>
    <t>SEP 26</t>
  </si>
  <si>
    <t>OCT 26</t>
  </si>
  <si>
    <t>NOV 26</t>
  </si>
  <si>
    <t>DIC 26</t>
  </si>
  <si>
    <t>Marca</t>
  </si>
  <si>
    <t>Stock Hoy
CST ($M)</t>
  </si>
  <si>
    <t>Cobert.
ACT</t>
  </si>
  <si>
    <t>StkIni
($M)</t>
  </si>
  <si>
    <t>Llegadas
($M)</t>
  </si>
  <si>
    <t>Stk+Ped
($M)</t>
  </si>
  <si>
    <t>Venta
($M)</t>
  </si>
  <si>
    <t>Cobert.</t>
  </si>
  <si>
    <t>Lhotse</t>
  </si>
  <si>
    <t>Simplit</t>
  </si>
  <si>
    <t>Levo</t>
  </si>
  <si>
    <t>Xroad</t>
  </si>
  <si>
    <t>Dynamo</t>
  </si>
  <si>
    <t>Bandú</t>
  </si>
  <si>
    <t>T-Care</t>
  </si>
  <si>
    <t>UMA</t>
  </si>
  <si>
    <t>Purito</t>
  </si>
  <si>
    <t>TOTAL PROPIA</t>
  </si>
  <si>
    <t>PROV. NACIONALES</t>
  </si>
  <si>
    <t>TOTAL EMPRESA</t>
  </si>
  <si>
    <t>Valores en millones de pesos CLP ($M).  Cobert. = Stk+Ped / Venta del mes.  Colores: 🔴 &lt;1m  🟠 1-2m  🟢 2-4m  🔵 4-6m  🟣 &gt;6m</t>
  </si>
  <si>
    <t>CRÍTICO x MARCA — Cobertura AGO26 &lt; 2m  |  85 SKUs críticos</t>
  </si>
  <si>
    <t>SKUs</t>
  </si>
  <si>
    <t>Cob.
Prom</t>
  </si>
  <si>
    <t>Sin
Stock</t>
  </si>
  <si>
    <t>Stock Hoy
Unidades</t>
  </si>
  <si>
    <t>Venta PPTO
AGO26 Uni</t>
  </si>
  <si>
    <t>Stock Hoy
CST</t>
  </si>
  <si>
    <t>Venta CST
AGO26</t>
  </si>
  <si>
    <t>Llegadas
AGO26 Unid</t>
  </si>
  <si>
    <t>Detalle Llegadas</t>
  </si>
  <si>
    <t>OCT26: 2 | NOV26: 4 | DIC26: 3</t>
  </si>
  <si>
    <t>SEP26: 12 | OCT26: 1</t>
  </si>
  <si>
    <t>NOV26: 7 | DIC26: 2</t>
  </si>
  <si>
    <t>SEP26: 18 | OCT26: 4</t>
  </si>
  <si>
    <t>NOV26: 6 | DIC26: 7</t>
  </si>
  <si>
    <t>SEP26: 9 | OCT26: 4</t>
  </si>
  <si>
    <t>OCT26: 1 | NOV26: 2 | DIC26: 2</t>
  </si>
  <si>
    <t>SEP26: 5 | OCT26: 1</t>
  </si>
  <si>
    <t>SEP26: 1</t>
  </si>
  <si>
    <t>OCT26: 4 | DIC26: 9</t>
  </si>
  <si>
    <t>-</t>
  </si>
  <si>
    <t>OCT26: 2</t>
  </si>
  <si>
    <t>TOTAL</t>
  </si>
  <si>
    <t>DETALLE CRÍTICOS — Cobertura &lt; 1.0 mes | Costo + Unidades | SEP26  |  56 SKUs críticos</t>
  </si>
  <si>
    <t>Cat. Comercial</t>
  </si>
  <si>
    <t>Cat. Padre</t>
  </si>
  <si>
    <t>Cat. Hijo</t>
  </si>
  <si>
    <t>Ranking
Comercial</t>
  </si>
  <si>
    <t>SKU</t>
  </si>
  <si>
    <t>Descripcion</t>
  </si>
  <si>
    <t>Stock
Unid</t>
  </si>
  <si>
    <t>Venta PPTO
Unid</t>
  </si>
  <si>
    <t>Stock
CST</t>
  </si>
  <si>
    <t>Venta
CST</t>
  </si>
  <si>
    <t>Llegadas
SEP26 Unid</t>
  </si>
  <si>
    <t>Llegadas
OCT26 Unid</t>
  </si>
  <si>
    <t>Llegadas
NOV26 Unid</t>
  </si>
  <si>
    <t>Llegadas
DIC26 Unid</t>
  </si>
  <si>
    <t>Prox.
Llegada</t>
  </si>
  <si>
    <t>PI
Embarque</t>
  </si>
  <si>
    <t>Fecha Max.
de Carga</t>
  </si>
  <si>
    <t>Nuevo</t>
  </si>
  <si>
    <t>Accesorio Vestuario</t>
  </si>
  <si>
    <t>Pantuflas</t>
  </si>
  <si>
    <t>LHPANIMBKBK36-37</t>
  </si>
  <si>
    <t>Pantuflas Térmicas Nimbus Suela CloudGrip Outdoor Black 36/37</t>
  </si>
  <si>
    <t>Sin embarque</t>
  </si>
  <si>
    <t>LHPANIMBKCM38-39</t>
  </si>
  <si>
    <t>Pantuflas Térmicas Nimbus Suela CloudGrip Outdoor Black Camo 38/39</t>
  </si>
  <si>
    <t>LHPANIMBKCM40-41</t>
  </si>
  <si>
    <t>Pantuflas Térmicas Nimbus Suela CloudGrip Outdoor Black Camo 40/41</t>
  </si>
  <si>
    <t>LHPANIMBKCM42-43</t>
  </si>
  <si>
    <t>Pantuflas Térmicas Nimbus Suela CloudGrip Outdoor Black Camo 42/43</t>
  </si>
  <si>
    <t>LHPANIMPK34-35</t>
  </si>
  <si>
    <t>Pantuflas Térmicas Nimbus Suela CloudGrip Outdoor Pink 34/35</t>
  </si>
  <si>
    <t>LHPANIMPK40-41</t>
  </si>
  <si>
    <t>Pantuflas Térmicas Nimbus Suela CloudGrip Outdoor Pink 40/41</t>
  </si>
  <si>
    <t>LHPANIMSGR36-37</t>
  </si>
  <si>
    <t>Pantuflas Térmicas Nimbus Suela CloudGrip Outdoor Smoky Green 36/37</t>
  </si>
  <si>
    <t>LHPANIMSGR38-39</t>
  </si>
  <si>
    <t>Pantuflas Térmicas Nimbus Suela CloudGrip Outdoor Smoky Green 38/39</t>
  </si>
  <si>
    <t>Oro</t>
  </si>
  <si>
    <t>Audio Menor</t>
  </si>
  <si>
    <t>Parlantes</t>
  </si>
  <si>
    <t>LHPARJOUR-BK</t>
  </si>
  <si>
    <t>Parlante Portatil Inalambrico Bluetooth Journey Black Lhotse</t>
  </si>
  <si>
    <t>LHPARJOUR-BL</t>
  </si>
  <si>
    <t>Parlante Portatil Inalambrico Bluetooth Journey Blue Lhotse</t>
  </si>
  <si>
    <t>Equipamiento</t>
  </si>
  <si>
    <t>Neceser</t>
  </si>
  <si>
    <t>LHNECTRRIM-BK</t>
  </si>
  <si>
    <t>Neceser Estuche de Viaje Travel Rimo Impermeable 5L Lhotse</t>
  </si>
  <si>
    <t>Hidratación</t>
  </si>
  <si>
    <t>Botellas Termicas</t>
  </si>
  <si>
    <t>LHBOHYCO-BG</t>
  </si>
  <si>
    <t>Botella Termica Acero Inox 3 Tapas 1L HydroCore Beige Lhotse</t>
  </si>
  <si>
    <t>Diamante</t>
  </si>
  <si>
    <t>LHSHNUCO-BG</t>
  </si>
  <si>
    <t>LHSHNUCO-GR</t>
  </si>
  <si>
    <t>Shaker Vaso Proteina Acero Inox 500ml NutriCore Green Lhotse</t>
  </si>
  <si>
    <t>LHSHNUCO-NY</t>
  </si>
  <si>
    <t>Mochilas</t>
  </si>
  <si>
    <t>LHMOPUM-BK</t>
  </si>
  <si>
    <t>Plata</t>
  </si>
  <si>
    <t>LHMOBI001-BK</t>
  </si>
  <si>
    <t>LHMOMAK-BK</t>
  </si>
  <si>
    <t>Bananos</t>
  </si>
  <si>
    <t>1623703942966</t>
  </si>
  <si>
    <t>Tazas y vasos</t>
  </si>
  <si>
    <t>LHMAMU-BK</t>
  </si>
  <si>
    <t>Mate Acero Inoxidable con Bombilla Black Lhotse</t>
  </si>
  <si>
    <t>Menaje de Cocina</t>
  </si>
  <si>
    <t>Cuchilleria</t>
  </si>
  <si>
    <t>SIMCUROM-30</t>
  </si>
  <si>
    <t>Bronce</t>
  </si>
  <si>
    <t>Vajilla</t>
  </si>
  <si>
    <t>Loza Granel</t>
  </si>
  <si>
    <t>SIMBOWTAZ-4</t>
  </si>
  <si>
    <t>Cristalería y Bar</t>
  </si>
  <si>
    <t>Vasos</t>
  </si>
  <si>
    <t>1650298908518</t>
  </si>
  <si>
    <t>Set 2 Vasos Moscow Mule Mug Cobre + Bombillas Simplit</t>
  </si>
  <si>
    <t>Juego de Loza</t>
  </si>
  <si>
    <t>SIMJULZBRU-30</t>
  </si>
  <si>
    <t>Bar</t>
  </si>
  <si>
    <t>SIMHIECHAR</t>
  </si>
  <si>
    <t>Mundo Café</t>
  </si>
  <si>
    <t>Contenedores</t>
  </si>
  <si>
    <t>SMCONTCAFMI</t>
  </si>
  <si>
    <t>Utensilios de cocina</t>
  </si>
  <si>
    <t>1629726117626</t>
  </si>
  <si>
    <t>Organización</t>
  </si>
  <si>
    <t>Secadores de platos</t>
  </si>
  <si>
    <t>SIMSECVALBK</t>
  </si>
  <si>
    <t>Secaplatos Escurridor Acero Inox Valencia 2 Niveles Simplit</t>
  </si>
  <si>
    <t>SIMPLSIE-4</t>
  </si>
  <si>
    <t>SIMDECROU</t>
  </si>
  <si>
    <t>Pantallas</t>
  </si>
  <si>
    <t>Pantallas Publicitarias</t>
  </si>
  <si>
    <t>LVPANTOTPUB-50</t>
  </si>
  <si>
    <t>Perifericos de Computacion</t>
  </si>
  <si>
    <t>Gaming</t>
  </si>
  <si>
    <t>LVCONJOY-RB</t>
  </si>
  <si>
    <t>Control Joystick Inalámbrico Compatible Switch Joy-Con LEVO</t>
  </si>
  <si>
    <t>Telones y Proyectores</t>
  </si>
  <si>
    <t>Telones Proyector</t>
  </si>
  <si>
    <t>LVTELBK-60</t>
  </si>
  <si>
    <t>Telón Proyector 60 pulgadas 120 x 90 cm Negro LEVO</t>
  </si>
  <si>
    <t>Soportes</t>
  </si>
  <si>
    <t>Soportes de Television</t>
  </si>
  <si>
    <t>LVSPTVUN</t>
  </si>
  <si>
    <t>LVTELELE-100</t>
  </si>
  <si>
    <t>LVTELELE-80</t>
  </si>
  <si>
    <t>Accesorios</t>
  </si>
  <si>
    <t>Cargador de Celular</t>
  </si>
  <si>
    <t>LVCAR45W-WH</t>
  </si>
  <si>
    <t>Cargador Ultra Rapido De Pared 45W USB-C Blanco LEVO</t>
  </si>
  <si>
    <t>LVPANTOTPUB-43</t>
  </si>
  <si>
    <t>1659990828178</t>
  </si>
  <si>
    <t>1659991999728</t>
  </si>
  <si>
    <t>Telón Proyector 60 pulgadas 120 x 90 cm LEVO</t>
  </si>
  <si>
    <t>Corporativo</t>
  </si>
  <si>
    <t>Accesorios de Instalacion</t>
  </si>
  <si>
    <t>Sensores de retroceso</t>
  </si>
  <si>
    <t>69746014453052</t>
  </si>
  <si>
    <t>Sensor De Retroceso Para Automóviles Xroad</t>
  </si>
  <si>
    <t>Accesorios de Viaje</t>
  </si>
  <si>
    <t>Accesorios de Camping</t>
  </si>
  <si>
    <t>XRESTAENER-OG</t>
  </si>
  <si>
    <t>Estación de Energía Portátil 300W 248WH 80.000mAh 220V Xroad</t>
  </si>
  <si>
    <t>Herramientas y Mantenimiento</t>
  </si>
  <si>
    <t>Herramientas de Asistencia</t>
  </si>
  <si>
    <t>XRPARTBAT-GR</t>
  </si>
  <si>
    <t>Toldos y Carpas</t>
  </si>
  <si>
    <t>1650302269777</t>
  </si>
  <si>
    <t>Juguetes de Motricidad</t>
  </si>
  <si>
    <t>Andador y Correpasillos</t>
  </si>
  <si>
    <t>BDANDDIDAC-PK</t>
  </si>
  <si>
    <t>BNANDCONTRU</t>
  </si>
  <si>
    <t>Escalada y Equilibrio</t>
  </si>
  <si>
    <t>BDSILLEVREG</t>
  </si>
  <si>
    <t>Jueguetes de Rol</t>
  </si>
  <si>
    <t>Juegos de Oficio</t>
  </si>
  <si>
    <t>BDSETDOC</t>
  </si>
  <si>
    <t>Cocina y Accesorios</t>
  </si>
  <si>
    <t>BDCOCMEDI</t>
  </si>
  <si>
    <t>BDGMNMVBB</t>
  </si>
  <si>
    <t>BDCOCPQMD</t>
  </si>
  <si>
    <t>BDTORRAPR</t>
  </si>
  <si>
    <t>BDELECTCOC</t>
  </si>
  <si>
    <t>Juguete Infantil Mini Electrodomésticos Cocina Madera Bandú</t>
  </si>
  <si>
    <t>Cuidado Personal</t>
  </si>
  <si>
    <t>Secadores</t>
  </si>
  <si>
    <t>TCMULTSTY5N1</t>
  </si>
  <si>
    <t>TCMULTSTY5N1-BG</t>
  </si>
  <si>
    <t>Belleza</t>
  </si>
  <si>
    <t>Cosmetica</t>
  </si>
  <si>
    <t>8809563100828</t>
  </si>
  <si>
    <t>PURITO Wonder Releaf Centella Mini Kit Unscented</t>
  </si>
  <si>
    <t>CAPITAL INMOVILIZADO EN SOBRESTOCK  |  Más de 4 meses de stock óptimo  |  Capital exceso: $236,490,621</t>
  </si>
  <si>
    <t>Marca / Cat. Padre / Cat. Hijo / SKU</t>
  </si>
  <si>
    <t>Descripción</t>
  </si>
  <si>
    <t>Cobert.
ACT (m)</t>
  </si>
  <si>
    <t>Meses
Exceso</t>
  </si>
  <si>
    <t>Stock CST
($)</t>
  </si>
  <si>
    <t>Venta CST
Prom ($)</t>
  </si>
  <si>
    <t>Stock
Óptimo ($)</t>
  </si>
  <si>
    <t>Capital
Inmovil.($)</t>
  </si>
  <si>
    <t>Tiene
Llegadas</t>
  </si>
  <si>
    <t>▶  Lhotse</t>
  </si>
  <si>
    <t>6/229 c/llegada</t>
  </si>
  <si>
    <t xml:space="preserve">   ▸  Accesorio Vestuario</t>
  </si>
  <si>
    <t>0/32</t>
  </si>
  <si>
    <t xml:space="preserve">         ▹  Calcetines</t>
  </si>
  <si>
    <t>0/20</t>
  </si>
  <si>
    <t xml:space="preserve">               ↳  LHCALMEDEAL-XL</t>
  </si>
  <si>
    <t>Calcetin Corte Medio Andor Earth L-XL</t>
  </si>
  <si>
    <t>No</t>
  </si>
  <si>
    <t xml:space="preserve">               ↳  LHCALMEDEAS-M</t>
  </si>
  <si>
    <t>Calcetin Corte Medio Andor Earth S-M</t>
  </si>
  <si>
    <t xml:space="preserve">               ↳  LHCALMEDBKS-M</t>
  </si>
  <si>
    <t>Calcetin Deportivo Corte Largo Trekking Andor Negro S-M Lhotse</t>
  </si>
  <si>
    <t xml:space="preserve">               ↳  LHCALTOBGREL-XL</t>
  </si>
  <si>
    <t>Calcetin Corte Tobillo Numa Green L-XL</t>
  </si>
  <si>
    <t xml:space="preserve">               ↳  LHCALTOBGRES-M</t>
  </si>
  <si>
    <t>Calcetin Corte Tobillo Numa Green S-M</t>
  </si>
  <si>
    <t xml:space="preserve">               ↳  LHCALTOBGRS-M</t>
  </si>
  <si>
    <t>Calcetin Corte Tobillo Numa Gray S-M</t>
  </si>
  <si>
    <t xml:space="preserve">               ↳  LHCALTOBBKS-M</t>
  </si>
  <si>
    <t>Calcetin Corte Tobillo Numa Black S-M</t>
  </si>
  <si>
    <t xml:space="preserve">               ↳  LHCALMEDGRML-XL</t>
  </si>
  <si>
    <t>Calcetin Corte Medio Andor Gray Melange L-XL</t>
  </si>
  <si>
    <t xml:space="preserve">               ↳  LHCALTOBGRL-XL</t>
  </si>
  <si>
    <t>Calcetin Corte Tobillo Numa Gray L-XL</t>
  </si>
  <si>
    <t xml:space="preserve">               ↳  LHCALMEDBLS-M</t>
  </si>
  <si>
    <t>Calcetin Corte Medio Andor Blue S-M</t>
  </si>
  <si>
    <t xml:space="preserve">               ↳  LHCALMEDGRMS-M</t>
  </si>
  <si>
    <t>Calcetin Corte Medio Andor Gray Melange S-M</t>
  </si>
  <si>
    <t xml:space="preserve">               ↳  LHCALMEDBLL-XL</t>
  </si>
  <si>
    <t>Calcetin Corte Medio Andor Blue L-XL</t>
  </si>
  <si>
    <t xml:space="preserve">               ↳  LHCALMEDBKL-XL</t>
  </si>
  <si>
    <t>Calcetin Deportivo Corte Largo Trekking Andor Negro L-XL Lhotse</t>
  </si>
  <si>
    <t xml:space="preserve">               ↳  LHCALBAJBKS-M</t>
  </si>
  <si>
    <t>Calcetin Corte Bajo Vora Running Black S-M</t>
  </si>
  <si>
    <t xml:space="preserve">               ↳  LHCALBAJWHS-M</t>
  </si>
  <si>
    <t>Calcetin Corte Bajo Vora Running White S-M</t>
  </si>
  <si>
    <t xml:space="preserve">               ↳  LHCALBAJGRML-XL</t>
  </si>
  <si>
    <t>Calcetin Corte Bajo Vora Running Gray Melange L-XL</t>
  </si>
  <si>
    <t xml:space="preserve">               ↳  LHCALBAJWHL-XL</t>
  </si>
  <si>
    <t>Calcetin Corte Bajo Vora Running White L-XL</t>
  </si>
  <si>
    <t xml:space="preserve">               ↳  LHCALTOBBKL-XL</t>
  </si>
  <si>
    <t>Calcetin Deportivo Corte Medio Trail Numa Lhotse</t>
  </si>
  <si>
    <t xml:space="preserve">               ↳  LHCALBAJGRMS-M</t>
  </si>
  <si>
    <t>Calcetin Corte Bajo Vora Running Gray Melange S-M</t>
  </si>
  <si>
    <t xml:space="preserve">               ↳  LHCALBAJBKL-XL</t>
  </si>
  <si>
    <t>Calcetin Corte Bajo Vora Running Black L-XL</t>
  </si>
  <si>
    <t xml:space="preserve">         ▹  Jockey</t>
  </si>
  <si>
    <t>0/9</t>
  </si>
  <si>
    <t xml:space="preserve">               ↳  LHJOKFLF-BL</t>
  </si>
  <si>
    <t>Jockey Deportivo FlexFlow DryFit Lhotse</t>
  </si>
  <si>
    <t xml:space="preserve">               ↳  LHJOKFLF-GR</t>
  </si>
  <si>
    <t xml:space="preserve">               ↳  LHJOKHIK-BK</t>
  </si>
  <si>
    <t>Jockey Hike Algodón Unisex Lhotse</t>
  </si>
  <si>
    <t xml:space="preserve">               ↳  LHJOKHIK-GB</t>
  </si>
  <si>
    <t xml:space="preserve">               ↳  LHJOKRD-GR</t>
  </si>
  <si>
    <t>Jockey Ride Algodón Unisex Lhotse</t>
  </si>
  <si>
    <t xml:space="preserve">               ↳  LHJOKRD-ML</t>
  </si>
  <si>
    <t xml:space="preserve">               ↳  LHJOKTRE-BK</t>
  </si>
  <si>
    <t>Jockey Trekker Algodón Unisex Lhotse</t>
  </si>
  <si>
    <t xml:space="preserve">               ↳  LHJOKTRE-GR</t>
  </si>
  <si>
    <t xml:space="preserve">               ↳  LHJOKWV-BK</t>
  </si>
  <si>
    <t>Jockey Wave Algodón Unisex Lhotse</t>
  </si>
  <si>
    <t xml:space="preserve">         ▹  Pantuflas</t>
  </si>
  <si>
    <t>0/1</t>
  </si>
  <si>
    <t xml:space="preserve">               ↳  LHPANCLOGR38-39</t>
  </si>
  <si>
    <t>Pantuflas Térmicas Cloudfit Outdoor Suela WarmPath</t>
  </si>
  <si>
    <t xml:space="preserve">         ▹  Toalla</t>
  </si>
  <si>
    <t>0/2</t>
  </si>
  <si>
    <t xml:space="preserve">               ↳  LHTOAMIC-BL</t>
  </si>
  <si>
    <t>Toalla Microfibra Secado Rapido QuickTrek Lhotse</t>
  </si>
  <si>
    <t xml:space="preserve">               ↳  LHTOAMIC-LIL</t>
  </si>
  <si>
    <t xml:space="preserve">   ▸  Audio Menor</t>
  </si>
  <si>
    <t>1/23</t>
  </si>
  <si>
    <t xml:space="preserve">         ▹  Audífonos</t>
  </si>
  <si>
    <t>1/11</t>
  </si>
  <si>
    <t xml:space="preserve">               ↳  1566335721736</t>
  </si>
  <si>
    <t>Audifonos Bluetooth Inalambrico RM12 Light Blue Lhotse</t>
  </si>
  <si>
    <t xml:space="preserve">               ↳  1592492799236</t>
  </si>
  <si>
    <t>Audifonos Bluetooth Inalambrico RM12 Pink Lhotse</t>
  </si>
  <si>
    <t xml:space="preserve">               ↳  1564150627423</t>
  </si>
  <si>
    <t>Sí</t>
  </si>
  <si>
    <t xml:space="preserve">               ↳  68658868763602</t>
  </si>
  <si>
    <t>Audifonos Bluetooth Inalambrico RM7 Pro Light Blue Lhotse</t>
  </si>
  <si>
    <t xml:space="preserve">               ↳  68658866289861</t>
  </si>
  <si>
    <t>Audifonos Bluetooth Inalambrico RM7 Pro Pink Lhotse</t>
  </si>
  <si>
    <t xml:space="preserve">               ↳  1597086499840</t>
  </si>
  <si>
    <t>Audifonos Bluetooth Inalambrico RM7 Pro White Lhotse</t>
  </si>
  <si>
    <t xml:space="preserve">               ↳  1597098592591</t>
  </si>
  <si>
    <t>Audifonos Bluetooth Inalambrico RM7 Pro Black Lhotse</t>
  </si>
  <si>
    <t xml:space="preserve">               ↳  LHHEDWEPR-BK</t>
  </si>
  <si>
    <t>Audifonos Bluetooth Inalambrico Over Ear WavePro Black Lhotse</t>
  </si>
  <si>
    <t xml:space="preserve">               ↳  LHRMPLU-WH</t>
  </si>
  <si>
    <t>Audifonos Bluetooth TWS Pantalla Touch ANC RMPLUS+ White Lhotse</t>
  </si>
  <si>
    <t xml:space="preserve">               ↳  LHRMPLU-BK</t>
  </si>
  <si>
    <t>Audifonos Bluetooth TWS Pantalla Touch ANC RMPLUS+ Black Lhotse</t>
  </si>
  <si>
    <t xml:space="preserve">               ↳  LHHEDWEPR-KH</t>
  </si>
  <si>
    <t>Audifonos Bluetooth Inalambrico Over Ear WavePro White Lhotse</t>
  </si>
  <si>
    <t xml:space="preserve">         ▹  Parlantes</t>
  </si>
  <si>
    <t>0/12</t>
  </si>
  <si>
    <t xml:space="preserve">               ↳  67898461965813</t>
  </si>
  <si>
    <t>Parlante Bounce Mini Black</t>
  </si>
  <si>
    <t xml:space="preserve">               ↳  LHPARJOUR-BK</t>
  </si>
  <si>
    <t xml:space="preserve">               ↳  LHPARPULS-GR</t>
  </si>
  <si>
    <t>Parlante Portatil Inalambrico Bluetooth Pulse On Gray Lhotse</t>
  </si>
  <si>
    <t xml:space="preserve">               ↳  67933835988925</t>
  </si>
  <si>
    <t>Parlante Portatil Inalambrico Bluetooth Tune Up Green Lhotse</t>
  </si>
  <si>
    <t xml:space="preserve">               ↳  67933833934278</t>
  </si>
  <si>
    <t>Parlante Portatil Inalambrico Bluetooth Tune Up Red Lhotse</t>
  </si>
  <si>
    <t xml:space="preserve">               ↳  67933835121467</t>
  </si>
  <si>
    <t>Parlante Portatil Inalambrico Bluetooth Tune Up Blue Lhotse</t>
  </si>
  <si>
    <t xml:space="preserve">               ↳  LHPARTRGO-BK</t>
  </si>
  <si>
    <t>Parlante Portatil Inalambrico Bluetooth TripGo Black Lhotse</t>
  </si>
  <si>
    <t xml:space="preserve">               ↳  LHPARTRGO-BL</t>
  </si>
  <si>
    <t>Parlante Portatil Inalambrico Bluetooth TripGo Blue Lhotse</t>
  </si>
  <si>
    <t xml:space="preserve">               ↳  LHPARTRGO-RD</t>
  </si>
  <si>
    <t>Parlante Portatil Inalambrico Bluetooth TripGo Red Lhotse</t>
  </si>
  <si>
    <t xml:space="preserve">               ↳  LHPARPULS-RD</t>
  </si>
  <si>
    <t>Parlante Portatil Inalambrico Bluetooth Pulse On Red Lhotse</t>
  </si>
  <si>
    <t xml:space="preserve">               ↳  67933831843970</t>
  </si>
  <si>
    <t>Parlante Portatil Inalambrico Bluetooth Tune Up Black Lhotse</t>
  </si>
  <si>
    <t xml:space="preserve">               ↳  LHPARPULS-BK</t>
  </si>
  <si>
    <t>Parlante Portatil Inalambrico Bluetooth Pulse On Black Lhotse</t>
  </si>
  <si>
    <t xml:space="preserve">   ▸  Deporte</t>
  </si>
  <si>
    <t xml:space="preserve">         ▹  Accesorios fitness</t>
  </si>
  <si>
    <t xml:space="preserve">               ↳  1627416841030</t>
  </si>
  <si>
    <t>Set Deportivo 7 en 1 Rueda Abdominal Cuerda Lhotse Fit</t>
  </si>
  <si>
    <t xml:space="preserve">   ▸  Equipamiento</t>
  </si>
  <si>
    <t>2/14</t>
  </si>
  <si>
    <t xml:space="preserve">         ▹  Bananos</t>
  </si>
  <si>
    <t xml:space="preserve">               ↳  LHBANHIM-BL</t>
  </si>
  <si>
    <t>Banano Outdoor Golight 1Lt Himalaya Lhotse</t>
  </si>
  <si>
    <t xml:space="preserve">               ↳  LHBANHIM-RD</t>
  </si>
  <si>
    <t xml:space="preserve">         ▹  Bolsos deportivos</t>
  </si>
  <si>
    <t>1/6</t>
  </si>
  <si>
    <t xml:space="preserve">               ↳  LHBOLDUFNV-60</t>
  </si>
  <si>
    <t>Bolso Deportivo Impermeable Duffel 60L Traveller Navy Lhotse</t>
  </si>
  <si>
    <t xml:space="preserve">               ↳  LHBOLDUFGR-60</t>
  </si>
  <si>
    <t>Bolso Deportivo Impermeable Duffel 60L Traveller Green Lhotse</t>
  </si>
  <si>
    <t xml:space="preserve">               ↳  LHBOLDUFBK-30</t>
  </si>
  <si>
    <t>Bolso Deportivo Impermeable Duffel 30L Traveller Black Lhotse</t>
  </si>
  <si>
    <t xml:space="preserve">               ↳  1623703861303</t>
  </si>
  <si>
    <t>Bolso Deportivo Lhotse Duffel 30 Lts Bag Negro</t>
  </si>
  <si>
    <t xml:space="preserve">               ↳  LHBOLDUFBK-60</t>
  </si>
  <si>
    <t>Bolso Deportivo Impermeable Duffel 60L Traveller Black Lhotse</t>
  </si>
  <si>
    <t xml:space="preserve">               ↳  LHBOLDUFGR-30</t>
  </si>
  <si>
    <t>Bolso Deportivo Impermeable Duffel 30L Traveller Green Lhotse</t>
  </si>
  <si>
    <t xml:space="preserve">         ▹  Maletas</t>
  </si>
  <si>
    <t xml:space="preserve">               ↳  LHMALEXPBK-30</t>
  </si>
  <si>
    <t>Maleta Trolley Impermeable Duffel 30L Expedition Black Lhotse</t>
  </si>
  <si>
    <t xml:space="preserve">               ↳  LHMALEXPBK-90</t>
  </si>
  <si>
    <t>Maleta Trolley Impermeable Duffel 90L Expedition Black Lhotse</t>
  </si>
  <si>
    <t xml:space="preserve">         ▹  Mochilas</t>
  </si>
  <si>
    <t>1/2</t>
  </si>
  <si>
    <t xml:space="preserve">               ↳  LHMOPUM-GR</t>
  </si>
  <si>
    <t>Mochila Urbana Impermeable Porta Notebook 22L Pumori Green Lhotse</t>
  </si>
  <si>
    <t xml:space="preserve">               ↳  1623703690011</t>
  </si>
  <si>
    <t>Mochila Outdoor Plegable 25L Black Lhotse</t>
  </si>
  <si>
    <t xml:space="preserve">         ▹  Neceser</t>
  </si>
  <si>
    <t xml:space="preserve">               ↳  LHNECKHUM-BK</t>
  </si>
  <si>
    <t>Neceser Viaje Waterproof 5L Khumbu Lhotse</t>
  </si>
  <si>
    <t xml:space="preserve">               ↳  LHNECKHUM-GR</t>
  </si>
  <si>
    <t xml:space="preserve">   ▸  Hidratación</t>
  </si>
  <si>
    <t>3/30</t>
  </si>
  <si>
    <t xml:space="preserve">         ▹  Botellas Termicas</t>
  </si>
  <si>
    <t>3/21</t>
  </si>
  <si>
    <t xml:space="preserve">               ↳  LHBIGMU-BL</t>
  </si>
  <si>
    <t>Vaso Térmico Tumbler 1180ml Lhotse Light Blue</t>
  </si>
  <si>
    <t xml:space="preserve">               ↳  LHBIGMU-CR</t>
  </si>
  <si>
    <t>Vaso Térmico Tumbler 1180ml Lhotse Arena</t>
  </si>
  <si>
    <t xml:space="preserve">               ↳  LHBIGMU-PK</t>
  </si>
  <si>
    <t>Vaso Térmico Tumbler 1180ml Lhotse Pink</t>
  </si>
  <si>
    <t xml:space="preserve">               ↳  LHBOHY95-LY</t>
  </si>
  <si>
    <t>Botella Termica Insulada 960ml Hydro Lilac Lhotse</t>
  </si>
  <si>
    <t xml:space="preserve">               ↳  LHBOHYCO-BG</t>
  </si>
  <si>
    <t xml:space="preserve">               ↳  LHBOIND-BK</t>
  </si>
  <si>
    <t>Botella Termica Insulada 800ml Indo Black Lhotse</t>
  </si>
  <si>
    <t xml:space="preserve">               ↳  LHBOIND-LY</t>
  </si>
  <si>
    <t>Botella Termica Insulada 800ml Indo Lilac Lhotse</t>
  </si>
  <si>
    <t xml:space="preserve">               ↳  LHBOIND-RD</t>
  </si>
  <si>
    <t>Botella Termica Insulada 800ml Indo Red Lhotse</t>
  </si>
  <si>
    <t xml:space="preserve">               ↳  LHTPHY01</t>
  </si>
  <si>
    <t>Tapa Botella Boca Ancha Hydro Black Lhotse</t>
  </si>
  <si>
    <t xml:space="preserve">               ↳  LHBOADV-BL</t>
  </si>
  <si>
    <t xml:space="preserve">               ↳  LHTRMU-PK</t>
  </si>
  <si>
    <t>Botella Termica Insulada 900ml Travel Mug Pink Lhotse</t>
  </si>
  <si>
    <t xml:space="preserve">               ↳  LHBOADV-WH</t>
  </si>
  <si>
    <t xml:space="preserve">               ↳  LHBIGMU-PKN</t>
  </si>
  <si>
    <t>Vaso Termico Tumbler Acero Inox Antiderrame 1180ml Pink Lhotse</t>
  </si>
  <si>
    <t xml:space="preserve">               ↳  LHBIGMU-GRN</t>
  </si>
  <si>
    <t>Vaso Termico Tumbler Acero Inox Antiderrame 1180ml Light Green Lhotse</t>
  </si>
  <si>
    <t xml:space="preserve">               ↳  LHTRMU-BK</t>
  </si>
  <si>
    <t xml:space="preserve">               ↳  LHBIGMU-BKN</t>
  </si>
  <si>
    <t>Vaso Termico Tumbler Acero Inox Antiderrame 1180ml Black Lhotse</t>
  </si>
  <si>
    <t xml:space="preserve">               ↳  LHBIGMU-BLN</t>
  </si>
  <si>
    <t>Vaso Termico Tumbler Acero Inox Antiderrame 1180ml Light Blue Lhotse</t>
  </si>
  <si>
    <t xml:space="preserve">               ↳  LHTRMU-GR</t>
  </si>
  <si>
    <t>Botella Termica Insulada 900ml Travel Mug Green Lhotse</t>
  </si>
  <si>
    <t xml:space="preserve">               ↳  LHBIGMU-PPN</t>
  </si>
  <si>
    <t>Vaso Termico Tumbler Acero Inox Antiderrame 1180ml Lilac Lhotse</t>
  </si>
  <si>
    <t xml:space="preserve">               ↳  LHBIGMU-CRN</t>
  </si>
  <si>
    <t>Vaso Termico Tumbler Acero Inox Antiderrame 1180ml Sand Lhotse</t>
  </si>
  <si>
    <t xml:space="preserve">               ↳  LHBOHYCO-PK</t>
  </si>
  <si>
    <t>Botella Termica Acero Inox 3 Tapas 1L HydroCore Pink Lhotse</t>
  </si>
  <si>
    <t xml:space="preserve">         ▹  Tazas y vasos</t>
  </si>
  <si>
    <t>0/8</t>
  </si>
  <si>
    <t xml:space="preserve">               ↳  LHVACAM-BK</t>
  </si>
  <si>
    <t>Vaso Térmico Insulado Camping Black480ml</t>
  </si>
  <si>
    <t xml:space="preserve">               ↳  LHVACAM-PK</t>
  </si>
  <si>
    <t>Vaso Térmico Insulado Camping Pink 480ml</t>
  </si>
  <si>
    <t xml:space="preserve">               ↳  LHVACAM-RD</t>
  </si>
  <si>
    <t>Vaso Térmico Insulado Camping Red 480ml</t>
  </si>
  <si>
    <t xml:space="preserve">               ↳  LHCAMU-WH</t>
  </si>
  <si>
    <t>Taza Térmica Insulada Camping White 350ml</t>
  </si>
  <si>
    <t xml:space="preserve">               ↳  LHCAMU-BK</t>
  </si>
  <si>
    <t>Taza Térmica Insulada Camping Black 350ml</t>
  </si>
  <si>
    <t xml:space="preserve">               ↳  LHCAMU-GR</t>
  </si>
  <si>
    <t>Taza Térmica Insulada Camping Green 350ml</t>
  </si>
  <si>
    <t xml:space="preserve">               ↳  LHMAMU-GR</t>
  </si>
  <si>
    <t>Mate Acero Inoxidable con Bombilla Green Lhotse</t>
  </si>
  <si>
    <t xml:space="preserve">               ↳  LHMAMU-WH</t>
  </si>
  <si>
    <t>Mate Acero Inoxidable con Bombilla White Lhotse</t>
  </si>
  <si>
    <t xml:space="preserve">         ▹  Termos líquidos</t>
  </si>
  <si>
    <t xml:space="preserve">               ↳  LHTHCLA-WH</t>
  </si>
  <si>
    <t>Termo Liquido Acero Inoxidable Classic 1,3 lts White Lhotse</t>
  </si>
  <si>
    <t xml:space="preserve">   ▸  Smartwatch</t>
  </si>
  <si>
    <t xml:space="preserve">         ▹  Smartband</t>
  </si>
  <si>
    <t xml:space="preserve">               ↳  LHSWFLOPK</t>
  </si>
  <si>
    <t>Banda Smartband Lhotse Flow 3</t>
  </si>
  <si>
    <t xml:space="preserve">         ▹  Smartwatch</t>
  </si>
  <si>
    <t>0/11</t>
  </si>
  <si>
    <t xml:space="preserve">               ↳  1639085706913</t>
  </si>
  <si>
    <t>Reloj Smartwatch Lhotse Runner 219 46mm Black</t>
  </si>
  <si>
    <t xml:space="preserve">               ↳  1639085745522</t>
  </si>
  <si>
    <t>Reloj Smartwatch Lhotse Ultimate GPS 217 Black</t>
  </si>
  <si>
    <t xml:space="preserve">               ↳  1639085755244</t>
  </si>
  <si>
    <t>Reloj Smartwatch Lhotse Ultimate GPS 217 Pink</t>
  </si>
  <si>
    <t xml:space="preserve">               ↳  1639085763857</t>
  </si>
  <si>
    <t>Reloj Smartwatch Lhotse Ultimate GPS 217 Gray</t>
  </si>
  <si>
    <t xml:space="preserve">               ↳  1652824942453</t>
  </si>
  <si>
    <t>Reloj Smartwatch Lhotse Live 206 40mm Mini Black</t>
  </si>
  <si>
    <t xml:space="preserve">               ↳  1652824957424</t>
  </si>
  <si>
    <t>Reloj Smartwatch Lhotse Live 206 Mini 40mm Light Green</t>
  </si>
  <si>
    <t xml:space="preserve">               ↳  LHSWMOVON7-PK</t>
  </si>
  <si>
    <t>Reloj Smartwatch GPS MoveOn 7 37/38mm</t>
  </si>
  <si>
    <t xml:space="preserve">               ↳  LHSWRHYX10-BK</t>
  </si>
  <si>
    <t>Reloj Smartwatch Music Rhythm X10 41mm</t>
  </si>
  <si>
    <t xml:space="preserve">               ↳  LHSWRHYX10-PK</t>
  </si>
  <si>
    <t xml:space="preserve">               ↳  LHSWVIBCR</t>
  </si>
  <si>
    <t>Reloj Smartwatch Lhotse Vibe 05 GPS Cream 42mm</t>
  </si>
  <si>
    <t xml:space="preserve">               ↳  LHSWVIBBK</t>
  </si>
  <si>
    <t>Reloj Smartwatch Lhotse Vibe 05 GPS Black 45mm</t>
  </si>
  <si>
    <t xml:space="preserve">   ▸  Vestuario</t>
  </si>
  <si>
    <t>0/116</t>
  </si>
  <si>
    <t xml:space="preserve">         ▹  Calzas y Petos</t>
  </si>
  <si>
    <t>0/13</t>
  </si>
  <si>
    <t xml:space="preserve">               ↳  LTS26-WLG03L-BK</t>
  </si>
  <si>
    <t>Calza Deportiva Mujer Legging Bergenia Lhotse</t>
  </si>
  <si>
    <t xml:space="preserve">               ↳  LTS26-WLG03L-TL</t>
  </si>
  <si>
    <t xml:space="preserve">               ↳  LTS26-WLG03S-BK</t>
  </si>
  <si>
    <t xml:space="preserve">               ↳  LTS26-WLG03XL-BK</t>
  </si>
  <si>
    <t xml:space="preserve">               ↳  LTS26-WLG03XL-TL</t>
  </si>
  <si>
    <t xml:space="preserve">               ↳  LTS26-WSB01L-TL</t>
  </si>
  <si>
    <t>Peto Deportivo Mujer Middle Kalo Lhotse</t>
  </si>
  <si>
    <t xml:space="preserve">               ↳  LTS26-WSB01S-TL</t>
  </si>
  <si>
    <t xml:space="preserve">               ↳  LTS26-WLG03M-TL</t>
  </si>
  <si>
    <t xml:space="preserve">               ↳  LTS26-WSB01L-BK</t>
  </si>
  <si>
    <t xml:space="preserve">               ↳  LTS26-WSB01XL-BK</t>
  </si>
  <si>
    <t xml:space="preserve">               ↳  LTS26-WLG03S-TL</t>
  </si>
  <si>
    <t xml:space="preserve">               ↳  LTS26-WSB01M-TL</t>
  </si>
  <si>
    <t xml:space="preserve">               ↳  LTS26-WSB01XL-TL</t>
  </si>
  <si>
    <t xml:space="preserve">         ▹  Pantalones y Shorts</t>
  </si>
  <si>
    <t xml:space="preserve">               ↳  LTS26-MWS0640-GR</t>
  </si>
  <si>
    <t>Short Hombre Cargo Adventure Barun UV50+ Lhotse</t>
  </si>
  <si>
    <t xml:space="preserve">               ↳  LTS26-MWS0646-BK</t>
  </si>
  <si>
    <t xml:space="preserve">               ↳  LTS26-WLG02L-BK</t>
  </si>
  <si>
    <t>Calza Deportiva Mujer Biker Dhara Lhotse</t>
  </si>
  <si>
    <t xml:space="preserve">               ↳  LTS26-WLG02S-TL</t>
  </si>
  <si>
    <t xml:space="preserve">               ↳  LTS26-WLG02XL-TL</t>
  </si>
  <si>
    <t xml:space="preserve">               ↳  LTS26-WPT0644-PT</t>
  </si>
  <si>
    <t>Pantalón Trekking Desmontable Mujer UV50+ Lukla-W Lhotse</t>
  </si>
  <si>
    <t xml:space="preserve">               ↳  LTW25-MPT1140-GR</t>
  </si>
  <si>
    <t>Pantalon Trekking Hombre Desmontable Lukla Lhotse</t>
  </si>
  <si>
    <t xml:space="preserve">               ↳  LTW25-MPT1140-GRY</t>
  </si>
  <si>
    <t xml:space="preserve">               ↳  LTW25-MPT1142-GRY</t>
  </si>
  <si>
    <t xml:space="preserve">               ↳  LTW25-MPT1146-GR</t>
  </si>
  <si>
    <t xml:space="preserve">               ↳  LTS26-WLG02M-BK</t>
  </si>
  <si>
    <t xml:space="preserve">               ↳  LTS26-WLG02M-TL</t>
  </si>
  <si>
    <t xml:space="preserve">               ↳  LTS26-MWS0642-GR</t>
  </si>
  <si>
    <t xml:space="preserve">               ↳  LTS26-MWS0644-GR</t>
  </si>
  <si>
    <t xml:space="preserve">               ↳  LTS26-WLG02L-TL</t>
  </si>
  <si>
    <t xml:space="preserve">               ↳  LTS26-WPT0638-PT</t>
  </si>
  <si>
    <t xml:space="preserve">               ↳  LTW25-MPT1144-GR</t>
  </si>
  <si>
    <t xml:space="preserve">               ↳  LTS26-MWS0646-GR</t>
  </si>
  <si>
    <t xml:space="preserve">               ↳  LTS26-MWS0642-BK</t>
  </si>
  <si>
    <t xml:space="preserve">               ↳  LTS26-WPT0640-PT</t>
  </si>
  <si>
    <t xml:space="preserve">         ▹  Parkas e Impermeables</t>
  </si>
  <si>
    <t xml:space="preserve">               ↳  LTW25-MPK08L-BK</t>
  </si>
  <si>
    <t>Chaqueta Parka Hombre Nuptse Lhotse</t>
  </si>
  <si>
    <t xml:space="preserve">               ↳  LTW25-MPK08L-GR</t>
  </si>
  <si>
    <t xml:space="preserve">               ↳  LTW25-MPK08M-GR</t>
  </si>
  <si>
    <t xml:space="preserve">               ↳  LTW25-MPK08S-GR</t>
  </si>
  <si>
    <t xml:space="preserve">               ↳  LTW25-MPK08XL-GR</t>
  </si>
  <si>
    <t xml:space="preserve">               ↳  LTW25-MPK09L-BL</t>
  </si>
  <si>
    <t>Cortaviento Impermeable Gorak Shep Lhotse</t>
  </si>
  <si>
    <t xml:space="preserve">               ↳  LTW25-MPK09M-BK</t>
  </si>
  <si>
    <t xml:space="preserve">               ↳  LTW25-MPK09S-BK</t>
  </si>
  <si>
    <t xml:space="preserve">               ↳  LTW25-MPK09S-BL</t>
  </si>
  <si>
    <t xml:space="preserve">               ↳  LTW25-MPK10M-BK</t>
  </si>
  <si>
    <t>Parka Puffa Hombre Khumbu Lhotse</t>
  </si>
  <si>
    <t xml:space="preserve">               ↳  LTW25-MPK10S-BK</t>
  </si>
  <si>
    <t xml:space="preserve">               ↳  LTW25-MPK10XL-BK</t>
  </si>
  <si>
    <t xml:space="preserve">               ↳  LTW25-MPK09L-BK</t>
  </si>
  <si>
    <t xml:space="preserve">         ▹  Polar y Polerones</t>
  </si>
  <si>
    <t>0/40</t>
  </si>
  <si>
    <t xml:space="preserve">               ↳  LTS26-WKF04L-PK</t>
  </si>
  <si>
    <t>Polar Segunda Capa Mujer Lobuche Cap Lhotse</t>
  </si>
  <si>
    <t xml:space="preserve">               ↳  LTS26-WKF04S-PK</t>
  </si>
  <si>
    <t xml:space="preserve">               ↳  LTW25-MKF03M-BK</t>
  </si>
  <si>
    <t>Polar Segunda Capa Lobuche Lhotse</t>
  </si>
  <si>
    <t xml:space="preserve">               ↳  LTW25-MKF03S-BK</t>
  </si>
  <si>
    <t xml:space="preserve">               ↳  LTW25-MKF03XL-GR</t>
  </si>
  <si>
    <t xml:space="preserve">               ↳  LTW25-MKF04M-BK</t>
  </si>
  <si>
    <t>Polar Hombre Tejido Térmico Anti-peeling Middle Lhotse</t>
  </si>
  <si>
    <t xml:space="preserve">               ↳  LTW25-MKF04S-BK</t>
  </si>
  <si>
    <t xml:space="preserve">               ↳  LTW25-MKF04S-BL</t>
  </si>
  <si>
    <t xml:space="preserve">               ↳  LTW25-MKF04XL-BK</t>
  </si>
  <si>
    <t xml:space="preserve">               ↳  LTW25-MKF04XL-BL</t>
  </si>
  <si>
    <t xml:space="preserve">               ↳  LTW25-MKF05L-BK</t>
  </si>
  <si>
    <t>Polar Hombre Half Zip Térmico con Bolsillos Shar Lhotse</t>
  </si>
  <si>
    <t xml:space="preserve">               ↳  LTW25-MKF05M-BK</t>
  </si>
  <si>
    <t xml:space="preserve">               ↳  LTW25-MKF05M-BL</t>
  </si>
  <si>
    <t xml:space="preserve">               ↳  LTW25-MKF05S-BL</t>
  </si>
  <si>
    <t xml:space="preserve">               ↳  LTW25-MKF05XL-BK</t>
  </si>
  <si>
    <t xml:space="preserve">               ↳  LTW25-MKF07L-ECRU</t>
  </si>
  <si>
    <t>Polar Hombre Chiporro Sherpa Térmico Main Lhotse</t>
  </si>
  <si>
    <t xml:space="preserve">               ↳  LTW25-MKF07M-ECRU</t>
  </si>
  <si>
    <t xml:space="preserve">               ↳  LTW25-MKF07M-GR</t>
  </si>
  <si>
    <t xml:space="preserve">               ↳  LTW25-MKF07S-GR</t>
  </si>
  <si>
    <t xml:space="preserve">               ↳  LTW25-MSW06M-GR</t>
  </si>
  <si>
    <t>Polerón Hombre Hoodie Katmandú Lhotse</t>
  </si>
  <si>
    <t xml:space="preserve">               ↳  LTW25-MSW06S-GR</t>
  </si>
  <si>
    <t xml:space="preserve">               ↳  LTW25-MSW06XL-GR</t>
  </si>
  <si>
    <t xml:space="preserve">               ↳  LTW25-MSW06XL-GRY</t>
  </si>
  <si>
    <t xml:space="preserve">               ↳  LTW25-MKF05L-BL</t>
  </si>
  <si>
    <t xml:space="preserve">               ↳  LTW25-MKF04M-BL</t>
  </si>
  <si>
    <t xml:space="preserve">               ↳  LTW25-MSW06L-GRY</t>
  </si>
  <si>
    <t xml:space="preserve">               ↳  LTW25-MKF04L-BL</t>
  </si>
  <si>
    <t xml:space="preserve">               ↳  LTW25-MKF04L-BK</t>
  </si>
  <si>
    <t xml:space="preserve">               ↳  LTW25-MKF07L-GR</t>
  </si>
  <si>
    <t xml:space="preserve">               ↳  LTW25-MSW06L-GR</t>
  </si>
  <si>
    <t xml:space="preserve">               ↳  LTW25-MSW06S-GRY</t>
  </si>
  <si>
    <t xml:space="preserve">               ↳  LTS26-MSW03OR-S</t>
  </si>
  <si>
    <t>Polerón Unisex Sweatshirt Origin Lhotse</t>
  </si>
  <si>
    <t xml:space="preserve">               ↳  LTW25-MSW06M-GRY</t>
  </si>
  <si>
    <t xml:space="preserve">               ↳  LTW25-MKF05S-BK</t>
  </si>
  <si>
    <t xml:space="preserve">               ↳  LTW25-MKF07XL-ECRU</t>
  </si>
  <si>
    <t xml:space="preserve">               ↳  LTS26-MSW03MY-M</t>
  </si>
  <si>
    <t>Polerón Unisex Sweatshirt Mycena Lhotse</t>
  </si>
  <si>
    <t xml:space="preserve">               ↳  LTS26-MSW03OR-M</t>
  </si>
  <si>
    <t xml:space="preserve">               ↳  LTS26-MSW03OR-L</t>
  </si>
  <si>
    <t xml:space="preserve">               ↳  LTW25-MKF07S-ECRU</t>
  </si>
  <si>
    <t xml:space="preserve">               ↳  LTS26-MSW03MY-L</t>
  </si>
  <si>
    <t xml:space="preserve">         ▹  Poleras y Primeras Capas</t>
  </si>
  <si>
    <t>0/30</t>
  </si>
  <si>
    <t xml:space="preserve">               ↳  LTS26-MTS01L-BK</t>
  </si>
  <si>
    <t>Polera Deportiva Manga Corta Hombre Boyak DryCool Lhotse</t>
  </si>
  <si>
    <t xml:space="preserve">               ↳  LTS26-MTS02BDS-BK</t>
  </si>
  <si>
    <t>Polera Manga Corta Hombre Digueñe Lhotse</t>
  </si>
  <si>
    <t xml:space="preserve">               ↳  LTS26-MTS02BES-BG</t>
  </si>
  <si>
    <t>Polera Manga Corta Hombre Morchella Esculenta Lhotse</t>
  </si>
  <si>
    <t xml:space="preserve">               ↳  LTS26-MTS02BEXL-BG</t>
  </si>
  <si>
    <t xml:space="preserve">               ↳  LTS26-MTS02BLL-GY</t>
  </si>
  <si>
    <t>Polera Manga Corta Hombre Boletus Loyo Lhotse</t>
  </si>
  <si>
    <t xml:space="preserve">               ↳  LTS26-MTS02BLM-GY</t>
  </si>
  <si>
    <t xml:space="preserve">               ↳  LTS26-MTS02BLS-GY</t>
  </si>
  <si>
    <t xml:space="preserve">               ↳  LTS26-MTS02BMUL-GR</t>
  </si>
  <si>
    <t>Polera Manga Corta Hombre Amanita Muscaria Lhotse</t>
  </si>
  <si>
    <t xml:space="preserve">               ↳  LTS26-MTS02BMUM-GR</t>
  </si>
  <si>
    <t xml:space="preserve">               ↳  LTS26-MTS02BMUS-GR</t>
  </si>
  <si>
    <t xml:space="preserve">               ↳  LTS26-MTS02BMYM-PK</t>
  </si>
  <si>
    <t>Polera Manga Corta Hombre Micelio Mycena Lhotse</t>
  </si>
  <si>
    <t xml:space="preserve">               ↳  LTS26-MTS02BMYS-PK</t>
  </si>
  <si>
    <t xml:space="preserve">               ↳  LTS26-MTS02BMYXL-PK</t>
  </si>
  <si>
    <t xml:space="preserve">               ↳  LTW25-MFL01L-BK</t>
  </si>
  <si>
    <t>Primera Capa Térmica Hombre Dugla Stay Warm Top Lhotse</t>
  </si>
  <si>
    <t xml:space="preserve">               ↳  LTW25-MTS02M-GR</t>
  </si>
  <si>
    <t>Polera Hombre Manga Corta Nepal Lhotse</t>
  </si>
  <si>
    <t xml:space="preserve">               ↳  LTW25-MTS02M-GRY</t>
  </si>
  <si>
    <t xml:space="preserve">               ↳  LTW25-MFL01XL-BK</t>
  </si>
  <si>
    <t xml:space="preserve">               ↳  LTS26-MTS02BEM-BG</t>
  </si>
  <si>
    <t xml:space="preserve">               ↳  LTS26-MTS02BEL-BG</t>
  </si>
  <si>
    <t xml:space="preserve">               ↳  LTS26-MTS02BMYL-PK</t>
  </si>
  <si>
    <t xml:space="preserve">               ↳  LTS26-MTS02BDM-BK</t>
  </si>
  <si>
    <t xml:space="preserve">               ↳  LTW25-MTS02M-BG</t>
  </si>
  <si>
    <t xml:space="preserve">               ↳  LTW25-MTS02S-BG</t>
  </si>
  <si>
    <t xml:space="preserve">               ↳  LTW25-MFL01S-BK</t>
  </si>
  <si>
    <t xml:space="preserve">               ↳  LTS26-MTS01S-BL</t>
  </si>
  <si>
    <t xml:space="preserve">               ↳  LTW25-MTS02S-GRY</t>
  </si>
  <si>
    <t xml:space="preserve">               ↳  LTW25-MFL01M-BK</t>
  </si>
  <si>
    <t xml:space="preserve">               ↳  LTS26-MTS02BLXL-GY</t>
  </si>
  <si>
    <t xml:space="preserve">               ↳  LTW25-MTS02L-BG</t>
  </si>
  <si>
    <t xml:space="preserve">               ↳  LTW25-MTS02S-GR</t>
  </si>
  <si>
    <t xml:space="preserve">   ▸  Video</t>
  </si>
  <si>
    <t xml:space="preserve">         ▹  Cámaras de acción</t>
  </si>
  <si>
    <t xml:space="preserve">               ↳  LHCAMACSUM</t>
  </si>
  <si>
    <t>Cámara de Acción Deportiva Summit 5k 30fps Accesorios</t>
  </si>
  <si>
    <t>▶  Simplit</t>
  </si>
  <si>
    <t>4/51 c/llegada</t>
  </si>
  <si>
    <t xml:space="preserve">   ▸  Cristalería y Bar</t>
  </si>
  <si>
    <t>1/13</t>
  </si>
  <si>
    <t xml:space="preserve">         ▹  Bar</t>
  </si>
  <si>
    <t xml:space="preserve">               ↳  SIMDESSOM</t>
  </si>
  <si>
    <t>Descorchador Abridor Vino Sommelier Simplit</t>
  </si>
  <si>
    <t xml:space="preserve">               ↳  SIMDECCHA</t>
  </si>
  <si>
    <t>Decantador Aireador Vino Chateau 1650ml</t>
  </si>
  <si>
    <t xml:space="preserve">         ▹  Cubetas de hielo</t>
  </si>
  <si>
    <t xml:space="preserve">               ↳  66800510263382</t>
  </si>
  <si>
    <t>Cubeta de Hielo Silicona 6 Hielos Grandes Simplit</t>
  </si>
  <si>
    <t xml:space="preserve">               ↳  66800507665930</t>
  </si>
  <si>
    <t>Cubeta de Hielo Silicona 15 Hielos Simplit</t>
  </si>
  <si>
    <t xml:space="preserve">         ▹  Vasos</t>
  </si>
  <si>
    <t>1/9</t>
  </si>
  <si>
    <t xml:space="preserve">               ↳  SIMCOPVINALSA</t>
  </si>
  <si>
    <t>Set 6 Copas Vino Blanco 400ml Cristal Alsacia Simplit</t>
  </si>
  <si>
    <t xml:space="preserve">               ↳  SMVABOR4</t>
  </si>
  <si>
    <t xml:space="preserve">               ↳  67933860407346</t>
  </si>
  <si>
    <t>Set 6 Vasos Whisky Kentucky 270ml Simplit</t>
  </si>
  <si>
    <t xml:space="preserve">               ↳  1654207352499</t>
  </si>
  <si>
    <t>Set 2 Vasos Vidrio Doble Pared 400 ml Simplit</t>
  </si>
  <si>
    <t xml:space="preserve">               ↳  SIMVASLARGINE</t>
  </si>
  <si>
    <t>Set 6 Vasos Largos 460ml Vidrio Ginebra Simplit</t>
  </si>
  <si>
    <t xml:space="preserve">               ↳  67933863068841</t>
  </si>
  <si>
    <t>Set 6 Vaso Copa Cerveza Collins 420ml Simplit</t>
  </si>
  <si>
    <t xml:space="preserve">               ↳  SIMCOPGINLDN</t>
  </si>
  <si>
    <t>Set 6 Copas Gin 650ml Cristal London Simplit</t>
  </si>
  <si>
    <t xml:space="preserve">               ↳  67933861722733</t>
  </si>
  <si>
    <t>Set 6 Vasos Cerveza Portland 380ml Simplit</t>
  </si>
  <si>
    <t xml:space="preserve">               ↳  67933859111971</t>
  </si>
  <si>
    <t>Set 6 Vasos redondos Virginia 340ml Simplit</t>
  </si>
  <si>
    <t xml:space="preserve">   ▸  Menaje de Cocina</t>
  </si>
  <si>
    <t>2/11</t>
  </si>
  <si>
    <t xml:space="preserve">         ▹  Baterías de cocina</t>
  </si>
  <si>
    <t>0/3</t>
  </si>
  <si>
    <t xml:space="preserve">               ↳  1634845754276</t>
  </si>
  <si>
    <t>Batería de Cocina Antiadherente Classic 8 Piezas Simplit</t>
  </si>
  <si>
    <t xml:space="preserve">               ↳  SIMBATOTOUL</t>
  </si>
  <si>
    <t>Batería de Cocina Toulouse 7 pcs + Accesorios Simplit</t>
  </si>
  <si>
    <t xml:space="preserve">               ↳  SIMBATORG-BK</t>
  </si>
  <si>
    <t>Batería de Cocina Antiadherente Oregon 5 Piezas Simplit</t>
  </si>
  <si>
    <t xml:space="preserve">         ▹  Cuchilleria</t>
  </si>
  <si>
    <t>1/4</t>
  </si>
  <si>
    <t xml:space="preserve">               ↳  SIMCUMAR-WO</t>
  </si>
  <si>
    <t>Set Cuchillos 5 pcs Marsella Acero Inoxidable Simplit</t>
  </si>
  <si>
    <t xml:space="preserve">               ↳  SIMCUPRO-4</t>
  </si>
  <si>
    <t>Set Cuchillos para Queso 4 pcs Provenza Simplit</t>
  </si>
  <si>
    <t xml:space="preserve">               ↳  SIMCUVER-WO</t>
  </si>
  <si>
    <t>Set de Cuchillería 24 pcs Cubiertos Le Mans Simplit</t>
  </si>
  <si>
    <t xml:space="preserve">               ↳  SIMCUMAR-BK</t>
  </si>
  <si>
    <t xml:space="preserve">         ▹  Mantequilleros</t>
  </si>
  <si>
    <t>1/1</t>
  </si>
  <si>
    <t xml:space="preserve">               ↳  SIMMANCC-WH</t>
  </si>
  <si>
    <t xml:space="preserve">         ▹  Termos de comida</t>
  </si>
  <si>
    <t xml:space="preserve">               ↳  66800469437952</t>
  </si>
  <si>
    <t>Termo de Comida Insulado Acero Inox 750 ml Rosado Simplit</t>
  </si>
  <si>
    <t xml:space="preserve">               ↳  68142280732690</t>
  </si>
  <si>
    <t>Termo Comida 400ml Negro Cuchara Acero Inox Simplit</t>
  </si>
  <si>
    <t xml:space="preserve">               ↳  66800472805184</t>
  </si>
  <si>
    <t>Termo de Comida Insulado Acero Inox 750 ml Gris Simplit</t>
  </si>
  <si>
    <t xml:space="preserve">   ▸  Mundo Café</t>
  </si>
  <si>
    <t>0/4</t>
  </si>
  <si>
    <t xml:space="preserve">         ▹  Cafeteras</t>
  </si>
  <si>
    <t xml:space="preserve">               ↳  1630369674271</t>
  </si>
  <si>
    <t>Cafetera Prensa Francesa Negra 600 ml Simplit</t>
  </si>
  <si>
    <t xml:space="preserve">               ↳  1660858266475</t>
  </si>
  <si>
    <t>Termo Jarra Insulado 1 Lt Simplit</t>
  </si>
  <si>
    <t xml:space="preserve">               ↳  67951423489593</t>
  </si>
  <si>
    <t>Vaso Térmico Tumbler 750ml Tapa y Bombilla Simplit</t>
  </si>
  <si>
    <t xml:space="preserve">               ↳  67951425161311</t>
  </si>
  <si>
    <t xml:space="preserve">   ▸  Organización</t>
  </si>
  <si>
    <t>0/15</t>
  </si>
  <si>
    <t xml:space="preserve">         ▹  Basureros</t>
  </si>
  <si>
    <t xml:space="preserve">               ↳  SIMBACOUR-30</t>
  </si>
  <si>
    <t>Basurero Cocina Urban 30lts Pedal Acero Inox Simplit</t>
  </si>
  <si>
    <t xml:space="preserve">               ↳  SIMBACOIR-40</t>
  </si>
  <si>
    <t>Basurero Cocina Iron 40lts Pedal Acero Inox Simplit</t>
  </si>
  <si>
    <t xml:space="preserve">         ▹  Contenedores</t>
  </si>
  <si>
    <t>0/10</t>
  </si>
  <si>
    <t xml:space="preserve">               ↳  1660859102915</t>
  </si>
  <si>
    <t>Tupper de Acero Inoxidable Tapa Madera 800 ml Simplit</t>
  </si>
  <si>
    <t xml:space="preserve">               ↳  1660858844449</t>
  </si>
  <si>
    <t>Contenedor de Cerámica Hermético Tapa Madera L Simplit</t>
  </si>
  <si>
    <t xml:space="preserve">               ↳  1662389376894</t>
  </si>
  <si>
    <t>Set 3 Contenedores Cerámica Hermético Blanco Simplit</t>
  </si>
  <si>
    <t xml:space="preserve">               ↳  1660858793429</t>
  </si>
  <si>
    <t xml:space="preserve">               ↳  1654189204021</t>
  </si>
  <si>
    <t>Organizador Refrigerador con Drenaje L Simplit</t>
  </si>
  <si>
    <t xml:space="preserve">               ↳  SIMTUPSILBEI</t>
  </si>
  <si>
    <t>Contenedor Plástico Hermético Bento Box</t>
  </si>
  <si>
    <t xml:space="preserve">               ↳  SIMTUPSILRD</t>
  </si>
  <si>
    <t xml:space="preserve">               ↳  1654189048611</t>
  </si>
  <si>
    <t>Organizador Refrigerador con Drenaje S Simplit</t>
  </si>
  <si>
    <t xml:space="preserve">               ↳  1650295282448</t>
  </si>
  <si>
    <t>Organizador Refrigerador con Cesta L Simplit</t>
  </si>
  <si>
    <t xml:space="preserve">               ↳  SIMOREXBAS-WD</t>
  </si>
  <si>
    <t>Organizador Cubiertos Expandible Madera Acasia Basel Simplit</t>
  </si>
  <si>
    <t xml:space="preserve">         ▹  Secadores de platos</t>
  </si>
  <si>
    <t xml:space="preserve">               ↳  1660858341796</t>
  </si>
  <si>
    <t>Secaplatos Escurridor 2 Niveles Acero Inox Negro Simplit</t>
  </si>
  <si>
    <t xml:space="preserve">               ↳  1660858356962</t>
  </si>
  <si>
    <t>Secaplatos Escurridor 2 Niveles Acero Inox Blanco Simplit</t>
  </si>
  <si>
    <t xml:space="preserve">               ↳  SIMSECVALWH</t>
  </si>
  <si>
    <t xml:space="preserve">   ▸  Vajilla</t>
  </si>
  <si>
    <t>1/8</t>
  </si>
  <si>
    <t xml:space="preserve">         ▹  Fuentes</t>
  </si>
  <si>
    <t xml:space="preserve">               ↳  1659991481176</t>
  </si>
  <si>
    <t>Fuente de Cerámica para Horno Cacerola Olla Roja Simplit</t>
  </si>
  <si>
    <t xml:space="preserve">         ▹  Juego de Loza</t>
  </si>
  <si>
    <t xml:space="preserve">               ↳  SIMJULZAMA-16</t>
  </si>
  <si>
    <t>Juego Loza Cerámica 16 pcs Amalfi 4 personas Simplit</t>
  </si>
  <si>
    <t xml:space="preserve">               ↳  SIMJULZTOS-12</t>
  </si>
  <si>
    <t>Juego de Loza 12 pcs Cerámica Toscana Simplit</t>
  </si>
  <si>
    <t xml:space="preserve">               ↳  SIMJULZAMA-24</t>
  </si>
  <si>
    <t>Juego Loza Cerámica 24 pcs Amalfi Simplit</t>
  </si>
  <si>
    <t xml:space="preserve">         ▹  Loza Granel</t>
  </si>
  <si>
    <t xml:space="preserve">               ↳  SIMTAZPAL-2</t>
  </si>
  <si>
    <t>Set 2 Tazas Cerámica 420 ml Palermo Simplit</t>
  </si>
  <si>
    <t xml:space="preserve">               ↳  SIMBOWSIE-4</t>
  </si>
  <si>
    <t>Set 4 Bowls Cerámica 8,5cm Siena Simplit</t>
  </si>
  <si>
    <t xml:space="preserve">               ↳  SIMTAZSIE-4</t>
  </si>
  <si>
    <t>Set 4 Tazas Cerámica 330ml Siena Simplit</t>
  </si>
  <si>
    <t xml:space="preserve">               ↳  SIMBOWAMA-4</t>
  </si>
  <si>
    <t>▶  Levo</t>
  </si>
  <si>
    <t>0/24 c/llegada</t>
  </si>
  <si>
    <t xml:space="preserve">   ▸  Accesorios</t>
  </si>
  <si>
    <t>0/7</t>
  </si>
  <si>
    <t xml:space="preserve">         ▹  Cable Cargador</t>
  </si>
  <si>
    <t xml:space="preserve">               ↳  LVCABTC-WH</t>
  </si>
  <si>
    <t>Cable de Carga Rápida USB-C 100W 5A 1Mt Blanco LEVO</t>
  </si>
  <si>
    <t xml:space="preserve">         ▹  Cargador Automovil</t>
  </si>
  <si>
    <t xml:space="preserve">               ↳  1650299083874</t>
  </si>
  <si>
    <t>Cargador Inalámbrico Carga Rapida iPhone 12/13 Auto V+ LEVO</t>
  </si>
  <si>
    <t xml:space="preserve">               ↳  1652825203439</t>
  </si>
  <si>
    <t>Cargador Inalámbrico Carga Rápida Magnético Auto VO1 LEVO</t>
  </si>
  <si>
    <t xml:space="preserve">         ▹  Cargador de Celular</t>
  </si>
  <si>
    <t xml:space="preserve">               ↳  LVCAR25W-BK</t>
  </si>
  <si>
    <t>Cargador Super Rapido De Pared 25W USB-C Negro LEVO</t>
  </si>
  <si>
    <t xml:space="preserve">               ↳  LVCAR45W-BK</t>
  </si>
  <si>
    <t>Cargador Ultra Rapido De Pared 45W USB-C Negro LEVO</t>
  </si>
  <si>
    <t xml:space="preserve">               ↳  LVCAR25W-WH</t>
  </si>
  <si>
    <t>Cargador Super Rapido De Pared 25W USB-C Blanco LEVO</t>
  </si>
  <si>
    <t xml:space="preserve">         ▹  Dispositivo Multipuerto</t>
  </si>
  <si>
    <t xml:space="preserve">               ↳  LVHUBMP-5</t>
  </si>
  <si>
    <t>Hub USB-C Adaptador Multipuerto 5 en 1 Macbook Windows LEVO</t>
  </si>
  <si>
    <t xml:space="preserve">   ▸  Mochilas y Fundas</t>
  </si>
  <si>
    <t>0/6</t>
  </si>
  <si>
    <t xml:space="preserve">         ▹  Fundas</t>
  </si>
  <si>
    <t xml:space="preserve">               ↳  LVFUEX-GR</t>
  </si>
  <si>
    <t>Funda Maletin Notebook EXECUTIVE 15,6" Negra LEVO</t>
  </si>
  <si>
    <t>0/5</t>
  </si>
  <si>
    <t xml:space="preserve">               ↳  LVMOMA-BK</t>
  </si>
  <si>
    <t>Mochila Notebook MANAGER 15,6" Negra LEVO</t>
  </si>
  <si>
    <t xml:space="preserve">               ↳  LVMOMA-GR</t>
  </si>
  <si>
    <t>Mochila Notebook MANAGER 15,6" Gris LEVO</t>
  </si>
  <si>
    <t xml:space="preserve">               ↳  LVMOWO-BK</t>
  </si>
  <si>
    <t>Mochila Notebook WOLF Negra 15,6" LEVO</t>
  </si>
  <si>
    <t xml:space="preserve">               ↳  1659999410637</t>
  </si>
  <si>
    <t>Mochila Notebook Puerto USB 15,6" Negra LEVO</t>
  </si>
  <si>
    <t xml:space="preserve">               ↳  1659999392257</t>
  </si>
  <si>
    <t>Mochila Notebook Puerto USB 15,6" Gris LEVO</t>
  </si>
  <si>
    <t xml:space="preserve">   ▸  Pantallas</t>
  </si>
  <si>
    <t xml:space="preserve">         ▹  Monitores</t>
  </si>
  <si>
    <t xml:space="preserve">               ↳  LVMONPOR-15</t>
  </si>
  <si>
    <t>Monitor Portátil Gamer ViewGo 15,6" Full HD 1080P LEVO</t>
  </si>
  <si>
    <t xml:space="preserve">   ▸  Perifericos de Computacion</t>
  </si>
  <si>
    <t xml:space="preserve">         ▹  Gaming</t>
  </si>
  <si>
    <t xml:space="preserve">               ↳  LVMPADOFS-BK</t>
  </si>
  <si>
    <t>Mousepad Officepad S 23x20 cm Antideslizante Negro LEVO</t>
  </si>
  <si>
    <t xml:space="preserve">               ↳  LVMPADBML-BK</t>
  </si>
  <si>
    <t>Mousepad Battlemat L 45x40 cm Antideslizante Negro LEVO</t>
  </si>
  <si>
    <t xml:space="preserve">               ↳  LVAUDGM-BK</t>
  </si>
  <si>
    <t>Audífono Gamer Inalámbrico Zenit Elite Bluetooth RGB Negro LEVO</t>
  </si>
  <si>
    <t xml:space="preserve">         ▹  Oficina</t>
  </si>
  <si>
    <t xml:space="preserve">               ↳  LVSILLLIT-BL</t>
  </si>
  <si>
    <t>Silla de Escritorio Oficina Ergonomica Reclinable Lite LEVO</t>
  </si>
  <si>
    <t xml:space="preserve">               ↳  LVMSVEL-GR</t>
  </si>
  <si>
    <t>Mouse Inalámbrico Ultra Slim Silencioso Velar Grafito LEVO</t>
  </si>
  <si>
    <t xml:space="preserve">   ▸  Smart Home</t>
  </si>
  <si>
    <t xml:space="preserve">         ▹  Pesas Digitales</t>
  </si>
  <si>
    <t xml:space="preserve">               ↳  1543406075297</t>
  </si>
  <si>
    <t>Pesa Digital Balanza Baño Bluetooth Inteligente Blanca LEVO</t>
  </si>
  <si>
    <t xml:space="preserve">   ▸  Soportes</t>
  </si>
  <si>
    <t xml:space="preserve">         ▹  Soporte Computacion</t>
  </si>
  <si>
    <t xml:space="preserve">               ↳  LVSPALZNPLE</t>
  </si>
  <si>
    <t>Soporte Base Alzador Notebook Plegable Ajustable Gris LEVO</t>
  </si>
  <si>
    <t xml:space="preserve">               ↳  LVSPBRX2MN</t>
  </si>
  <si>
    <t>Soporte Brazo Doble Monitor Notebook Escritorio Negro LEVO</t>
  </si>
  <si>
    <t xml:space="preserve">   ▸  Telones y Proyectores</t>
  </si>
  <si>
    <t xml:space="preserve">         ▹  Telones Proyector</t>
  </si>
  <si>
    <t xml:space="preserve">               ↳  LVTELBK-80</t>
  </si>
  <si>
    <t>Telón Proyector 80 pulgadas 165 x 125 cm Negro LEVO</t>
  </si>
  <si>
    <t xml:space="preserve">               ↳  LVTEL-80</t>
  </si>
  <si>
    <t>Telón Proyector 80 pulgadas 165 x 125 cm LEVO</t>
  </si>
  <si>
    <t>▶  Xroad</t>
  </si>
  <si>
    <t>0/6 c/llegada</t>
  </si>
  <si>
    <t xml:space="preserve">   ▸  Accesorios de Automovil</t>
  </si>
  <si>
    <t xml:space="preserve">         ▹  Cobertores y Tapices</t>
  </si>
  <si>
    <t xml:space="preserve">               ↳  67898258445967</t>
  </si>
  <si>
    <t>Protector Funda Cubre Asiento Auto Perros Mascotas Xroad</t>
  </si>
  <si>
    <t xml:space="preserve">               ↳  XRPISUNIS-BK</t>
  </si>
  <si>
    <t>Alfombra Piso de Goma para auto Universal 4 piezas Xroad</t>
  </si>
  <si>
    <t xml:space="preserve">   ▸  Accesorios de Instalacion</t>
  </si>
  <si>
    <t xml:space="preserve">         ▹  Barras y Portaequipajes</t>
  </si>
  <si>
    <t xml:space="preserve">               ↳  1650302273911</t>
  </si>
  <si>
    <t>Parrilla Para Auto Aluminio Portaequipaje Universal Gris Xroad</t>
  </si>
  <si>
    <t xml:space="preserve">               ↳  XRPARREQ-BK</t>
  </si>
  <si>
    <t>Parrilla Para Auto Aluminio Portaequipaje Universal Negra Xroad</t>
  </si>
  <si>
    <t xml:space="preserve">         ▹  Sensores de retroceso</t>
  </si>
  <si>
    <t xml:space="preserve">               ↳  69746014453052</t>
  </si>
  <si>
    <t xml:space="preserve">   ▸  Accesorios de Viaje</t>
  </si>
  <si>
    <t xml:space="preserve">         ▹  Accesorios de Camping</t>
  </si>
  <si>
    <t xml:space="preserve">               ↳  XRESTAENER-OG</t>
  </si>
  <si>
    <t>▶  Dynamo</t>
  </si>
  <si>
    <t>1/3 c/llegada</t>
  </si>
  <si>
    <t xml:space="preserve">   ▸  Herramientas Eléctricas</t>
  </si>
  <si>
    <t>1/3</t>
  </si>
  <si>
    <t xml:space="preserve">         ▹  Otras</t>
  </si>
  <si>
    <t xml:space="preserve">               ↳  DYNHYDLA</t>
  </si>
  <si>
    <t>Hidrolavadora eléctrica Dynamo WP 1800w 130bar 220/240V 60Hz</t>
  </si>
  <si>
    <t xml:space="preserve">         ▹  Taladro y Atornilladores</t>
  </si>
  <si>
    <t xml:space="preserve">               ↳  DYNLLAIMP</t>
  </si>
  <si>
    <t>Llave de Impacto Inalámbrica Dynamo 21V + 2 Baterias y Acss</t>
  </si>
  <si>
    <t xml:space="preserve">               ↳  DYNTALSCA</t>
  </si>
  <si>
    <t>Kit Taladro Destornillador Inalámbrico Dynamo 21V 2 baterías</t>
  </si>
  <si>
    <t>▶  Bandú</t>
  </si>
  <si>
    <t>0/7 c/llegada</t>
  </si>
  <si>
    <t xml:space="preserve">   ▸  Jueguetes de Rol</t>
  </si>
  <si>
    <t xml:space="preserve">         ▹  Cocina y Accesorios</t>
  </si>
  <si>
    <t xml:space="preserve">               ↳  BDSETPAST</t>
  </si>
  <si>
    <t>Set Juego Pastelería Corta Postre Infantil Niño Madera Bandú</t>
  </si>
  <si>
    <t xml:space="preserve">   ▸  Juguetes de Motricidad</t>
  </si>
  <si>
    <t xml:space="preserve">         ▹  Didacticos</t>
  </si>
  <si>
    <t xml:space="preserve">               ↳  BDMBAVTHIE</t>
  </si>
  <si>
    <t>Juego Bloques Magnéticos 89pcs MineBlocks Aventura Bandú</t>
  </si>
  <si>
    <t xml:space="preserve">               ↳  BDMBCIUMG</t>
  </si>
  <si>
    <t>Juego Bloques Magnéticos 114pcs MineBlocks Ciudad Bandú</t>
  </si>
  <si>
    <t xml:space="preserve">               ↳  BDMBBOESP</t>
  </si>
  <si>
    <t>Juego Bloques Magnéticos 54pcs MineBlocks Bob Marino Bandú</t>
  </si>
  <si>
    <t xml:space="preserve">               ↳  BDMESDIDAC</t>
  </si>
  <si>
    <t>Mesa Infantil Aprendizaje Didactica 7 en 1 Montessori Bandú</t>
  </si>
  <si>
    <t xml:space="preserve">               ↳  BDMBSPAVMRIO</t>
  </si>
  <si>
    <t>⁠Juego Bloques Magnéticos 146pcs MineBlocks Mapa Bandú</t>
  </si>
  <si>
    <t xml:space="preserve">               ↳  BDMBMNMRIO</t>
  </si>
  <si>
    <t>⁠Juego Bloques Magnéticos 75pcs MineBlocks Mundo Bandú</t>
  </si>
  <si>
    <t>▶  Innovate-K</t>
  </si>
  <si>
    <t>0/1 c/llegada</t>
  </si>
  <si>
    <t xml:space="preserve">   ▸  Gasfiteria</t>
  </si>
  <si>
    <t xml:space="preserve">         ▹  Baroscopios</t>
  </si>
  <si>
    <t xml:space="preserve">               ↳  INNCAMINS-U9</t>
  </si>
  <si>
    <t>Cámara de Inspección de Tuberías Endoscopio Industrial U9</t>
  </si>
  <si>
    <t>TOTAL  —  321 SKUs en sobrestock</t>
  </si>
  <si>
    <t>NUEVOS EN TRÁNSITO — Tipo Categoría: NUEVO | SEP26  |  Ordenado por ETA más próxima</t>
  </si>
  <si>
    <t>Fecha ETA
Bodega</t>
  </si>
  <si>
    <t>Cantidad</t>
  </si>
  <si>
    <t xml:space="preserve">  ▶  Llegada OCT26</t>
  </si>
  <si>
    <t>BDCASMUÑEC-WD</t>
  </si>
  <si>
    <t>BDPZMG2E1</t>
  </si>
  <si>
    <t>SMBATOXCR</t>
  </si>
  <si>
    <t>XRCARRTRACT-CL</t>
  </si>
  <si>
    <t>XRCOOLPORT40-GR</t>
  </si>
  <si>
    <t>XRTOLLAT270-BG</t>
  </si>
  <si>
    <t xml:space="preserve">  ▶  Llegada NOV26</t>
  </si>
  <si>
    <t>LHMALFRONT-L</t>
  </si>
  <si>
    <t>LHMALFRONT-M</t>
  </si>
  <si>
    <t>LHMALFRONT-S</t>
  </si>
  <si>
    <t>LHMOCLATK-BK</t>
  </si>
  <si>
    <t>LHMOCLATK-BU</t>
  </si>
  <si>
    <t>XRCARINF34-CL</t>
  </si>
  <si>
    <t>XRCOOLPOR50-BK</t>
  </si>
  <si>
    <t xml:space="preserve">  ▶  Llegada DIC26</t>
  </si>
  <si>
    <t>BDPKMESILL</t>
  </si>
  <si>
    <t>BDSETLIMP</t>
  </si>
  <si>
    <t>MTBOTCLBARDAPR-750</t>
  </si>
  <si>
    <t>MTBOTCLBARLIN-750</t>
  </si>
  <si>
    <t>MTBOTCLBARLIPR-750</t>
  </si>
  <si>
    <t>MTBOTFIBARDAPR-900</t>
  </si>
  <si>
    <t>MTBOTFIBARFL-900</t>
  </si>
  <si>
    <t>MTBOTFIBARLIPR-900</t>
  </si>
  <si>
    <t>MTSHBARLIPR-500</t>
  </si>
  <si>
    <t>LVMONPVS-15</t>
  </si>
  <si>
    <t>LVMOPRL-BK</t>
  </si>
  <si>
    <t>LVPRONOV-WH</t>
  </si>
  <si>
    <t>MTBOTBARCL-500</t>
  </si>
  <si>
    <t>MTBOTBARDR-500</t>
  </si>
  <si>
    <t>TOTAL  —  42 SKUs nuevos</t>
  </si>
  <si>
    <t>(Todas)</t>
  </si>
  <si>
    <t>Categoria Producto</t>
  </si>
  <si>
    <t>Ranking Comercial</t>
  </si>
  <si>
    <t>Valores</t>
  </si>
  <si>
    <t>Categoria Padre</t>
  </si>
  <si>
    <t>Categoria Hijo</t>
  </si>
  <si>
    <t>Sku</t>
  </si>
  <si>
    <t xml:space="preserve"> Stock HOY</t>
  </si>
  <si>
    <t xml:space="preserve"> Embarcado AGO 26</t>
  </si>
  <si>
    <t xml:space="preserve"> Stock + Pedido Unid AGO26</t>
  </si>
  <si>
    <t xml:space="preserve">  Venta PPTO AGO26</t>
  </si>
  <si>
    <t xml:space="preserve"> Cobert. ACT Unid</t>
  </si>
  <si>
    <t xml:space="preserve"> Stock Inicial SEP26</t>
  </si>
  <si>
    <t xml:space="preserve"> Embarcado SEP 26</t>
  </si>
  <si>
    <t xml:space="preserve"> Stock + Pedido Unid SEP26</t>
  </si>
  <si>
    <t xml:space="preserve">  Venta PPTO SEP26</t>
  </si>
  <si>
    <t xml:space="preserve"> Cobert. SEP 26 Unid</t>
  </si>
  <si>
    <t xml:space="preserve"> Stock Inicial OCT26</t>
  </si>
  <si>
    <t xml:space="preserve"> Embarcado OCT 26</t>
  </si>
  <si>
    <t xml:space="preserve"> Stock + Pedido Unid OCT26</t>
  </si>
  <si>
    <t xml:space="preserve"> Atrasos SEPT</t>
  </si>
  <si>
    <t xml:space="preserve"> Cobert. OCT26 Unid</t>
  </si>
  <si>
    <t>Innovate-K</t>
  </si>
  <si>
    <t>Total general</t>
  </si>
  <si>
    <t>Llegadas Cst ABR26</t>
  </si>
  <si>
    <t>Compra Cst ABR26</t>
  </si>
  <si>
    <t>Compra Cst MAY 26</t>
  </si>
  <si>
    <t>Tipo Pago</t>
  </si>
  <si>
    <t xml:space="preserve"> Stock Hoy CST</t>
  </si>
  <si>
    <t xml:space="preserve"> Stock Inicial Cst SEP26</t>
  </si>
  <si>
    <t xml:space="preserve"> Compra Cst SEP26</t>
  </si>
  <si>
    <t xml:space="preserve"> Llegadas Cst SEP26</t>
  </si>
  <si>
    <t xml:space="preserve"> Stock + Pedido Csto SEP26</t>
  </si>
  <si>
    <t xml:space="preserve">  Venta Cst SEP26</t>
  </si>
  <si>
    <t xml:space="preserve"> Cobert. SEP 26</t>
  </si>
  <si>
    <t xml:space="preserve"> Stock Inicial Cst OCT26</t>
  </si>
  <si>
    <t xml:space="preserve"> Compra Cst OCT26</t>
  </si>
  <si>
    <t xml:space="preserve"> Llegadas Cst OCT26</t>
  </si>
  <si>
    <t xml:space="preserve"> Stock + Pedido Csto OCT26</t>
  </si>
  <si>
    <t xml:space="preserve">  Venta Cst OCT26</t>
  </si>
  <si>
    <t xml:space="preserve"> Cobert. OCT 26</t>
  </si>
  <si>
    <t xml:space="preserve"> Stock Inicial Cst NOV26</t>
  </si>
  <si>
    <t xml:space="preserve"> Compra Cst NOV26</t>
  </si>
  <si>
    <t xml:space="preserve"> Llegadas Cst NOV26</t>
  </si>
  <si>
    <t xml:space="preserve"> Stock + Pedido Csto NOV26</t>
  </si>
  <si>
    <t xml:space="preserve"> Cobert. NOV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</si>
</sst>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 * #,##0_ ;_ * \-#,##0_ ;_ * &quot;-&quot;_ ;_ @_ "/>
    <numFmt numFmtId="164" formatCode="\$\ #,##0.0,,"/>
    <numFmt numFmtId="165" formatCode="\$#,##0"/>
    <numFmt numFmtId="166" formatCode="0.000"/>
    <numFmt numFmtId="167" formatCode="\$\ #,##0"/>
    <numFmt numFmtId="168" formatCode="#,##0.0"/>
    <numFmt numFmtId="169" formatCode="0.\1"/>
    <numFmt numFmtId="170" formatCode="#,##0_ ;\-#,##0\ "/>
    <numFmt numFmtId="171" formatCode="0.0%"/>
    <numFmt numFmtId="172" formatCode="_ * #,##0.0_ ;_ * \-#,##0.0_ ;_ * &quot;-&quot;_ ;_ @_ 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9"/>
      <color rgb="FF6C3483"/>
      <name val="Calibri"/>
      <family val="2"/>
    </font>
    <font>
      <sz val="9"/>
      <color rgb="FFE74C3C"/>
      <name val="Calibri"/>
      <family val="2"/>
    </font>
    <font>
      <sz val="9"/>
      <color rgb="FF1A5276"/>
      <name val="Calibri"/>
      <family val="2"/>
    </font>
    <font>
      <sz val="9"/>
      <color rgb="FF1E8449"/>
      <name val="Calibri"/>
      <family val="2"/>
    </font>
    <font>
      <sz val="9"/>
      <color rgb="FFE67E22"/>
      <name val="Calibri"/>
      <family val="2"/>
    </font>
    <font>
      <i/>
      <sz val="8"/>
      <color rgb="FF7F8C8D"/>
      <name val="Calibri"/>
      <family val="2"/>
    </font>
    <font>
      <b/>
      <sz val="9"/>
      <color rgb="FFC0392B"/>
      <name val="Calibri"/>
      <family val="2"/>
    </font>
    <font>
      <sz val="9"/>
      <color rgb="FFAAAAAA"/>
      <name val="Calibri"/>
      <family val="2"/>
    </font>
    <font>
      <b/>
      <sz val="9"/>
      <color rgb="FFCA6F1E"/>
      <name val="Calibri"/>
      <family val="2"/>
    </font>
    <font>
      <sz val="9"/>
      <color rgb="FFCA6F1E"/>
      <name val="Calibri"/>
      <family val="2"/>
    </font>
    <font>
      <b/>
      <sz val="9"/>
      <color rgb="FF1E8449"/>
      <name val="Calibri"/>
      <family val="2"/>
    </font>
    <font>
      <sz val="9"/>
      <color rgb="FFC0392B"/>
      <name val="Calibri"/>
      <family val="2"/>
    </font>
    <font>
      <b/>
      <sz val="9"/>
      <color rgb="FFCB4335"/>
      <name val="Calibri"/>
      <family val="2"/>
    </font>
    <font>
      <sz val="8"/>
      <color rgb="FF4D5656"/>
      <name val="Calibri"/>
      <family val="2"/>
    </font>
    <font>
      <i/>
      <sz val="8"/>
      <color rgb="FF1A5276"/>
      <name val="Calibri"/>
      <family val="2"/>
    </font>
    <font>
      <sz val="8"/>
      <color rgb="FF95A5A6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9"/>
      <color rgb="FF1E8449"/>
      <name val="Calibri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B2631"/>
      </patternFill>
    </fill>
    <fill>
      <patternFill patternType="solid">
        <fgColor rgb="FF2C3E50"/>
      </patternFill>
    </fill>
    <fill>
      <patternFill patternType="solid">
        <fgColor rgb="FFF8F9FA"/>
      </patternFill>
    </fill>
    <fill>
      <patternFill patternType="solid">
        <fgColor rgb="FFE8DAEF"/>
      </patternFill>
    </fill>
    <fill>
      <patternFill patternType="solid">
        <fgColor rgb="FFF2D7D5"/>
      </patternFill>
    </fill>
    <fill>
      <patternFill patternType="solid">
        <fgColor rgb="FFD6EAF8"/>
      </patternFill>
    </fill>
    <fill>
      <patternFill patternType="solid">
        <fgColor rgb="FFFFFFFF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2C3E50"/>
      </patternFill>
    </fill>
    <fill>
      <patternFill patternType="solid">
        <fgColor rgb="FFFFFFFF"/>
      </patternFill>
    </fill>
    <fill>
      <patternFill patternType="solid">
        <fgColor rgb="FFEBDEF0"/>
      </patternFill>
    </fill>
    <fill>
      <patternFill patternType="solid">
        <fgColor rgb="FFFADBD8"/>
      </patternFill>
    </fill>
    <fill>
      <patternFill patternType="solid">
        <fgColor rgb="FF0E6655"/>
      </patternFill>
    </fill>
    <fill>
      <patternFill patternType="solid">
        <fgColor rgb="FF196F3D"/>
      </patternFill>
    </fill>
    <fill>
      <patternFill patternType="solid">
        <fgColor rgb="FF6E2F1A"/>
      </patternFill>
    </fill>
    <fill>
      <patternFill patternType="solid">
        <fgColor rgb="FF1B4F72"/>
      </patternFill>
    </fill>
    <fill>
      <patternFill patternType="solid">
        <fgColor rgb="FF4D5656"/>
      </patternFill>
    </fill>
    <fill>
      <patternFill patternType="solid">
        <fgColor rgb="FF935116"/>
      </patternFill>
    </fill>
    <fill>
      <patternFill patternType="solid">
        <fgColor rgb="FF21618C"/>
      </patternFill>
    </fill>
    <fill>
      <patternFill patternType="solid">
        <fgColor rgb="FF616A6B"/>
      </patternFill>
    </fill>
    <fill>
      <patternFill patternType="solid">
        <fgColor rgb="FF117A65"/>
      </patternFill>
    </fill>
    <fill>
      <patternFill patternType="solid">
        <fgColor rgb="FFC0392B"/>
      </patternFill>
    </fill>
    <fill>
      <patternFill patternType="solid">
        <fgColor rgb="FFEBF5FB"/>
      </patternFill>
    </fill>
    <fill>
      <patternFill patternType="solid">
        <fgColor rgb="FF1A5276"/>
      </patternFill>
    </fill>
    <fill>
      <patternFill patternType="solid">
        <fgColor rgb="FF2C3E50"/>
      </patternFill>
    </fill>
    <fill>
      <patternFill patternType="solid">
        <fgColor rgb="FFFADBD8"/>
      </patternFill>
    </fill>
    <fill>
      <patternFill patternType="solid">
        <fgColor rgb="FFF4F6F7"/>
      </patternFill>
    </fill>
    <fill>
      <patternFill patternType="solid">
        <fgColor rgb="FF4A235A"/>
      </patternFill>
    </fill>
    <fill>
      <patternFill patternType="solid">
        <fgColor rgb="FF7D3C98"/>
      </patternFill>
    </fill>
    <fill>
      <patternFill patternType="solid">
        <fgColor rgb="FFD7BDE2"/>
      </patternFill>
    </fill>
    <fill>
      <patternFill patternType="solid">
        <fgColor rgb="FFF4ECF7"/>
      </patternFill>
    </fill>
    <fill>
      <patternFill patternType="solid">
        <fgColor rgb="FFFFFFFF"/>
      </patternFill>
    </fill>
    <fill>
      <patternFill patternType="solid">
        <fgColor rgb="FFBDD7EE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EEBF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medium">
        <color rgb="FFFFFFFF"/>
      </right>
      <top/>
      <bottom/>
      <diagonal/>
    </border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/>
      <diagonal/>
    </border>
  </borders>
  <cellStyleXfs count="12">
    <xf numFmtId="0" fontId="0" fillId="0" borderId="3"/>
    <xf numFmtId="0" fontId="1" fillId="0" borderId="3"/>
    <xf numFmtId="0" fontId="1" fillId="0" borderId="3"/>
    <xf numFmtId="0" fontId="1" fillId="0" borderId="3"/>
    <xf numFmtId="0" fontId="1" fillId="0" borderId="3"/>
    <xf numFmtId="0" fontId="1" fillId="0" borderId="3"/>
    <xf numFmtId="0" fontId="1" fillId="0" borderId="3"/>
    <xf numFmtId="0" fontId="1" fillId="0" borderId="3"/>
    <xf numFmtId="0" fontId="1" fillId="0" borderId="3"/>
    <xf numFmtId="0" fontId="1" fillId="0" borderId="3"/>
    <xf numFmtId="0" fontId="1" fillId="0" borderId="3"/>
    <xf numFmtId="41" fontId="1" fillId="0" borderId="3" applyFont="0" applyFill="0" applyBorder="0" applyAlignment="0" applyProtection="0"/>
  </cellStyleXfs>
  <cellXfs count="255">
    <xf numFmtId="0" fontId="0" fillId="0" borderId="0" xfId="0" applyBorder="1"/>
    <xf numFmtId="0" fontId="0" fillId="2" borderId="0" xfId="0" applyFill="1" applyBorder="1"/>
    <xf numFmtId="0" fontId="5" fillId="3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left" vertical="center"/>
    </xf>
    <xf numFmtId="164" fontId="7" fillId="4" borderId="4" xfId="0" applyNumberFormat="1" applyFont="1" applyFill="1" applyBorder="1" applyAlignment="1">
      <alignment horizontal="right" vertical="center"/>
    </xf>
    <xf numFmtId="2" fontId="8" fillId="5" borderId="4" xfId="0" applyNumberFormat="1" applyFont="1" applyFill="1" applyBorder="1" applyAlignment="1">
      <alignment horizontal="right" vertical="center"/>
    </xf>
    <xf numFmtId="2" fontId="9" fillId="6" borderId="4" xfId="0" applyNumberFormat="1" applyFont="1" applyFill="1" applyBorder="1" applyAlignment="1">
      <alignment horizontal="right" vertical="center"/>
    </xf>
    <xf numFmtId="2" fontId="10" fillId="7" borderId="4" xfId="0" applyNumberFormat="1" applyFont="1" applyFill="1" applyBorder="1" applyAlignment="1">
      <alignment horizontal="right" vertical="center"/>
    </xf>
    <xf numFmtId="0" fontId="6" fillId="8" borderId="4" xfId="0" applyFont="1" applyFill="1" applyBorder="1" applyAlignment="1">
      <alignment horizontal="left" vertical="center"/>
    </xf>
    <xf numFmtId="164" fontId="7" fillId="8" borderId="4" xfId="0" applyNumberFormat="1" applyFont="1" applyFill="1" applyBorder="1" applyAlignment="1">
      <alignment horizontal="right" vertical="center"/>
    </xf>
    <xf numFmtId="2" fontId="11" fillId="9" borderId="4" xfId="0" applyNumberFormat="1" applyFont="1" applyFill="1" applyBorder="1" applyAlignment="1">
      <alignment horizontal="right" vertical="center"/>
    </xf>
    <xf numFmtId="2" fontId="12" fillId="10" borderId="4" xfId="0" applyNumberFormat="1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left" vertical="center"/>
    </xf>
    <xf numFmtId="164" fontId="5" fillId="2" borderId="4" xfId="0" applyNumberFormat="1" applyFont="1" applyFill="1" applyBorder="1" applyAlignment="1">
      <alignment horizontal="right" vertical="center"/>
    </xf>
    <xf numFmtId="2" fontId="5" fillId="2" borderId="4" xfId="0" applyNumberFormat="1" applyFont="1" applyFill="1" applyBorder="1" applyAlignment="1">
      <alignment horizontal="right" vertical="center"/>
    </xf>
    <xf numFmtId="0" fontId="0" fillId="0" borderId="3" xfId="0"/>
    <xf numFmtId="0" fontId="24" fillId="4" borderId="4" xfId="0" applyFont="1" applyFill="1" applyBorder="1" applyAlignment="1">
      <alignment horizontal="left" vertical="center"/>
    </xf>
    <xf numFmtId="164" fontId="25" fillId="4" borderId="4" xfId="0" applyNumberFormat="1" applyFont="1" applyFill="1" applyBorder="1" applyAlignment="1">
      <alignment horizontal="right" vertical="center"/>
    </xf>
    <xf numFmtId="2" fontId="26" fillId="9" borderId="4" xfId="0" applyNumberFormat="1" applyFont="1" applyFill="1" applyBorder="1" applyAlignment="1">
      <alignment horizontal="right" vertical="center"/>
    </xf>
    <xf numFmtId="0" fontId="28" fillId="11" borderId="4" xfId="0" applyFont="1" applyFill="1" applyBorder="1" applyAlignment="1">
      <alignment horizontal="center" vertical="center" wrapText="1"/>
    </xf>
    <xf numFmtId="0" fontId="5" fillId="20" borderId="4" xfId="0" applyFont="1" applyFill="1" applyBorder="1" applyAlignment="1">
      <alignment horizontal="center" vertical="center" wrapText="1"/>
    </xf>
    <xf numFmtId="0" fontId="5" fillId="21" borderId="4" xfId="0" applyFont="1" applyFill="1" applyBorder="1" applyAlignment="1">
      <alignment horizontal="center" vertical="center" wrapText="1"/>
    </xf>
    <xf numFmtId="0" fontId="5" fillId="22" borderId="4" xfId="0" applyFont="1" applyFill="1" applyBorder="1" applyAlignment="1">
      <alignment horizontal="center" vertical="center" wrapText="1"/>
    </xf>
    <xf numFmtId="0" fontId="5" fillId="23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/>
    </xf>
    <xf numFmtId="0" fontId="18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left" vertical="center" indent="1"/>
    </xf>
    <xf numFmtId="0" fontId="21" fillId="0" borderId="4" xfId="0" applyFont="1" applyBorder="1" applyAlignment="1">
      <alignment horizontal="left" vertical="center"/>
    </xf>
    <xf numFmtId="0" fontId="21" fillId="0" borderId="4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3" fontId="21" fillId="0" borderId="4" xfId="0" applyNumberFormat="1" applyFont="1" applyBorder="1" applyAlignment="1">
      <alignment horizontal="right" vertical="center"/>
    </xf>
    <xf numFmtId="165" fontId="21" fillId="0" borderId="4" xfId="0" applyNumberFormat="1" applyFont="1" applyBorder="1" applyAlignment="1">
      <alignment horizontal="right" vertical="center"/>
    </xf>
    <xf numFmtId="0" fontId="5" fillId="0" borderId="4" xfId="0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right" vertical="center"/>
    </xf>
    <xf numFmtId="165" fontId="5" fillId="0" borderId="4" xfId="0" applyNumberFormat="1" applyFont="1" applyBorder="1" applyAlignment="1">
      <alignment horizontal="right" vertical="center"/>
    </xf>
    <xf numFmtId="0" fontId="7" fillId="0" borderId="4" xfId="0" applyFont="1" applyBorder="1" applyAlignment="1">
      <alignment horizontal="center" vertical="center"/>
    </xf>
    <xf numFmtId="3" fontId="18" fillId="0" borderId="4" xfId="0" applyNumberFormat="1" applyFont="1" applyBorder="1" applyAlignment="1">
      <alignment horizontal="right" vertical="center"/>
    </xf>
    <xf numFmtId="0" fontId="32" fillId="28" borderId="4" xfId="0" applyFont="1" applyFill="1" applyBorder="1" applyAlignment="1">
      <alignment horizontal="left" vertical="center"/>
    </xf>
    <xf numFmtId="0" fontId="32" fillId="28" borderId="4" xfId="0" applyFont="1" applyFill="1" applyBorder="1" applyAlignment="1">
      <alignment horizontal="center" vertical="center"/>
    </xf>
    <xf numFmtId="0" fontId="33" fillId="29" borderId="4" xfId="0" applyFont="1" applyFill="1" applyBorder="1" applyAlignment="1">
      <alignment horizontal="left" vertical="center"/>
    </xf>
    <xf numFmtId="0" fontId="33" fillId="29" borderId="4" xfId="0" applyFont="1" applyFill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 vertical="center"/>
    </xf>
    <xf numFmtId="3" fontId="7" fillId="0" borderId="4" xfId="0" applyNumberFormat="1" applyFont="1" applyBorder="1" applyAlignment="1">
      <alignment horizontal="right" vertical="center"/>
    </xf>
    <xf numFmtId="0" fontId="15" fillId="0" borderId="4" xfId="0" applyFont="1" applyBorder="1" applyAlignment="1">
      <alignment horizontal="right" vertical="center"/>
    </xf>
    <xf numFmtId="3" fontId="11" fillId="0" borderId="4" xfId="0" applyNumberFormat="1" applyFont="1" applyBorder="1" applyAlignment="1">
      <alignment horizontal="right" vertical="center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166" fontId="16" fillId="0" borderId="4" xfId="0" applyNumberFormat="1" applyFont="1" applyBorder="1" applyAlignment="1">
      <alignment horizontal="center" vertical="center"/>
    </xf>
    <xf numFmtId="0" fontId="19" fillId="0" borderId="4" xfId="0" applyFont="1" applyBorder="1" applyAlignment="1">
      <alignment horizontal="left" vertical="center"/>
    </xf>
    <xf numFmtId="0" fontId="33" fillId="12" borderId="4" xfId="0" applyFont="1" applyFill="1" applyBorder="1" applyAlignment="1">
      <alignment horizontal="left" vertical="center"/>
    </xf>
    <xf numFmtId="0" fontId="33" fillId="12" borderId="4" xfId="0" applyFont="1" applyFill="1" applyBorder="1" applyAlignment="1">
      <alignment horizontal="center" vertical="center"/>
    </xf>
    <xf numFmtId="3" fontId="33" fillId="12" borderId="4" xfId="0" applyNumberFormat="1" applyFont="1" applyFill="1" applyBorder="1" applyAlignment="1">
      <alignment horizontal="center" vertical="center"/>
    </xf>
    <xf numFmtId="0" fontId="33" fillId="25" borderId="4" xfId="0" applyFont="1" applyFill="1" applyBorder="1" applyAlignment="1">
      <alignment horizontal="left" vertical="center"/>
    </xf>
    <xf numFmtId="0" fontId="33" fillId="25" borderId="4" xfId="0" applyFont="1" applyFill="1" applyBorder="1" applyAlignment="1">
      <alignment horizontal="center" vertical="center"/>
    </xf>
    <xf numFmtId="3" fontId="33" fillId="25" borderId="4" xfId="0" applyNumberFormat="1" applyFont="1" applyFill="1" applyBorder="1" applyAlignment="1">
      <alignment horizontal="center" vertical="center"/>
    </xf>
    <xf numFmtId="2" fontId="33" fillId="14" borderId="4" xfId="0" applyNumberFormat="1" applyFont="1" applyFill="1" applyBorder="1" applyAlignment="1">
      <alignment horizontal="center" vertical="center"/>
    </xf>
    <xf numFmtId="0" fontId="33" fillId="14" borderId="4" xfId="0" applyFont="1" applyFill="1" applyBorder="1" applyAlignment="1">
      <alignment horizontal="center" vertical="center"/>
    </xf>
    <xf numFmtId="167" fontId="33" fillId="12" borderId="4" xfId="0" applyNumberFormat="1" applyFont="1" applyFill="1" applyBorder="1" applyAlignment="1">
      <alignment horizontal="center" vertical="center"/>
    </xf>
    <xf numFmtId="167" fontId="33" fillId="25" borderId="4" xfId="0" applyNumberFormat="1" applyFont="1" applyFill="1" applyBorder="1" applyAlignment="1">
      <alignment horizontal="center" vertical="center"/>
    </xf>
    <xf numFmtId="0" fontId="33" fillId="0" borderId="4" xfId="0" applyFont="1" applyBorder="1" applyAlignment="1">
      <alignment horizontal="left" vertical="center"/>
    </xf>
    <xf numFmtId="0" fontId="33" fillId="0" borderId="4" xfId="0" applyFont="1" applyBorder="1" applyAlignment="1">
      <alignment horizontal="center" vertical="center"/>
    </xf>
    <xf numFmtId="3" fontId="33" fillId="0" borderId="4" xfId="0" applyNumberFormat="1" applyFont="1" applyBorder="1" applyAlignment="1">
      <alignment horizontal="center" vertical="center"/>
    </xf>
    <xf numFmtId="0" fontId="0" fillId="0" borderId="3" xfId="0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3" fontId="0" fillId="0" borderId="3" xfId="0" applyNumberFormat="1"/>
    <xf numFmtId="41" fontId="0" fillId="0" borderId="3" xfId="0" applyNumberFormat="1"/>
    <xf numFmtId="168" fontId="0" fillId="0" borderId="3" xfId="0" applyNumberFormat="1"/>
    <xf numFmtId="4" fontId="0" fillId="0" borderId="3" xfId="0" applyNumberFormat="1"/>
    <xf numFmtId="0" fontId="13" fillId="0" borderId="3" xfId="0" applyFont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3" fontId="34" fillId="27" borderId="4" xfId="0" applyNumberFormat="1" applyFont="1" applyFill="1" applyBorder="1" applyAlignment="1">
      <alignment horizontal="center" vertical="center"/>
    </xf>
    <xf numFmtId="0" fontId="35" fillId="28" borderId="4" xfId="0" applyFont="1" applyFill="1" applyBorder="1" applyAlignment="1">
      <alignment horizontal="left" vertical="center"/>
    </xf>
    <xf numFmtId="0" fontId="35" fillId="28" borderId="4" xfId="0" applyFont="1" applyFill="1" applyBorder="1" applyAlignment="1">
      <alignment horizontal="center" vertical="center"/>
    </xf>
    <xf numFmtId="0" fontId="7" fillId="28" borderId="4" xfId="0" applyFont="1" applyFill="1" applyBorder="1" applyAlignment="1">
      <alignment horizontal="left" vertical="center"/>
    </xf>
    <xf numFmtId="0" fontId="33" fillId="28" borderId="4" xfId="0" applyFont="1" applyFill="1" applyBorder="1" applyAlignment="1">
      <alignment horizontal="left" vertical="center"/>
    </xf>
    <xf numFmtId="0" fontId="7" fillId="29" borderId="4" xfId="0" applyFont="1" applyFill="1" applyBorder="1" applyAlignment="1">
      <alignment horizontal="left" vertical="center"/>
    </xf>
    <xf numFmtId="0" fontId="29" fillId="28" borderId="4" xfId="0" applyFont="1" applyFill="1" applyBorder="1" applyAlignment="1">
      <alignment horizontal="center" vertical="center"/>
    </xf>
    <xf numFmtId="0" fontId="32" fillId="29" borderId="4" xfId="0" applyFont="1" applyFill="1" applyBorder="1" applyAlignment="1">
      <alignment horizontal="left" vertical="center"/>
    </xf>
    <xf numFmtId="0" fontId="29" fillId="29" borderId="4" xfId="0" applyFont="1" applyFill="1" applyBorder="1" applyAlignment="1">
      <alignment horizontal="center" vertical="center"/>
    </xf>
    <xf numFmtId="0" fontId="32" fillId="29" borderId="4" xfId="0" applyFont="1" applyFill="1" applyBorder="1" applyAlignment="1">
      <alignment horizontal="center" vertical="center"/>
    </xf>
    <xf numFmtId="4" fontId="33" fillId="0" borderId="4" xfId="0" applyNumberFormat="1" applyFont="1" applyBorder="1" applyAlignment="1">
      <alignment horizontal="center" vertical="center"/>
    </xf>
    <xf numFmtId="0" fontId="32" fillId="0" borderId="4" xfId="0" applyFont="1" applyBorder="1" applyAlignment="1">
      <alignment horizontal="left" vertical="center"/>
    </xf>
    <xf numFmtId="3" fontId="32" fillId="0" borderId="4" xfId="0" applyNumberFormat="1" applyFont="1" applyBorder="1" applyAlignment="1">
      <alignment horizontal="center" vertical="center"/>
    </xf>
    <xf numFmtId="4" fontId="32" fillId="0" borderId="4" xfId="0" applyNumberFormat="1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3" fontId="31" fillId="0" borderId="4" xfId="0" applyNumberFormat="1" applyFont="1" applyBorder="1" applyAlignment="1">
      <alignment horizontal="center" vertical="center"/>
    </xf>
    <xf numFmtId="4" fontId="31" fillId="0" borderId="4" xfId="0" applyNumberFormat="1" applyFont="1" applyBorder="1" applyAlignment="1">
      <alignment horizontal="center" vertical="center"/>
    </xf>
    <xf numFmtId="0" fontId="31" fillId="0" borderId="4" xfId="0" applyFont="1" applyBorder="1" applyAlignment="1">
      <alignment horizontal="left" vertical="center"/>
    </xf>
    <xf numFmtId="0" fontId="36" fillId="0" borderId="4" xfId="0" applyFont="1" applyBorder="1" applyAlignment="1">
      <alignment horizontal="left" vertical="center"/>
    </xf>
    <xf numFmtId="0" fontId="36" fillId="0" borderId="4" xfId="0" applyFont="1" applyBorder="1" applyAlignment="1">
      <alignment horizontal="center" vertical="center"/>
    </xf>
    <xf numFmtId="166" fontId="36" fillId="0" borderId="4" xfId="0" applyNumberFormat="1" applyFont="1" applyBorder="1" applyAlignment="1">
      <alignment horizontal="center" vertical="center"/>
    </xf>
    <xf numFmtId="3" fontId="36" fillId="0" borderId="4" xfId="0" applyNumberFormat="1" applyFont="1" applyBorder="1" applyAlignment="1">
      <alignment horizontal="center" vertical="center"/>
    </xf>
    <xf numFmtId="0" fontId="36" fillId="0" borderId="0" xfId="0" applyFont="1" applyBorder="1" applyAlignment="1">
      <alignment horizontal="center" vertical="center"/>
    </xf>
    <xf numFmtId="0" fontId="35" fillId="29" borderId="4" xfId="0" applyFont="1" applyFill="1" applyBorder="1" applyAlignment="1">
      <alignment horizontal="left" vertical="center"/>
    </xf>
    <xf numFmtId="0" fontId="35" fillId="29" borderId="4" xfId="0" applyFont="1" applyFill="1" applyBorder="1" applyAlignment="1">
      <alignment horizontal="center" vertical="center"/>
    </xf>
    <xf numFmtId="0" fontId="29" fillId="27" borderId="4" xfId="0" applyFont="1" applyFill="1" applyBorder="1" applyAlignment="1">
      <alignment horizontal="center" vertical="center"/>
    </xf>
    <xf numFmtId="4" fontId="36" fillId="0" borderId="4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35" fillId="0" borderId="4" xfId="0" applyFont="1" applyBorder="1" applyAlignment="1">
      <alignment horizontal="left" vertical="center"/>
    </xf>
    <xf numFmtId="0" fontId="35" fillId="0" borderId="4" xfId="0" applyFont="1" applyBorder="1" applyAlignment="1">
      <alignment horizontal="center" vertical="center"/>
    </xf>
    <xf numFmtId="3" fontId="35" fillId="0" borderId="4" xfId="0" applyNumberFormat="1" applyFont="1" applyBorder="1" applyAlignment="1">
      <alignment horizontal="center" vertical="center"/>
    </xf>
    <xf numFmtId="4" fontId="35" fillId="0" borderId="4" xfId="0" applyNumberFormat="1" applyFont="1" applyBorder="1" applyAlignment="1">
      <alignment horizontal="center" vertical="center"/>
    </xf>
    <xf numFmtId="0" fontId="36" fillId="0" borderId="0" xfId="0" applyFont="1" applyBorder="1" applyAlignment="1">
      <alignment horizontal="left" vertical="center"/>
    </xf>
    <xf numFmtId="0" fontId="35" fillId="0" borderId="0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3" fontId="34" fillId="0" borderId="4" xfId="0" applyNumberFormat="1" applyFont="1" applyBorder="1" applyAlignment="1">
      <alignment horizontal="center" vertical="center"/>
    </xf>
    <xf numFmtId="4" fontId="34" fillId="0" borderId="4" xfId="0" applyNumberFormat="1" applyFont="1" applyBorder="1" applyAlignment="1">
      <alignment horizontal="center" vertical="center"/>
    </xf>
    <xf numFmtId="0" fontId="20" fillId="29" borderId="4" xfId="0" applyFont="1" applyFill="1" applyBorder="1" applyAlignment="1">
      <alignment horizontal="center" vertical="center"/>
    </xf>
    <xf numFmtId="0" fontId="34" fillId="0" borderId="0" xfId="0" applyFont="1" applyBorder="1" applyAlignment="1">
      <alignment horizontal="center" vertical="center" wrapText="1"/>
    </xf>
    <xf numFmtId="0" fontId="37" fillId="0" borderId="4" xfId="0" applyFont="1" applyBorder="1" applyAlignment="1">
      <alignment horizontal="left" vertical="center"/>
    </xf>
    <xf numFmtId="0" fontId="37" fillId="0" borderId="4" xfId="0" applyFont="1" applyBorder="1" applyAlignment="1">
      <alignment horizontal="center" vertical="center"/>
    </xf>
    <xf numFmtId="166" fontId="37" fillId="0" borderId="4" xfId="0" applyNumberFormat="1" applyFont="1" applyBorder="1" applyAlignment="1">
      <alignment horizontal="center" vertical="center"/>
    </xf>
    <xf numFmtId="3" fontId="37" fillId="0" borderId="4" xfId="0" applyNumberFormat="1" applyFont="1" applyBorder="1" applyAlignment="1">
      <alignment horizontal="center" vertical="center"/>
    </xf>
    <xf numFmtId="0" fontId="37" fillId="0" borderId="0" xfId="0" applyFont="1" applyBorder="1" applyAlignment="1">
      <alignment horizontal="center" vertical="center"/>
    </xf>
    <xf numFmtId="164" fontId="25" fillId="8" borderId="4" xfId="0" applyNumberFormat="1" applyFont="1" applyFill="1" applyBorder="1" applyAlignment="1">
      <alignment horizontal="right" vertical="center"/>
    </xf>
    <xf numFmtId="0" fontId="40" fillId="28" borderId="4" xfId="0" applyFont="1" applyFill="1" applyBorder="1" applyAlignment="1">
      <alignment horizontal="left" vertical="center"/>
    </xf>
    <xf numFmtId="0" fontId="40" fillId="28" borderId="4" xfId="0" applyFont="1" applyFill="1" applyBorder="1" applyAlignment="1">
      <alignment horizontal="center" vertical="center"/>
    </xf>
    <xf numFmtId="0" fontId="40" fillId="29" borderId="4" xfId="0" applyFont="1" applyFill="1" applyBorder="1" applyAlignment="1">
      <alignment horizontal="left" vertical="center"/>
    </xf>
    <xf numFmtId="0" fontId="40" fillId="29" borderId="4" xfId="0" applyFont="1" applyFill="1" applyBorder="1" applyAlignment="1">
      <alignment horizontal="center" vertical="center"/>
    </xf>
    <xf numFmtId="0" fontId="39" fillId="0" borderId="4" xfId="0" applyFont="1" applyBorder="1" applyAlignment="1">
      <alignment horizontal="left" vertical="center"/>
    </xf>
    <xf numFmtId="0" fontId="39" fillId="0" borderId="4" xfId="0" applyFont="1" applyBorder="1" applyAlignment="1">
      <alignment horizontal="center" vertical="center"/>
    </xf>
    <xf numFmtId="3" fontId="39" fillId="0" borderId="4" xfId="0" applyNumberFormat="1" applyFont="1" applyBorder="1" applyAlignment="1">
      <alignment horizontal="center" vertical="center"/>
    </xf>
    <xf numFmtId="4" fontId="39" fillId="0" borderId="4" xfId="0" applyNumberFormat="1" applyFont="1" applyBorder="1" applyAlignment="1">
      <alignment horizontal="center" vertical="center"/>
    </xf>
    <xf numFmtId="0" fontId="40" fillId="0" borderId="4" xfId="0" applyFont="1" applyBorder="1" applyAlignment="1">
      <alignment horizontal="left" vertical="center"/>
    </xf>
    <xf numFmtId="0" fontId="40" fillId="0" borderId="4" xfId="0" applyFont="1" applyBorder="1" applyAlignment="1">
      <alignment horizontal="center" vertical="center"/>
    </xf>
    <xf numFmtId="3" fontId="40" fillId="0" borderId="4" xfId="0" applyNumberFormat="1" applyFont="1" applyBorder="1" applyAlignment="1">
      <alignment horizontal="center" vertical="center"/>
    </xf>
    <xf numFmtId="4" fontId="40" fillId="0" borderId="4" xfId="0" applyNumberFormat="1" applyFont="1" applyBorder="1" applyAlignment="1">
      <alignment horizontal="center" vertical="center"/>
    </xf>
    <xf numFmtId="0" fontId="39" fillId="0" borderId="0" xfId="0" applyFont="1" applyBorder="1" applyAlignment="1">
      <alignment horizontal="left" vertical="center"/>
    </xf>
    <xf numFmtId="0" fontId="39" fillId="0" borderId="0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3" fontId="38" fillId="0" borderId="4" xfId="0" applyNumberFormat="1" applyFont="1" applyBorder="1" applyAlignment="1">
      <alignment horizontal="center" vertical="center"/>
    </xf>
    <xf numFmtId="4" fontId="38" fillId="0" borderId="4" xfId="0" applyNumberFormat="1" applyFont="1" applyBorder="1" applyAlignment="1">
      <alignment horizontal="center" vertical="center"/>
    </xf>
    <xf numFmtId="0" fontId="43" fillId="28" borderId="4" xfId="0" applyFont="1" applyFill="1" applyBorder="1" applyAlignment="1">
      <alignment horizontal="left" vertical="center"/>
    </xf>
    <xf numFmtId="0" fontId="43" fillId="28" borderId="4" xfId="0" applyFont="1" applyFill="1" applyBorder="1" applyAlignment="1">
      <alignment horizontal="center" vertical="center"/>
    </xf>
    <xf numFmtId="0" fontId="45" fillId="27" borderId="4" xfId="0" applyFont="1" applyFill="1" applyBorder="1" applyAlignment="1">
      <alignment horizontal="center" vertical="center"/>
    </xf>
    <xf numFmtId="2" fontId="45" fillId="27" borderId="4" xfId="0" applyNumberFormat="1" applyFont="1" applyFill="1" applyBorder="1" applyAlignment="1">
      <alignment horizontal="center" vertical="center"/>
    </xf>
    <xf numFmtId="3" fontId="45" fillId="27" borderId="4" xfId="0" applyNumberFormat="1" applyFont="1" applyFill="1" applyBorder="1" applyAlignment="1">
      <alignment horizontal="center" vertical="center"/>
    </xf>
    <xf numFmtId="0" fontId="45" fillId="27" borderId="4" xfId="0" applyFont="1" applyFill="1" applyBorder="1" applyAlignment="1">
      <alignment horizontal="center" vertical="center" wrapText="1"/>
    </xf>
    <xf numFmtId="0" fontId="45" fillId="27" borderId="0" xfId="0" applyFont="1" applyFill="1" applyBorder="1" applyAlignment="1">
      <alignment horizontal="center" vertical="center" wrapText="1"/>
    </xf>
    <xf numFmtId="0" fontId="46" fillId="34" borderId="4" xfId="0" applyFont="1" applyFill="1" applyBorder="1" applyAlignment="1">
      <alignment horizontal="left" vertical="center"/>
    </xf>
    <xf numFmtId="0" fontId="46" fillId="34" borderId="4" xfId="0" applyFont="1" applyFill="1" applyBorder="1" applyAlignment="1">
      <alignment horizontal="center" vertical="center"/>
    </xf>
    <xf numFmtId="166" fontId="46" fillId="34" borderId="4" xfId="0" applyNumberFormat="1" applyFont="1" applyFill="1" applyBorder="1" applyAlignment="1">
      <alignment horizontal="center" vertical="center"/>
    </xf>
    <xf numFmtId="3" fontId="46" fillId="34" borderId="4" xfId="0" applyNumberFormat="1" applyFont="1" applyFill="1" applyBorder="1" applyAlignment="1">
      <alignment horizontal="center" vertical="center"/>
    </xf>
    <xf numFmtId="0" fontId="46" fillId="34" borderId="0" xfId="0" applyFont="1" applyFill="1" applyBorder="1" applyAlignment="1">
      <alignment horizontal="center" vertical="center"/>
    </xf>
    <xf numFmtId="0" fontId="46" fillId="25" borderId="4" xfId="0" applyFont="1" applyFill="1" applyBorder="1" applyAlignment="1">
      <alignment horizontal="left" vertical="center"/>
    </xf>
    <xf numFmtId="0" fontId="46" fillId="25" borderId="4" xfId="0" applyFont="1" applyFill="1" applyBorder="1" applyAlignment="1">
      <alignment horizontal="center" vertical="center"/>
    </xf>
    <xf numFmtId="166" fontId="46" fillId="25" borderId="4" xfId="0" applyNumberFormat="1" applyFont="1" applyFill="1" applyBorder="1" applyAlignment="1">
      <alignment horizontal="center" vertical="center"/>
    </xf>
    <xf numFmtId="3" fontId="46" fillId="25" borderId="4" xfId="0" applyNumberFormat="1" applyFont="1" applyFill="1" applyBorder="1" applyAlignment="1">
      <alignment horizontal="center" vertical="center"/>
    </xf>
    <xf numFmtId="0" fontId="46" fillId="25" borderId="0" xfId="0" applyFont="1" applyFill="1" applyBorder="1" applyAlignment="1">
      <alignment horizontal="center" vertical="center"/>
    </xf>
    <xf numFmtId="3" fontId="46" fillId="9" borderId="4" xfId="0" applyNumberFormat="1" applyFont="1" applyFill="1" applyBorder="1" applyAlignment="1">
      <alignment horizontal="center" vertical="center"/>
    </xf>
    <xf numFmtId="0" fontId="46" fillId="9" borderId="4" xfId="0" applyFont="1" applyFill="1" applyBorder="1" applyAlignment="1">
      <alignment horizontal="center" vertical="center"/>
    </xf>
    <xf numFmtId="0" fontId="46" fillId="9" borderId="0" xfId="0" applyFont="1" applyFill="1" applyBorder="1" applyAlignment="1">
      <alignment horizontal="center" vertical="center"/>
    </xf>
    <xf numFmtId="0" fontId="42" fillId="0" borderId="4" xfId="0" applyFont="1" applyBorder="1" applyAlignment="1">
      <alignment horizontal="left" vertical="center"/>
    </xf>
    <xf numFmtId="0" fontId="42" fillId="0" borderId="4" xfId="0" applyFont="1" applyBorder="1" applyAlignment="1">
      <alignment horizontal="center" vertical="center"/>
    </xf>
    <xf numFmtId="166" fontId="42" fillId="0" borderId="4" xfId="0" applyNumberFormat="1" applyFont="1" applyBorder="1" applyAlignment="1">
      <alignment horizontal="center" vertical="center"/>
    </xf>
    <xf numFmtId="3" fontId="42" fillId="0" borderId="4" xfId="0" applyNumberFormat="1" applyFont="1" applyBorder="1" applyAlignment="1">
      <alignment horizontal="center" vertical="center"/>
    </xf>
    <xf numFmtId="0" fontId="42" fillId="0" borderId="0" xfId="0" applyFont="1" applyBorder="1" applyAlignment="1">
      <alignment horizontal="center" vertical="center"/>
    </xf>
    <xf numFmtId="0" fontId="47" fillId="30" borderId="8" xfId="0" applyFont="1" applyFill="1" applyBorder="1" applyAlignment="1">
      <alignment horizontal="left" vertical="center"/>
    </xf>
    <xf numFmtId="0" fontId="45" fillId="30" borderId="8" xfId="0" applyFont="1" applyFill="1" applyBorder="1" applyAlignment="1">
      <alignment horizontal="left" vertical="center"/>
    </xf>
    <xf numFmtId="0" fontId="45" fillId="30" borderId="8" xfId="0" applyFont="1" applyFill="1" applyBorder="1" applyAlignment="1">
      <alignment horizontal="center" vertical="center"/>
    </xf>
    <xf numFmtId="167" fontId="45" fillId="30" borderId="8" xfId="0" applyNumberFormat="1" applyFont="1" applyFill="1" applyBorder="1" applyAlignment="1">
      <alignment horizontal="center" vertical="center"/>
    </xf>
    <xf numFmtId="0" fontId="45" fillId="31" borderId="9" xfId="0" applyFont="1" applyFill="1" applyBorder="1" applyAlignment="1">
      <alignment horizontal="left" vertical="center"/>
    </xf>
    <xf numFmtId="0" fontId="45" fillId="31" borderId="9" xfId="0" applyFont="1" applyFill="1" applyBorder="1" applyAlignment="1">
      <alignment horizontal="center" vertical="center"/>
    </xf>
    <xf numFmtId="167" fontId="45" fillId="31" borderId="9" xfId="0" applyNumberFormat="1" applyFont="1" applyFill="1" applyBorder="1" applyAlignment="1">
      <alignment horizontal="center" vertical="center"/>
    </xf>
    <xf numFmtId="0" fontId="46" fillId="32" borderId="9" xfId="0" applyFont="1" applyFill="1" applyBorder="1" applyAlignment="1">
      <alignment horizontal="left" vertical="center"/>
    </xf>
    <xf numFmtId="0" fontId="46" fillId="32" borderId="9" xfId="0" applyFont="1" applyFill="1" applyBorder="1" applyAlignment="1">
      <alignment horizontal="center" vertical="center"/>
    </xf>
    <xf numFmtId="167" fontId="46" fillId="32" borderId="9" xfId="0" applyNumberFormat="1" applyFont="1" applyFill="1" applyBorder="1" applyAlignment="1">
      <alignment horizontal="center" vertical="center"/>
    </xf>
    <xf numFmtId="0" fontId="46" fillId="33" borderId="9" xfId="0" applyFont="1" applyFill="1" applyBorder="1" applyAlignment="1">
      <alignment horizontal="left" vertical="center"/>
    </xf>
    <xf numFmtId="0" fontId="46" fillId="33" borderId="9" xfId="0" applyFont="1" applyFill="1" applyBorder="1" applyAlignment="1">
      <alignment horizontal="center" vertical="center"/>
    </xf>
    <xf numFmtId="2" fontId="46" fillId="33" borderId="9" xfId="0" applyNumberFormat="1" applyFont="1" applyFill="1" applyBorder="1" applyAlignment="1">
      <alignment horizontal="center" vertical="center"/>
    </xf>
    <xf numFmtId="169" fontId="46" fillId="33" borderId="9" xfId="0" applyNumberFormat="1" applyFont="1" applyFill="1" applyBorder="1" applyAlignment="1">
      <alignment horizontal="center" vertical="center"/>
    </xf>
    <xf numFmtId="167" fontId="46" fillId="33" borderId="9" xfId="0" applyNumberFormat="1" applyFont="1" applyFill="1" applyBorder="1" applyAlignment="1">
      <alignment horizontal="center" vertical="center"/>
    </xf>
    <xf numFmtId="0" fontId="46" fillId="34" borderId="9" xfId="0" applyFont="1" applyFill="1" applyBorder="1" applyAlignment="1">
      <alignment horizontal="left" vertical="center"/>
    </xf>
    <xf numFmtId="0" fontId="46" fillId="34" borderId="9" xfId="0" applyFont="1" applyFill="1" applyBorder="1" applyAlignment="1">
      <alignment horizontal="center" vertical="center"/>
    </xf>
    <xf numFmtId="2" fontId="46" fillId="34" borderId="9" xfId="0" applyNumberFormat="1" applyFont="1" applyFill="1" applyBorder="1" applyAlignment="1">
      <alignment horizontal="center" vertical="center"/>
    </xf>
    <xf numFmtId="169" fontId="46" fillId="34" borderId="9" xfId="0" applyNumberFormat="1" applyFont="1" applyFill="1" applyBorder="1" applyAlignment="1">
      <alignment horizontal="center" vertical="center"/>
    </xf>
    <xf numFmtId="167" fontId="46" fillId="34" borderId="9" xfId="0" applyNumberFormat="1" applyFont="1" applyFill="1" applyBorder="1" applyAlignment="1">
      <alignment horizontal="center" vertical="center"/>
    </xf>
    <xf numFmtId="2" fontId="46" fillId="32" borderId="9" xfId="0" applyNumberFormat="1" applyFont="1" applyFill="1" applyBorder="1" applyAlignment="1">
      <alignment horizontal="center" vertical="center"/>
    </xf>
    <xf numFmtId="169" fontId="46" fillId="32" borderId="9" xfId="0" applyNumberFormat="1" applyFont="1" applyFill="1" applyBorder="1" applyAlignment="1">
      <alignment horizontal="center" vertical="center"/>
    </xf>
    <xf numFmtId="2" fontId="45" fillId="31" borderId="9" xfId="0" applyNumberFormat="1" applyFont="1" applyFill="1" applyBorder="1" applyAlignment="1">
      <alignment horizontal="center" vertical="center"/>
    </xf>
    <xf numFmtId="169" fontId="45" fillId="31" borderId="9" xfId="0" applyNumberFormat="1" applyFont="1" applyFill="1" applyBorder="1" applyAlignment="1">
      <alignment horizontal="center" vertical="center"/>
    </xf>
    <xf numFmtId="1" fontId="46" fillId="34" borderId="9" xfId="0" applyNumberFormat="1" applyFont="1" applyFill="1" applyBorder="1" applyAlignment="1">
      <alignment horizontal="center" vertical="center"/>
    </xf>
    <xf numFmtId="2" fontId="45" fillId="30" borderId="8" xfId="0" applyNumberFormat="1" applyFont="1" applyFill="1" applyBorder="1" applyAlignment="1">
      <alignment horizontal="center" vertical="center"/>
    </xf>
    <xf numFmtId="169" fontId="45" fillId="30" borderId="8" xfId="0" applyNumberFormat="1" applyFont="1" applyFill="1" applyBorder="1" applyAlignment="1">
      <alignment horizontal="center" vertical="center"/>
    </xf>
    <xf numFmtId="167" fontId="45" fillId="27" borderId="8" xfId="0" applyNumberFormat="1" applyFont="1" applyFill="1" applyBorder="1" applyAlignment="1">
      <alignment horizontal="center" vertical="center"/>
    </xf>
    <xf numFmtId="0" fontId="45" fillId="27" borderId="4" xfId="0" applyFont="1" applyFill="1" applyBorder="1" applyAlignment="1">
      <alignment horizontal="left" vertical="center" wrapText="1"/>
    </xf>
    <xf numFmtId="0" fontId="48" fillId="28" borderId="4" xfId="0" applyFont="1" applyFill="1" applyBorder="1" applyAlignment="1">
      <alignment horizontal="left" vertical="center"/>
    </xf>
    <xf numFmtId="0" fontId="48" fillId="28" borderId="4" xfId="0" applyFont="1" applyFill="1" applyBorder="1" applyAlignment="1">
      <alignment horizontal="center" vertical="center"/>
    </xf>
    <xf numFmtId="3" fontId="48" fillId="28" borderId="4" xfId="0" applyNumberFormat="1" applyFont="1" applyFill="1" applyBorder="1" applyAlignment="1">
      <alignment horizontal="center" vertical="center"/>
    </xf>
    <xf numFmtId="4" fontId="48" fillId="28" borderId="4" xfId="0" applyNumberFormat="1" applyFont="1" applyFill="1" applyBorder="1" applyAlignment="1">
      <alignment horizontal="center" vertical="center"/>
    </xf>
    <xf numFmtId="0" fontId="46" fillId="28" borderId="4" xfId="0" applyFont="1" applyFill="1" applyBorder="1" applyAlignment="1">
      <alignment horizontal="left" vertical="center"/>
    </xf>
    <xf numFmtId="0" fontId="46" fillId="28" borderId="4" xfId="0" applyFont="1" applyFill="1" applyBorder="1" applyAlignment="1">
      <alignment horizontal="center" vertical="center"/>
    </xf>
    <xf numFmtId="3" fontId="46" fillId="28" borderId="4" xfId="0" applyNumberFormat="1" applyFont="1" applyFill="1" applyBorder="1" applyAlignment="1">
      <alignment horizontal="center" vertical="center"/>
    </xf>
    <xf numFmtId="4" fontId="46" fillId="28" borderId="4" xfId="0" applyNumberFormat="1" applyFont="1" applyFill="1" applyBorder="1" applyAlignment="1">
      <alignment horizontal="center" vertical="center"/>
    </xf>
    <xf numFmtId="0" fontId="46" fillId="29" borderId="4" xfId="0" applyFont="1" applyFill="1" applyBorder="1" applyAlignment="1">
      <alignment horizontal="left" vertical="center"/>
    </xf>
    <xf numFmtId="0" fontId="46" fillId="29" borderId="4" xfId="0" applyFont="1" applyFill="1" applyBorder="1" applyAlignment="1">
      <alignment horizontal="center" vertical="center"/>
    </xf>
    <xf numFmtId="3" fontId="46" fillId="29" borderId="4" xfId="0" applyNumberFormat="1" applyFont="1" applyFill="1" applyBorder="1" applyAlignment="1">
      <alignment horizontal="center" vertical="center"/>
    </xf>
    <xf numFmtId="4" fontId="46" fillId="29" borderId="4" xfId="0" applyNumberFormat="1" applyFont="1" applyFill="1" applyBorder="1" applyAlignment="1">
      <alignment horizontal="center" vertical="center"/>
    </xf>
    <xf numFmtId="0" fontId="43" fillId="29" borderId="4" xfId="0" applyFont="1" applyFill="1" applyBorder="1" applyAlignment="1">
      <alignment horizontal="left" vertical="center"/>
    </xf>
    <xf numFmtId="0" fontId="43" fillId="29" borderId="4" xfId="0" applyFont="1" applyFill="1" applyBorder="1" applyAlignment="1">
      <alignment horizontal="center" vertical="center"/>
    </xf>
    <xf numFmtId="4" fontId="45" fillId="27" borderId="4" xfId="0" applyNumberFormat="1" applyFont="1" applyFill="1" applyBorder="1" applyAlignment="1">
      <alignment horizontal="center" vertical="center"/>
    </xf>
    <xf numFmtId="4" fontId="42" fillId="0" borderId="4" xfId="0" applyNumberFormat="1" applyFont="1" applyBorder="1" applyAlignment="1">
      <alignment horizontal="center" vertical="center"/>
    </xf>
    <xf numFmtId="0" fontId="41" fillId="0" borderId="4" xfId="0" applyFont="1" applyBorder="1" applyAlignment="1">
      <alignment horizontal="center" vertical="center"/>
    </xf>
    <xf numFmtId="3" fontId="41" fillId="0" borderId="4" xfId="0" applyNumberFormat="1" applyFont="1" applyBorder="1" applyAlignment="1">
      <alignment horizontal="center" vertical="center"/>
    </xf>
    <xf numFmtId="4" fontId="41" fillId="0" borderId="4" xfId="0" applyNumberFormat="1" applyFont="1" applyBorder="1" applyAlignment="1">
      <alignment horizontal="center" vertical="center"/>
    </xf>
    <xf numFmtId="0" fontId="46" fillId="13" borderId="4" xfId="0" applyFont="1" applyFill="1" applyBorder="1" applyAlignment="1">
      <alignment horizontal="left" vertical="center"/>
    </xf>
    <xf numFmtId="0" fontId="46" fillId="13" borderId="4" xfId="0" applyFont="1" applyFill="1" applyBorder="1" applyAlignment="1">
      <alignment horizontal="center" vertical="center"/>
    </xf>
    <xf numFmtId="3" fontId="46" fillId="13" borderId="4" xfId="0" applyNumberFormat="1" applyFont="1" applyFill="1" applyBorder="1" applyAlignment="1">
      <alignment horizontal="center" vertical="center"/>
    </xf>
    <xf numFmtId="0" fontId="46" fillId="34" borderId="0" xfId="0" applyFont="1" applyFill="1" applyBorder="1" applyAlignment="1">
      <alignment horizontal="left" vertical="center"/>
    </xf>
    <xf numFmtId="3" fontId="46" fillId="34" borderId="0" xfId="0" applyNumberFormat="1" applyFont="1" applyFill="1" applyBorder="1" applyAlignment="1">
      <alignment horizontal="center" vertical="center"/>
    </xf>
    <xf numFmtId="0" fontId="46" fillId="13" borderId="0" xfId="0" applyFont="1" applyFill="1" applyBorder="1" applyAlignment="1">
      <alignment horizontal="left" vertical="center"/>
    </xf>
    <xf numFmtId="0" fontId="46" fillId="13" borderId="0" xfId="0" applyFont="1" applyFill="1" applyBorder="1" applyAlignment="1">
      <alignment horizontal="center" vertical="center"/>
    </xf>
    <xf numFmtId="3" fontId="46" fillId="13" borderId="0" xfId="0" applyNumberFormat="1" applyFont="1" applyFill="1" applyBorder="1" applyAlignment="1">
      <alignment horizontal="center" vertical="center"/>
    </xf>
    <xf numFmtId="0" fontId="46" fillId="0" borderId="4" xfId="0" applyFont="1" applyBorder="1" applyAlignment="1">
      <alignment horizontal="left" vertical="center"/>
    </xf>
    <xf numFmtId="0" fontId="46" fillId="0" borderId="4" xfId="0" applyFont="1" applyBorder="1" applyAlignment="1">
      <alignment horizontal="center" vertical="center"/>
    </xf>
    <xf numFmtId="166" fontId="46" fillId="0" borderId="4" xfId="0" applyNumberFormat="1" applyFont="1" applyBorder="1" applyAlignment="1">
      <alignment horizontal="center" vertical="center"/>
    </xf>
    <xf numFmtId="3" fontId="46" fillId="0" borderId="4" xfId="0" applyNumberFormat="1" applyFont="1" applyBorder="1" applyAlignment="1">
      <alignment horizontal="center" vertical="center"/>
    </xf>
    <xf numFmtId="0" fontId="46" fillId="0" borderId="0" xfId="0" applyFont="1" applyBorder="1" applyAlignment="1">
      <alignment horizontal="center" vertical="center"/>
    </xf>
    <xf numFmtId="0" fontId="45" fillId="27" borderId="8" xfId="0" applyFont="1" applyFill="1" applyBorder="1"/>
    <xf numFmtId="0" fontId="45" fillId="27" borderId="4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44" fillId="26" borderId="3" xfId="0" applyFont="1" applyFill="1" applyAlignment="1">
      <alignment horizontal="left" vertical="center"/>
    </xf>
    <xf numFmtId="0" fontId="0" fillId="0" borderId="0" xfId="0" applyBorder="1"/>
    <xf numFmtId="0" fontId="3" fillId="2" borderId="3" xfId="0" applyFont="1" applyFill="1" applyAlignment="1">
      <alignment horizontal="center" vertical="center"/>
    </xf>
    <xf numFmtId="0" fontId="30" fillId="15" borderId="5" xfId="0" applyFont="1" applyFill="1" applyBorder="1" applyAlignment="1">
      <alignment horizontal="center" vertical="center"/>
    </xf>
    <xf numFmtId="0" fontId="0" fillId="0" borderId="2" xfId="0" applyBorder="1"/>
    <xf numFmtId="0" fontId="30" fillId="17" borderId="5" xfId="0" applyFont="1" applyFill="1" applyBorder="1" applyAlignment="1">
      <alignment horizontal="center" vertical="center"/>
    </xf>
    <xf numFmtId="0" fontId="30" fillId="18" borderId="5" xfId="0" applyFont="1" applyFill="1" applyBorder="1" applyAlignment="1">
      <alignment horizontal="center" vertical="center"/>
    </xf>
    <xf numFmtId="0" fontId="30" fillId="19" borderId="5" xfId="0" applyFont="1" applyFill="1" applyBorder="1" applyAlignment="1">
      <alignment horizontal="center" vertical="center"/>
    </xf>
    <xf numFmtId="0" fontId="27" fillId="24" borderId="3" xfId="0" applyFont="1" applyFill="1" applyAlignment="1">
      <alignment horizontal="left" vertical="center"/>
    </xf>
    <xf numFmtId="0" fontId="44" fillId="24" borderId="3" xfId="0" applyFont="1" applyFill="1" applyAlignment="1">
      <alignment horizontal="left" vertical="center"/>
    </xf>
    <xf numFmtId="0" fontId="44" fillId="30" borderId="3" xfId="0" applyFont="1" applyFill="1" applyAlignment="1">
      <alignment horizontal="left" vertical="center"/>
    </xf>
    <xf numFmtId="0" fontId="45" fillId="27" borderId="8" xfId="0" applyFont="1" applyFill="1" applyBorder="1" applyAlignment="1">
      <alignment horizontal="center" vertical="center"/>
    </xf>
    <xf numFmtId="0" fontId="0" fillId="0" borderId="8" xfId="0" applyBorder="1"/>
    <xf numFmtId="0" fontId="45" fillId="16" borderId="4" xfId="0" applyFont="1" applyFill="1" applyBorder="1" applyAlignment="1">
      <alignment horizontal="left" vertical="center"/>
    </xf>
    <xf numFmtId="0" fontId="44" fillId="15" borderId="3" xfId="0" applyFont="1" applyFill="1" applyAlignment="1">
      <alignment horizontal="left" vertical="center"/>
    </xf>
    <xf numFmtId="0" fontId="0" fillId="0" borderId="3" xfId="0" applyAlignment="1">
      <alignment horizontal="center"/>
    </xf>
    <xf numFmtId="0" fontId="0" fillId="0" borderId="3" xfId="0" applyAlignment="1">
      <alignment horizontal="right"/>
    </xf>
    <xf numFmtId="2" fontId="0" fillId="0" borderId="3" xfId="0" applyNumberFormat="1" applyAlignment="1">
      <alignment horizontal="center" vertical="center"/>
    </xf>
    <xf numFmtId="0" fontId="0" fillId="0" borderId="3" xfId="0" applyAlignment="1">
      <alignment horizontal="center" vertical="center"/>
    </xf>
    <xf numFmtId="10" fontId="0" fillId="0" borderId="3" xfId="0" applyNumberFormat="1" applyAlignment="1">
      <alignment horizontal="center" vertical="center"/>
    </xf>
    <xf numFmtId="41" fontId="0" fillId="0" borderId="3" xfId="11" applyFont="1"/>
    <xf numFmtId="0" fontId="49" fillId="35" borderId="3" xfId="0" applyFont="1" applyFill="1" applyAlignment="1">
      <alignment horizontal="center"/>
    </xf>
    <xf numFmtId="0" fontId="49" fillId="36" borderId="3" xfId="0" applyFont="1" applyFill="1"/>
    <xf numFmtId="0" fontId="49" fillId="37" borderId="3" xfId="0" applyFont="1" applyFill="1"/>
    <xf numFmtId="0" fontId="0" fillId="38" borderId="3" xfId="0" applyFill="1"/>
    <xf numFmtId="3" fontId="0" fillId="0" borderId="3" xfId="0" applyNumberFormat="1" applyAlignment="1">
      <alignment horizontal="center"/>
    </xf>
    <xf numFmtId="170" fontId="0" fillId="0" borderId="3" xfId="0" applyNumberFormat="1"/>
    <xf numFmtId="0" fontId="2" fillId="39" borderId="10" xfId="0" applyFont="1" applyFill="1" applyBorder="1"/>
    <xf numFmtId="14" fontId="0" fillId="0" borderId="3" xfId="0" applyNumberFormat="1"/>
    <xf numFmtId="2" fontId="0" fillId="0" borderId="3" xfId="0" applyNumberFormat="1" applyAlignment="1">
      <alignment horizontal="center"/>
    </xf>
  </cellXfs>
  <cellStyles count="12">
    <cellStyle name="Millares [0] 2" xfId="11" xr:uid="{9B1E8BA7-8EC1-4DDA-AC3C-DDAE6E3D760E}"/>
    <cellStyle name="Normal" xfId="0" builtinId="0"/>
    <cellStyle name="Normal 10" xfId="9" xr:uid="{00000000-0005-0000-0000-000009000000}"/>
    <cellStyle name="Normal 11" xfId="10" xr:uid="{00000000-0005-0000-0000-00000A000000}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00000000-0005-0000-0000-000006000000}"/>
    <cellStyle name="Normal 8" xfId="7" xr:uid="{00000000-0005-0000-0000-000007000000}"/>
    <cellStyle name="Normal 9" xfId="8" xr:uid="{00000000-0005-0000-0000-000008000000}"/>
  </cellStyles>
  <dxfs count="83"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numFmt numFmtId="3" formatCode="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</border>
    </dxf>
    <dxf>
      <border>
        <left/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vertical/>
        <horizontal/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horizontal/>
      </border>
    </dxf>
    <dxf>
      <alignment horizontal="right"/>
    </dxf>
    <dxf>
      <alignment horizontal="right"/>
    </dxf>
    <dxf>
      <alignment horizontal="right"/>
    </dxf>
    <dxf>
      <border>
        <right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horizontal/>
      </border>
    </dxf>
    <dxf>
      <border>
        <vertical/>
      </border>
    </dxf>
    <dxf>
      <border>
        <vertical/>
      </border>
    </dxf>
    <dxf>
      <fill>
        <patternFill patternType="solid">
          <bgColor rgb="FF9BC2E6"/>
        </patternFill>
      </fill>
    </dxf>
    <dxf>
      <fill>
        <patternFill patternType="solid">
          <bgColor rgb="FF9BC2E6"/>
        </patternFill>
      </fill>
    </dxf>
    <dxf>
      <fill>
        <patternFill patternType="solid">
          <bgColor rgb="FF9BC2E6"/>
        </patternFill>
      </fill>
    </dxf>
    <dxf>
      <fill>
        <patternFill patternType="solid">
          <bgColor rgb="FF9BC2E6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ill>
        <patternFill>
          <bgColor rgb="FFDDEBF7"/>
        </patternFill>
      </fill>
    </dxf>
    <dxf>
      <fill>
        <patternFill>
          <bgColor rgb="FFDDEBF7"/>
        </patternFill>
      </fill>
    </dxf>
    <dxf>
      <fill>
        <patternFill patternType="solid">
          <bgColor rgb="FFBDD7EE"/>
        </patternFill>
      </fill>
    </dxf>
    <dxf>
      <font>
        <b/>
      </font>
    </dxf>
    <dxf>
      <font>
        <color rgb="FF000000"/>
      </font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8" formatCode="#,##0.0"/>
    </dxf>
    <dxf>
      <numFmt numFmtId="3" formatCode="#,##0"/>
    </dxf>
    <dxf>
      <numFmt numFmtId="3" formatCode="#,##0"/>
    </dxf>
    <dxf>
      <numFmt numFmtId="170" formatCode="#,##0_ ;\-#,##0\ "/>
    </dxf>
    <dxf>
      <numFmt numFmtId="3" formatCode="#,##0"/>
    </dxf>
    <dxf>
      <fill>
        <patternFill patternType="solid">
          <fgColor indexed="64"/>
          <bgColor rgb="FFDDEBF7"/>
        </patternFill>
      </fill>
    </dxf>
    <dxf>
      <fill>
        <patternFill patternType="solid">
          <fgColor indexed="64"/>
          <bgColor rgb="FFDDEBF7"/>
        </patternFill>
      </fill>
    </dxf>
    <dxf>
      <fill>
        <patternFill patternType="solid">
          <fgColor indexed="64"/>
          <bgColor rgb="FFDDEBF7"/>
        </patternFill>
      </fill>
    </dxf>
    <dxf>
      <numFmt numFmtId="3" formatCode="#,##0"/>
    </dxf>
    <dxf>
      <numFmt numFmtId="170" formatCode="#,##0_ ;\-#,##0\ "/>
    </dxf>
    <dxf>
      <numFmt numFmtId="170" formatCode="#,##0_ ;\-#,##0\ "/>
    </dxf>
    <dxf>
      <numFmt numFmtId="3" formatCode="#,##0"/>
    </dxf>
    <dxf>
      <numFmt numFmtId="168" formatCode="#,##0.0"/>
    </dxf>
    <dxf>
      <numFmt numFmtId="168" formatCode="#,##0.0"/>
    </dxf>
    <dxf>
      <numFmt numFmtId="168" formatCode="#,##0.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8" formatCode="#,##0.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border>
        <left/>
        <right/>
        <top/>
        <bottom/>
        <vertical/>
        <horizontal/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felip/Desktop/UNIONX/FORECAST%20FINAL%20SKU/FORECAST%20FINAL%20SKU%2026-27%20V2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Caballero Blanco" refreshedDate="46244.657813888887" createdVersion="8" refreshedVersion="8" minRefreshableVersion="3" recordCount="818" xr:uid="{00000000-000A-0000-FFFF-FFFF91000000}">
  <cacheSource type="worksheet">
    <worksheetSource ref="A3:IJ821" sheet="FCST BASE SKU MACRO"/>
  </cacheSource>
  <cacheFields count="292">
    <cacheField name="ID" numFmtId="0">
      <sharedItems containsBlank="1" containsMixedTypes="1" containsNumber="1" containsInteger="1" minValue="3" maxValue="3"/>
    </cacheField>
    <cacheField name="Marca" numFmtId="0">
      <sharedItems count="10">
        <s v="Bandú"/>
        <s v="Dynamo"/>
        <s v="Innovate-K"/>
        <s v="Levo"/>
        <s v="Lhotse"/>
        <s v="Purito"/>
        <s v="Simplit"/>
        <s v="T-Care"/>
        <s v="UMA"/>
        <s v="Xroad"/>
      </sharedItems>
    </cacheField>
    <cacheField name="Categoria Padre" numFmtId="0">
      <sharedItems count="38">
        <s v="Accesorios de Bebe"/>
        <s v="Jueguetes de Rol"/>
        <s v="Juguetes de Armado"/>
        <s v="Juguetes de Motricidad"/>
        <s v="Herramientas Eléctricas"/>
        <s v="Gasfiteria"/>
        <s v="Hogar"/>
        <s v="Accesorios"/>
        <s v="Mochilas y Fundas"/>
        <s v="Pantallas"/>
        <s v="Perifericos de Computacion"/>
        <s v="Smart Home"/>
        <s v="Soportes"/>
        <s v="Telones y Proyectores"/>
        <s v="Accesorio Vestuario"/>
        <s v="Audio Menor"/>
        <s v="Camping y Outdoor"/>
        <s v="Deporte"/>
        <s v="Equipamiento"/>
        <s v="Hidratación"/>
        <s v="Smartwatch"/>
        <s v="Vestuario"/>
        <s v="Video"/>
        <s v="Belleza"/>
        <s v="Cristalería y Bar"/>
        <s v="Electrodomésticos"/>
        <s v="Juegos de Mesa"/>
        <s v="Menaje de Cocina"/>
        <s v="Mesa"/>
        <s v="Mundo Café"/>
        <s v="Organización"/>
        <s v="Vajilla"/>
        <s v="Cuidado Personal"/>
        <s v="Termos"/>
        <s v="Accesorios de Automovil"/>
        <s v="Accesorios de Instalacion"/>
        <s v="Accesorios de Viaje"/>
        <s v="Herramientas y Mantenimiento"/>
      </sharedItems>
    </cacheField>
    <cacheField name="Categoria Hijo" numFmtId="0">
      <sharedItems count="92">
        <s v="Accesorios de Bebe"/>
        <s v="Cocina y Accesorios"/>
        <s v="Juegos de Oficio"/>
        <s v="Maquillaje y Belleza"/>
        <s v="Pistas y Vehiculos"/>
        <s v="Sets de Construccion"/>
        <s v="Andador y Correpasillos"/>
        <s v="Didacticos"/>
        <s v="Escalada y Equilibrio"/>
        <s v="Otras"/>
        <s v="Taladro y Atornilladores"/>
        <s v="Baroscopios"/>
        <s v="Accesorios de Baño"/>
        <s v="Cable Cargador"/>
        <s v="Cargador Automovil"/>
        <s v="Cargador de Celular"/>
        <s v="Dispositivo Multipuerto"/>
        <s v="Fundas"/>
        <s v="Mochilas"/>
        <s v="Monitores"/>
        <s v="Pantallas Publicitarias"/>
        <s v="Gaming"/>
        <s v="Oficina"/>
        <s v="Aspiradoras"/>
        <s v="Cámaras de automovil"/>
        <s v="Cámaras de seguridad"/>
        <s v="Citofonia"/>
        <s v="Pesas Digitales"/>
        <s v="Soporte Computacion"/>
        <s v="Soportes de Television"/>
        <s v="Proyectores"/>
        <s v="Telones Proyector"/>
        <s v="Calcetines"/>
        <s v="Jockey"/>
        <s v="Pantuflas"/>
        <s v="Toalla"/>
        <s v="Audífonos"/>
        <s v="Parlantes"/>
        <s v="Pick Up Pads"/>
        <s v="Accesorios fitness"/>
        <s v="Bananos"/>
        <s v="Bolsos deportivos"/>
        <s v="Maletas"/>
        <s v="Neceser"/>
        <s v="Botellas Termicas"/>
        <s v="Tazas y vasos"/>
        <s v="Termos líquidos"/>
        <s v="Smartband"/>
        <s v="Smartwatch"/>
        <s v="Calzas y Petos"/>
        <s v="Pantalones y Shorts"/>
        <s v="Parkas e Impermeables"/>
        <s v="Polar y Polerones"/>
        <s v="Poleras y Primeras Capas"/>
        <s v="Cámaras de acción"/>
        <s v="Cosmetica"/>
        <s v="Bar"/>
        <s v="Cubetas de hielo"/>
        <s v="Tazas"/>
        <s v="Vasos"/>
        <s v="Espumadores"/>
        <s v="Juegos de Mesa"/>
        <s v="Baterías de cocina"/>
        <s v="Cuchilleria"/>
        <s v="Mantequilleros"/>
        <s v="Sartenes y Ollas"/>
        <s v="Termos de comida"/>
        <s v="Utensilios de cocina"/>
        <s v="Mantelería"/>
        <s v="Cafeteras"/>
        <s v="Contenedores"/>
        <s v="Basureros"/>
        <s v="Especieros"/>
        <s v="Secadores de platos"/>
        <s v="Alcuza"/>
        <s v="Alcuzas"/>
        <s v="Azucarero"/>
        <s v="Fuentes"/>
        <s v="Juego de Loza"/>
        <s v="Loza Granel"/>
        <s v="Afeitadoras"/>
        <s v="Alisadores"/>
        <s v="Secadores"/>
        <s v="Botellas Plasticas"/>
        <s v="Cobertores y Tapices"/>
        <s v="Seguridad"/>
        <s v="Barras y Portaequipajes"/>
        <s v="Sensores de retroceso"/>
        <s v="Toldos y Carpas"/>
        <s v="Accesorios de Camping"/>
        <s v="Herramientas de Asistencia"/>
        <s v="Lavado y Limpieza"/>
      </sharedItems>
    </cacheField>
    <cacheField name="Sku Padre" numFmtId="0">
      <sharedItems containsMixedTypes="1" containsNumber="1" containsInteger="1" minValue="1479750635184" maxValue="69746014453052"/>
    </cacheField>
    <cacheField name="Sku" numFmtId="0">
      <sharedItems containsMixedTypes="1" containsNumber="1" containsInteger="1" minValue="1479750635184" maxValue="69746014453052" count="818">
        <s v="BDBBYCHK"/>
        <s v="BDCOCGRND"/>
        <s v="BDCOCMEDI"/>
        <s v="BDCOCMIN"/>
        <s v="BDCOCPQMD"/>
        <s v="BDELECTCOC"/>
        <s v="BDSETPAST"/>
        <s v="BDCASMUÑEC-WD"/>
        <s v="BDPKMESILL"/>
        <s v="BDPZMG2E1"/>
        <s v="BDSETDOC"/>
        <s v="BDSETLIMP"/>
        <s v="BDSETMAQ"/>
        <s v="BDTOCMD-WH"/>
        <s v="BDHELMAD"/>
        <s v="BDJUEAUT"/>
        <s v="BDJUETRE"/>
        <s v="BDMESHERRA"/>
        <s v="BDANDDIDAC-PK"/>
        <s v="BDANDDIDAC-GR"/>
        <s v="BNANDCONTRU"/>
        <s v="BDMBAVTHIE"/>
        <s v="BDMBBOESP"/>
        <s v="BDMBCIUMG"/>
        <s v="BDMBMNMRIO"/>
        <s v="BDMBSPAVMRIO"/>
        <s v="BDMESDIDAC"/>
        <s v="BDGIMPIK"/>
        <s v="BDGMNMVBB"/>
        <s v="BDMROBLDESC"/>
        <s v="BDSILLEVREG"/>
        <s v="BDTORRAPR"/>
        <s v="DYNHYDLA"/>
        <s v="DYNLLAIMP"/>
        <s v="DYNTALCPER"/>
        <s v="DYNTALIMPA"/>
        <s v="DYNTALPOW"/>
        <s v="DYNTALSCA"/>
        <s v="DYNTALSPER"/>
        <n v="1661877043628"/>
        <n v="1661877072053"/>
        <s v="INCAMINS92-40"/>
        <s v="INNCAMINS-7F"/>
        <s v="INNCAMINS-96"/>
        <s v="INNCAMINSH3-70"/>
        <s v="INNCAMINSH5-20"/>
        <s v="INNCAMINSH5512-20"/>
        <s v="INNCAMINSH6-40"/>
        <s v="INNCAMINS-U9"/>
        <n v="1571055493973"/>
        <s v="LVCABTC-BK"/>
        <s v="LVCABTC-WH"/>
        <s v="LVCABTCLIGH-WH"/>
        <n v="1650299083874"/>
        <n v="1652825203439"/>
        <s v="LVCAR25W-BK"/>
        <s v="LVCAR25W-WH"/>
        <s v="LVCAR45W-BK"/>
        <s v="LVCAR45W-WH"/>
        <s v="LVHUBMP-5"/>
        <s v="LVHUBMP-6"/>
        <s v="LVFNOTHS13-BK"/>
        <s v="LVFNOTHS15-BK"/>
        <s v="LVFUEX-BK"/>
        <s v="LVFUEX-GR"/>
        <n v="1659999392257"/>
        <n v="1659999410637"/>
        <s v="LVMOMA-BK"/>
        <s v="LVMOMA-GR"/>
        <s v="LVMOPRL-BK"/>
        <s v="LVMOVEL-BK"/>
        <s v="LVMOVITR-BK"/>
        <s v="LVMOWO-BK"/>
        <s v="LVMONEXV-15"/>
        <s v="LVMONPVS-15"/>
        <s v="LVMONPOR-15"/>
        <s v="LVPANTOTPUB-43"/>
        <s v="LVPANTOTPUB-50"/>
        <n v="1479750635184"/>
        <n v="1658329968514"/>
        <n v="1659990788079"/>
        <n v="1659990828178"/>
        <n v="66436804863605"/>
        <s v="LVAUDGM-BK"/>
        <s v="LVAUDGM-WH"/>
        <s v="LVCONJOY-RB"/>
        <s v="LVMSGMNEXP-BL"/>
        <s v="LVMPADBML-BK"/>
        <s v="LVMPADOFS-BK"/>
        <s v="LVMPADXXL-BK"/>
        <s v="LVMSGMNS-BK"/>
        <s v="LVTECMCC-BK"/>
        <s v="LVTECMCL-BK"/>
        <n v="67898087132855"/>
        <s v="LVMICPORT"/>
        <s v="LVMSVEL-GR"/>
        <s v="LVSILLERGO-BL"/>
        <s v="LVSILLLIT-BL"/>
        <s v="LVTECOFSL-GR"/>
        <n v="1652825027456"/>
        <n v="67327559384453"/>
        <s v="LVCAMSEGEX-BK"/>
        <s v="LVCITMONWF"/>
        <n v="1538141129434"/>
        <n v="1543406075297"/>
        <s v="LVSPALZNPLE"/>
        <s v="LVSPBRX2MN"/>
        <s v="LVSPTVUN"/>
        <s v="LVPROHEX"/>
        <s v="LVPROLUM"/>
        <s v="LVPRONOV"/>
        <s v="LVPROORI"/>
        <s v="LVPROMNLX-BL"/>
        <s v="LVPROFLX-BK"/>
        <s v="LVPRONOV-WH"/>
        <s v="LVPRONEULT-WH"/>
        <n v="1659991971809"/>
        <n v="1659991999728"/>
        <s v="LVTEL-80"/>
        <s v="LVTELBK-100"/>
        <s v="LVTELBK-60"/>
        <s v="LVTELBK-80"/>
        <s v="LVTELELE-100"/>
        <s v="LVTELELE-60"/>
        <s v="LVTELELE-80"/>
        <s v="LVTELRETR-100"/>
        <s v="LHCALBAJBKL-XL"/>
        <s v="LHCALBAJBKS-M"/>
        <s v="LHCALBAJGRML-XL"/>
        <s v="LHCALBAJGRMS-M"/>
        <s v="LHCALBAJWHL-XL"/>
        <s v="LHCALBAJWHS-M"/>
        <s v="LHCALMEDBLL-XL"/>
        <s v="LHCALMEDBLS-M"/>
        <s v="LHCALMEDEAL-XL"/>
        <s v="LHCALMEDEAS-M"/>
        <s v="LHCALMEDGRML-XL"/>
        <s v="LHCALMEDGRMS-M"/>
        <s v="LHCALTOBBKL-XL"/>
        <s v="LHCALTOBBKS-M"/>
        <s v="LHCALTOBGREL-XL"/>
        <s v="LHCALTOBGRES-M"/>
        <s v="LHCALTOBGRL-XL"/>
        <s v="LHCALTOBGRS-M"/>
        <s v="LHJOCK5PDEC-BK"/>
        <s v="LHJOCK5PDEC-ML"/>
        <s v="LHJOCKTR-BK"/>
        <s v="LHJOCKTR-GR"/>
        <s v="LHJOCKTR-PP"/>
        <s v="LHJOCTREKRIS-BL"/>
        <s v="LHJOCTREKSOU-OR"/>
        <s v="LHJOCTREKSUM-GR"/>
        <s v="LHJOKFLF-BL"/>
        <s v="LHJOKFLF-GR"/>
        <s v="LHJOKHIK-BK"/>
        <s v="LHJOKHIK-GB"/>
        <s v="LHJOKRD-GR"/>
        <s v="LHJOKRD-ML"/>
        <s v="LHJOKTRE-BK"/>
        <s v="LHJOKTRE-GR"/>
        <s v="LHJOKTRE-OR"/>
        <s v="LHJOKWV-BK"/>
        <s v="LHJOKWV-GR"/>
        <s v="LHPANCLOGR38-39"/>
        <s v="LHPANIMBKBK36-37"/>
        <s v="LHPANIMBKBK38-39"/>
        <s v="LHPANIMBKBK40-41"/>
        <s v="LHPANIMBKBK42-43"/>
        <s v="LHPANIMBKBK44-45"/>
        <s v="LHPANIMBKCM36-37"/>
        <s v="LHPANIMBKCM38-39"/>
        <s v="LHPANIMBKCM40-41"/>
        <s v="LHPANIMBKCM42-43"/>
        <s v="LHPANIMBKCM44-45"/>
        <s v="LHPANIMPK34-35"/>
        <s v="LHPANIMPK36-37"/>
        <s v="LHPANIMPK38-39"/>
        <s v="LHPANIMPK40-41"/>
        <s v="LHPANIMSGR36-37"/>
        <s v="LHPANIMSGR38-39"/>
        <s v="LHPANIMSGR40-41"/>
        <s v="LHPANIMSGR42-43"/>
        <s v="LHPANIMSGR44-45"/>
        <s v="LHPANIMSLIL34-35"/>
        <s v="LHPANIMSLIL36-37"/>
        <s v="LHPANIMSLIL38-39"/>
        <s v="LHPANIMSLIL40-41"/>
        <s v="LHTOAMIC-BL"/>
        <s v="LHTOAMIC-LIL"/>
        <s v="LHTOASECRAP-BL"/>
        <s v="LHTOASECRAP-PK"/>
        <n v="1564150627423"/>
        <n v="1564150661249"/>
        <n v="1566335721736"/>
        <n v="1592492799236"/>
        <n v="1597086499840"/>
        <n v="1597098592591"/>
        <n v="68658866289861"/>
        <n v="68658868763602"/>
        <s v="LHAUDFIBUD-BK"/>
        <s v="LHAUDTUNAIR-BK"/>
        <s v="LHHEDBEMA-BK"/>
        <s v="LHHEDBEMA-KH"/>
        <s v="LHHEDWEPR-BK"/>
        <s v="LHHEDWEPR-KH"/>
        <s v="LHRMPLU-BK"/>
        <s v="LHRMPLU-WH"/>
        <n v="67898461965813"/>
        <s v="LHPARJOUR-BK"/>
        <s v="LHPARJOUR-BL"/>
        <s v="LHPARPULS-BK"/>
        <s v="LHPARPULS-BL"/>
        <s v="LHPARPULS-GR"/>
        <s v="LHPARPULS-RD"/>
        <s v="LHPARTRGO-BK"/>
        <s v="LHPARTRGO-BL"/>
        <s v="LHPARTRGO-GR"/>
        <s v="LHPARTRGO-RD"/>
        <n v="67933831843970"/>
        <n v="67933833934278"/>
        <n v="67933835121467"/>
        <n v="67933835988925"/>
        <n v="1571423280815"/>
        <n v="1615383366170"/>
        <n v="1615383407099"/>
        <n v="1627416841030"/>
        <n v="1623703942966"/>
        <s v="LHBANHIM-BK"/>
        <s v="LHBANHIM-BL"/>
        <s v="LHBANHIM-RD"/>
        <s v="LHBANK2BK"/>
        <n v="1623703861303"/>
        <s v="LHBOLDUFBK-30"/>
        <s v="LHBOLDUFGR-30"/>
        <s v="LHBOLDUFNV-30"/>
        <s v="LHBOLDUFBK-60"/>
        <s v="LHBOLDUFGR-60"/>
        <s v="LHBOLDUFNV-60"/>
        <s v="LHMALEXPBK-30"/>
        <s v="LHMALEXPBK-70"/>
        <s v="LHMALEXPBK-90"/>
        <s v="LHMALFRONT-L"/>
        <s v="LHMALFRONT-M"/>
        <s v="LHMALFRONT-S"/>
        <n v="1566849947902"/>
        <n v="1623703690011"/>
        <n v="1623703728452"/>
        <n v="1661873799978"/>
        <n v="1661873818029"/>
        <s v="LHCOLTOT"/>
        <s v="LHMOBI001-BK"/>
        <s v="LHMOBROBK"/>
        <s v="LHMOCCOL-BK"/>
        <s v="LHMOCLATK-BK"/>
        <s v="LHMOCLATK-BU"/>
        <s v="LHMOMAK-BK"/>
        <s v="LHMOMAK-GR"/>
        <s v="LHMOPUM-BK"/>
        <s v="LHMOPUM-GR"/>
        <s v="LHMOVINOM-BK"/>
        <s v="LHNECKHUM-BK"/>
        <s v="LHNECKHUM-GR"/>
        <s v="LHNECTRRIM-BK"/>
        <s v="LHBIGMU-BL"/>
        <s v="LHBIGMU-CR"/>
        <s v="LHBIGMU-BKN"/>
        <s v="LHBIGMU-BLN"/>
        <s v="LHBIGMU-CRN"/>
        <s v="LHBIGMU-GRN"/>
        <s v="LHBIGMU-PKN"/>
        <s v="LHBIGMU-PPN"/>
        <s v="LHBIGMU-PK"/>
        <s v="LHBOADV-BK"/>
        <s v="LHBOADV-BL"/>
        <s v="LHBOADV-PK"/>
        <s v="LHBOADV-WH"/>
        <s v="LHBOHY95-LY"/>
        <s v="LHBOHY95-PK"/>
        <s v="LHBOHYCO-BG"/>
        <s v="LHBOHYCO-BK"/>
        <s v="LHBOHYCO-GR"/>
        <s v="LHBOHYCO-NY"/>
        <s v="LHBOHYCO-PK"/>
        <s v="LHBOHYTK750-BG"/>
        <s v="LHBOHYTK750-BK"/>
        <s v="LHBOHYTK750-GR"/>
        <s v="LHBOHYTK750-NY"/>
        <s v="LHBOHYTK750-PK"/>
        <s v="LHBOIND-BK"/>
        <s v="LHBOIND-LY"/>
        <s v="LHBOIND-RD"/>
        <s v="LHVASOTERMIUP-BG"/>
        <s v="LHVASOTERMIUP-BK"/>
        <s v="LHVASOTERMIUP-GR"/>
        <s v="LHVASOTERMIUP-NY"/>
        <s v="LHVASOTERMIUP-PK"/>
        <s v="LHSHNUCO-BG"/>
        <s v="LHSHNUCO-BK"/>
        <s v="LHSHNUCO-GR"/>
        <s v="LHSHNUCO-NY"/>
        <s v="LHSHNUCO-PK"/>
        <s v="LHTPHY01"/>
        <s v="LHTRMU-BK"/>
        <s v="LHTRMU-BL"/>
        <s v="LHTRMU-GR"/>
        <s v="LHTRMU-PK"/>
        <s v="LHTRMU-WH"/>
        <s v="LHCAMU-BK"/>
        <s v="LHCAMU-BL"/>
        <s v="LHCAMU-GR"/>
        <s v="LHCAMU-WH"/>
        <s v="LHMAMU-BK"/>
        <s v="LHMAMU-GR"/>
        <s v="LHMAMU-LPK"/>
        <s v="LHMAMU-PK"/>
        <s v="LHMAMU-RD"/>
        <s v="LHMAMU-WH"/>
        <s v="LHVACAM-BK"/>
        <s v="LHVACAM-PK"/>
        <s v="LHVACAM-RD"/>
        <s v="LHVACAM-WH"/>
        <s v="LHTHCLA-BK"/>
        <s v="LHTHCLA-GR"/>
        <s v="LHTHCLA-PK"/>
        <s v="LHTHCLA-WH"/>
        <s v="LHSWFLOBK"/>
        <s v="LHSWFLOPK"/>
        <n v="1639085706913"/>
        <n v="1639085745522"/>
        <n v="1639085755244"/>
        <n v="1639085763857"/>
        <n v="1652824924113"/>
        <n v="1652824942453"/>
        <n v="1652824957424"/>
        <s v="LHSWMOVON7-PK"/>
        <s v="LHSWRHYX10-BK"/>
        <s v="LHSWRHYX10-PK"/>
        <s v="LHSWSHAR-BK"/>
        <s v="LHSWSHAR-CR"/>
        <s v="LHSWSHAR-PK"/>
        <s v="LHSWVIBBK"/>
        <s v="LHSWVIBCR"/>
        <s v="LTS26-WLG03L-BK"/>
        <s v="LTS26-WLG03L-TL"/>
        <s v="LTS26-WLG03M-BK"/>
        <s v="LTS26-WLG03M-TL"/>
        <s v="LTS26-WLG03S-BK"/>
        <s v="LTS26-WLG03S-TL"/>
        <s v="LTS26-WLG03XL-BK"/>
        <s v="LTS26-WLG03XL-TL"/>
        <s v="LTS26-WSB01L-BK"/>
        <s v="LTS26-WSB01L-TL"/>
        <s v="LTS26-WSB01M-BK"/>
        <s v="LTS26-WSB01M-TL"/>
        <s v="LTS26-WSB01S-BK"/>
        <s v="LTS26-WSB01S-TL"/>
        <s v="LTS26-WSB01XL-BK"/>
        <s v="LTS26-WSB01XL-TL"/>
        <s v="LTS27-WBS02L-SP44"/>
        <s v="LTS27-WBS02M-SP44"/>
        <s v="LTS27-WBS02S-SP44"/>
        <s v="LTS27-WBS02XL-SP44"/>
        <s v="LTS27-WBS02XS-SP44"/>
        <s v="LTS27-WFL02L-SP44"/>
        <s v="LTS27-WFL02M-SP44"/>
        <s v="LTS27-WFL02S-SP44"/>
        <s v="LTS27-WFL02XL-SP44"/>
        <s v="LTS27-WFL02XS-SP44"/>
        <s v="LTS27-WSB02L-SP44"/>
        <s v="LTS27-WSB02M-SP44"/>
        <s v="LTS27-WSB02S-SP44"/>
        <s v="LTS27-WSB02XL-SP44"/>
        <s v="LTS27-WSB02XS-SP44"/>
        <s v="LTS26-MWS0640-BK"/>
        <s v="LTS26-MWS0640-GR"/>
        <s v="LTS26-MWS0642-BK"/>
        <s v="LTS26-MWS0642-GR"/>
        <s v="LTS26-MWS0644-BK"/>
        <s v="LTS26-MWS0644-GR"/>
        <s v="LTS26-MWS0646-BK"/>
        <s v="LTS26-MWS0646-GR"/>
        <s v="LTS26-WLG02L-BK"/>
        <s v="LTS26-WLG02L-TL"/>
        <s v="LTS26-WLG02M-BK"/>
        <s v="LTS26-WLG02M-TL"/>
        <s v="LTS26-WLG02S-BK"/>
        <s v="LTS26-WLG02S-TL"/>
        <s v="LTS26-WLG02XL-BK"/>
        <s v="LTS26-WLG02XL-TL"/>
        <s v="LTS26-WPT0638-BK"/>
        <s v="LTS26-WPT0638-PT"/>
        <s v="LTS26-WPT0640-BK"/>
        <s v="LTS26-WPT0640-PT"/>
        <s v="LTS26-WPT0642-BK"/>
        <s v="LTS26-WPT0642-PT"/>
        <s v="LTS26-WPT0644-BK"/>
        <s v="LTS26-WPT0644-PT"/>
        <s v="LTS27-MPT0240-BK"/>
        <s v="LTS27-MPT0240-BL"/>
        <s v="LTS27-MPT0242-BK"/>
        <s v="LTS27-MPT0242-BL"/>
        <s v="LTS27-MPT0244-BK"/>
        <s v="LTS27-MPT0244-BL"/>
        <s v="LTS27-MPT0246-BK"/>
        <s v="LTS27-MPT0246-BL"/>
        <s v="LTS27-MPT0248-BK"/>
        <s v="LTS27-MPT0248-BL"/>
        <s v="LTW25-MPT1140-GR"/>
        <s v="LTW25-MPT1140-GRY"/>
        <s v="LTW25-MPT1142-GR"/>
        <s v="LTW25-MPT1142-GRY"/>
        <s v="LTW25-MPT1144-GR"/>
        <s v="LTW25-MPT1144-GRY"/>
        <s v="LTW25-MPT1146-GR"/>
        <s v="LTW25-MPK08L-BK"/>
        <s v="LTW25-MPK08L-GR"/>
        <s v="LTW25-MPK08M-BK"/>
        <s v="LTW25-MPK08M-GR"/>
        <s v="LTW25-MPK08S-BK"/>
        <s v="LTW25-MPK08S-GR"/>
        <s v="LTW25-MPK08XL-GR"/>
        <s v="LTW25-MPK09L-BK"/>
        <s v="LTW25-MPK09L-BL"/>
        <s v="LTW25-MPK09M-BK"/>
        <s v="LTW25-MPK09M-BL"/>
        <s v="LTW25-MPK09S-BK"/>
        <s v="LTW25-MPK09S-BL"/>
        <s v="LTW25-MPK10L-BK"/>
        <s v="LTW25-MPK10M-BK"/>
        <s v="LTW25-MPK10S-BK"/>
        <s v="LTW25-MPK10XL-BK"/>
        <s v="LTS26-MSW03MY-L"/>
        <s v="LTS26-MSW03MY-M"/>
        <s v="LTS26-MSW03MY-S"/>
        <s v="LTS26-MSW03MY-XL"/>
        <s v="LTS26-MSW03OR-L"/>
        <s v="LTS26-MSW03OR-M"/>
        <s v="LTS26-MSW03OR-S"/>
        <s v="LTS26-MSW03OR-XL"/>
        <s v="LTS26-WKF04L-BK"/>
        <s v="LTS26-WKF04L-PK"/>
        <s v="LTS26-WKF04M-BK"/>
        <s v="LTS26-WKF04M-PK"/>
        <s v="LTS26-WKF04S-BK"/>
        <s v="LTS26-WKF04S-PK"/>
        <s v="LTS26-WKF04XL-BK"/>
        <s v="LTS26-WKF04XL-PK"/>
        <s v="LTS27-MFZH01L-GR"/>
        <s v="LTS27-MFZH01L-GY"/>
        <s v="LTS27-MFZH01M-GR"/>
        <s v="LTS27-MFZH01M-GY"/>
        <s v="LTS27-MFZH01S-GR"/>
        <s v="LTS27-MFZH01S-GY"/>
        <s v="LTS27-MFZH01XL-GR"/>
        <s v="LTS27-MFZH01XL-GY"/>
        <s v="LTS27-MFZH01XXL-GR"/>
        <s v="LTS27-MFZH01XXL-GY"/>
        <s v="LTW25-MKF03L-BK"/>
        <s v="LTW25-MKF03L-GR"/>
        <s v="LTW25-MKF03M-BK"/>
        <s v="LTW25-MKF03M-GR"/>
        <s v="LTW25-MKF03S-BK"/>
        <s v="LTW25-MKF03S-GR"/>
        <s v="LTW25-MKF03XL-GR"/>
        <s v="LTW25-MKF04L-BK"/>
        <s v="LTW25-MKF04L-BL"/>
        <s v="LTW25-MKF04M-BK"/>
        <s v="LTW25-MKF04M-BL"/>
        <s v="LTW25-MKF04S-BK"/>
        <s v="LTW25-MKF04S-BL"/>
        <s v="LTW25-MKF04XL-BK"/>
        <s v="LTW25-MKF04XL-BL"/>
        <s v="LTW25-MKF05L-BK"/>
        <s v="LTW25-MKF05L-BL"/>
        <s v="LTW25-MKF05M-BK"/>
        <s v="LTW25-MKF05M-BL"/>
        <s v="LTW25-MKF05S-BK"/>
        <s v="LTW25-MKF05S-BL"/>
        <s v="LTW25-MKF05XL-BK"/>
        <s v="LTW25-MKF05XL-BL"/>
        <s v="LTW25-MKF07L-ECRU"/>
        <s v="LTW25-MKF07L-GR"/>
        <s v="LTW25-MKF07M-ECRU"/>
        <s v="LTW25-MKF07M-GR"/>
        <s v="LTW25-MKF07S-ECRU"/>
        <s v="LTW25-MKF07S-GR"/>
        <s v="LTW25-MKF07XL-ECRU"/>
        <s v="LTW25-MKF07XL-GR"/>
        <s v="LTW25-MSW06L-GR"/>
        <s v="LTW25-MSW06L-GRY"/>
        <s v="LTW25-MSW06M-GR"/>
        <s v="LTW25-MSW06M-GRY"/>
        <s v="LTW25-MSW06S-GR"/>
        <s v="LTW25-MSW06S-GRY"/>
        <s v="LTW25-MSW06XL-GR"/>
        <s v="LTW25-MSW06XL-GRY"/>
        <s v="LTS26-MTS01L-BK"/>
        <s v="LTS26-MTS01L-BL"/>
        <s v="LTS26-MTS01L-GR"/>
        <s v="LTS26-MTS01M-BK"/>
        <s v="LTS26-MTS01M-BL"/>
        <s v="LTS26-MTS01M-GR"/>
        <s v="LTS26-MTS01S-BK"/>
        <s v="LTS26-MTS01S-BL"/>
        <s v="LTS26-MTS01S-GR"/>
        <s v="LTS26-MTS01XL-BK"/>
        <s v="LTS26-MTS01XL-BL"/>
        <s v="LTS26-MTS01XL-GR"/>
        <s v="LTS26-MTS02BDL-BK"/>
        <s v="LTS26-MTS02BDM-BK"/>
        <s v="LTS26-MTS02BDS-BK"/>
        <s v="LTS26-MTS02BDXL-BK"/>
        <s v="LTS26-MTS02BEL-BG"/>
        <s v="LTS26-MTS02BEM-BG"/>
        <s v="LTS26-MTS02BES-BG"/>
        <s v="LTS26-MTS02BEXL-BG"/>
        <s v="LTS26-MTS02BLL-GY"/>
        <s v="LTS26-MTS02BLM-GY"/>
        <s v="LTS26-MTS02BLS-GY"/>
        <s v="LTS26-MTS02BLXL-GY"/>
        <s v="LTS26-MTS02BMUL-GR"/>
        <s v="LTS26-MTS02BMUM-GR"/>
        <s v="LTS26-MTS02BMUS-GR"/>
        <s v="LTS26-MTS02BMUXL-GR"/>
        <s v="LTS26-MTS02BMYL-PK"/>
        <s v="LTS26-MTS02BMYM-PK"/>
        <s v="LTS26-MTS02BMYS-PK"/>
        <s v="LTS26-MTS02BMYXL-PK"/>
        <s v="LTS27-MTS02L-BR"/>
        <s v="LTS27-MTS02L-DBL"/>
        <s v="LTS27-MTS02L-DGN"/>
        <s v="LTS27-MTS02L-DGR"/>
        <s v="LTS27-MTS02L-WH"/>
        <s v="LTS27-MTS02M-BR"/>
        <s v="LTS27-MTS02M-DBL"/>
        <s v="LTS27-MTS02M-DGN"/>
        <s v="LTS27-MTS02M-DGR"/>
        <s v="LTS27-MTS02M-WH"/>
        <s v="LTS27-MTS02S-BR"/>
        <s v="LTS27-MTS02S-DBL"/>
        <s v="LTS27-MTS02S-DGN"/>
        <s v="LTS27-MTS02S-DGR"/>
        <s v="LTS27-MTS02S-WH"/>
        <s v="LTS27-MTS02XL-BR"/>
        <s v="LTS27-MTS02XL-DBL"/>
        <s v="LTS27-MTS02XL-DGN"/>
        <s v="LTS27-MTS02XL-DGR"/>
        <s v="LTS27-MTS02XL-WH"/>
        <s v="LTS27-MTS02XXL-BR"/>
        <s v="LTS27-MTS02XXL-DBL"/>
        <s v="LTS27-MTS02XXL-DGN"/>
        <s v="LTS27-MTS02XXL-DGR"/>
        <s v="LTS27-MTS02XXL-WH"/>
        <s v="LTW25-MFL01L-BK"/>
        <s v="LTW25-MFL01M-BK"/>
        <s v="LTW25-MFL01S-BK"/>
        <s v="LTW25-MFL01XL-BK"/>
        <s v="LTW25-MTS02L-BG"/>
        <s v="LTW25-MTS02L-GR"/>
        <s v="LTW25-MTS02L-GRY"/>
        <s v="LTW25-MTS02M-BG"/>
        <s v="LTW25-MTS02M-GR"/>
        <s v="LTW25-MTS02M-GRY"/>
        <s v="LTW25-MTS02S-BG"/>
        <s v="LTW25-MTS02S-GR"/>
        <s v="LTW25-MTS02S-GRY"/>
        <s v="LTW25-MTS02XL-BG"/>
        <s v="LTW25-MTS02XL-GR"/>
        <s v="LHCAMACSUM"/>
        <s v="LHCAMACXPL"/>
        <n v="8809563100316"/>
        <n v="8809563100347"/>
        <n v="8809563100828"/>
        <n v="8809563101054"/>
        <n v="8809563102471"/>
        <n v="8809563103430"/>
        <s v="SIMDECCHA"/>
        <s v="SIMDECROU"/>
        <s v="SIMDESSOM"/>
        <s v="SIMHIECHAR"/>
        <s v="SIMJARVID"/>
        <n v="66800506435054"/>
        <n v="66800507665930"/>
        <n v="66800509015029"/>
        <n v="66800510263382"/>
        <s v="SIMTAZMANGCO"/>
        <n v="1650298908518"/>
        <n v="1654207352499"/>
        <n v="1654207372101"/>
        <n v="1660857914743"/>
        <n v="67933854599885"/>
        <n v="67933856404072"/>
        <n v="67933857637909"/>
        <n v="67933859111971"/>
        <n v="67933860407346"/>
        <n v="67933861722733"/>
        <n v="67933863068841"/>
        <s v="SIMCOPESPMON"/>
        <s v="SIMCOPGINLDN"/>
        <s v="SIMCOPGINOND"/>
        <s v="SIMCOPVINALSA"/>
        <s v="SIMCOPVINOND"/>
        <s v="SIMCOPVINPIAM"/>
        <s v="SIMVASCORGINE"/>
        <s v="SIMVASHAM-335"/>
        <s v="SIMVASHAM-510"/>
        <s v="SIMVASLARGINE"/>
        <s v="SIMVASOND-332"/>
        <s v="SMVABOR4"/>
        <n v="1660859171584"/>
        <n v="68432930518995"/>
        <n v="1628018206370"/>
        <n v="1634845754276"/>
        <n v="1635956574926"/>
        <s v="SIMBATORG-BK"/>
        <s v="SIMBATOTOUL"/>
        <s v="SMBATCOPBK"/>
        <s v="SMBATLCGR"/>
        <s v="SMBATOXCR"/>
        <s v="SMBATOXBK"/>
        <s v="SMBATPMGR"/>
        <s v="SMBATSAV9-CR"/>
        <s v="SIMCENVER-CR"/>
        <s v="SIMCUCER-24"/>
        <s v="SIMCUHOL-5"/>
        <s v="SIMCUKUC-5"/>
        <s v="SIMCUMAR-BK"/>
        <s v="SIMCUMAR-CR"/>
        <s v="SIMCUMAR-WO"/>
        <s v="SIMCUPAR-BK"/>
        <s v="SIMCUPGL-30"/>
        <s v="SIMCUPRO-4"/>
        <s v="SIMCUROM-30"/>
        <s v="SIMCUSTA-5"/>
        <s v="SIMCUTOL-2"/>
        <s v="SIMCUVER-CR"/>
        <s v="SIMCUVER-WO"/>
        <n v="1660858101318"/>
        <n v="1660858118518"/>
        <s v="SIMMANCC-BK"/>
        <n v="1635956592996"/>
        <n v="1635956597983"/>
        <s v="SIMO28TOUL"/>
        <n v="66800469437952"/>
        <n v="66800471275549"/>
        <n v="66800472805184"/>
        <n v="68142280732690"/>
        <n v="1629726091782"/>
        <n v="1629726117626"/>
        <n v="1639488921197"/>
        <n v="1660858025311"/>
        <s v="SIMTABCUT-WD"/>
        <s v="SIMINDX4-BG"/>
        <s v="SIMINDX4-GR"/>
        <s v="SIMMANTL-BG"/>
        <s v="SIMMANTL-GR"/>
        <s v="SIMMANTL-GREY"/>
        <s v="SIMMANTM-BG"/>
        <s v="SIMMANTM-GR"/>
        <s v="SIMMANTM-GREY"/>
        <s v="SIMSERVX4-BG"/>
        <s v="SIMSERVX4-GR"/>
        <n v="1629726159155"/>
        <n v="1630369674271"/>
        <n v="1652825295706"/>
        <s v="SIMCAFFRCO"/>
        <s v="SMCFIT12LC-GR"/>
        <s v="SMCFIT12SV-WH"/>
        <s v="SMCFIT4LC-GR"/>
        <s v="SMCFIT4SV-WH"/>
        <s v="SMCONTCAFMI"/>
        <n v="1654207295633"/>
        <n v="1654207307551"/>
        <n v="1654207333519"/>
        <n v="1660858266475"/>
        <n v="67951423489593"/>
        <n v="67951425161311"/>
        <s v="SIMBACOHA-55"/>
        <s v="SIMBACOIR-40"/>
        <s v="SIMBACOUR-30"/>
        <s v="SIMBASLIV-BK"/>
        <s v="SIMBASLUC-GR"/>
        <n v="1627418212924"/>
        <n v="1645629782262"/>
        <n v="1650295261109"/>
        <n v="1650295282448"/>
        <n v="1654189048611"/>
        <n v="1654189204021"/>
        <n v="1654207748340"/>
        <n v="1660858416606"/>
        <n v="1660858812938"/>
        <n v="1660858828618"/>
        <n v="1660858844449"/>
        <n v="1660859102915"/>
        <n v="1660859287583"/>
        <n v="67327712330533"/>
        <s v="SIM4FRHRDUB-WD"/>
        <n v="1660858793429"/>
        <n v="1660858776726"/>
        <n v="1660858756233"/>
        <s v="SIMOREXBAS-WD"/>
        <s v="SIMOREXOSL-WD"/>
        <s v="SIMTUPSILBEI"/>
        <s v="SIMTUPSILBL"/>
        <s v="SIMTUPSILGR"/>
        <s v="SIMTUPSILRD"/>
        <n v="1627418180602"/>
        <n v="1660857800718"/>
        <n v="1660858702400"/>
        <s v="SIMMOLVER-WD"/>
        <n v="1660858341796"/>
        <n v="1660858356962"/>
        <n v="68540048936286"/>
        <n v="68540051413139"/>
        <s v="SIMSECBILBK"/>
        <s v="SIMSECBILWH"/>
        <s v="SIMSECVALBK"/>
        <s v="SIMSECVALWH"/>
        <s v="SIMALCVID"/>
        <n v="1659989549286"/>
        <s v="SMAZUCVID"/>
        <n v="1659991481176"/>
        <n v="1661872956577"/>
        <s v="SIMJULZAMA-16"/>
        <s v="SIMJULZAMA-24"/>
        <s v="SIMJULZBRU-30"/>
        <s v="SIMJULZOPO-30"/>
        <s v="SIMJULZSAN-30"/>
        <s v="SIMJULZSIE-30"/>
        <s v="SIMJULZTOS-12"/>
        <s v="SIMBOWAMA-4"/>
        <s v="SIMBOWSIE-4"/>
        <s v="SIMBOWTAZ-4"/>
        <s v="SIMPLAMA-4"/>
        <s v="SIMPLSIE-4"/>
        <s v="SIMTAZPAL-2"/>
        <s v="SIMTAZSIE-4"/>
        <s v="TCAFSKIFL"/>
        <s v="TCRANEBL"/>
        <s v="TCALSCAEGL-PP"/>
        <s v="TCMULTSTY5N1"/>
        <s v="TCMULTSTY5N1-BG"/>
        <s v="MTBOBLOV420"/>
        <s v="MTBOBPET420"/>
        <s v="MTBOHWMON420"/>
        <s v="MTBOHWRAC420"/>
        <s v="MTBOTBARCL-500"/>
        <s v="MTBOTBARINS-500"/>
        <s v="MTSHBARDAPR-500"/>
        <s v="MTSHBARLIPR-500"/>
        <s v="MTBOTCLBARDAPR-750"/>
        <s v="MTBOTFIBARLIPR-750"/>
        <s v="MTBOTFIBARSAF-750"/>
        <s v="MTBOTCLBARINS-750"/>
        <s v="MTBOTCLBARLIN-750"/>
        <s v="MTBOTCLBARLIPR-750"/>
        <s v="MTBOTBARDR-500"/>
        <s v="MTBOTFIBARDAPR-750"/>
        <s v="MTBOTFIBARFL-750"/>
        <s v="MTHWLGBT590-AM"/>
        <s v="MTHWLGBT590-BK"/>
        <s v="MTHWLGBT750-BK"/>
        <s v="MTHWLGBT750-BY"/>
        <s v="MTHWLGBT750-YW"/>
        <s v="MTHWLGVT590-BG"/>
        <s v="MTHWLGVT590-BK"/>
        <s v="MTHWLGVT590-YW"/>
        <s v="MTBOBBA450"/>
        <s v="MTBOBIC450"/>
        <s v="MTBOBINS590"/>
        <s v="MTBOBMA450"/>
        <s v="MTBOBSHI590"/>
        <s v="MTBOHWCL450"/>
        <s v="MTBOHWCOM590"/>
        <s v="MTBOHWFA590"/>
        <s v="MTBOHWRA450"/>
        <s v="MTBOHWTR450"/>
        <s v="MTVTUMBDR590"/>
        <s v="MTVTUMBLO590"/>
        <s v="MTVTUMBPR590"/>
        <s v="MTVTUMBVI590"/>
        <s v="MTTCBFRI450"/>
        <s v="MTTCBFUN450"/>
        <s v="MTTCHWCLA330"/>
        <s v="MTTCHWTRU330"/>
        <n v="1656603353038"/>
        <n v="1660859424566"/>
        <s v="XRCOBMOT-BS"/>
        <s v="XRCOBSUV-BS"/>
        <s v="XRFUNCASUN-BK"/>
        <s v="XRPISUNIS3-BK"/>
        <s v="XRPISUNIS-BK"/>
        <s v="XRCADCANRR"/>
        <n v="1650301031879"/>
        <n v="1650302273911"/>
        <s v="XRBARRUN-122"/>
        <s v="XRBARRUN-129"/>
        <s v="XRBARRUN-139"/>
        <s v="XRBOLBL-410"/>
        <s v="XRBOLBL-430"/>
        <s v="XRPARREQ-BK"/>
        <n v="69746014453052"/>
        <n v="1650302269777"/>
        <s v="XRTOLLAT270-BG"/>
        <s v="XRCARAA10-CL"/>
        <s v="XRCARINF34-CL"/>
        <s v="XRCARINF68-CL"/>
        <s v="XRCARRTRACT-CL"/>
        <s v="XRCOLINF2P-CL"/>
        <s v="XRCOOLPOR50-BK"/>
        <s v="XRCOOLPORT20-GR"/>
        <s v="XRCOOLPORT40-GR"/>
        <s v="XRCOOLPORTF40-GR"/>
        <s v="XRCOOLPORT-GR"/>
        <s v="XRESTAENER-OG"/>
        <s v="XRQUITCD-CL"/>
        <s v="XRPARTBAT-GR"/>
        <s v="XRHYDLAV-OR"/>
      </sharedItems>
    </cacheField>
    <cacheField name="Descripcion" numFmtId="0">
      <sharedItems count="651">
        <s v="Mecedor Eléctrico Coche Recargable Bebé Baby Chick Bandú"/>
        <s v="Cocina de Juguete Infantil Niños Madera Accesorios Bandú"/>
        <s v="Cocina de Juguete Infantil Niños Madera 11 Accesorios Bandú"/>
        <s v="Set Juego Mini Cocina de Juguete Alimentos Madera Bandú"/>
        <s v="Cocina de Juguete Infantil Niños Madera Rosada con Acc Bandú"/>
        <s v="Juguete Infantil Mini Electrodomésticos Cocina Madera Bandú"/>
        <s v="Set Juego Pastelería Corta Postre Infantil Niño Madera Bandú"/>
        <s v="Casa de Muñecas de Madera Juguete Infantil Bandú"/>
        <s v="Pack Infantil 1 Mesa 2 Sillas Madera Didáctico Bandú"/>
        <s v="Pizarra Madera Infantil Magnética 2 en 1 Didáctica Bandú"/>
        <s v="Set Juego de Roles Doctor Niños Madera 12 pcs Bandú"/>
        <s v="Set Juego de Limpieza y Aseo Madera Bandú"/>
        <s v="Juego de Maquillaje Set Belleza de Roll Niños Madera Bandú"/>
        <s v="Tocador Infantil Para Niñas Espejo Maquillaje Madera Bandú"/>
        <s v="Juego Heladería Infantil Niños Madera Bandú"/>
        <s v="Set Autos de Juguete Tren Pista y Señaleticas Madera Bandú"/>
        <s v="Pista de Autos y Tren de Madera Juego Didactico 70pcs Bandú"/>
        <s v="Juego de Construcción Herramientas Madera para Niños Bandú"/>
        <s v="Andador Correpasillos Bebe Didáctico Madera Bandú"/>
        <s v="Andador Correpasillos Bebe Juego Construccion Madera Bandú"/>
        <s v="Juego Bloques Magnéticos 89pcs MineBlocks Aventura Bandú"/>
        <s v="Juego Bloques Magnéticos 54pcs MineBlocks Bob Marino Bandú"/>
        <s v="Juego Bloques Magnéticos 114pcs MineBlocks Ciudad Bandú"/>
        <s v="⁠Juego Bloques Magnéticos 75pcs MineBlocks Mundo Bandú"/>
        <s v="⁠Juego Bloques Magnéticos 146pcs MineBlocks Mapa Bandú"/>
        <s v="Mesa Infantil Aprendizaje Didactica 7 en 1 Montessori Bandú"/>
        <s v="Gimnasio Infantil Juego Pikler Parque 8 en 1 Bandú"/>
        <s v="Gimnasio Móvil de Madera Bebé Infantil Bandú"/>
        <s v="Torre Aprendizaje Infantil Pikler Escalada Montessori Bandú"/>
        <s v="Silla de Comer Infantil Evolutiva Madera Regulable Bandú"/>
        <s v="Torre Aprendizaje Plegable Montesori Madera 3 Niveles Bandú"/>
        <s v="Hidrolavadora eléctrica Dynamo WP 1800w 130bar 220/240V 60Hz"/>
        <s v="Llave de Impacto Inalámbrica Dynamo 21V + 2 Baterias y Acss"/>
        <s v="Taladro Percutor Inalámbrico Dynamo 21v 2 Baterías + Accs"/>
        <s v="Pack Taladro Percutor + Atornillador de Impacto 21V Dynamo"/>
        <s v="Taladro Inalámbrico Dynamo Rotomartillo Percutor 2 Baterías"/>
        <s v="Kit Taladro Destornillador Inalámbrico Dynamo 21V 2 baterías"/>
        <s v="Cámara de Inspección Baroscopio con Sonda 20 Mts TP9200"/>
        <s v="Cámara de Inspección Baroscopio con Sonda 20 Mts H6"/>
        <s v="Cámara de Inspección Baroscopio con Sonda 40 Mts TP9200"/>
        <s v="Cámara de Inspección Baroscopio con Sonda 20 Mts TP9607F"/>
        <s v="Cámara de Inspección de Tuberías Endoscopio Industrial TP9600"/>
        <s v="Cámara de Inspección Baroscopio con Sonda 20 Mts H3"/>
        <s v="Cámara de Inspección Baroscopio con Sonda 20 Mts H5"/>
        <s v="Cámara de Inspección Baroscopio 512 Hz con Sonda 20 Mts H5"/>
        <s v="Cámara de Inspección Baroscopio con Sonda 40 Mts H6"/>
        <s v="Cámara de Inspección de Tuberías Endoscopio Industrial U9"/>
        <s v="Secador De Toallas Pedestal 6 Niveles"/>
        <s v="Cable de Carga Rápida USB-C 100W 5A 1Mt Negro LEVO"/>
        <s v="Cable de Carga Rápida USB-C 100W 5A 1Mt Blanco LEVO"/>
        <s v="Cable de Carga USB-C a Lightning 1 Mt Blanco LEVO"/>
        <s v="Cargador Inalámbrico Carga Rapida iPhone 12/13 Auto V+ LEVO"/>
        <s v="Cargador Inalámbrico Carga Rápida Magnético Auto VO1 LEVO"/>
        <s v="Cargador Super Rapido De Pared 25W USB-C Negro LEVO"/>
        <s v="Cargador Super Rapido De Pared 25W USB-C Blanco LEVO"/>
        <s v="Cargador Ultra Rapido De Pared 45W USB-C Negro LEVO"/>
        <s v="Cargador Ultra Rapido De Pared 45W USB-C Blanco LEVO"/>
        <s v="Hub USB-C Adaptador Multipuerto 5 en 1 Macbook Windows LEVO"/>
        <s v="Hub USB-C Adaptador Multipuerto 6 en 1 Macbook Windows LEVO"/>
        <s v="Funda HardShell Notebook 13-14&quot; Negra LEVO"/>
        <s v="Funda HardShell Notebook 15-16&quot; Negra LEVO"/>
        <s v="Funda Maletin Notebook EXECUTIVE 15,6&quot; Negra LEVO"/>
        <s v="Mochila Notebook Puerto USB 15,6&quot; Gris LEVO"/>
        <s v="Mochila Notebook Puerto USB 15,6&quot; Negra LEVO"/>
        <s v="Mochila Notebook MANAGER 15,6&quot; Negra LEVO"/>
        <s v="Mochila Notebook MANAGER 15,6&quot; Gris LEVO"/>
        <s v="Mochila Notebook Prime Lite 15,6” Negra LEVO"/>
        <s v="Mochila Notebook Velar Lite 15,6” Negra LEVO"/>
        <s v="Mochila Viaje Impermeable Notebook 30L Aerosuite Negra LEVO"/>
        <s v="Mochila Notebook WOLF Negra 15,6&quot; LEVO"/>
        <s v="Monitor Portátil Gamer NexView 15.6&quot; Full HD 1080P LEVO"/>
        <s v="Monitor Portátil Gamer PivotScope 15.6&quot; Full HD 1080P LEVO"/>
        <s v="Monitor Portátil Gamer ViewGo 15,6&quot; Full HD 1080P LEVO"/>
        <s v="Pantalla Totem Publicitario 43&quot; Touch Android Wifi Usb LEVO"/>
        <s v="Pantalla Totem Publicitario 50&quot; Touch Android Wifi Usb LEVO"/>
        <s v="Vr Box + Control Lentes de Realidad Virtual LEVO"/>
        <s v="Vr Box Ultra + Audífonos Lentes de Realidad Virtual  LEVO"/>
        <s v="Control Joystick Controller Compatible Nintendo Switch LEVO"/>
        <s v="Control Joystick Inalámbrico doble Shock P4 Negro LEVO"/>
        <s v="Control Joystick Inalámbrico doble Shock P4 Rojo LEVO"/>
        <s v="Audífono Gamer Inalámbrico Zenit Elite Bluetooth RGB Negro LEVO"/>
        <s v="Audífono Gamer Inalámbrico Zenit Elite Bluetooth RGB Blanco LEVO"/>
        <s v="Control Joystick Inalámbrico Compatible Switch Joy-Con LEVO"/>
        <s v="Mouse Gamer Inalambrico RGB Nexus Pro Negro LEVO"/>
        <s v="Mousepad Battlemat L 45x40 cm Antideslizante Negro LEVO"/>
        <s v="Mousepad Officepad S 23x20 cm Antideslizante Negro LEVO"/>
        <s v="Mousepad Battlemat XXL 90x40 cm Antideslizante Negro LEVO"/>
        <s v="Mouse Gamer Inalambrico RGB NovaStrike Negro LEVO"/>
        <s v="Teclado Gamer NovaBlade TKL Red Switch Mecánico Español RGB LEVO"/>
        <s v="Teclado Gamer NovaBlade Red Switch Mecánico Español RGB LEVO"/>
        <s v="Silla Escritorio Oficina Ejecutiva Reclinable Comfort LEVO"/>
        <s v="KIT Micrófono de Solapa Inalámbrico Lavalier EchoPro LEVO"/>
        <s v="Mouse Inalámbrico Ultra Slim Silencioso Velar Grafito LEVO"/>
        <s v="Silla Escritorio Oficina Ergonómica Reclinable Ergotech LEVO"/>
        <s v="Silla de Escritorio Oficina Ergonomica Reclinable Lite LEVO"/>
        <s v="Teclado Inalámbrico Cygna Slim Grafito LEVO"/>
        <s v="Aspiradora Inalámbrica Portátil Xpira Negra LEVO"/>
        <s v="Cámara HD Auto D3 Frontal, Interior y Trasera LEVO"/>
        <s v="Cámara de Seguridad Impermeable Wifi 5G 2MP GuardPro X5 LEVO"/>
        <s v="Timbre Video Portero Citofono Monitor WIFI LEVO"/>
        <s v="Pesa Digital Balanza Baño Bluetooth Inteligente Negra LEVO"/>
        <s v="Pesa Digital Balanza Baño Bluetooth Inteligente Blanca LEVO"/>
        <s v="Soporte Base Alzador Notebook Plegable Ajustable Gris LEVO"/>
        <s v="Soporte Brazo Doble Monitor Notebook Escritorio Negro LEVO"/>
        <s v="Soporte de Television Ajustable 32&quot; a 72&quot; LEVO"/>
        <s v="Proyector Portatil Smart Hexa 8000lm WiFi BT Android LEVO"/>
        <s v="Proyector Portatil Smart Lumix 9000lm Inalambrico BT LEVO"/>
        <s v="Proyector Portatil Smart Nova 9000lm WiFi BT Android LEVO"/>
        <s v="Proyector Portatil Smart Orion 12000lm WiFi BT Android LEVO"/>
        <s v="Proyector Portatil Smart Mini Lux 9000lm WiFi BT Android LEVO"/>
        <s v="Proyector Portatil Smart Flux 9000lm WiFi BT Android LEVO"/>
        <s v="Proyector Portatil Smart NOVUS 9000lm WiFi BT Android LEVO"/>
        <s v="Proyector Portatil Smart Neon Ultra 9000lm WiFi BT Android LEVO"/>
        <s v="Telón Proyector 100 pulgadas 200 x 150 cm LEVO"/>
        <s v="Telón Proyector 60 pulgadas 120 x 90 cm LEVO"/>
        <s v="Telón Proyector 80 pulgadas 165 x 125 cm LEVO"/>
        <s v="Telón Proyector 100 pulgadas 200 x 150 cm Negro LEVO"/>
        <s v="Telón Proyector 60 pulgadas 120 x 90 cm Negro LEVO"/>
        <s v="Telón Proyector 80 pulgadas 165 x 125 cm Negro LEVO"/>
        <s v="Telón Proyector 100 pulgadas Eléctrico 200 x 150 cm LEVO"/>
        <s v="Telón Proyector 60 pulgadas Eléctrico 120 x 90 cm LEVO"/>
        <s v="Telón Proyector 80 pulgadas Eléctrico 165 x 125 cm LEVO"/>
        <s v="Telón Proyector 100 pulgadas Elevación 200 x 150cm LEVO"/>
        <s v="Calcetin Corte Bajo Vora Running Black L-XL"/>
        <s v="Calcetin Corte Bajo Vora Running Black S-M"/>
        <s v="Calcetin Corte Bajo Vora Running Gray Melange L-XL"/>
        <s v="Calcetin Corte Bajo Vora Running Gray Melange S-M"/>
        <s v="Calcetin Corte Bajo Vora Running White L-XL"/>
        <s v="Calcetin Corte Bajo Vora Running White S-M"/>
        <s v="Calcetin Corte Medio Andor Blue L-XL"/>
        <s v="Calcetin Corte Medio Andor Blue S-M"/>
        <s v="Calcetin Corte Medio Andor Earth L-XL"/>
        <s v="Calcetin Corte Medio Andor Earth S-M"/>
        <s v="Calcetin Corte Medio Andor Gray Melange L-XL"/>
        <s v="Calcetin Corte Medio Andor Gray Melange S-M"/>
        <s v="Calcetin Deportivo Corte Medio Trail Numa Lhotse"/>
        <s v="Calcetin Corte Tobillo Numa Black S-M"/>
        <s v="Calcetin Corte Tobillo Numa Green L-XL"/>
        <s v="Calcetin Corte Tobillo Numa Green S-M"/>
        <s v="Calcetin Corte Tobillo Numa Gray L-XL"/>
        <s v="Calcetin Corte Tobillo Numa Gray S-M"/>
        <s v="Jockey 5 Panel Deck Algodón Unisex Black Lhotse"/>
        <s v="Jockey 5 Panel Deck Algodón Unisex Multi Lhotse"/>
        <s v="Jockey Deportivo Trail Running Alpine Unisex Black Lhotse"/>
        <s v="Jockey Deportivo Trail Running Alpine Unisex Green Lhotse"/>
        <s v="Jockey Deportivo Trail Running Alpine Unisex Purple Lhotse"/>
        <s v="Jockey Trekker Rise Algodon Unisex Lhotse"/>
        <s v="Jockey Trekker Southern Algodon Unisex Lhotse"/>
        <s v="Jockey Trekker Summit Algodón Unisex Lhotse"/>
        <s v="Jockey Deportivo FlexFlow DryFit Lhotse"/>
        <s v="Jockey Hike Algodón Unisex Lhotse"/>
        <s v="Jockey Ride Algodón Unisex Lhotse"/>
        <s v="Jockey Trekker Algodón Unisex Lhotse"/>
        <s v="Jockey Wave Algodón Unisex Lhotse"/>
        <s v="Pantuflas Térmicas Cloudfit Outdoor Suela WarmPath"/>
        <s v="Pantuflas Térmicas Nimbus Suela CloudGrip Outdoor Black 36/37"/>
        <s v="Pantuflas Térmicas Nimbus Suela CloudGrip Outdoor Black 38/39"/>
        <s v="Pantuflas Térmicas Nimbus Suela CloudGrip Outdoor Black 40/41"/>
        <s v="Pantuflas Térmicas Nimbus Suela CloudGrip Outdoor Black 42/43"/>
        <s v="Pantuflas Térmicas Nimbus Suela CloudGrip Outdoor Black 44/45"/>
        <s v="Pantuflas Térmicas Nimbus Suela CloudGrip Outdoor Black Camo 36/37"/>
        <s v="Pantuflas Térmicas Nimbus Suela CloudGrip Outdoor Black Camo 38/39"/>
        <s v="Pantuflas Térmicas Nimbus Suela CloudGrip Outdoor Black Camo 40/41"/>
        <s v="Pantuflas Térmicas Nimbus Suela CloudGrip Outdoor Black Camo 42/43"/>
        <s v="Pantuflas Térmicas Nimbus Suela CloudGrip Outdoor Black Camo 44/45"/>
        <s v="Pantuflas Térmicas Nimbus Suela CloudGrip Outdoor Pink 34/35"/>
        <s v="Pantuflas Térmicas Nimbus Suela CloudGrip Outdoor Pink 36/37"/>
        <s v="Pantuflas Térmicas Nimbus Suela CloudGrip Outdoor Pink 38/39"/>
        <s v="Pantuflas Térmicas Nimbus Suela CloudGrip Outdoor Pink 40/41"/>
        <s v="Pantuflas Térmicas Nimbus Suela CloudGrip Outdoor Smoky Green 36/37"/>
        <s v="Pantuflas Térmicas Nimbus Suela CloudGrip Outdoor Smoky Green 38/39"/>
        <s v="Pantuflas Térmicas Nimbus Suela CloudGrip Outdoor Smoky Green 40/41"/>
        <s v="Pantuflas Térmicas Nimbus Suela CloudGrip Outdoor Smoky Green 42/43"/>
        <s v="Pantuflas Térmicas Nimbus Suela CloudGrip Outdoor Smoky Green 44/45"/>
        <s v="Pantuflas Térmicas Nimbus Suela CloudGrip Outdoor Smoky Lila 34/35"/>
        <s v="Pantuflas Térmicas Nimbus Suela CloudGrip Outdoor Smoky Lila 36/37"/>
        <s v="Pantuflas Térmicas Nimbus Suela CloudGrip Outdoor Smoky Lila 38/39"/>
        <s v="Pantuflas Térmicas Nimbus Suela CloudGrip Outdoor Smoky Lila 40/41"/>
        <s v="Toalla Microfibra Secado Rapido QuickTrek Lhotse"/>
        <s v="Toalla Secado Rapido Lhotse 1"/>
        <s v="Toalla Secado Rapido Lhotse 2"/>
        <s v="Audifonos Bluetooth Inalambrico RM12 White Lhotse"/>
        <s v="Audifonos Bluetooth Inalambrico RM12 Black Lhotse"/>
        <s v="Audifonos Bluetooth Inalambrico RM12 Light Blue Lhotse"/>
        <s v="Audifonos Bluetooth Inalambrico RM12 Pink Lhotse"/>
        <s v="Audifonos Bluetooth Inalambrico RM7 Pro White Lhotse"/>
        <s v="Audifonos Bluetooth Inalambrico RM7 Pro Black Lhotse"/>
        <s v="Audifonos Bluetooth Inalambrico RM7 Pro Pink Lhotse"/>
        <s v="Audifonos Bluetooth Inalambrico RM7 Pro Light Blue Lhotse"/>
        <s v="Audifonos Inalámbricos Bluetooth Deportivos FitBuds Lhotse"/>
        <s v="Audifonos Inalámbricos Bluetooth Deportivos ENC Tuneair"/>
        <s v="Audifonos Bluetooth Inalambrico ANC BeatMaster Black Lhotse"/>
        <s v="Audifonos Bluetooth Inalambrico ANC BeatMaster Kaki Lhotse"/>
        <s v="Audifonos Bluetooth Inalambrico Over Ear WavePro Black Lhotse"/>
        <s v="Audifonos Bluetooth Inalambrico Over Ear WavePro White Lhotse"/>
        <s v="Audifonos Bluetooth TWS Pantalla Touch ANC RMPLUS+ Black Lhotse"/>
        <s v="Audifonos Bluetooth TWS Pantalla Touch ANC RMPLUS+ White Lhotse"/>
        <s v="Parlante Bounce Mini Black"/>
        <s v="Parlante Portatil Inalambrico Bluetooth Journey Black Lhotse"/>
        <s v="Parlante Portatil Inalambrico Bluetooth Journey Blue Lhotse"/>
        <s v="Parlante Portatil Inalambrico Bluetooth Pulse On Black Lhotse"/>
        <s v="Parlante Portatil Inalambrico Bluetooth Pulse On Blue Lhotse"/>
        <s v="Parlante Portatil Inalambrico Bluetooth Pulse On Gray Lhotse"/>
        <s v="Parlante Portatil Inalambrico Bluetooth Pulse On Red Lhotse"/>
        <s v="Parlante Portatil Inalambrico Bluetooth TripGo Black Lhotse"/>
        <s v="Parlante Portatil Inalambrico Bluetooth TripGo Blue Lhotse"/>
        <s v="Parlante Portatil Inalambrico Bluetooth TripGo Gray Lhotse"/>
        <s v="Parlante Portatil Inalambrico Bluetooth TripGo Red Lhotse"/>
        <s v="Parlante Portatil Inalambrico Bluetooth Tune Up Black Lhotse"/>
        <s v="Parlante Portatil Inalambrico Bluetooth Tune Up Red Lhotse"/>
        <s v="Parlante Portatil Inalambrico Bluetooth Tune Up Blue Lhotse"/>
        <s v="Parlante Portatil Inalambrico Bluetooth Tune Up Green Lhotse"/>
        <s v="Pick-up Pad Lhotse Porta 5 Bicicletas"/>
        <s v="Pick-up Pad Lhotse Porta 6 Bicicletas"/>
        <s v="Pick-up Pad Lhotse Porta 2 Bicicletas"/>
        <s v="Set Deportivo 7 en 1 Rueda Abdominal Cuerda Lhotse Fit"/>
        <s v="Banano Lhotse Impermeable Negro"/>
        <s v="Banano Outdoor Golight 1Lt Himalaya Lhotse"/>
        <s v="Banano Outdoor Impermeable K2 Negro 2L Lhotse"/>
        <s v="Bolso Deportivo Lhotse Duffel 30 Lts Bag Negro"/>
        <s v="Bolso Deportivo Impermeable Duffel 30L Traveller Black Lhotse"/>
        <s v="Bolso Deportivo Impermeable Duffel 30L Traveller Green Lhotse"/>
        <s v="Bolso Deportivo Impermeable Duffel 30L Traveller Navy Lhotse"/>
        <s v="Bolso Deportivo Impermeable Duffel 60L Traveller Black Lhotse"/>
        <s v="Bolso Deportivo Impermeable Duffel 60L Traveller Green Lhotse"/>
        <s v="Bolso Deportivo Impermeable Duffel 60L Traveller Navy Lhotse"/>
        <s v="Maleta Trolley Impermeable Duffel 30L Expedition Black Lhotse"/>
        <s v="Maleta Trolley Impermeable Duffel 70L Expedition Black Lhotse"/>
        <s v="Maleta Trolley Impermeable Duffel 90L Expedition Black Lhotse"/>
        <s v="Maleta Grande L Frontier Lhotse"/>
        <s v="Maleta Mediana M Frontier Lhotse"/>
        <s v="Maleta Cabina S Frontier Lhotse"/>
        <s v="Mochila Antirrobo Lhotse Gris"/>
        <s v="Mochila Outdoor Plegable 25L Black Lhotse"/>
        <s v="Mochila Outdoor Plegable 25 Lt Naranja Lhotse"/>
        <s v="Mochila Volcano Lhotse 19 Lt Negra"/>
        <s v="Mochila Volcano Lhotse 19 Lt Verde"/>
        <s v="Cooler Tote Bag 30L Lhotse"/>
        <s v="Mochila Outdoor con Bolsa de Agua HydroRoad Black Lhotse"/>
        <s v="Mochila Viaje Impermeable Porta Notebook 17.3&quot; 40L Broadpeak Black Lhotse"/>
        <s v="Mochila Cooler Bag 20L Lhotse"/>
        <s v="Mochila Outdoor 28L Latok Black Lhotse"/>
        <s v="Mochila Outdoor 28L Latok Burdeo Lhotse"/>
        <s v="Mochila Urbana Roll Top Impermeable Porta Notebook 22L Makalu Black Lhotse"/>
        <s v="Mochila Urbana Roll Top Impermeable Porta Notebook 22L Makalu Green Lhotse"/>
        <s v="Mochila Urbana Impermeable Porta Notebook 22L Pumori Black Lhotse"/>
        <s v="Mochila Urbana Impermeable Porta Notebook 22L Pumori Green Lhotse"/>
        <s v="Mochila Viaje Impermeable Porta Notebook 17.3&quot; 35L Nomad Black Lhotse"/>
        <s v="Neceser Viaje Waterproof 5L Khumbu Lhotse"/>
        <s v="Neceser Estuche de Viaje Travel Rimo Impermeable 5L Lhotse"/>
        <s v="Vaso Térmico Tumbler 1180ml Lhotse Light Blue"/>
        <s v="Vaso Térmico Tumbler 1180ml Lhotse Arena"/>
        <s v="Vaso Termico Tumbler Acero Inox Antiderrame 1180ml Black Lhotse"/>
        <s v="Vaso Termico Tumbler Acero Inox Antiderrame 1180ml Light Blue Lhotse"/>
        <s v="Vaso Termico Tumbler Acero Inox Antiderrame 1180ml Sand Lhotse"/>
        <s v="Vaso Termico Tumbler Acero Inox Antiderrame 1180ml Light Green Lhotse"/>
        <s v="Vaso Termico Tumbler Acero Inox Antiderrame 1180ml Pink Lhotse"/>
        <s v="Vaso Termico Tumbler Acero Inox Antiderrame 1180ml Lilac Lhotse"/>
        <s v="Vaso Térmico Tumbler 1180ml Lhotse Pink"/>
        <s v="Botella Termica Insulada 650ml Adventure Black Lhotse"/>
        <s v="Botella Termica Insulada 650ml Adventure Blue Lhotse"/>
        <s v="Botella Termica Insulada 650ml Adventure Pink Lhotse"/>
        <s v="Botella Termica Insulada 650ml Adventure White Lhotse"/>
        <s v="Botella Termica Insulada 960ml Hydro Lilac Lhotse"/>
        <s v="Botella Termica Insulada 960ml Hydro Pink Lhotse"/>
        <s v="Botella Termica Acero Inox 3 Tapas 1L HydroCore Beige Lhotse"/>
        <s v="Botella Termica Acero Inox 3 Tapas 1L HydroCore Black Lhotse"/>
        <s v="Botella Termica Acero Inox 3 Tapas 1L HydroCore Green Lhotse"/>
        <s v="Botella Termica Acero Inox 3 Tapas 1L HydroCore Navy Lhotse"/>
        <s v="Botella Termica Acero Inox 3 Tapas 1L HydroCore Pink Lhotse"/>
        <s v="Botella Termica Agua Hydrotek 750 ml Acero Inox Beige"/>
        <s v="Botella Termica Agua Hydrotek 750 ml Acero Inox Black"/>
        <s v="Botella Termica Agua Hydrotek 750 ml Acero Inox Green"/>
        <s v="Botella Termica Agua Hydrotek 750 ml Acero Inox Navy"/>
        <s v="Botella Termica Agua Hydrotek 750 ml Acero Inox Pink"/>
        <s v="Botella Termica Insulada 800ml Indo Black Lhotse"/>
        <s v="Botella Termica Insulada 800ml Indo Lilac Lhotse"/>
        <s v="Botella Termica Insulada 800ml Indo Red Lhotse"/>
        <s v="Mug Térmico para Café Termicup 590 ml Acero Inox Beige"/>
        <s v="Mug Térmico para Café Termicup 590 ml Acero Inox Black"/>
        <s v="Mug Térmico para Café Termicup 590 ml Acero Inox Green"/>
        <s v="Mug Térmico para Café Termicup 590 ml Acero Inox Navy"/>
        <s v="Mug Térmico para Café Termicup 590 ml Acero Inox Pink"/>
        <s v="Shaker Vaso Proteina Acero Inox NutriCore 500ml Beige Lhotse"/>
        <s v="Shaker Vaso Proteina Acero Inox 500ml NutriCore Black Lhotse"/>
        <s v="Shaker Vaso Proteina Acero Inox 500ml NutriCore Green Lhotse"/>
        <s v="Shaker Vaso Proteina Acero Inox NutriCore 500ml Blue Lhotse"/>
        <s v="Shaker Vaso Proteina Acero Inox 500ml NutriCore Pink Lhotse"/>
        <s v="Tapa Botella Boca Ancha Hydro Black Lhotse"/>
        <s v="Botella Termica Insulada 900ml Travel Mug Black Lhotse"/>
        <s v="Botella Termica Insulada 900ml Travel Mug Blue Lhotse"/>
        <s v="Botella Termica Insulada 900ml Travel Mug Green Lhotse"/>
        <s v="Botella Termica Insulada 900ml Travel Mug Pink Lhotse"/>
        <s v="Botella Termica Insulada 900ml Travel Mug White Lhotse"/>
        <s v="Taza Térmica Insulada Camping Black 350ml"/>
        <s v="Taza Térmica Insulada Camping Blue 350ml"/>
        <s v="Taza Térmica Insulada Camping Green 350ml"/>
        <s v="Taza Térmica Insulada Camping White 350ml"/>
        <s v="Mate Acero Inoxidable con Bombilla Black Lhotse"/>
        <s v="Mate Acero Inoxidable con Bombilla Green Lhotse"/>
        <s v="Mate Acero Inoxidable con Bombilla Light Pink Lhotse"/>
        <s v="Mate Acero Inoxidable con Bombilla Pink Lhotse"/>
        <s v="Mate Acero Inoxidable con Bombilla Red Lhotse"/>
        <s v="Mate Acero Inoxidable con Bombilla White Lhotse"/>
        <s v="Vaso Térmico Insulado Camping Black480ml"/>
        <s v="Vaso Térmico Insulado Camping Pink 480ml"/>
        <s v="Vaso Térmico Insulado Camping Red 480ml"/>
        <s v="Vaso Térmico Insulado Camping White 480ml"/>
        <s v="Termo Liquido Acero Inoxidable Classic 1,3 lts Black Lhotse"/>
        <s v="Termo Liquido Acero Inoxidable Classic 1,3 lts Green Lhotse"/>
        <s v="Termo Liquido Acero Inoxidable Classic 1,3 lts Pink Lhotse"/>
        <s v="Termo Liquido Acero Inoxidable Classic 1,3 lts White Lhotse"/>
        <s v="Banda Smartband Lhotse Flow 3"/>
        <s v="Reloj Smartwatch Lhotse Runner 219 46mm Black"/>
        <s v="Reloj Smartwatch Lhotse Ultimate GPS 217 Black"/>
        <s v="Reloj Smartwatch Lhotse Ultimate GPS 217 Pink"/>
        <s v="Reloj Smartwatch Lhotse Ultimate GPS 217 Gray"/>
        <s v="Smartwatch Mini Live 206 Pink"/>
        <s v="Reloj Smartwatch Lhotse Live 206 40mm Mini Black"/>
        <s v="Reloj Smartwatch Lhotse Live 206 Mini 40mm Light Green"/>
        <s v="Reloj Smartwatch GPS MoveOn 7 37/38mm"/>
        <s v="Reloj Smartwatch Music Rhythm X10 41mm"/>
        <s v="Reloj Smartwatch Shar GPS T1 43,5mm Black Lhotse"/>
        <s v="Reloj Smartwatch Shar GPS T1 43,5 Cream Lhotse"/>
        <s v="Reloj Smartwatch Shar GPS T1 43,5mm Pink Lhotse"/>
        <s v="Reloj Smartwatch Lhotse Vibe 05 GPS Black 45mm"/>
        <s v="Reloj Smartwatch Lhotse Vibe 05 GPS Cream 42mm"/>
        <s v="Calza Deportiva Mujer Legging Bergenia Lhotse"/>
        <s v="Peto Deportivo Mujer Middle Kalo Lhotse"/>
        <s v="Calza Biker Deportiva YALA Talla L Smoky Purple"/>
        <s v="Calza Biker Deportiva YALA Talla M Smoky Purple"/>
        <s v="Calza Biker Deportiva YALA Talla S Smoky Purple"/>
        <s v="Calza Biker Deportiva YALA Talla XL Smoky Purple"/>
        <s v="Calza Biker Deportiva YALA Talla XS Smoky Purple"/>
        <s v="Calza Legging Deportiva MERA Talla L Soft Purple"/>
        <s v="Calza Legging Deportiva MERA Talla M Soft Purple"/>
        <s v="Calza Legging Deportiva MERA Talla S Soft Purple"/>
        <s v="Calza Legging Deportiva MERA Talla XL Soft Purple"/>
        <s v="Calza Legging Deportiva MERA Talla XS Soft Purple"/>
        <s v="Peto Deportivo VEDA Talla L Smoky Purple"/>
        <s v="Peto Deportivo VEDA Talla M Smoky Purple"/>
        <s v="Peto Deportivo VEDA Talla S Smoky Purple"/>
        <s v="Peto Deportivo VEDA Talla XL Smoky Purple"/>
        <s v="Peto Deportivo VEDA Talla XS Smoky Purple"/>
        <s v="Short Hombre Cargo Adventure Barun UV50+ Lhotse"/>
        <s v="Calza Deportiva Mujer Biker Dhara Lhotse"/>
        <s v="Pantalón Trekking Desmontable Mujer UV50+ Lukla-W Lhotse"/>
        <s v="Pantalon Trekking Desmontable Namche Talla 40 Black"/>
        <s v="Pantalon Trekking Desmontable Namche Talla 40 Blue"/>
        <s v="Pantalon Trekking Desmontable Namche Talla 42 Black"/>
        <s v="Pantalon Trekking Desmontable Namche Talla 42 Blue"/>
        <s v="Pantalon Trekking Desmontable Namche Talla 44 Black"/>
        <s v="Pantalon Trekking Desmontable Namche Talla 44 Blue"/>
        <s v="Pantalon Trekking Desmontable Namche Talla 46 Black"/>
        <s v="Pantalon Trekking Desmontable Namche Talla 46 Blue"/>
        <s v="Pantalon Trekking Desmontable Namche Talla 48 Black"/>
        <s v="Pantalon Trekking Desmontable Namche Talla 48 Blue"/>
        <s v="Pantalon Trekking Hombre Desmontable Lukla Lhotse"/>
        <s v="Chaqueta Parka Hombre Nuptse Lhotse"/>
        <s v="Cortaviento Impermeable Gorak Shep Lhotse"/>
        <s v="Parka Puffa Hombre Khumbu Lhotse"/>
        <s v="Polerón Unisex Sweatshirt Mycena Lhotse"/>
        <s v="Polerón Unisex Sweatshirt Origin Lhotse"/>
        <s v="Polar Segunda Capa Mujer Lobuche Cap Lhotse"/>
        <s v="Poleron Hoodie Arun Talla L Green"/>
        <s v="Poleron Hoodie Arun Talla L Grey"/>
        <s v="Poleron Hoodie Arun Talla M Green"/>
        <s v="Poleron Hoodie Arun Talla M Grey"/>
        <s v="Poleron Hoodie Arun Talla S Green"/>
        <s v="Poleron Hoodie Arun Talla S Grey"/>
        <s v="Poleron Hoodie Arun Talla XL Green"/>
        <s v="Poleron Hoodie Arun Talla XL Grey"/>
        <s v="Poleron Hoodie Arun Talla XXL Green"/>
        <s v="Poleron Hoodie Arun Talla XXL Grey"/>
        <s v="Polar Segunda Capa Lobuche Lhotse"/>
        <s v="Polar Hombre Tejido Térmico Anti-peeling Middle Lhotse"/>
        <s v="Polar Hombre Half Zip Térmico con Bolsillos Shar Lhotse"/>
        <s v="Polar Hombre Chiporro Sherpa Térmico Main Lhotse"/>
        <s v="Polerón Hombre Hoodie Katmandú Lhotse"/>
        <s v="Polera Deportiva Manga Corta Hombre Boyak DryCool Lhotse"/>
        <s v="Polera Manga Corta Hombre Digueñe Lhotse"/>
        <s v="Polera Manga Corta Hombre Morchella Esculenta Lhotse"/>
        <s v="Polera Manga Corta Hombre Boletus Loyo Lhotse"/>
        <s v="Polera Manga Corta Hombre Amanita Muscaria Lhotse"/>
        <s v="Polera Manga Corta Hombre Micelio Mycena Lhotse"/>
        <s v="Polera Hombre South Summit Talla L Brown"/>
        <s v="Polera Hombre Explore Talla L Dark Blue"/>
        <s v="Polera Hombre Terrain Talla L Dark Green"/>
        <s v="Polera Hombre Meridian Talla L Dark Grey"/>
        <s v="Polera Hombre Expedition Talla L White"/>
        <s v="Polera Hombre South Summit Talla M Brown"/>
        <s v="Polera Hombre Explore Talla M Dark Blue"/>
        <s v="Polera Hombre Terrain Talla M Dark Green"/>
        <s v="Polera Hombre Meridian Talla M Dark Grey"/>
        <s v="Polera Hombre Expedition Talla M White"/>
        <s v="Polera Hombre South Summit Talla S Brown"/>
        <s v="Polera Hombre Explore Talla S Dark Blue"/>
        <s v="Polera Hombre Terrain Talla S Dark Green"/>
        <s v="Polera Hombre Meridian Talla S Dark Grey"/>
        <s v="Polera Hombre Expedition Talla S White"/>
        <s v="Polera Hombre South Summit Talla XL Brown"/>
        <s v="Polera Hombre Explore Talla XL Dark Blue"/>
        <s v="Polera Hombre Terrain Talla XL Dark Green"/>
        <s v="Polera Hombre Meridian Talla XL Dark Grey"/>
        <s v="Polera Hombre Expedition Talla XL White"/>
        <s v="Polera Hombre South Summit Talla XXL Brown"/>
        <s v="Polera Hombre Explore Talla XXL Dark Blue"/>
        <s v="Polera Hombre Terrain Talla XXL Dark Green"/>
        <s v="Polera Hombre Meridian Talla XXL Dark Grey"/>
        <s v="Polera Hombre Expedition Talla XXL White"/>
        <s v="Primera Capa Térmica Hombre Dugla Stay Warm Top Lhotse"/>
        <s v="Polera Hombre Manga Corta Nepal Lhotse"/>
        <s v="Cámara de Acción Deportiva Summit 5k 30fps Accesorios"/>
        <s v="Cámara de acción doble pantalla 4k 30ftps Xplore Lhotse"/>
        <s v="PURITO Wonder Releaf Centella Serum Unscented"/>
        <s v="PURITO Wonder Releaf Centella Toner Unscented"/>
        <s v="PURITO Wonder Releaf Centella Mini Kit Unscented"/>
        <s v="PURITO Oat-in Calming Gel Cream"/>
        <s v="PURITO Wonder Releaf Centella Cream Unscented"/>
        <s v="PURITO Mighty Bamboo Panthenol Cream"/>
        <s v="Decantador Aireador Vino Chateau 1650ml"/>
        <s v="Decantador Aireador Vino Rouge 1500ml"/>
        <s v="Descorchador Abridor Vino Sommelier Simplit"/>
        <s v="Hielera Vidrio Charlotte Tapa Madera 3,8lts Simplit"/>
        <s v="Jarra Vidrio"/>
        <s v="Cubeta de Hielo Silicona 160 Mini Hielos Simplit"/>
        <s v="Cubeta de Hielo Silicona 15 Hielos Simplit"/>
        <s v="Cubeta de Hielo Silicona 6 Hielos Redondos Simplit"/>
        <s v="Cubeta de Hielo Silicona 6 Hielos Grandes Simplit"/>
        <s v="Set 6 Tazas 250ml  mango color "/>
        <s v="Set 2 Vasos Moscow Mule Mug Cobre + Bombillas Simplit"/>
        <s v="Set 2 Vasos Vidrio Doble Pared 400 ml Simplit"/>
        <s v="Set 2 Vasos Vidrio Borosilicato 550 ml Simplit"/>
        <s v="Set 2 Vasos de Vidrio Estilo Japonés 320 ml Simplit"/>
        <s v="Set 2 Vasos Cobre Moscow Mule Mojito Bar + Bombilla Simplit"/>
        <s v="Set 6 Vasos Corto Vintage Charlotte 200ml Simplit"/>
        <s v="Set 6 Vasos Largo Vintage Charlotte 350ml Simplit"/>
        <s v="Set 6 Vasos redondos Virginia 340ml Simplit"/>
        <s v="Set 6 Vasos Whisky Kentucky 270ml Simplit"/>
        <s v="Set 6 Vasos Cerveza Portland 380ml Simplit"/>
        <s v="Set 6 Vaso Copa Cerveza Collins 420ml Simplit"/>
        <s v="Set 6 Copas Espumante 200ml Cristal Monaco Simplit"/>
        <s v="Set 6 Copas Gin 650ml Cristal London Simplit"/>
        <s v="Set 6 Copa Gin Ondas"/>
        <s v="Set 6 Copas Vino Blanco 400ml Cristal Alsacia Simplit"/>
        <s v="Set 6 copa vino Ondas"/>
        <s v="Set 6 Copas Vino Tinto 540ml Cristal Piamonte Simplit"/>
        <s v="Set 6 Vasos Cortos 380ml Vidrio Ginebra Simplit"/>
        <s v="Set 6 vasos 335ml hammer"/>
        <s v="Set 6 vasos 510ml hammer"/>
        <s v="Set 6 Vasos Largos 460ml Vidrio Ginebra Simplit"/>
        <s v="Set 6 vasos 332ml Ondas"/>
        <s v="Set 4 Vasos Vidrio Borosilicato 550 ml Simplit"/>
        <s v="Espumador de Leche 4 en 1 Negro Simplit"/>
        <s v="Espumador de Leche 4 en 1 Blanco Simplit"/>
        <s v="Juego De 4 Cachos Eco Cuero Negro Simplit"/>
        <s v="Batería de Cocina Antiadherente Classic 8 Piezas Simplit"/>
        <s v="Batería de Cocina Antiadherente Copper 7 Piezas Simplit"/>
        <s v="Batería de Cocina Antiadherente Oregon 5 Piezas Simplit"/>
        <s v="Batería de Cocina Toulouse 7 pcs + Accesorios Simplit"/>
        <s v="Batería de Cocina Antiadherente Black Copper 7 Pzs Simplit"/>
        <s v="Batería de Cocina Antiadherente Lucca 10 Piezas Simplit"/>
        <s v="Batería de Cocina Antiadherente Oxford Beige 15 pcs Simplit"/>
        <s v="Batería de Cocina Antiadherente Oxford Granito 15pcs Simplit"/>
        <s v="Batería de Cocina Antiadherente Pompei Granito 7 Piezas Simplit"/>
        <s v="Batería de Cocina Antiadherente Savannah 9 Piezas"/>
        <s v="Set de Cucharas Ensalada Versalle Acero Inoxidable Simplit"/>
        <s v="Set de Cuchillería 24 pcs Acero Inoxidable Cerdeña Simplit"/>
        <s v="Set Cuchillos Holz 5 pcs Acero Inoxidable + Taco Simplit"/>
        <s v="Set Cuchillos Küche 5 pcs Acero Inoxidable + Base Simplit"/>
        <s v="Set Cuchillos 5 pcs Paris Acero Inoxidable Simplit"/>
        <s v="Set Cuchillos 5 pcs Versalle Simplit"/>
        <s v="Set Cuchillos 5 pcs Marsella Acero Inoxidable Simplit"/>
        <s v="Set de Cuchillería 24 pcs Cubiertos Paris Simplit"/>
        <s v="Set de Cuchillería 30 pcs Cubiertos Acero Inoxidable Puglia"/>
        <s v="Set Cuchillos para Queso 4 pcs Provenza Simplit"/>
        <s v="Set de Cuchillería 30 pcs Cubiertos Acero Inoxidable Sicilia"/>
        <s v="Set Cuchillos Stahl 5 pcs Acero Inoxidable + Taco Simplit"/>
        <s v="Set Parrillero Toledo Cuchillo y Tenedor Acero Inox Simplit"/>
        <s v="Set de Cuchillería 24 pcs Cubiertos Versalle Simplit"/>
        <s v="Set de Cuchillería 24 pcs Cubiertos Le Mans Simplit"/>
        <s v="Mantequillero de Cerámica Tapa Bamboo 300 ml Simplit"/>
        <s v="Mantequillero Cerámica Tapa Bamboo + Cuchillo 600 ml Simplit"/>
        <s v="Mantequillero cerámica tapa bamboo con cuchillo 600ml NEGRO"/>
        <s v="Sartén Antiadherente Tapa 28cm Copper Simplit"/>
        <s v="Sartén Antiadherente 24cm Copper Simplit"/>
        <s v="Olla Cacerola Antiadherente 28cm Toulouse Simplit"/>
        <s v="Termo de Comida Insulado Acero Inox 750 ml Rosado Simplit"/>
        <s v="Termo de Comida Insulado Acero Inox 750 ml Negro Simplit"/>
        <s v="Termo de Comida Insulado Acero Inox 750 ml Gris Simplit"/>
        <s v="Termo Comida 400ml Negro Cuchara Acero Inox Simplit"/>
        <s v="Set 12 Utensilios De Cocina Silicona Calipso Simplit"/>
        <s v="Set 12 Utensilios De Cocina Silicona Negro Simplit"/>
        <s v="Balanza Pesa Digital Para Cocina Simplit"/>
        <s v="Bowl Cortador Rallador de Verduras Multifuncional Simplit"/>
        <s v="Tabla Para Picar Cortar Madera 40x28cm Cutte Simplit"/>
        <s v="Individual x4 Lineas 30x45cm Simplit"/>
        <s v="Individual x4 Liso 30x45cm Simplit"/>
        <s v="Mantel Liso 180x240cm Simplit"/>
        <s v="Mantel Rayas 180x240cm Simplit"/>
        <s v="Mantel Liso 150x210cm Simplit"/>
        <s v="Mantel Rayas 150x210cm Simplit"/>
        <s v="Servilleta Genero x4 Beige 40x40cm Simplit"/>
        <s v="Servilleta Genero x4 Verde 40x40cm Simplit"/>
        <s v="Cafetera Italiana Negra Granito 4 Tazas Simplit"/>
        <s v="Cafetera Prensa Francesa Negra 600 ml Simplit"/>
        <s v="Cafetera Italiana Negra Granito 12 Tazas Simplit"/>
        <s v="Cafetera Prensa Francesa Vidrio Cobre 600 ml Simplit"/>
        <s v="Cafetera Italiana Lucca 12 Tazas Simplit"/>
        <s v="Cafetera Italiana Savannah 12 Tazas Simplit"/>
        <s v="Cafetera Italiana Lucca 4 Tazas Simplit"/>
        <s v="Cafetera Italiana Savannah 4 Tazas Simplit"/>
        <s v="Contenedor Hermético De Café Acero Inoxidable Milán Simplit"/>
        <s v="Set 2 Tazas Vidrio Doble Pared Espreso 80 ml Simplit"/>
        <s v="Taza de Vidrio Doble Pared 350 ml Simplit"/>
        <s v="Taza Mug de Vidrio Doble Pared 300 ml Simplit"/>
        <s v="Termo Jarra Insulado 1 Lt Simplit"/>
        <s v="Vaso Térmico Tumbler 750ml Tapa y Bombilla Simplit"/>
        <s v="Basurero Cocina Handy 55lts Táctil Acero Inox Simplit"/>
        <s v="Basurero Cocina Iron 40lts Pedal Acero Inox Simplit"/>
        <s v="Basurero Cocina Urban 30lts Pedal Acero Inox Simplit"/>
        <s v="Basurero Cocina Livorno 12Lt Pedal Acero Inox Simplit"/>
        <s v="Basurero Cocina Lucca 12Lt Pedal Acero Inox Simplit"/>
        <s v="Set de 7 Contenedores Herméticos Plástico Simplit"/>
        <s v="Set de 3 Contenedores Herméticos Plástico Simplit"/>
        <s v="Organizador Refrigerador con Cesta M Simplit"/>
        <s v="Organizador Refrigerador con Cesta L Simplit"/>
        <s v="Organizador Refrigerador con Drenaje S Simplit"/>
        <s v="Organizador Refrigerador con Drenaje L Simplit"/>
        <s v="Set 3 Bowls con Tapa Acero Inoxidable Antideslizante Simplit"/>
        <s v="Panera Metálica con Tapa Bamboo Blanca Simplit"/>
        <s v="Contenedor de Cerámica Hermético Tapa Madera S Simplit"/>
        <s v="Contenedor de Cerámica Hermético Tapa Madera M Simplit"/>
        <s v="Contenedor de Cerámica Hermético Tapa Madera L Simplit"/>
        <s v="Tupper de Acero Inoxidable Tapa Madera 800 ml Simplit"/>
        <s v="Set 4 Contenedores de Vidrio Herméticos Tapa Bamboo Simplit"/>
        <s v="Set de 7 Contenedores Herméticos Plástico Negro Simplit"/>
        <s v="Set 4 Contenedores Herméticos Vidrio Tapa Madera Dublín Simplit"/>
        <s v="Organizador Cubiertos Expandible Madera Acasia Basel Simplit"/>
        <s v="Organizador de cubiertos expandible Oslo Simplit"/>
        <s v="Contenedor Plástico Hermético Bento Box"/>
        <s v="Especiero Condimentos Giratorio Metálico 16 Frascos Simplit"/>
        <s v="Especiero Condimentos de Madera 8 Frascos Vidrio Simplit"/>
        <s v="Set 2 Molinillos de Sal y Pimienta Vidrio Simplit"/>
        <s v="Set 2 Molinillos Sal Pimienta Madera Verona Simplit"/>
        <s v="Secaplatos Escurridor 2 Niveles Acero Inox Negro Simplit"/>
        <s v="Secaplatos Escurridor 2 Niveles Acero Inox Blanco Simplit"/>
        <s v="Secaplatos Escurridor 1 Nivel Acero Inox Negro Simplit"/>
        <s v="Secaplatos Escurridor 1 Nivel Acero Inox Blanco Simplit"/>
        <s v="Secaplatos Escurridor Acero Inox Bilbao 2 Niveles"/>
        <s v="Secaplatos Escurridor Acero Inox Valencia 2 Niveles Simplit"/>
        <s v="Alcuza vidrio"/>
        <s v="Set Alcuza Cerámica 2 Piezas Cuadrada 500 ml Simplit"/>
        <s v="Simplit Azucarero "/>
        <s v="Fuente de Cerámica para Horno Cacerola Olla Roja Simplit"/>
        <s v="Set 3 Fuentes de Cerámica para Horno Celeste Simplit"/>
        <s v="Juego Loza Cerámica 16 pcs Amalfi 4 personas Simplit"/>
        <s v="Juego Loza Cerámica 24 pcs Amalfi Simplit"/>
        <s v="Juego de Loza 30 pcs Cerámica Bruselas 6 personas Simplit"/>
        <s v="Juego de Loza 30 pcs Cerámica Oporto Simplit"/>
        <s v="Juego de Loza 30pcs Santorini Simplit"/>
        <s v="Juego Loza Cerámica 30 pcs Siena 6 personas Simplit"/>
        <s v="Juego de Loza 12 pcs Cerámica Toscana Simplit"/>
        <s v="Set 4 Bowls Cerámica 8,5cm Amalfi Simplit"/>
        <s v="Set 4 Bowls Cerámica 8,5cm Siena Simplit"/>
        <s v="Set 4 Tazas Cerámica 330ml Amalfi Simplit"/>
        <s v="Set 4 Platos Fondo Cerámica 27,4 cm Amalfi Simplit"/>
        <s v="Set 4 Platos Fondo Cerámica 26,7cm Siena Simplit"/>
        <s v="Set 2 Tazas Cerámica 420 ml Palermo Simplit"/>
        <s v="Set 4 Tazas Cerámica 330ml Siena Simplit"/>
        <s v="Afeitadora Facial Masculina SkinFlow T-Care"/>
        <s v="Afeitadora Rasuradora Corporal Electrica NeoBlade 3.1 T-Care"/>
        <s v="Alisador y Secador de Pelo 2 en 1 AeroGliss T-Care"/>
        <s v="Secador de pelo Multistyler T-Care 5 en 1"/>
        <s v="Secador de pelo Multistyler 5 en 1 AeroFlow Beige"/>
        <s v="Botella Agua Niños Barbie Love 420ml con Bombilla UMA"/>
        <s v="Botella Agua Niños Barbie &amp; Pets 420ml con Bombilla UMA"/>
        <s v="Botella Agua Niños Hot Wheels Monster Truck 420ml con Bombilla UMA"/>
        <s v="Botella Agua Niños Hot Wheels Race 420ml con Bombilla UMA"/>
        <s v="Botella Termica Insulada Barbie Club 500ml"/>
        <s v="Botella Termica Insulada Barbie Inspire 500ml"/>
        <s v="Shaker Vaso Proteina Acero Inoxidable Barbie Dark Print 500ml"/>
        <s v="Shaker Vaso Proteina Acero Inoxidable Barbie Light Print 500ml"/>
        <s v="Botella Termica Insulada Classic Barbie Dark Print 750ml"/>
        <s v="Botella Termica Insulada Fit Barbie Light Print 750ml"/>
        <s v="Botella Termica Insulada Fit Barbie Safari 750ml"/>
        <s v="Botella Termica Insulada Classic Barbie Inspire 750ml"/>
        <s v="Botella Termica Insulada Classic Barbie Lines 750ml"/>
        <s v="Botella Termica Insulada Classic Barbie Light Print 750ml"/>
        <s v="Botella Termica Insulada Barbie Dream 500ml"/>
        <s v="Botella Termica Insulada Fit Barbie Dark Print 750ml"/>
        <s v="Botella Termica Insulada Fit Barbie Flow 750ml"/>
        <s v="Botella Termica Insulada Hot Wheels Legends Nitro 2 en 1 Yellow 590ml UMA"/>
        <s v="Botella Termica Isulada Hot Wheels Legends Loop 2 en 1 Black 590ml UMA"/>
        <s v="Botella Térmica Insulada Hot Wheels Legends Finish Black 750 ml UMA"/>
        <s v="Botella Térmica Insulada Hot Wheels Legends Drift Yellow Lid 750 ml UMA"/>
        <s v="Botella Térmica Insulada Hot Wheels Legends Torque Yellow 750 ml UMA"/>
        <s v="Vaso Térmico para Café Mug Hot Wheels Legends Tour Beige 590 ml UMA"/>
        <s v="Vaso Térmico para Café Mug Hot Wheels Legends Champ Black 590 ml UMA"/>
        <s v="Vaso Térmico para Café Mug Hot Wheels Legends Turbo Yellow 590 ml UMA"/>
        <s v="Botella Termica Niños Barbie 450ml Acero Inox UMA"/>
        <s v="Botella Termica Niños Barbie Iconic 450ml Acero Inox UMA"/>
        <s v="Botella Termica Niños Barbie Inspire 2 en 1 590ml Acero Inox UMA"/>
        <s v="Botella Termica Niños Barbie Malibu 450ml Acero Inox UMA"/>
        <s v="Botella Termica Niños Barbie Shine 2 en 1 590ml Acero Inox UMA"/>
        <s v="Botella Termica Niños Hot Wheels Class 450ml Acero Inox UMA"/>
        <s v="Botella Termica Niños Hot Wheels Comic 2 en 1 590ml Acero Inox UMA"/>
        <s v="Botella Termica Niños Hot Wheels Fast 2 en 1 590ml Acero Inox UMA"/>
        <s v="Botella Termica Niños Hot Wheels Race 450ml Acero Inox UMA"/>
        <s v="Botella Termica Niños Hot Wheels Trucks 450ml Acero Inox UMA"/>
        <s v="Vaso Termico Tumbler Mug Barbie Dreams 590ml Acero Inox UMA"/>
        <s v="Vaso Termico Tumbler Mug Barbie Love 590ml Acero Inox UMA"/>
        <s v="Vaso Termico Tumbler Mug Barbie Print 590ml Acero Inox UMA"/>
        <s v="Vaso Termico Tumbler Mug Barbie Vibes 590ml Acero Inox UMA"/>
        <s v="Termo Comida Barbie &amp; Friends + Cuchara 450ml Acero Inox UMA"/>
        <s v="Termo Comida Barbie Fun + Cuchara 450ml Acero Inox UMA"/>
        <s v="Termo Comida Hot Wheels Class + Cuchara 330ml Acero Inox UMA"/>
        <s v="Termo Comida Hot Wheels Truck + Cuchara 330ml Acero Inox UMA"/>
        <s v="Funda Cubre Asiento de Auto Impermeable Mascotas Negra Xroad"/>
        <s v="Carpa Funda Cubre Auto Impermeable Premium con Felpa Xroad"/>
        <s v="Carpa Funda Cubre Moto Impermeable Premium con Felpa Xroad"/>
        <s v="Carpa Funda Cubre SUV Impermeable Premium con Felpa Xroad"/>
        <s v="Fundas Cubreasientos Ecocuero Universal Negro XRoad"/>
        <s v="Alfombra Piso de Goma para auto Universal 3 piezas Xroad"/>
        <s v="Alfombra Piso de Goma para auto Universal 4 piezas Xroad"/>
        <s v="Cadena + Candado para Rueda de Repuesto Antirrobo XRoad"/>
        <s v="Barras Portaequipaje de Aluminio para Techo Xroad"/>
        <s v="Parrilla Para Auto Aluminio Portaequipaje Universal Gris Xroad"/>
        <s v="Barra Portaequipaje Enganche Universal 122cm Xroad"/>
        <s v="Barra Portaequipaje Enganche Universal 129cm Xroad"/>
        <s v="Barra Portaequipaje Enganche Universal 139cm Xroad"/>
        <s v="Bolso para Techo Porta Equipajes Blando Gris Xroad"/>
        <s v="Bolso para Techo Porta Equipajes Blando Color Xroad"/>
        <s v="Parrilla Para Auto Aluminio Portaequipaje Universal Negra Xroad"/>
        <s v="Sensor De Retroceso Para Automóviles Xroad"/>
        <s v="Toldo Camping Lateral Para Auto Techo Xroad"/>
        <s v="Toldo Camping Lateral Para Auto Techo 270° Xroad"/>
        <s v="Carpa Armado Automatico 10 personas Xroad"/>
        <s v="Carpa Inflable 3-4 Personas 3 Estaciones Beige Xroad"/>
        <s v="Carpa Inflable 6-8 personas Xroad"/>
        <s v="Carro de Transporte con Techo 150 KG Negro Xroad"/>
        <s v="Colchon inflable Automatico 2 plazas Xroad"/>
        <s v="Cooler Portátil 50L con Ruedas Negro Xroad"/>
        <s v="Cooler Eléctrico Portátil 20L 12V Gris Xroad"/>
        <s v="Cooler Eléctrico Portátil 40L 12V Gris Xroad"/>
        <s v="Cooler Freezer Eléctrico Portátil 40L 12V Gris Xroad"/>
        <s v="Cooler Eléctrico Portátil 30L 12V Gris Xroad"/>
        <s v="Estación de Energía Portátil 300W 248WH 80.000mAh 220V Xroad"/>
        <s v="Quitasol Con Drill de Instalacion Xroad"/>
        <s v="Partidor de Batería Portátil con Compresor de Aire 12V Xroad"/>
        <s v="Hidrolavadora Eléctrica HydroX 1800W 120 Bar Xroad"/>
      </sharedItems>
    </cacheField>
    <cacheField name="TOTAL" numFmtId="0">
      <sharedItems containsBlank="1" count="2">
        <s v="NO TOTAL"/>
        <m/>
      </sharedItems>
    </cacheField>
    <cacheField name="Categoria Producto" numFmtId="0">
      <sharedItems containsBlank="1" count="9">
        <s v="Plata"/>
        <s v="Diamante"/>
        <s v="Descontinuado"/>
        <s v="Oro"/>
        <s v="Nuevo"/>
        <s v="Bronce"/>
        <m/>
        <s v="In/Out"/>
        <s v="Corporativo"/>
      </sharedItems>
    </cacheField>
    <cacheField name="% Proyeccion Vta" numFmtId="9">
      <sharedItems containsSemiMixedTypes="0" containsString="0" containsNumber="1" minValue="0.5" maxValue="1.8"/>
    </cacheField>
    <cacheField name="Ranking Comercial" numFmtId="0">
      <sharedItems containsString="0" containsBlank="1" containsNumber="1" containsInteger="1" minValue="0" maxValue="422" count="423">
        <n v="179"/>
        <n v="38"/>
        <n v="20"/>
        <n v="0"/>
        <n v="30"/>
        <n v="163"/>
        <n v="137"/>
        <n v="250"/>
        <n v="420"/>
        <n v="263"/>
        <n v="181"/>
        <n v="207"/>
        <n v="421"/>
        <n v="103"/>
        <n v="123"/>
        <n v="366"/>
        <n v="36"/>
        <n v="400"/>
        <n v="49"/>
        <n v="52"/>
        <n v="53"/>
        <n v="99"/>
        <n v="84"/>
        <n v="45"/>
        <n v="262"/>
        <n v="297"/>
        <n v="252"/>
        <n v="360"/>
        <n v="239"/>
        <n v="306"/>
        <n v="348"/>
        <n v="268"/>
        <n v="247"/>
        <n v="249"/>
        <n v="206"/>
        <n v="107"/>
        <n v="80"/>
        <n v="102"/>
        <n v="135"/>
        <n v="153"/>
        <n v="48"/>
        <n v="43"/>
        <n v="88"/>
        <n v="92"/>
        <n v="76"/>
        <n v="72"/>
        <n v="89"/>
        <n v="180"/>
        <n v="10"/>
        <n v="70"/>
        <m/>
        <n v="68"/>
        <n v="182"/>
        <n v="24"/>
        <n v="57"/>
        <n v="205"/>
        <n v="13"/>
        <n v="37"/>
        <n v="100"/>
        <n v="39"/>
        <n v="59"/>
        <n v="213"/>
        <n v="212"/>
        <n v="264"/>
        <n v="229"/>
        <n v="96"/>
        <n v="196"/>
        <n v="21"/>
        <n v="4"/>
        <n v="29"/>
        <n v="9"/>
        <n v="67"/>
        <n v="23"/>
        <n v="279"/>
        <n v="364"/>
        <n v="401"/>
        <n v="15"/>
        <n v="126"/>
        <n v="47"/>
        <n v="177"/>
        <n v="307"/>
        <n v="378"/>
        <n v="359"/>
        <n v="319"/>
        <n v="331"/>
        <n v="390"/>
        <n v="367"/>
        <n v="321"/>
        <n v="377"/>
        <n v="351"/>
        <n v="316"/>
        <n v="326"/>
        <n v="384"/>
        <n v="368"/>
        <n v="356"/>
        <n v="337"/>
        <n v="342"/>
        <n v="188"/>
        <n v="121"/>
        <n v="209"/>
        <n v="194"/>
        <n v="128"/>
        <n v="113"/>
        <n v="203"/>
        <n v="277"/>
        <n v="143"/>
        <n v="189"/>
        <n v="56"/>
        <n v="104"/>
        <n v="91"/>
        <n v="110"/>
        <n v="62"/>
        <n v="97"/>
        <n v="197"/>
        <n v="192"/>
        <n v="230"/>
        <n v="193"/>
        <n v="224"/>
        <n v="116"/>
        <n v="114"/>
        <n v="214"/>
        <n v="85"/>
        <n v="155"/>
        <n v="117"/>
        <n v="167"/>
        <n v="41"/>
        <n v="86"/>
        <n v="81"/>
        <n v="61"/>
        <n v="226"/>
        <n v="162"/>
        <n v="131"/>
        <n v="141"/>
        <n v="158"/>
        <n v="175"/>
        <n v="51"/>
        <n v="152"/>
        <n v="75"/>
        <n v="186"/>
        <n v="79"/>
        <n v="54"/>
        <n v="399"/>
        <n v="71"/>
        <n v="95"/>
        <n v="145"/>
        <n v="14"/>
        <n v="136"/>
        <n v="120"/>
        <n v="73"/>
        <n v="142"/>
        <n v="124"/>
        <n v="422"/>
        <n v="130"/>
        <n v="219"/>
        <n v="118"/>
        <n v="191"/>
        <n v="199"/>
        <n v="184"/>
        <n v="144"/>
        <n v="161"/>
        <n v="165"/>
        <n v="150"/>
        <n v="185"/>
        <n v="173"/>
        <n v="308"/>
        <n v="187"/>
        <n v="146"/>
        <n v="211"/>
        <n v="148"/>
        <n v="111"/>
        <n v="101"/>
        <n v="164"/>
        <n v="151"/>
        <n v="149"/>
        <n v="201"/>
        <n v="160"/>
        <n v="168"/>
        <n v="217"/>
        <n v="397"/>
        <n v="259"/>
        <n v="398"/>
        <n v="296"/>
        <n v="231"/>
        <n v="285"/>
        <n v="238"/>
        <n v="243"/>
        <n v="267"/>
        <n v="278"/>
        <n v="204"/>
        <n v="228"/>
        <n v="242"/>
        <n v="280"/>
        <n v="26"/>
        <n v="34"/>
        <n v="391"/>
        <n v="412"/>
        <n v="414"/>
        <n v="411"/>
        <n v="413"/>
        <n v="346"/>
        <n v="387"/>
        <n v="370"/>
        <n v="409"/>
        <n v="405"/>
        <n v="408"/>
        <n v="404"/>
        <n v="407"/>
        <n v="406"/>
        <n v="410"/>
        <n v="353"/>
        <n v="343"/>
        <n v="403"/>
        <n v="283"/>
        <n v="379"/>
        <n v="328"/>
        <n v="340"/>
        <n v="376"/>
        <n v="393"/>
        <n v="362"/>
        <n v="417"/>
        <n v="418"/>
        <n v="323"/>
        <n v="388"/>
        <n v="288"/>
        <n v="350"/>
        <n v="338"/>
        <n v="416"/>
        <n v="365"/>
        <n v="304"/>
        <n v="415"/>
        <n v="369"/>
        <n v="311"/>
        <n v="383"/>
        <n v="382"/>
        <n v="349"/>
        <n v="363"/>
        <n v="357"/>
        <n v="394"/>
        <n v="333"/>
        <n v="373"/>
        <n v="329"/>
        <n v="318"/>
        <n v="282"/>
        <n v="332"/>
        <n v="302"/>
        <n v="334"/>
        <n v="371"/>
        <n v="325"/>
        <n v="355"/>
        <n v="380"/>
        <n v="386"/>
        <n v="336"/>
        <n v="339"/>
        <n v="315"/>
        <n v="287"/>
        <n v="303"/>
        <n v="352"/>
        <n v="305"/>
        <n v="293"/>
        <n v="330"/>
        <n v="344"/>
        <n v="322"/>
        <n v="301"/>
        <n v="392"/>
        <n v="385"/>
        <n v="375"/>
        <n v="310"/>
        <n v="341"/>
        <n v="354"/>
        <n v="361"/>
        <n v="309"/>
        <n v="324"/>
        <n v="402"/>
        <n v="345"/>
        <n v="248"/>
        <n v="261"/>
        <n v="266"/>
        <n v="260"/>
        <n v="395"/>
        <n v="16"/>
        <n v="273"/>
        <n v="275"/>
        <n v="251"/>
        <n v="108"/>
        <n v="220"/>
        <n v="221"/>
        <n v="232"/>
        <n v="171"/>
        <n v="208"/>
        <n v="300"/>
        <n v="276"/>
        <n v="255"/>
        <n v="272"/>
        <n v="94"/>
        <n v="31"/>
        <n v="178"/>
        <n v="258"/>
        <n v="198"/>
        <n v="154"/>
        <n v="138"/>
        <n v="246"/>
        <n v="134"/>
        <n v="183"/>
        <n v="125"/>
        <n v="419"/>
        <n v="8"/>
        <n v="55"/>
        <n v="170"/>
        <n v="18"/>
        <n v="6"/>
        <n v="2"/>
        <n v="5"/>
        <n v="169"/>
        <n v="90"/>
        <n v="66"/>
        <n v="195"/>
        <n v="289"/>
        <n v="25"/>
        <n v="12"/>
        <n v="60"/>
        <n v="17"/>
        <n v="93"/>
        <n v="166"/>
        <n v="127"/>
        <n v="147"/>
        <n v="132"/>
        <n v="234"/>
        <n v="82"/>
        <n v="27"/>
        <n v="176"/>
        <n v="122"/>
        <n v="140"/>
        <n v="157"/>
        <n v="98"/>
        <n v="50"/>
        <n v="215"/>
        <n v="253"/>
        <n v="298"/>
        <n v="291"/>
        <n v="42"/>
        <n v="64"/>
        <n v="105"/>
        <n v="35"/>
        <n v="241"/>
        <n v="200"/>
        <n v="245"/>
        <n v="156"/>
        <n v="174"/>
        <n v="44"/>
        <n v="159"/>
        <n v="317"/>
        <n v="314"/>
        <n v="320"/>
        <n v="106"/>
        <n v="69"/>
        <n v="290"/>
        <n v="286"/>
        <n v="299"/>
        <n v="77"/>
        <n v="265"/>
        <n v="227"/>
        <n v="202"/>
        <n v="218"/>
        <n v="139"/>
        <n v="63"/>
        <n v="216"/>
        <n v="240"/>
        <n v="28"/>
        <n v="46"/>
        <n v="58"/>
        <n v="65"/>
        <n v="112"/>
        <n v="129"/>
        <n v="40"/>
        <n v="83"/>
        <n v="109"/>
        <n v="87"/>
        <n v="115"/>
        <n v="7"/>
        <n v="1"/>
        <n v="237"/>
        <n v="210"/>
        <n v="233"/>
        <n v="223"/>
        <n v="225"/>
        <n v="235"/>
        <n v="78"/>
        <n v="3"/>
        <n v="274"/>
        <n v="335"/>
        <n v="347"/>
        <n v="295"/>
        <n v="292"/>
        <n v="294"/>
        <n v="270"/>
        <n v="256"/>
        <n v="381"/>
        <n v="374"/>
        <n v="327"/>
        <n v="372"/>
        <n v="389"/>
        <n v="281"/>
        <n v="312"/>
        <n v="236"/>
        <n v="254"/>
        <n v="119"/>
        <n v="257"/>
        <n v="190"/>
        <n v="244"/>
        <n v="271"/>
        <n v="269"/>
        <n v="172"/>
        <n v="19"/>
        <n v="396"/>
        <n v="284"/>
        <n v="11"/>
        <n v="74"/>
        <n v="222"/>
        <n v="22"/>
        <n v="32"/>
        <n v="313"/>
        <n v="33"/>
        <n v="133"/>
      </sharedItems>
    </cacheField>
    <cacheField name="Stock HOY" numFmtId="41">
      <sharedItems containsString="0" containsBlank="1" containsNumber="1" containsInteger="1" minValue="0" maxValue="6767"/>
    </cacheField>
    <cacheField name="OHNSO" numFmtId="41">
      <sharedItems containsString="0" containsBlank="1" containsNumber="1" containsInteger="1" minValue="100" maxValue="1500"/>
    </cacheField>
    <cacheField name="OHNSO CST" numFmtId="41">
      <sharedItems containsString="0" containsBlank="1" containsNumber="1" minValue="0" maxValue="18050000"/>
    </cacheField>
    <cacheField name="CST Actual" numFmtId="0">
      <sharedItems containsSemiMixedTypes="0" containsString="0" containsNumber="1" minValue="643" maxValue="1867612"/>
    </cacheField>
    <cacheField name="Stock Hoy CST" numFmtId="41">
      <sharedItems containsString="0" containsBlank="1" containsNumber="1" containsInteger="1" minValue="0" maxValue="17289685"/>
    </cacheField>
    <cacheField name="COSTO USD" numFmtId="0">
      <sharedItems containsSemiMixedTypes="0" containsString="0" containsNumber="1" minValue="0.5" maxValue="1709.4846681922199"/>
    </cacheField>
    <cacheField name="COST CLP" numFmtId="0">
      <sharedItems containsString="0" containsBlank="1" containsNumber="1" minValue="546.25" maxValue="1916332.3130434779"/>
    </cacheField>
    <cacheField name="Ticekt Promedio" numFmtId="41">
      <sharedItems containsSemiMixedTypes="0" containsString="0" containsNumber="1" minValue="0" maxValue="5042008.4033613447"/>
    </cacheField>
    <cacheField name="Ticekt Promedio Evento" numFmtId="41">
      <sharedItems containsSemiMixedTypes="0" containsString="0" containsNumber="1" minValue="0" maxValue="5042008.4033613447"/>
    </cacheField>
    <cacheField name="Puerto Origen" numFmtId="0">
      <sharedItems/>
    </cacheField>
    <cacheField name="Tipo Pago" numFmtId="0">
      <sharedItems containsBlank="1"/>
    </cacheField>
    <cacheField name="LEAD TIME" numFmtId="41">
      <sharedItems containsSemiMixedTypes="0" containsString="0" containsNumber="1" containsInteger="1" minValue="15" maxValue="90"/>
    </cacheField>
    <cacheField name="MOQ" numFmtId="41">
      <sharedItems containsSemiMixedTypes="0" containsString="0" containsNumber="1" containsInteger="1" minValue="1" maxValue="2000"/>
    </cacheField>
    <cacheField name="VENTA REAL UNID ENE 25" numFmtId="41">
      <sharedItems containsString="0" containsBlank="1" containsNumber="1" containsInteger="1" minValue="0" maxValue="3238"/>
    </cacheField>
    <cacheField name="MG FRONT ENE 25" numFmtId="164">
      <sharedItems containsBlank="1" containsMixedTypes="1" containsNumber="1" minValue="-0.1008019242333132" maxValue="1.3778107475711301"/>
    </cacheField>
    <cacheField name="VENTA REAL UNID FEB 25" numFmtId="41">
      <sharedItems containsString="0" containsBlank="1" containsNumber="1" containsInteger="1" minValue="0" maxValue="928"/>
    </cacheField>
    <cacheField name="MG FRONT FEB 25" numFmtId="164">
      <sharedItems containsBlank="1" containsMixedTypes="1" containsNumber="1" minValue="0" maxValue="1.5228450871169601"/>
    </cacheField>
    <cacheField name="VENTA REAL UNID MAR 25" numFmtId="41">
      <sharedItems containsString="0" containsBlank="1" containsNumber="1" containsInteger="1" minValue="0" maxValue="4022"/>
    </cacheField>
    <cacheField name="MG FRONT MAR 25" numFmtId="164">
      <sharedItems containsBlank="1" containsMixedTypes="1" containsNumber="1" minValue="-6.6078947368421057E-2" maxValue="1.5108339762982601"/>
    </cacheField>
    <cacheField name="VENTA REAL UNID ABR 25" numFmtId="41">
      <sharedItems containsString="0" containsBlank="1" containsNumber="1" containsInteger="1" minValue="0" maxValue="2076"/>
    </cacheField>
    <cacheField name="MG FRONT ABR 25" numFmtId="0">
      <sharedItems containsBlank="1" containsMixedTypes="1" containsNumber="1" minValue="-2.806032970884856E-5" maxValue="1.4463139681163"/>
    </cacheField>
    <cacheField name="VENTA REAL UNID MAY 25" numFmtId="41">
      <sharedItems containsString="0" containsBlank="1" containsNumber="1" containsInteger="1" minValue="0" maxValue="1919"/>
    </cacheField>
    <cacheField name="MG FRONT MAY 25" numFmtId="0">
      <sharedItems containsBlank="1" containsMixedTypes="1" containsNumber="1" minValue="-2.689114930428662E-5" maxValue="1.5486194368245201"/>
    </cacheField>
    <cacheField name="VENTA REAL UNID JUN 25" numFmtId="41">
      <sharedItems containsString="0" containsBlank="1" containsNumber="1" containsInteger="1" minValue="0" maxValue="3320"/>
    </cacheField>
    <cacheField name="MG FRONT JUN 25" numFmtId="0">
      <sharedItems containsBlank="1" containsMixedTypes="1" containsNumber="1" minValue="-9.2396553804798401E-2" maxValue="2.815199476213945"/>
    </cacheField>
    <cacheField name="VENTA REAL UNID JUL 25" numFmtId="41">
      <sharedItems containsString="0" containsBlank="1" containsNumber="1" containsInteger="1" minValue="0" maxValue="2164"/>
    </cacheField>
    <cacheField name="MG FRONT JUL 25" numFmtId="0">
      <sharedItems containsBlank="1" containsMixedTypes="1" containsNumber="1" minValue="0" maxValue="1.4570594404145401"/>
    </cacheField>
    <cacheField name="VENTA REAL UNID AGO 25" numFmtId="41">
      <sharedItems containsString="0" containsBlank="1" containsNumber="1" containsInteger="1" minValue="-228" maxValue="591"/>
    </cacheField>
    <cacheField name="MG FRONT AGO 25" numFmtId="0">
      <sharedItems containsBlank="1" containsMixedTypes="1" containsNumber="1" minValue="-6.5003685740092132E-2" maxValue="1.5048120543835699"/>
    </cacheField>
    <cacheField name="VENTA REAL UNID SEP 25" numFmtId="41">
      <sharedItems containsString="0" containsBlank="1" containsNumber="1" containsInteger="1" minValue="-1" maxValue="2809"/>
    </cacheField>
    <cacheField name="MG FRONT SEP 25" numFmtId="0">
      <sharedItems containsBlank="1" containsMixedTypes="1" containsNumber="1" minValue="0" maxValue="1"/>
    </cacheField>
    <cacheField name="VENTA REAL UNID OCT 25" numFmtId="41">
      <sharedItems containsString="0" containsBlank="1" containsNumber="1" containsInteger="1" minValue="0" maxValue="1791"/>
    </cacheField>
    <cacheField name="MG FRONT OCT 25" numFmtId="0">
      <sharedItems containsBlank="1" containsMixedTypes="1" containsNumber="1" minValue="-0.18692180513706891" maxValue="1"/>
    </cacheField>
    <cacheField name="VENTA REAL UNID NOV 25" numFmtId="41">
      <sharedItems containsString="0" containsBlank="1" containsNumber="1" containsInteger="1" minValue="-7" maxValue="2880"/>
    </cacheField>
    <cacheField name="MG FRONT NOV 25" numFmtId="0">
      <sharedItems containsBlank="1" containsMixedTypes="1" containsNumber="1" minValue="0" maxValue="1.000054735840076"/>
    </cacheField>
    <cacheField name="VENTA REAL UNID DIC 25" numFmtId="41">
      <sharedItems containsString="0" containsBlank="1" containsNumber="1" containsInteger="1" minValue="-1" maxValue="507"/>
    </cacheField>
    <cacheField name="MG FRONT DIC 25" numFmtId="0">
      <sharedItems containsBlank="1" containsMixedTypes="1" containsNumber="1" minValue="-1.1134888264745411" maxValue="1"/>
    </cacheField>
    <cacheField name="VENTA REAL UNID ENE 26" numFmtId="41">
      <sharedItems containsString="0" containsBlank="1" containsNumber="1" containsInteger="1" minValue="0" maxValue="2097"/>
    </cacheField>
    <cacheField name="MG FRONT ENE 26" numFmtId="0">
      <sharedItems containsBlank="1" containsMixedTypes="1" containsNumber="1" minValue="-0.21292067343924681" maxValue="0.80464231262928487"/>
    </cacheField>
    <cacheField name="VENTA REAL UNID FEB 26" numFmtId="41">
      <sharedItems containsString="0" containsBlank="1" containsNumber="1" containsInteger="1" minValue="0" maxValue="304"/>
    </cacheField>
    <cacheField name="MG FRONT FEB 26" numFmtId="9">
      <sharedItems containsBlank="1" containsMixedTypes="1" containsNumber="1" minValue="-0.35274486498576402" maxValue="0.97716453418572602"/>
    </cacheField>
    <cacheField name="VENTA REAL UNID MAR 26" numFmtId="3">
      <sharedItems containsString="0" containsBlank="1" containsNumber="1" containsInteger="1" minValue="-6" maxValue="1978"/>
    </cacheField>
    <cacheField name="MG FRONT MAR 26" numFmtId="9">
      <sharedItems containsBlank="1" containsMixedTypes="1" containsNumber="1" minValue="-3.6170212765957448E-3" maxValue="17824.295999999998"/>
    </cacheField>
    <cacheField name="VENTA REAL UNID ABR 26" numFmtId="41">
      <sharedItems containsString="0" containsBlank="1" containsNumber="1" containsInteger="1" minValue="0" maxValue="1000"/>
    </cacheField>
    <cacheField name="MG FRONT ABR 26" numFmtId="9">
      <sharedItems containsBlank="1" containsMixedTypes="1" containsNumber="1" minValue="-0.2202124349455204" maxValue="0.84500593213806929"/>
    </cacheField>
    <cacheField name="% Cumplimiento ABR 26" numFmtId="9">
      <sharedItems containsString="0" containsBlank="1" containsNumber="1" minValue="0" maxValue="7.2222222222222223"/>
    </cacheField>
    <cacheField name="VENTA REAL UNID MAY 26" numFmtId="3">
      <sharedItems containsString="0" containsBlank="1" containsNumber="1" containsInteger="1" minValue="-2" maxValue="1661"/>
    </cacheField>
    <cacheField name="MG FRONT MAY 26" numFmtId="9">
      <sharedItems containsBlank="1" containsMixedTypes="1" containsNumber="1" minValue="-4.048291215403129" maxValue="0.82491998571534453"/>
    </cacheField>
    <cacheField name="% Cumplimiento MAY 26" numFmtId="9">
      <sharedItems containsString="0" containsBlank="1" containsNumber="1" minValue="-1" maxValue="18"/>
    </cacheField>
    <cacheField name="VENTA REAL UNID JUN 26" numFmtId="41">
      <sharedItems containsString="0" containsBlank="1" containsNumber="1" containsInteger="1" minValue="-7" maxValue="1174"/>
    </cacheField>
    <cacheField name="MG FRONT JUN 26" numFmtId="9">
      <sharedItems containsBlank="1" containsMixedTypes="1" containsNumber="1" minValue="-7.8686369999999988" maxValue="2.6670721649484541"/>
    </cacheField>
    <cacheField name="% Cumplimiento JUN 26" numFmtId="9">
      <sharedItems containsString="0" containsBlank="1" containsNumber="1" minValue="-0.17499999999999999" maxValue="6.333333333333333"/>
    </cacheField>
    <cacheField name="VENTA REAL UNID JUL 26" numFmtId="3">
      <sharedItems containsSemiMixedTypes="0" containsString="0" containsNumber="1" containsInteger="1" minValue="-5" maxValue="438"/>
    </cacheField>
    <cacheField name="MG FRONT JUL 26" numFmtId="9">
      <sharedItems containsMixedTypes="1" containsNumber="1" minValue="-0.58699577769049494" maxValue="4.8634586180713741"/>
    </cacheField>
    <cacheField name="% Cumplimiento JUL 26" numFmtId="9">
      <sharedItems containsSemiMixedTypes="0" containsString="0" containsNumber="1" minValue="-1" maxValue="13.2"/>
    </cacheField>
    <cacheField name="VENTA REAL UNID AGO 26" numFmtId="41">
      <sharedItems containsSemiMixedTypes="0" containsString="0" containsNumber="1" containsInteger="1" minValue="-39" maxValue="206"/>
    </cacheField>
    <cacheField name="MG FRONT AGO 26" numFmtId="9">
      <sharedItems containsMixedTypes="1" containsNumber="1" minValue="-1.0657865507985711" maxValue="1.0001666666666671"/>
    </cacheField>
    <cacheField name="% Cumplimiento AGO 26" numFmtId="9">
      <sharedItems containsSemiMixedTypes="0" containsString="0" containsNumber="1" minValue="-1.95" maxValue="2.375"/>
    </cacheField>
    <cacheField name="VENTA REAL UNID SEP 26" numFmtId="9">
      <sharedItems containsNonDate="0" containsString="0" containsBlank="1"/>
    </cacheField>
    <cacheField name="MG FRONT SEP 26" numFmtId="9">
      <sharedItems containsNonDate="0" containsString="0" containsBlank="1"/>
    </cacheField>
    <cacheField name="% Cumplimiento SEP 26" numFmtId="9">
      <sharedItems containsNonDate="0" containsString="0" containsBlank="1"/>
    </cacheField>
    <cacheField name="VENTA REAL UNID OCT 26" numFmtId="9">
      <sharedItems containsNonDate="0" containsString="0" containsBlank="1"/>
    </cacheField>
    <cacheField name="MG FRONT OCT 26" numFmtId="9">
      <sharedItems containsNonDate="0" containsString="0" containsBlank="1"/>
    </cacheField>
    <cacheField name="% Cumplimiento OCT 26" numFmtId="9">
      <sharedItems containsNonDate="0" containsString="0" containsBlank="1"/>
    </cacheField>
    <cacheField name="VENTA REAL UNID NOV 26" numFmtId="9">
      <sharedItems containsNonDate="0" containsString="0" containsBlank="1"/>
    </cacheField>
    <cacheField name="MG FRONT NOV 26" numFmtId="9">
      <sharedItems containsNonDate="0" containsString="0" containsBlank="1"/>
    </cacheField>
    <cacheField name="% Cumplimiento NOV 26" numFmtId="9">
      <sharedItems containsNonDate="0" containsString="0" containsBlank="1"/>
    </cacheField>
    <cacheField name="VENTA REAL UNID DIC 26" numFmtId="9">
      <sharedItems containsNonDate="0" containsString="0" containsBlank="1"/>
    </cacheField>
    <cacheField name="MG FRONT DIC 26" numFmtId="9">
      <sharedItems containsNonDate="0" containsString="0" containsBlank="1"/>
    </cacheField>
    <cacheField name="% Cumplimiento DIC 26" numFmtId="9">
      <sharedItems containsNonDate="0" containsString="0" containsBlank="1"/>
    </cacheField>
    <cacheField name="Venta FCST ENE Inicial" numFmtId="41">
      <sharedItems containsString="0" containsBlank="1" containsNumber="1" minValue="0" maxValue="900"/>
    </cacheField>
    <cacheField name="Stock Inicial ENE26" numFmtId="41">
      <sharedItems containsString="0" containsBlank="1" containsNumber="1" containsInteger="1" minValue="0" maxValue="6803"/>
    </cacheField>
    <cacheField name=" Venta PPTO ENE26" numFmtId="41">
      <sharedItems containsString="0" containsBlank="1" containsNumber="1" minValue="0" maxValue="900"/>
    </cacheField>
    <cacheField name="PEDIDO SEP_x000a_LLEGADAS ENE26" numFmtId="41">
      <sharedItems containsString="0" containsBlank="1" containsNumber="1" containsInteger="1" minValue="0" maxValue="1000"/>
    </cacheField>
    <cacheField name="TRANSITO ENE" numFmtId="41">
      <sharedItems containsString="0" containsBlank="1" containsNumber="1" containsInteger="1" minValue="0" maxValue="1500"/>
    </cacheField>
    <cacheField name="EMBARQUE ENERO" numFmtId="41">
      <sharedItems containsString="0" containsBlank="1" containsNumber="1" containsInteger="1" minValue="0" maxValue="0"/>
    </cacheField>
    <cacheField name="STK Ideal Cst ENE26" numFmtId="41">
      <sharedItems containsString="0" containsBlank="1" containsNumber="1" minValue="0" maxValue="21335684.5"/>
    </cacheField>
    <cacheField name="Stock Inicial Cst ENE26" numFmtId="41">
      <sharedItems containsString="0" containsBlank="1" containsNumber="1" minValue="0" maxValue="24661980"/>
    </cacheField>
    <cacheField name=" Venta Cst ENE26" numFmtId="41">
      <sharedItems containsString="0" containsBlank="1" containsNumber="1" minValue="0" maxValue="7394400"/>
    </cacheField>
    <cacheField name="Llegadas Cst ENE26" numFmtId="41">
      <sharedItems containsString="0" containsBlank="1" containsNumber="1" containsInteger="1" minValue="0" maxValue="0"/>
    </cacheField>
    <cacheField name="Stock + Pedido Unid ENE26" numFmtId="41">
      <sharedItems containsString="0" containsBlank="1" containsNumber="1" containsInteger="1" minValue="0" maxValue="6767"/>
    </cacheField>
    <cacheField name="Stock + Pedido Csto ENE26" numFmtId="41">
      <sharedItems containsString="0" containsBlank="1" containsNumber="1" containsInteger="1" minValue="0" maxValue="17289685"/>
    </cacheField>
    <cacheField name="Venta Neta Enero" numFmtId="0">
      <sharedItems containsString="0" containsBlank="1" containsNumber="1" minValue="0" maxValue="12851281.68914625"/>
    </cacheField>
    <cacheField name="Venta FCST FEB Inicial" numFmtId="0">
      <sharedItems containsString="0" containsBlank="1" containsNumber="1" minValue="0" maxValue="880"/>
    </cacheField>
    <cacheField name="Stock Inicial FEB26" numFmtId="0">
      <sharedItems containsString="0" containsBlank="1" containsNumber="1" containsInteger="1" minValue="0" maxValue="6556"/>
    </cacheField>
    <cacheField name=" Venta PPTO FEB26" numFmtId="0">
      <sharedItems containsString="0" containsBlank="1" containsNumber="1" minValue="0" maxValue="456"/>
    </cacheField>
    <cacheField name="PEDIDO SEP_x000a_LLEGADAS FEB26" numFmtId="0">
      <sharedItems containsString="0" containsBlank="1" containsNumber="1" minValue="0" maxValue="1880"/>
    </cacheField>
    <cacheField name="Transito Feb 26" numFmtId="0">
      <sharedItems containsString="0" containsBlank="1" containsNumber="1" minValue="0" maxValue="1880"/>
    </cacheField>
    <cacheField name="EMBARQUE FEBRERO" numFmtId="0">
      <sharedItems containsString="0" containsBlank="1" containsNumber="1" containsInteger="1" minValue="0" maxValue="0"/>
    </cacheField>
    <cacheField name="STK Ideal Cst FEB26" numFmtId="0">
      <sharedItems containsString="0" containsBlank="1" containsNumber="1" minValue="0" maxValue="26240012.5"/>
    </cacheField>
    <cacheField name="Stock Inicial Cst FEB26" numFmtId="0">
      <sharedItems containsString="0" containsBlank="1" containsNumber="1" minValue="0" maxValue="27464346"/>
    </cacheField>
    <cacheField name=" Venta Cst FEB26" numFmtId="0">
      <sharedItems containsString="0" containsBlank="1" containsNumber="1" minValue="0" maxValue="7607281.5"/>
    </cacheField>
    <cacheField name="Llegadas Cst FEB26" numFmtId="0">
      <sharedItems containsString="0" containsBlank="1" containsNumber="1" containsInteger="1" minValue="0" maxValue="0"/>
    </cacheField>
    <cacheField name="Stock + Pedido Unid FEB26" numFmtId="0">
      <sharedItems containsString="0" containsBlank="1" containsNumber="1" containsInteger="1" minValue="0" maxValue="6767"/>
    </cacheField>
    <cacheField name="Stock + Pedido Csto FEB26" numFmtId="0">
      <sharedItems containsString="0" containsBlank="1" containsNumber="1" containsInteger="1" minValue="0" maxValue="17289685"/>
    </cacheField>
    <cacheField name="Venta Neta Feb" numFmtId="41">
      <sharedItems containsString="0" containsBlank="1" containsNumber="1" minValue="0" maxValue="15323356.40138408"/>
    </cacheField>
    <cacheField name="Venta FCST MAR Inicial" numFmtId="41">
      <sharedItems containsString="0" containsBlank="1" containsNumber="1" minValue="0" maxValue="1481"/>
    </cacheField>
    <cacheField name="Stock Inicial MAR26" numFmtId="41">
      <sharedItems containsString="0" containsBlank="1" containsNumber="1" containsInteger="1" minValue="-1" maxValue="6492"/>
    </cacheField>
    <cacheField name=" Venta PPTO MAR26" numFmtId="41">
      <sharedItems containsString="0" containsBlank="1" containsNumber="1" containsInteger="1" minValue="-6" maxValue="1978"/>
    </cacheField>
    <cacheField name="PEDIDO SEP_x000a_LLEGADAS MAR26" numFmtId="41">
      <sharedItems containsString="0" containsBlank="1" containsNumber="1" containsInteger="1" minValue="0" maxValue="0"/>
    </cacheField>
    <cacheField name="Transito MAR 26" numFmtId="41">
      <sharedItems containsString="0" containsBlank="1" containsNumber="1" containsInteger="1" minValue="0" maxValue="0"/>
    </cacheField>
    <cacheField name="STK Ideal Cst MAR26" numFmtId="41">
      <sharedItems containsString="0" containsBlank="1" containsNumber="1" minValue="0" maxValue="25328128"/>
    </cacheField>
    <cacheField name="Stock Inicial Cst MAR26" numFmtId="41">
      <sharedItems containsString="0" containsBlank="1" containsNumber="1" minValue="-29925" maxValue="25027200"/>
    </cacheField>
    <cacheField name=" Venta Cst MAR26" numFmtId="41">
      <sharedItems containsString="0" containsBlank="1" containsNumber="1" containsInteger="1" minValue="-204744" maxValue="10941853"/>
    </cacheField>
    <cacheField name="Llegadas Cst MAR26" numFmtId="41">
      <sharedItems containsString="0" containsBlank="1" containsNumber="1" containsInteger="1" minValue="0" maxValue="0"/>
    </cacheField>
    <cacheField name="Stock + Pedido Unid MAR26" numFmtId="41">
      <sharedItems containsString="0" containsBlank="1" containsNumber="1" containsInteger="1" minValue="0" maxValue="6767"/>
    </cacheField>
    <cacheField name="Stock + Pedido Csto MAR26" numFmtId="41">
      <sharedItems containsString="0" containsBlank="1" containsNumber="1" containsInteger="1" minValue="0" maxValue="17289685"/>
    </cacheField>
    <cacheField name="Venta Neta Marzo" numFmtId="0">
      <sharedItems containsString="0" containsBlank="1" containsNumber="1" minValue="-403310.92436974798" maxValue="29568142.857142858"/>
    </cacheField>
    <cacheField name="Venta FCST ABR Inicial" numFmtId="0">
      <sharedItems containsString="0" containsBlank="1" containsNumber="1" minValue="0" maxValue="850"/>
    </cacheField>
    <cacheField name="Stock Inicial ABR26" numFmtId="0">
      <sharedItems containsString="0" containsBlank="1" containsNumber="1" containsInteger="1" minValue="0" maxValue="7189"/>
    </cacheField>
    <cacheField name=" Venta PPTO ABR26" numFmtId="0">
      <sharedItems containsString="0" containsBlank="1" containsNumber="1" containsInteger="1" minValue="0" maxValue="1000"/>
    </cacheField>
    <cacheField name="PEDIDO SEP_x000a_LLEGADAS ABR26" numFmtId="0">
      <sharedItems containsString="0" containsBlank="1" containsNumber="1" containsInteger="1" minValue="0" maxValue="2000"/>
    </cacheField>
    <cacheField name="Transito ABR 26" numFmtId="0">
      <sharedItems containsString="0" containsBlank="1" containsNumber="1" containsInteger="1" minValue="0" maxValue="0"/>
    </cacheField>
    <cacheField name="Stock Inicial Cst ABR26" numFmtId="0">
      <sharedItems containsString="0" containsBlank="1" containsNumber="1" minValue="0" maxValue="35378370"/>
    </cacheField>
    <cacheField name=" Venta Cst ABR26" numFmtId="0">
      <sharedItems containsString="0" containsBlank="1" containsNumber="1" minValue="0" maxValue="8738250"/>
    </cacheField>
    <cacheField name="Compra Cst ABR26" numFmtId="0">
      <sharedItems containsString="0" containsBlank="1" containsNumber="1" minValue="0" maxValue="49679999.999999993"/>
    </cacheField>
    <cacheField name="Llegadas Cst ABR26" numFmtId="0">
      <sharedItems containsString="0" containsBlank="1" containsNumber="1" containsInteger="1" minValue="0" maxValue="0"/>
    </cacheField>
    <cacheField name="Stock + Pedido Unid ABR26" numFmtId="0">
      <sharedItems containsString="0" containsBlank="1" containsNumber="1" containsInteger="1" minValue="0" maxValue="6767"/>
    </cacheField>
    <cacheField name="Stock + Pedido Csto ABR26" numFmtId="0">
      <sharedItems containsString="0" containsBlank="1" containsNumber="1" containsInteger="1" minValue="0" maxValue="17289685"/>
    </cacheField>
    <cacheField name="Venta Neta ABR 26" numFmtId="41">
      <sharedItems containsString="0" containsBlank="1" containsNumber="1" minValue="0" maxValue="18678596.638655469"/>
    </cacheField>
    <cacheField name="Venta FCST MAY Inicial" numFmtId="0">
      <sharedItems containsString="0" containsBlank="1" containsNumber="1" minValue="0" maxValue="2070"/>
    </cacheField>
    <cacheField name="Stock Inicial MAY26" numFmtId="0">
      <sharedItems containsString="0" containsBlank="1" containsNumber="1" containsInteger="1" minValue="0" maxValue="6784"/>
    </cacheField>
    <cacheField name=" Venta PPTO MAY26" numFmtId="0">
      <sharedItems containsString="0" containsBlank="1" containsNumber="1" minValue="0" maxValue="2070"/>
    </cacheField>
    <cacheField name="PEDIDO SEP_x000a_LLEGADAS MAY26" numFmtId="0">
      <sharedItems containsString="0" containsBlank="1" containsNumber="1" containsInteger="1" minValue="0" maxValue="600"/>
    </cacheField>
    <cacheField name="Transito MAY 26" numFmtId="0">
      <sharedItems containsString="0" containsBlank="1" containsNumber="1" containsInteger="1" minValue="0" maxValue="1000"/>
    </cacheField>
    <cacheField name="Embarcado Mayo" numFmtId="0">
      <sharedItems containsString="0" containsBlank="1" containsNumber="1" containsInteger="1" minValue="0" maxValue="0"/>
    </cacheField>
    <cacheField name="Stock Inicial Cst MAY26" numFmtId="0">
      <sharedItems containsString="0" containsBlank="1" containsNumber="1" minValue="0" maxValue="18710702"/>
    </cacheField>
    <cacheField name=" Venta Cst MAY26" numFmtId="0">
      <sharedItems containsString="0" containsBlank="1" containsNumber="1" minValue="0" maxValue="8383500"/>
    </cacheField>
    <cacheField name="Compra Cst MAY 26" numFmtId="0">
      <sharedItems containsString="0" containsBlank="1" containsNumber="1" minValue="0" maxValue="19665000"/>
    </cacheField>
    <cacheField name="Llegadas Cst MAY26" numFmtId="0">
      <sharedItems containsString="0" containsBlank="1" containsNumber="1" containsInteger="1" minValue="0" maxValue="0"/>
    </cacheField>
    <cacheField name="Stock + Pedido Unid MAY26" numFmtId="0">
      <sharedItems containsString="0" containsBlank="1" containsNumber="1" containsInteger="1" minValue="0" maxValue="6767"/>
    </cacheField>
    <cacheField name="Stock + Pedido Csto MAY26" numFmtId="0">
      <sharedItems containsString="0" containsBlank="1" containsNumber="1" containsInteger="1" minValue="0" maxValue="17289685"/>
    </cacheField>
    <cacheField name="Venta Neta MAY 26" numFmtId="0">
      <sharedItems containsString="0" containsBlank="1" containsNumber="1" minValue="0" maxValue="21006302.52100841"/>
    </cacheField>
    <cacheField name="Venta FCST JUN Inicial" numFmtId="41">
      <sharedItems containsString="0" containsBlank="1" containsNumber="1" minValue="0" maxValue="605"/>
    </cacheField>
    <cacheField name="Stock Inicial JUN26" numFmtId="41">
      <sharedItems containsString="0" containsBlank="1" containsNumber="1" containsInteger="1" minValue="-6" maxValue="6869"/>
    </cacheField>
    <cacheField name=" Venta PPTO JUN26" numFmtId="41">
      <sharedItems containsString="0" containsBlank="1" containsNumber="1" containsInteger="1" minValue="-7" maxValue="1174"/>
    </cacheField>
    <cacheField name="PEDIDO SEP_x000a_LLEGADAS JUN26" numFmtId="41">
      <sharedItems containsNonDate="0" containsString="0" containsBlank="1"/>
    </cacheField>
    <cacheField name="Transito JUN 26" numFmtId="41">
      <sharedItems containsString="0" containsBlank="1" containsNumber="1" containsInteger="1" minValue="0" maxValue="1000"/>
    </cacheField>
    <cacheField name="Embarcado Junio" numFmtId="41">
      <sharedItems containsString="0" containsBlank="1" containsNumber="1" containsInteger="1" minValue="0" maxValue="0"/>
    </cacheField>
    <cacheField name="Stock Inicial Cst JUN26" numFmtId="41">
      <sharedItems containsString="0" containsBlank="1" containsNumber="1" containsInteger="1" minValue="-61635" maxValue="24639000"/>
    </cacheField>
    <cacheField name=" Venta Cst JUN26" numFmtId="41">
      <sharedItems containsString="0" containsBlank="1" containsNumber="1" minValue="-65205" maxValue="18895663.800000001"/>
    </cacheField>
    <cacheField name="Compra Cst JUN26" numFmtId="41">
      <sharedItems containsString="0" containsBlank="1" containsNumber="1" containsInteger="1" minValue="0" maxValue="0"/>
    </cacheField>
    <cacheField name="Llegadas Cst JUN26" numFmtId="41">
      <sharedItems containsString="0" containsBlank="1" containsNumber="1" containsInteger="1" minValue="0" maxValue="0"/>
    </cacheField>
    <cacheField name="Stock + Pedido Unid JUN26" numFmtId="41">
      <sharedItems containsString="0" containsBlank="1" containsNumber="1" containsInteger="1" minValue="-6" maxValue="6869"/>
    </cacheField>
    <cacheField name="Stock + Pedido Csto JUN26" numFmtId="41">
      <sharedItems containsString="0" containsBlank="1" containsNumber="1" containsInteger="1" minValue="0" maxValue="17289685"/>
    </cacheField>
    <cacheField name="Venta Neta JUN 26" numFmtId="41">
      <sharedItems containsString="0" containsBlank="1" containsNumber="1" minValue="-147000" maxValue="46204949.579831943"/>
    </cacheField>
    <cacheField name="Venta FCST JUL Inicial" numFmtId="0">
      <sharedItems containsString="0" containsBlank="1" containsNumber="1" minValue="0" maxValue="370"/>
    </cacheField>
    <cacheField name="Stock Inicial JUL26" numFmtId="1">
      <sharedItems containsString="0" containsBlank="1" containsNumber="1" containsInteger="1" minValue="-1" maxValue="6767"/>
    </cacheField>
    <cacheField name=" Venta PPTO JUL26" numFmtId="41">
      <sharedItems containsString="0" containsBlank="1" containsNumber="1" containsInteger="1" minValue="-5" maxValue="438"/>
    </cacheField>
    <cacheField name="Compra JUL 26" numFmtId="3">
      <sharedItems containsString="0" containsBlank="1" containsNumber="1" containsInteger="1" minValue="0" maxValue="1000"/>
    </cacheField>
    <cacheField name="Transito JUL 26" numFmtId="3">
      <sharedItems containsString="0" containsBlank="1" containsNumber="1" containsInteger="1" minValue="0" maxValue="1000"/>
    </cacheField>
    <cacheField name="Embarcado Julio 26" numFmtId="3">
      <sharedItems containsString="0" containsBlank="1" containsNumber="1" containsInteger="1" minValue="0" maxValue="0"/>
    </cacheField>
    <cacheField name="Stock Inicial Cst JUL26" numFmtId="3">
      <sharedItems containsString="0" containsBlank="1" containsNumber="1" containsInteger="1" minValue="-3853" maxValue="18049500"/>
    </cacheField>
    <cacheField name=" Venta Cst JUL26" numFmtId="3">
      <sharedItems containsString="0" containsBlank="1" containsNumber="1" minValue="-47610" maxValue="9712439.9999999981"/>
    </cacheField>
    <cacheField name="Compra CST JUL 26" numFmtId="3">
      <sharedItems containsString="0" containsBlank="1" containsNumber="1" minValue="0" maxValue="8154075"/>
    </cacheField>
    <cacheField name="Llegadas Cst JUL26" numFmtId="3">
      <sharedItems containsString="0" containsBlank="1" containsNumber="1" containsInteger="1" minValue="0" maxValue="0"/>
    </cacheField>
    <cacheField name="Stock + Pedido Unid JUL26" numFmtId="3">
      <sharedItems containsString="0" containsBlank="1" containsNumber="1" containsInteger="1" minValue="-1" maxValue="6767"/>
    </cacheField>
    <cacheField name="Stock + Pedido Csto JUL26" numFmtId="3">
      <sharedItems containsString="0" containsBlank="1" containsNumber="1" containsInteger="1" minValue="0" maxValue="17289685"/>
    </cacheField>
    <cacheField name="Venta Neta JUL 26" numFmtId="3">
      <sharedItems containsString="0" containsBlank="1" containsNumber="1" minValue="-168025.21008403361" maxValue="24639571.428571429"/>
    </cacheField>
    <cacheField name="Venta FCST AGO Inicial" numFmtId="0">
      <sharedItems containsString="0" containsBlank="1" containsNumber="1" minValue="0" maxValue="2000"/>
    </cacheField>
    <cacheField name="Stock Inicial AGO26" numFmtId="41">
      <sharedItems containsSemiMixedTypes="0" containsString="0" containsNumber="1" containsInteger="1" minValue="0" maxValue="6767"/>
    </cacheField>
    <cacheField name=" Venta PPTO AGO26" numFmtId="41">
      <sharedItems containsString="0" containsBlank="1" containsNumber="1" minValue="0" maxValue="2000"/>
    </cacheField>
    <cacheField name="PEDIDO SEP_x000a_LLEGADAS AGO26" numFmtId="41">
      <sharedItems containsString="0" containsBlank="1" containsNumber="1" minValue="0" maxValue="1500"/>
    </cacheField>
    <cacheField name="Transito AGO 26" numFmtId="41">
      <sharedItems containsString="0" containsBlank="1" containsNumber="1" minValue="0" maxValue="1500"/>
    </cacheField>
    <cacheField name="Embarcado AGO 26" numFmtId="41">
      <sharedItems containsSemiMixedTypes="0" containsString="0" containsNumber="1" containsInteger="1" minValue="0" maxValue="0"/>
    </cacheField>
    <cacheField name="Stock Inicial Cst AGO26" numFmtId="41">
      <sharedItems containsSemiMixedTypes="0" containsString="0" containsNumber="1" containsInteger="1" minValue="0" maxValue="17289685"/>
    </cacheField>
    <cacheField name=" Venta Cst AGO26" numFmtId="41">
      <sharedItems containsString="0" containsBlank="1" containsNumber="1" minValue="0" maxValue="9277740"/>
    </cacheField>
    <cacheField name="Compra Cst AGO26" numFmtId="41">
      <sharedItems containsString="0" containsBlank="1" containsNumber="1" minValue="0" maxValue="20120400"/>
    </cacheField>
    <cacheField name="Llegadas Cst AGO26" numFmtId="41">
      <sharedItems containsSemiMixedTypes="0" containsString="0" containsNumber="1" containsInteger="1" minValue="0" maxValue="0"/>
    </cacheField>
    <cacheField name="Stock + Pedido Unid AGO26" numFmtId="41">
      <sharedItems containsSemiMixedTypes="0" containsString="0" containsNumber="1" containsInteger="1" minValue="0" maxValue="6767"/>
    </cacheField>
    <cacheField name="Stock + Pedido Csto AGO26" numFmtId="41">
      <sharedItems containsSemiMixedTypes="0" containsString="0" containsNumber="1" containsInteger="1" minValue="0" maxValue="17289685"/>
    </cacheField>
    <cacheField name="Venta Neta AGO 26" numFmtId="41">
      <sharedItems containsString="0" containsBlank="1" containsNumber="1" minValue="0" maxValue="22686554.62184874"/>
    </cacheField>
    <cacheField name="Venta FCST SEP Inicial" numFmtId="0">
      <sharedItems containsString="0" containsBlank="1" containsNumber="1" minValue="0" maxValue="350"/>
    </cacheField>
    <cacheField name="Stock Inicial SEP26" numFmtId="41">
      <sharedItems containsSemiMixedTypes="0" containsString="0" containsNumber="1" minValue="0" maxValue="6717"/>
    </cacheField>
    <cacheField name=" Venta PPTO SEP26" numFmtId="41">
      <sharedItems containsString="0" containsBlank="1" containsNumber="1" minValue="0" maxValue="300"/>
    </cacheField>
    <cacheField name="PEDIDO SEP_x000a_LLEGADAS SEP26" numFmtId="41">
      <sharedItems containsString="0" containsBlank="1" containsNumber="1" containsInteger="1" minValue="0" maxValue="2000"/>
    </cacheField>
    <cacheField name="Transito SEP 26" numFmtId="41">
      <sharedItems containsString="0" containsBlank="1" containsNumber="1" containsInteger="1" minValue="0" maxValue="2000"/>
    </cacheField>
    <cacheField name="Embarcado SEP 26" numFmtId="41">
      <sharedItems containsSemiMixedTypes="0" containsString="0" containsNumber="1" containsInteger="1" minValue="0" maxValue="2195"/>
    </cacheField>
    <cacheField name="Stock Inicial Cst SEP26" numFmtId="41">
      <sharedItems containsString="0" containsBlank="1" containsNumber="1" minValue="0" maxValue="16406944.199999999"/>
    </cacheField>
    <cacheField name=" Venta Cst SEP26" numFmtId="41">
      <sharedItems containsString="0" containsBlank="1" containsNumber="1" minValue="0" maxValue="7731450"/>
    </cacheField>
    <cacheField name="Compra Cst SEP26" numFmtId="41">
      <sharedItems containsString="0" containsBlank="1" containsNumber="1" minValue="0" maxValue="49679999.999999993"/>
    </cacheField>
    <cacheField name="Llegadas Cst SEP26" numFmtId="41">
      <sharedItems containsSemiMixedTypes="0" containsString="0" containsNumber="1" minValue="0" maxValue="20058300"/>
    </cacheField>
    <cacheField name="Stock + Pedido Unid SEP26" numFmtId="41">
      <sharedItems containsSemiMixedTypes="0" containsString="0" containsNumber="1" minValue="0" maxValue="6717"/>
    </cacheField>
    <cacheField name="Stock + Pedido Csto SEP26" numFmtId="41">
      <sharedItems containsString="0" containsBlank="1" containsNumber="1" minValue="0" maxValue="20058300"/>
    </cacheField>
    <cacheField name="Venta Neta SEP 26" numFmtId="41">
      <sharedItems containsString="0" containsBlank="1" containsNumber="1" minValue="0" maxValue="18905462.18487395"/>
    </cacheField>
    <cacheField name="Venta FCST OCT Inicial" numFmtId="0">
      <sharedItems containsSemiMixedTypes="0" containsString="0" containsNumber="1" minValue="0" maxValue="650"/>
    </cacheField>
    <cacheField name="Stock Inicial OCT26" numFmtId="41">
      <sharedItems containsSemiMixedTypes="0" containsString="0" containsNumber="1" minValue="0" maxValue="6667"/>
    </cacheField>
    <cacheField name=" Venta PPTO OCT26" numFmtId="41">
      <sharedItems containsSemiMixedTypes="0" containsString="0" containsNumber="1" minValue="0" maxValue="600"/>
    </cacheField>
    <cacheField name="PEDIDO OCT_x000a_LLEGADAS OCT26" numFmtId="41">
      <sharedItems containsSemiMixedTypes="0" containsString="0" containsNumber="1" minValue="0" maxValue="1200"/>
    </cacheField>
    <cacheField name="Transito OCT 26" numFmtId="41">
      <sharedItems containsString="0" containsBlank="1" containsNumber="1" minValue="0" maxValue="1200"/>
    </cacheField>
    <cacheField name="Embarcado OCT 26" numFmtId="41">
      <sharedItems containsString="0" containsBlank="1" containsNumber="1" minValue="0" maxValue="1200"/>
    </cacheField>
    <cacheField name="Atrasos SEPT" numFmtId="41">
      <sharedItems containsString="0" containsBlank="1" containsNumber="1" containsInteger="1" minValue="0" maxValue="2000"/>
    </cacheField>
    <cacheField name="Stock Inicial Cst OCT26" numFmtId="41">
      <sharedItems containsSemiMixedTypes="0" containsString="0" containsNumber="1" minValue="0" maxValue="49679999.999999993"/>
    </cacheField>
    <cacheField name=" Venta Cst OCT26" numFmtId="41">
      <sharedItems containsSemiMixedTypes="0" containsString="0" containsNumber="1" minValue="0" maxValue="12420000"/>
    </cacheField>
    <cacheField name="Compra Cst OCT26" numFmtId="41">
      <sharedItems containsSemiMixedTypes="0" containsString="0" containsNumber="1" minValue="0" maxValue="38295000"/>
    </cacheField>
    <cacheField name="Llegadas Cst OCT26" numFmtId="41">
      <sharedItems containsSemiMixedTypes="0" containsString="0" containsNumber="1" minValue="0" maxValue="49679999.999999993"/>
    </cacheField>
    <cacheField name="Stock + Pedido Unid OCT26" numFmtId="41">
      <sharedItems containsSemiMixedTypes="0" containsString="0" containsNumber="1" minValue="0" maxValue="6667"/>
    </cacheField>
    <cacheField name="Stock + Pedido Csto OCT26" numFmtId="41">
      <sharedItems containsSemiMixedTypes="0" containsString="0" containsNumber="1" minValue="0" maxValue="99359999.999999985"/>
    </cacheField>
    <cacheField name="Venta Neta OCT 26" numFmtId="41">
      <sharedItems containsSemiMixedTypes="0" containsString="0" containsNumber="1" minValue="0" maxValue="25205882.352941182"/>
    </cacheField>
    <cacheField name="Venta FCST NOV Inicial" numFmtId="0">
      <sharedItems containsSemiMixedTypes="0" containsString="0" containsNumber="1" minValue="0" maxValue="350"/>
    </cacheField>
    <cacheField name="Stock Inicial NOV26" numFmtId="41">
      <sharedItems containsSemiMixedTypes="0" containsString="0" containsNumber="1" minValue="0" maxValue="6617"/>
    </cacheField>
    <cacheField name=" Venta PPTO NOV26" numFmtId="41">
      <sharedItems containsSemiMixedTypes="0" containsString="0" containsNumber="1" minValue="0" maxValue="350"/>
    </cacheField>
    <cacheField name="PEDIDO NOV_x000a_LLEGADAS NOV26" numFmtId="41">
      <sharedItems containsString="0" containsBlank="1" containsNumber="1" containsInteger="1" minValue="0" maxValue="1000"/>
    </cacheField>
    <cacheField name="Transito NOV 26" numFmtId="41">
      <sharedItems containsSemiMixedTypes="0" containsString="0" containsNumber="1" containsInteger="1" minValue="0" maxValue="1000"/>
    </cacheField>
    <cacheField name="Stock Inicial Cst NOV26" numFmtId="41">
      <sharedItems containsSemiMixedTypes="0" containsString="0" containsNumber="1" minValue="0" maxValue="37259999.999999993"/>
    </cacheField>
    <cacheField name=" Venta Cst NOV26" numFmtId="41">
      <sharedItems containsSemiMixedTypes="0" containsString="0" containsNumber="1" minValue="0" maxValue="9277740"/>
    </cacheField>
    <cacheField name="Compra Cst NOV26" numFmtId="41">
      <sharedItems containsSemiMixedTypes="0" containsString="0" containsNumber="1" minValue="0" maxValue="31050000"/>
    </cacheField>
    <cacheField name="Llegadas Cst NOV26" numFmtId="41">
      <sharedItems containsSemiMixedTypes="0" containsString="0" containsNumber="1" minValue="0" maxValue="18555480"/>
    </cacheField>
    <cacheField name="Stock + Pedido Unid NOV26" numFmtId="41">
      <sharedItems containsSemiMixedTypes="0" containsString="0" containsNumber="1" minValue="0" maxValue="6617"/>
    </cacheField>
    <cacheField name="Stock + Pedido Csto NOV26" numFmtId="41">
      <sharedItems containsSemiMixedTypes="0" containsString="0" containsNumber="1" minValue="0" maxValue="37259999.999999993"/>
    </cacheField>
    <cacheField name="Venta Neta NOV 26" numFmtId="41">
      <sharedItems containsSemiMixedTypes="0" containsString="0" containsNumber="1" minValue="0" maxValue="21173823.52941177"/>
    </cacheField>
    <cacheField name="Venta FCST DIC Inicial" numFmtId="0">
      <sharedItems containsSemiMixedTypes="0" containsString="0" containsNumber="1" minValue="0" maxValue="500"/>
    </cacheField>
    <cacheField name="Stock Inicial DIC26" numFmtId="41">
      <sharedItems containsString="0" containsBlank="1" containsNumber="1" minValue="0" maxValue="6567"/>
    </cacheField>
    <cacheField name=" Venta PPTO DIC26" numFmtId="41">
      <sharedItems containsSemiMixedTypes="0" containsString="0" containsNumber="1" minValue="0" maxValue="500"/>
    </cacheField>
    <cacheField name="PEDIDO DIC_x000a_LLEGADAS DIC26" numFmtId="41">
      <sharedItems containsString="0" containsBlank="1" containsNumber="1" containsInteger="1" minValue="0" maxValue="1000"/>
    </cacheField>
    <cacheField name="Transito DIC 26" numFmtId="41">
      <sharedItems containsString="0" containsBlank="1" containsNumber="1" containsInteger="1" minValue="0" maxValue="1000"/>
    </cacheField>
    <cacheField name="Stock Inicial Cst DIC26" numFmtId="41">
      <sharedItems containsSemiMixedTypes="0" containsString="0" containsNumber="1" minValue="0" maxValue="31050000"/>
    </cacheField>
    <cacheField name=" Venta Cst DIC26" numFmtId="41">
      <sharedItems containsSemiMixedTypes="0" containsString="0" containsNumber="1" minValue="0" maxValue="12420000"/>
    </cacheField>
    <cacheField name="Llegadas Cst DIC26" numFmtId="41">
      <sharedItems containsSemiMixedTypes="0" containsString="0" containsNumber="1" minValue="0" maxValue="21424500"/>
    </cacheField>
    <cacheField name="Stock + Pedido Unid DIC26" numFmtId="41">
      <sharedItems containsSemiMixedTypes="0" containsString="0" containsNumber="1" minValue="0" maxValue="6567"/>
    </cacheField>
    <cacheField name="Stock + Pedido Csto DIC26" numFmtId="41">
      <sharedItems containsSemiMixedTypes="0" containsString="0" containsNumber="1" minValue="0" maxValue="37110960"/>
    </cacheField>
    <cacheField name="Venta Neta DIC 26" numFmtId="41">
      <sharedItems containsSemiMixedTypes="0" containsString="0" containsNumber="1" minValue="0" maxValue="31508403.361344539"/>
    </cacheField>
    <cacheField name="Venta FCST ENE27 Inicial" numFmtId="41">
      <sharedItems containsSemiMixedTypes="0" containsString="0" containsNumber="1" minValue="0" maxValue="350"/>
    </cacheField>
    <cacheField name="Stock Inicial ENE27" numFmtId="41">
      <sharedItems containsString="0" containsBlank="1" containsNumber="1" minValue="0" maxValue="6517"/>
    </cacheField>
    <cacheField name=" Venta PPTO ENE27" numFmtId="41">
      <sharedItems containsString="0" containsBlank="1" containsNumber="1" minValue="0" maxValue="350"/>
    </cacheField>
    <cacheField name="COMPRA ENE27" numFmtId="41">
      <sharedItems containsSemiMixedTypes="0" containsString="0" containsNumber="1" containsInteger="1" minValue="0" maxValue="600"/>
    </cacheField>
    <cacheField name="Transito ENE27" numFmtId="41">
      <sharedItems containsString="0" containsBlank="1" containsNumber="1" containsInteger="1" minValue="0" maxValue="1000"/>
    </cacheField>
    <cacheField name="Stock Inicial Cst ENE27" numFmtId="41">
      <sharedItems containsSemiMixedTypes="0" containsString="0" containsNumber="1" minValue="0" maxValue="27833220"/>
    </cacheField>
    <cacheField name=" Venta Cst ENE27" numFmtId="41">
      <sharedItems containsSemiMixedTypes="0" containsString="0" containsNumber="1" minValue="0" maxValue="6501950"/>
    </cacheField>
    <cacheField name="Llegadas Cst ENE27" numFmtId="41">
      <sharedItems containsSemiMixedTypes="0" containsString="0" containsNumber="1" minValue="0" maxValue="21186450"/>
    </cacheField>
    <cacheField name="Stock + Pedido Unid ENE27" numFmtId="41">
      <sharedItems containsSemiMixedTypes="0" containsString="0" containsNumber="1" minValue="0" maxValue="6517"/>
    </cacheField>
    <cacheField name="Stock + Pedido Csto ENE27" numFmtId="41">
      <sharedItems containsSemiMixedTypes="0" containsString="0" containsNumber="1" minValue="0" maxValue="37110960"/>
    </cacheField>
    <cacheField name="Venta Neta ENE 26" numFmtId="41">
      <sharedItems containsSemiMixedTypes="0" containsString="0" containsNumber="1" minValue="0" maxValue="15585294.117647059"/>
    </cacheField>
    <cacheField name="Cobertura DIC" numFmtId="0" formula="IFERROR(#NAME?/((#NAME?+#NAME?+#NAME?)/3),0)" databaseField="0"/>
    <cacheField name="Cumpl. DIC Acum." numFmtId="0" formula="IFERROR(#NAME?/#NAME?,0)" databaseField="0"/>
    <cacheField name="Stock + Pedido Unid ENE" numFmtId="0" formula="#NAME?+#NAME?" databaseField="0"/>
    <cacheField name="Cobert. ENE Unid" numFmtId="0" formula="IFERROR(#NAME?/((#NAME?+#NAME?+#NAME?)/3),0)" databaseField="0"/>
    <cacheField name="Cobert. Unid FEB" numFmtId="0" formula="IFERROR(#NAME?/((#NAME?+#NAME?+#NAME?)/3),0)" databaseField="0"/>
    <cacheField name="Cobert. Unid MAR" numFmtId="0" formula="IFERROR(#NAME?/((#NAME?+#NAME?+#NAME?)/3),0)" databaseField="0"/>
    <cacheField name="Cobert. Unid ABR" numFmtId="0" formula="IFERROR(#NAME?/((#NAME?+#NAME?+#NAME?)/3),0)" databaseField="0"/>
    <cacheField name="Cobert. Unid MAY" numFmtId="0" formula=" IFERROR( ('Stock HOY'+#NAME?)/((#NAME?+#NAME?+#NAME?)/3),0)" databaseField="0"/>
    <cacheField name="Cobert. Unid JUN" numFmtId="0" formula=" IFERROR(#NAME?/((#NAME?+#NAME?+#NAME?)/3),0)" databaseField="0"/>
    <cacheField name="% Acum vs FCST" numFmtId="0" formula="IFERROR('VENTA REAL UNID ENE 25'/#NAME?,0)" databaseField="0"/>
    <cacheField name="Quiebres FEB" numFmtId="0" formula="#NAME?-#NAME?" databaseField="0"/>
    <cacheField name="Cobertura JUL UNID" numFmtId="0" formula="(#NAME?)/((#NAME?+#NAME?+#NAME?)/3)" databaseField="0"/>
    <cacheField name="Cobert. AGO 25" numFmtId="0" formula=" (#NAME?)/((#NAME?+#NAME?+#NAME?)/3)" databaseField="0"/>
    <cacheField name="Cobert. SEP 25" numFmtId="0" formula="(#NAME?)/((#NAME?+#NAME?+#NAME?)/3)" databaseField="0"/>
    <cacheField name="Cobert. OCT 25" numFmtId="0" formula="(#NAME?)/((#NAME?+#NAME?+#NAME?)/3)" databaseField="0"/>
    <cacheField name="Cobert. NOV 25" numFmtId="0" formula=" ('Stock Hoy CST')/((#NAME?+#NAME?+' Venta Cst ENE26')/3)" databaseField="0"/>
    <cacheField name="Cobert. DIC 25" numFmtId="0" formula="(#NAME?)/((' Venta PPTO ENE26'+' Venta PPTO FEB26'+#NAME?)/3)" databaseField="0"/>
    <cacheField name="Cobert. Proyct. NOV 25" numFmtId="0" formula="(#NAME?)/((' Venta PPTO ENE26'+#NAME?+#NAME?)/3)" databaseField="0"/>
    <cacheField name="Cobert. ACT NOV 25" numFmtId="0" formula="('Stock Hoy CST')/((' Venta PPTO ENE26'+#NAME?+#NAME?)/3)" databaseField="0"/>
    <cacheField name="Cobert. Proyect. NOV 25" numFmtId="0" formula="(#NAME?)/((#NAME?+#NAME?+' Venta Cst ENE26')/3)" databaseField="0"/>
    <cacheField name="Cobert. Dic Cst" numFmtId="0" formula="(#NAME?)/((#NAME?+' Venta Cst ENE26'+' Venta Cst FEB26')/3)" databaseField="0"/>
    <cacheField name="Cobert. Act Dic" numFmtId="0" formula="('Stock Hoy CST')/((#NAME?+' Venta Cst ENE26'+' Venta Cst FEB26')/3)" databaseField="0"/>
    <cacheField name="Cobert. Ene 26" numFmtId="0" formula="IFERROR((('Stock + Pedido Csto ENE26')/((' Venta Cst ENE26'+' Venta Cst FEB26'+' Venta Cst MAR26')/3)),0)" databaseField="0"/>
    <cacheField name="Cobert. Unid ENE 26" numFmtId="0" formula="(('Stock + Pedido Unid ENE26')/((' Venta PPTO ENE26'+' Venta PPTO FEB26'+' Venta PPTO MAR26')/3))" databaseField="0"/>
    <cacheField name="Diferencias Venta" numFmtId="0" formula="'Stock HOY'+#NAME?-#NAME?" databaseField="0"/>
    <cacheField name="Perdida Costo" numFmtId="0" formula="'CST Actual'*'Diferencias Venta'" databaseField="0"/>
    <cacheField name="Cobertura Feb 26" numFmtId="0" formula="IFERROR((('Stock + Pedido Csto FEB26')/((' Venta Cst FEB26'+' Venta Cst MAR26'+' Venta Cst ABR26')/3)),0)" databaseField="0"/>
    <cacheField name="Cobert. MAR 26" numFmtId="0" formula=" (('Stock + Pedido Csto MAR26')/((' Venta Cst MAR26'+' Venta Cst ABR26'+' Venta Cst MAY26')/3))" databaseField="0"/>
    <cacheField name="Cobert. Feb 26 unid" numFmtId="0" formula="('Stock + Pedido Unid FEB26')/((' Venta PPTO FEB26'+' Venta PPTO MAR26'+' Venta PPTO ABR26')/3)" databaseField="0"/>
    <cacheField name="Cobert. Marzo 26 Unid" numFmtId="0" formula="('Stock + Pedido Unid MAR26')/((' Venta PPTO MAR26'+' Venta PPTO ABR26'+' Venta PPTO MAY26')/3)" databaseField="0"/>
    <cacheField name="Cobert. Abr 26" numFmtId="0" formula=" ('Stock + Pedido Csto ABR26')/((' Venta Cst ABR26'+' Venta Cst MAY26'+' Venta Cst JUN26')/3)" databaseField="0"/>
    <cacheField name="Cobert. MAY 26" numFmtId="0" formula="('Stock + Pedido Csto MAY26')/((' Venta Cst MAY26'+' Venta Cst MAY26'+' Venta Cst JUN26')/3)" databaseField="0"/>
    <cacheField name="Cobert. JUN 26" numFmtId="0" formula=" ('Stock HOY')/((' Venta PPTO JUN26'+' Venta PPTO JUL26'+' Venta PPTO AGO26')/3)" databaseField="0"/>
    <cacheField name="Cobert. ACT Ene 26" numFmtId="0" formula="IFERROR((('Stock Hoy CST')/((' Venta Cst ABR26'+' Venta Cst MAY26'+' Venta Cst MAR26')/3)),0)" databaseField="0"/>
    <cacheField name="% Cumpl. Vs FCST $" numFmtId="0" formula=" (('VENTA REAL UNID ENE 26'*'CST Actual')/' Venta Cst ENE26')" databaseField="0"/>
    <cacheField name="Cumpl. Vta Vs FCST ENE 26" numFmtId="0" formula="IFERROR(('VENTA REAL UNID ENE 26'*'COST CLP')/('Venta FCST ENE Inicial'*'COST CLP'),0)" databaseField="0"/>
    <cacheField name="Campo1" numFmtId="0" formula="'Ticekt Promedio'*' Venta PPTO ENE26'" databaseField="0"/>
    <cacheField name="Venta Enero Bruta" numFmtId="0" formula="' Venta PPTO ENE26'*'Ticekt Promedio'" databaseField="0"/>
    <cacheField name="Cumpl. Vta Vs FCST FEB 26" numFmtId="0" formula="IFERROR(('VENTA REAL UNID FEB 26'*'COST CLP')/('Venta FCST FEB Inicial'*'COST CLP'),0)" databaseField="0"/>
    <cacheField name="Cobert. Julio" numFmtId="0" formula="('Stock + Pedido Csto JUL26')/((' Venta Cst JUL26'+' Venta Cst AGO26'+' Venta Cst SEP26')/3)" databaseField="0"/>
    <cacheField name="Cobert. AGO 26" numFmtId="0" formula=" ('Stock + Pedido Csto AGO26')/((' Venta Cst AGO26'+' Venta Cst SEP26'+' Venta Cst OCT26')/3)" databaseField="0"/>
    <cacheField name="Cobert. SEP 26" numFmtId="0" formula=" ('Stock + Pedido Csto SEP26')/((' Venta Cst SEP26'+' Venta Cst OCT26'+' Venta Cst NOV26')/3)" databaseField="0"/>
    <cacheField name="Cobert. JUL 26 Unid" numFmtId="0" formula=" IFERROR(('Stock + Pedido Unid JUL26')/((' Venta PPTO JUL26'+' Venta PPTO AGO26'+' Venta PPTO SEP26')/3),0)" databaseField="0"/>
    <cacheField name="Cobert. AGO 26 Unid" numFmtId="0" formula=" IFERROR(('Stock + Pedido Unid AGO26')/((' Venta PPTO OCT26'+' Venta PPTO AGO26'+' Venta PPTO SEP26')/3),0)" databaseField="0"/>
    <cacheField name="Cobert. SEP 26 Unid" numFmtId="0" formula=" IFERROR(('Stock + Pedido Unid SEP26')/((' Venta PPTO OCT26'+' Venta PPTO NOV26'+' Venta PPTO SEP26')/3),0)" databaseField="0"/>
    <cacheField name="Cobert. OCT 26" numFmtId="0" formula="'Stock + Pedido Csto OCT26'/((' Venta Cst OCT26'+' Venta Cst NOV26'+' Venta Cst DIC26')/3)" databaseField="0"/>
    <cacheField name="Cobert. ACT Unid" numFmtId="0" formula=" ('Stock HOY')/((' Venta PPTO AGO26'+' Venta PPTO SEP26'+' Venta PPTO OCT26')/3)" databaseField="0"/>
    <cacheField name="Cobert. OCT26 Unid" numFmtId="0" formula=" ('Stock + Pedido Unid OCT26')/((' Venta PPTO OCT26'+' Venta PPTO NOV26'+' Venta PPTO DIC26')/3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Caballero Blanco" refreshedDate="46293.717845601852" createdVersion="8" refreshedVersion="8" minRefreshableVersion="3" recordCount="824" xr:uid="{2CB2FD23-53B7-4CD5-9E66-D5DA81C5418C}">
  <cacheSource type="worksheet">
    <worksheetSource ref="A3:IM827" sheet="FCST BASE SKU MACRO" r:id="rId2"/>
  </cacheSource>
  <cacheFields count="296">
    <cacheField name="ID" numFmtId="0">
      <sharedItems containsBlank="1" containsMixedTypes="1" containsNumber="1" containsInteger="1" minValue="3" maxValue="3"/>
    </cacheField>
    <cacheField name="Marca" numFmtId="0">
      <sharedItems count="10">
        <s v="Bandú"/>
        <s v="Dynamo"/>
        <s v="Innovate-K"/>
        <s v="Levo"/>
        <s v="Lhotse"/>
        <s v="Purito"/>
        <s v="Simplit"/>
        <s v="T-Care"/>
        <s v="UMA"/>
        <s v="Xroad"/>
      </sharedItems>
    </cacheField>
    <cacheField name="Categoria Padre" numFmtId="0">
      <sharedItems count="38">
        <s v="Accesorios de Bebe"/>
        <s v="Jueguetes de Rol"/>
        <s v="Juguetes de Armado"/>
        <s v="Juguetes de Motricidad"/>
        <s v="Herramientas Eléctricas"/>
        <s v="Gasfiteria"/>
        <s v="Hogar"/>
        <s v="Accesorios"/>
        <s v="Mochilas y Fundas"/>
        <s v="Pantallas"/>
        <s v="Perifericos de Computacion"/>
        <s v="Smart Home"/>
        <s v="Soportes"/>
        <s v="Telones y Proyectores"/>
        <s v="Accesorio Vestuario"/>
        <s v="Audio Menor"/>
        <s v="Camping y Outdoor"/>
        <s v="Deporte"/>
        <s v="Equipamiento"/>
        <s v="Hidratación"/>
        <s v="Smartwatch"/>
        <s v="Vestuario"/>
        <s v="Video"/>
        <s v="Belleza"/>
        <s v="Cristalería y Bar"/>
        <s v="Electrodomésticos"/>
        <s v="Juegos de Mesa"/>
        <s v="Menaje de Cocina"/>
        <s v="Mesa"/>
        <s v="Mundo Café"/>
        <s v="Organización"/>
        <s v="Vajilla"/>
        <s v="Cuidado Personal"/>
        <s v="Termos"/>
        <s v="Accesorios de Automovil"/>
        <s v="Accesorios de Instalacion"/>
        <s v="Accesorios de Viaje"/>
        <s v="Herramientas y Mantenimiento"/>
      </sharedItems>
    </cacheField>
    <cacheField name="Categoria Hijo" numFmtId="0">
      <sharedItems count="92">
        <s v="Accesorios de Bebe"/>
        <s v="Cocina y Accesorios"/>
        <s v="Juegos de Oficio"/>
        <s v="Maquillaje y Belleza"/>
        <s v="Pistas y Vehiculos"/>
        <s v="Sets de Construccion"/>
        <s v="Andador y Correpasillos"/>
        <s v="Didacticos"/>
        <s v="Escalada y Equilibrio"/>
        <s v="Otras"/>
        <s v="Taladro y Atornilladores"/>
        <s v="Baroscopios"/>
        <s v="Accesorios de Baño"/>
        <s v="Cable Cargador"/>
        <s v="Cargador Automovil"/>
        <s v="Cargador de Celular"/>
        <s v="Dispositivo Multipuerto"/>
        <s v="Fundas"/>
        <s v="Mochilas"/>
        <s v="Monitores"/>
        <s v="Pantallas Publicitarias"/>
        <s v="Gaming"/>
        <s v="Oficina"/>
        <s v="Aspiradoras"/>
        <s v="Cámaras de automovil"/>
        <s v="Cámaras de seguridad"/>
        <s v="Citofonia"/>
        <s v="Pesas Digitales"/>
        <s v="Soporte Computacion"/>
        <s v="Soportes de Television"/>
        <s v="Proyectores"/>
        <s v="Telones Proyector"/>
        <s v="Calcetines"/>
        <s v="Jockey"/>
        <s v="Pantuflas"/>
        <s v="Toalla"/>
        <s v="Audífonos"/>
        <s v="Parlantes"/>
        <s v="Pick Up Pads"/>
        <s v="Accesorios fitness"/>
        <s v="Bananos"/>
        <s v="Bolsos deportivos"/>
        <s v="Maletas"/>
        <s v="Neceser"/>
        <s v="Botellas Termicas"/>
        <s v="Tazas y vasos"/>
        <s v="Termos líquidos"/>
        <s v="Smartband"/>
        <s v="Smartwatch"/>
        <s v="Calzas y Petos"/>
        <s v="Pantalones y Shorts"/>
        <s v="Parkas e Impermeables"/>
        <s v="Polar y Polerones"/>
        <s v="Poleras y Primeras Capas"/>
        <s v="Cámaras de acción"/>
        <s v="Cosmetica"/>
        <s v="Bar"/>
        <s v="Cubetas de hielo"/>
        <s v="Tazas"/>
        <s v="Vasos"/>
        <s v="Espumadores"/>
        <s v="Juegos de Mesa"/>
        <s v="Baterías de cocina"/>
        <s v="Cuchilleria"/>
        <s v="Mantequilleros"/>
        <s v="Sartenes y Ollas"/>
        <s v="Termos de comida"/>
        <s v="Utensilios de cocina"/>
        <s v="Mantelería"/>
        <s v="Cafeteras"/>
        <s v="Contenedores"/>
        <s v="Basureros"/>
        <s v="Especieros"/>
        <s v="Secadores de platos"/>
        <s v="Alcuza"/>
        <s v="Alcuzas"/>
        <s v="Azucarero"/>
        <s v="Fuentes"/>
        <s v="Juego de Loza"/>
        <s v="Loza Granel"/>
        <s v="Afeitadoras"/>
        <s v="Alisadores"/>
        <s v="Secadores"/>
        <s v="Botellas Plasticas"/>
        <s v="Cobertores y Tapices"/>
        <s v="Seguridad"/>
        <s v="Barras y Portaequipajes"/>
        <s v="Sensores de retroceso"/>
        <s v="Toldos y Carpas"/>
        <s v="Accesorios de Camping"/>
        <s v="Herramientas de Asistencia"/>
        <s v="Lavado y Limpieza"/>
      </sharedItems>
    </cacheField>
    <cacheField name="Sku Padre" numFmtId="0">
      <sharedItems containsMixedTypes="1" containsNumber="1" containsInteger="1" minValue="1479750635184" maxValue="69746014453052"/>
    </cacheField>
    <cacheField name="Sku" numFmtId="0">
      <sharedItems containsMixedTypes="1" containsNumber="1" containsInteger="1" minValue="1479750635184" maxValue="69746014453052" count="825">
        <s v="BDBBYCHK"/>
        <s v="BDCOCGRND"/>
        <s v="BDCOCMEDI"/>
        <s v="BDCOCMIN"/>
        <s v="BDCOCPQMD"/>
        <s v="BDELECTCOC"/>
        <s v="BDSETPAST"/>
        <s v="BDCASMUÑEC-WD"/>
        <s v="BDPKMESILL"/>
        <s v="BDPZMG2E1"/>
        <s v="BDSETDOC"/>
        <s v="BDSETLIMP"/>
        <s v="BDSETMAQ"/>
        <s v="BDTOCMD-WH"/>
        <s v="BDHELMAD"/>
        <s v="BDJUEAUT"/>
        <s v="BDJUETRE"/>
        <s v="BDMESHERRA"/>
        <s v="BDANDDIDAC-PK"/>
        <s v="BDANDDIDAC-GR"/>
        <s v="BNANDCONTRU"/>
        <s v="BDMBAVTHIE"/>
        <s v="BDMBBOESP"/>
        <s v="BDMBCIUMG"/>
        <s v="BDMBMNMRIO"/>
        <s v="BDMBSPAVMRIO"/>
        <s v="BDMESDIDAC"/>
        <s v="BDGIMPIK"/>
        <s v="BDGMNMVBB"/>
        <s v="BDMROBLDESC"/>
        <s v="BDSILLEVREG"/>
        <s v="BDTORRAPR"/>
        <s v="DYNHYDLA"/>
        <s v="DYNLLAIMP"/>
        <s v="DYNTALCPER"/>
        <s v="DYNTALIMPA"/>
        <s v="DYNTALPOW"/>
        <s v="DYNTALSCA"/>
        <s v="DYNTALSPER"/>
        <n v="1661877043628"/>
        <n v="1661877072053"/>
        <s v="INCAMINS92-40"/>
        <s v="INNCAMINS-7F"/>
        <s v="INNCAMINS-96"/>
        <s v="INNCAMINSH3-70"/>
        <s v="INNCAMINSH5-20"/>
        <s v="INNCAMINSH5512-20"/>
        <s v="INNCAMINSH6-40"/>
        <s v="INNCAMINS-U9"/>
        <n v="1571055493973"/>
        <s v="LVCABTC-BK"/>
        <s v="LVCABTC-WH"/>
        <s v="LVCABTCLIGH-WH"/>
        <n v="1650299083874"/>
        <n v="1652825203439"/>
        <s v="LVCAR25W-BK"/>
        <s v="LVCAR25W-WH"/>
        <s v="LVCAR45W-BK"/>
        <s v="LVCAR45W-WH"/>
        <s v="LVHUBMP-5"/>
        <s v="LVHUBMP-6"/>
        <s v="LVFNOTHS13-BK"/>
        <s v="LVFNOTHS15-BK"/>
        <s v="LVFUEX-BK"/>
        <s v="LVFUEX-GR"/>
        <n v="1659999392257"/>
        <n v="1659999410637"/>
        <s v="LVMOMA-BK"/>
        <s v="LVMOMA-GR"/>
        <s v="LVMOPRL-BK"/>
        <s v="LVMOVEL-BK"/>
        <s v="LVMOVITR-BK"/>
        <s v="LVMOWO-BK"/>
        <s v="LVMONEXV-15"/>
        <s v="LVMONPVS-15"/>
        <s v="LVMONPOR-15"/>
        <s v="LVPANTOTPUB-43"/>
        <s v="LVPANTOTPUB-50"/>
        <n v="1479750635184"/>
        <n v="1658329968514"/>
        <n v="1659990788079"/>
        <n v="1659990828178"/>
        <n v="66436804863605"/>
        <s v="LVAUDGM-BK"/>
        <s v="LVAUDGM-WH"/>
        <s v="LVCONJOY-RB"/>
        <s v="LVMSGMNEXP-BL"/>
        <s v="LVMPADBML-BK"/>
        <s v="LVMPADOFS-BK"/>
        <s v="LVMPADXXL-BK"/>
        <s v="LVMPADXXL-PK"/>
        <s v="LVMSGMNS-BK"/>
        <s v="LVTECMCC-BK"/>
        <s v="LVTECMCL-BK"/>
        <n v="67898087132855"/>
        <s v="LVMICPORT"/>
        <s v="LVMSVEL-GR"/>
        <s v="LVSILLERGO-BL"/>
        <s v="LVSILLLIT-BL"/>
        <s v="LVTECOFSL-GR"/>
        <n v="1652825027456"/>
        <n v="67327559384453"/>
        <s v="LVCAMSEGEX-BK"/>
        <s v="LVCITMONWF"/>
        <n v="1538141129434"/>
        <n v="1543406075297"/>
        <s v="LVSPALZNPLE"/>
        <s v="LVSPBRX2MN"/>
        <s v="LVSPTVUN"/>
        <s v="LVPROHEX"/>
        <s v="LVPROLUM"/>
        <s v="LVPRONOV"/>
        <s v="LVPROORI"/>
        <s v="LVPROMNLX-BL"/>
        <s v="LVPROFLX-BK"/>
        <s v="LVPRONOV-WH"/>
        <s v="LVPRONEULT-WH"/>
        <n v="1659991971809"/>
        <n v="1659991999728"/>
        <s v="LVTEL-80"/>
        <s v="LVTELBK-100"/>
        <s v="LVTELBK-60"/>
        <s v="LVTELBK-80"/>
        <s v="LVTELELE-100"/>
        <s v="LVTELELE-60"/>
        <s v="LVTELELE-80"/>
        <s v="LVTELRETR-100"/>
        <s v="LHCALBAJBKL-XL"/>
        <s v="LHCALBAJBKS-M"/>
        <s v="LHCALBAJGRML-XL"/>
        <s v="LHCALBAJGRMS-M"/>
        <s v="LHCALBAJWHL-XL"/>
        <s v="LHCALBAJWHS-M"/>
        <s v="LHCALMEDBLL-XL"/>
        <s v="LHCALMEDBLS-M"/>
        <s v="LHCALMEDEAL-XL"/>
        <s v="LHCALMEDEAS-M"/>
        <s v="LHCALMEDGRML-XL"/>
        <s v="LHCALMEDGRMS-M"/>
        <s v="LHCALMEDBKS-M"/>
        <s v="LHCALMEDBKL-XL"/>
        <s v="LHCALTOBBKL-XL"/>
        <s v="LHCALTOBBKS-M"/>
        <s v="LHCALTOBGREL-XL"/>
        <s v="LHCALTOBGRES-M"/>
        <s v="LHCALTOBGRL-XL"/>
        <s v="LHCALTOBGRS-M"/>
        <s v="LHJOCK5PDEC-BK"/>
        <s v="LHJOCK5PDEC-ML"/>
        <s v="LHJOCKTR-BK"/>
        <s v="LHJOCKTR-GR"/>
        <s v="LHJOCKTR-PP"/>
        <s v="LHJOCTREKRIS-BL"/>
        <s v="LHJOCTREKSOU-OR"/>
        <s v="LHJOCTREKSUM-GR"/>
        <s v="LHJOKFLF-BL"/>
        <s v="LHJOKFLF-GR"/>
        <s v="LHJOKHIK-BK"/>
        <s v="LHJOKHIK-GB"/>
        <s v="LHJOKRD-GR"/>
        <s v="LHJOKRD-ML"/>
        <s v="LHJOKTRE-BK"/>
        <s v="LHJOKTRE-GR"/>
        <s v="LHJOKTRE-OR"/>
        <s v="LHJOKWV-BK"/>
        <s v="LHJOKWV-GR"/>
        <s v="LHPANCLOGR38-39"/>
        <s v="LHPANIMBKBK36-37"/>
        <s v="LHPANIMBKBK38-39"/>
        <s v="LHPANIMBKBK40-41"/>
        <s v="LHPANIMBKBK42-43"/>
        <s v="LHPANIMBKBK44-45"/>
        <s v="LHPANIMBKCM36-37"/>
        <s v="LHPANIMBKCM38-39"/>
        <s v="LHPANIMBKCM40-41"/>
        <s v="LHPANIMBKCM42-43"/>
        <s v="LHPANIMBKCM44-45"/>
        <s v="LHPANIMPK34-35"/>
        <s v="LHPANIMPK36-37"/>
        <s v="LHPANIMPK38-39"/>
        <s v="LHPANIMPK40-41"/>
        <s v="LHPANIMSGR36-37"/>
        <s v="LHPANIMSGR38-39"/>
        <s v="LHPANIMSGR40-41"/>
        <s v="LHPANIMSGR42-43"/>
        <s v="LHPANIMSGR44-45"/>
        <s v="LHPANIMSLIL34-35"/>
        <s v="LHPANIMSLIL36-37"/>
        <s v="LHPANIMSLIL38-39"/>
        <s v="LHPANIMSLIL40-41"/>
        <s v="LHTOAMIC-BL"/>
        <s v="LHTOAMIC-LIL"/>
        <s v="LHTOASECRAP-BL"/>
        <s v="LHTOASECRAP-PK"/>
        <n v="1564150627423"/>
        <n v="1564150661249"/>
        <n v="1566335721736"/>
        <n v="1592492799236"/>
        <n v="1597086499840"/>
        <n v="1597098592591"/>
        <n v="68658866289861"/>
        <n v="68658868763602"/>
        <s v="LHAUDFIBUD-BK"/>
        <s v="LHAUDTUNAIR-BK"/>
        <s v="LHHEDBEMA-BK"/>
        <s v="LHHEDBEMA-KH"/>
        <s v="LHHEDWEPR-BK"/>
        <s v="LHHEDWEPR-KH"/>
        <s v="LHRMPLU-BK"/>
        <s v="LHRMPLU-WH"/>
        <n v="67898461965813"/>
        <s v="LHPARJOUR-BK"/>
        <s v="LHPARJOUR-BL"/>
        <s v="LHPARPULS-BK"/>
        <s v="LHPARPULS-BL"/>
        <s v="LHPARPULS-GR"/>
        <s v="LHPARPULS-RD"/>
        <s v="LHPARTRGO-BK"/>
        <s v="LHPARTRGO-BL"/>
        <s v="LHPARTRGO-GR"/>
        <s v="LHPARTRGO-RD"/>
        <n v="67933831843970"/>
        <n v="67933833934278"/>
        <n v="67933835121467"/>
        <n v="67933835988925"/>
        <n v="1571423280815"/>
        <n v="1615383366170"/>
        <n v="1615383407099"/>
        <n v="1627416841030"/>
        <n v="1623703942966"/>
        <s v="LHBANHIM-BK"/>
        <s v="LHBANHIM-BL"/>
        <s v="LHBANHIM-RD"/>
        <s v="LHBANK2BK"/>
        <n v="1623703861303"/>
        <s v="LHBOLDUFBK-30"/>
        <s v="LHBOLDUFGR-30"/>
        <s v="LHBOLDUFNV-30"/>
        <s v="LHBOLDUFBK-60"/>
        <s v="LHBOLDUFGR-60"/>
        <s v="LHBOLDUFNV-60"/>
        <s v="LHMALEXPBK-30"/>
        <s v="LHMALEXPBK-70"/>
        <s v="LHMALEXPBK-90"/>
        <s v="LHMALFRONT-L"/>
        <s v="LHMALFRONT-M"/>
        <s v="LHMALFRONT-S"/>
        <n v="1566849947902"/>
        <n v="1623703690011"/>
        <n v="1623703728452"/>
        <n v="1661873799978"/>
        <n v="1661873818029"/>
        <s v="LHCOLTOT"/>
        <s v="LHMOBI001-BK"/>
        <s v="LHMOBROBK"/>
        <s v="LHMOCCOL-BK"/>
        <s v="LHMOCLATK-BK"/>
        <s v="LHMOCLATK-BU"/>
        <s v="LHMOMAK-BK"/>
        <s v="LHMOMAK-GR"/>
        <s v="LHMOPUM-BK"/>
        <s v="LHMOPUM-GR"/>
        <s v="LHMOVINOM-BK"/>
        <s v="LHNECKHUM-BK"/>
        <s v="LHNECKHUM-GR"/>
        <s v="LHNECTRRIM-BK"/>
        <s v="LHBIGMU-BL"/>
        <s v="LHBIGMU-CR"/>
        <s v="LHBIGMU-BKN"/>
        <s v="LHBIGMU-BLN"/>
        <s v="LHBIGMU-CRN"/>
        <s v="LHBIGMU-GRN"/>
        <s v="LHBIGMU-PKN"/>
        <s v="LHBIGMU-PPN"/>
        <s v="LHBIGMU-PK"/>
        <s v="LHBOADV-BK"/>
        <s v="LHBOADV-BL"/>
        <s v="LHBOADV-PK"/>
        <s v="LHBOADV-WH"/>
        <s v="LHBOHY95-LY"/>
        <s v="LHBOHY95-PK"/>
        <s v="LHBOHYCO-BG"/>
        <s v="LHBOHYCO-BK"/>
        <s v="LHBOHYCO-GR"/>
        <s v="LHBOHYCO-NY"/>
        <s v="LHBOHYCO-PK"/>
        <s v="LHBOHYTK750-BG"/>
        <s v="LHBOHYTK750-BK"/>
        <s v="LHBOHYTK750-GR"/>
        <s v="LHBOHYTK750-NY"/>
        <s v="LHBOHYTK750-PK"/>
        <s v="LHBOIND-BK"/>
        <s v="LHBOIND-LY"/>
        <s v="LHBOIND-RD"/>
        <s v="LHVASOTERMIUP-BG"/>
        <s v="LHVASOTERMIUP-BK"/>
        <s v="LHVASOTERMIUP-GR"/>
        <s v="LHVASOTERMIUP-NY"/>
        <s v="LHVASOTERMIUP-PK"/>
        <s v="LHSHNUCO-BG"/>
        <s v="LHSHNUCO-BK"/>
        <s v="LHSHNUCO-GR"/>
        <s v="LHSHNUCO-NY"/>
        <s v="LHSHNUCO-PK"/>
        <s v="LHTPHY01"/>
        <s v="LHTRMU-BK"/>
        <s v="LHTRMU-BL"/>
        <s v="LHTRMU-GR"/>
        <s v="LHTRMU-PK"/>
        <s v="LHTRMU-WH"/>
        <s v="LHCAMU-BK"/>
        <s v="LHCAMU-BL"/>
        <s v="LHCAMU-GR"/>
        <s v="LHCAMU-WH"/>
        <s v="LHMAMU-BK"/>
        <s v="LHMAMU-GR"/>
        <s v="LHMAMU-LPK"/>
        <s v="LHMAMU-PK"/>
        <s v="LHMAMU-RD"/>
        <s v="LHMAMU-WH"/>
        <s v="LHVACAM-BK"/>
        <s v="LHVACAM-PK"/>
        <s v="LHVACAM-RD"/>
        <s v="LHVACAM-WH"/>
        <s v="LHTHCLA-BK"/>
        <s v="LHTHCLA-GR"/>
        <s v="LHTHCLA-PK"/>
        <s v="LHTHCLA-WH"/>
        <s v="LHSWFLOBK"/>
        <s v="LHSWFLOPK"/>
        <n v="1639085706913"/>
        <n v="1639085745522"/>
        <n v="1639085755244"/>
        <n v="1639085763857"/>
        <n v="1652824924113"/>
        <n v="1652824942453"/>
        <n v="1652824957424"/>
        <s v="LHSWMOVON7-PK"/>
        <s v="LHSWRHYX10-BK"/>
        <s v="LHSWRHYX10-PK"/>
        <s v="LHSWSHAR-BK"/>
        <s v="LHSWSHAR-CR"/>
        <s v="LHSWSHAR-PK"/>
        <s v="LHSWVIBBK"/>
        <s v="LHSWVIBCR"/>
        <s v="LTS26-WLG03L-BK"/>
        <s v="LTS26-WLG03L-TL"/>
        <s v="LTS26-WLG03M-BK"/>
        <s v="LTS26-WLG03M-TL"/>
        <s v="LTS26-WLG03S-BK"/>
        <s v="LTS26-WLG03S-TL"/>
        <s v="LTS26-WLG03XL-BK"/>
        <s v="LTS26-WLG03XL-TL"/>
        <s v="LTS26-WSB01L-BK"/>
        <s v="LTS26-WSB01L-TL"/>
        <s v="LTS26-WSB01M-BK"/>
        <s v="LTS26-WSB01M-TL"/>
        <s v="LTS26-WSB01S-BK"/>
        <s v="LTS26-WSB01S-TL"/>
        <s v="LTS26-WSB01XL-BK"/>
        <s v="LTS26-WSB01XL-TL"/>
        <s v="LTS27-WBS02L-SP44"/>
        <s v="LTS27-WBS02M-SP44"/>
        <s v="LTS27-WBS02S-SP44"/>
        <s v="LTS27-WBS02XL-SP44"/>
        <s v="LTS27-WBS02XS-SP44"/>
        <s v="LTS27-WFL02L-SP44"/>
        <s v="LTS27-WFL02M-SP44"/>
        <s v="LTS27-WFL02S-SP44"/>
        <s v="LTS27-WFL02XL-SP44"/>
        <s v="LTS27-WFL02XS-SP44"/>
        <s v="LTS27-WSB02L-SP44"/>
        <s v="LTS27-WSB02M-SP44"/>
        <s v="LTS27-WSB02S-SP44"/>
        <s v="LTS27-WSB02XL-SP44"/>
        <s v="LTS27-WSB02XS-SP44"/>
        <s v="LTS26-MWS0640-BK"/>
        <s v="LTS26-MWS0640-GR"/>
        <s v="LTS26-MWS0642-BK"/>
        <s v="LTS26-MWS0642-GR"/>
        <s v="LTS26-MWS0644-BK"/>
        <s v="LTS26-MWS0644-GR"/>
        <s v="LTS26-MWS0646-BK"/>
        <s v="LTS26-MWS0646-GR"/>
        <s v="LTS26-WLG02L-BK"/>
        <s v="LTS26-WLG02L-TL"/>
        <s v="LTS26-WLG02M-BK"/>
        <s v="LTS26-WLG02M-TL"/>
        <s v="LTS26-WLG02S-BK"/>
        <s v="LTS26-WLG02S-TL"/>
        <s v="LTS26-WLG02XL-BK"/>
        <s v="LTS26-WLG02XL-TL"/>
        <s v="LTS26-WPT0638-BK"/>
        <s v="LTS26-WPT0638-PT"/>
        <s v="LTS26-WPT0640-BK"/>
        <s v="LTS26-WPT0640-PT"/>
        <s v="LTS26-WPT0642-BK"/>
        <s v="LTS26-WPT0642-PT"/>
        <s v="LTS26-WPT0644-BK"/>
        <s v="LTS26-WPT0644-PT"/>
        <s v="LTS27-MPT0240-BK"/>
        <s v="LTS27-MPT0240-BL"/>
        <s v="LTS27-MPT0242-BK"/>
        <s v="LTS27-MPT0242-BL"/>
        <s v="LTS27-MPT0244-BK"/>
        <s v="LTS27-MPT0244-BL"/>
        <s v="LTS27-MPT0246-BK"/>
        <s v="LTS27-MPT0246-BL"/>
        <s v="LTS27-MPT0248-BK"/>
        <s v="LTS27-MPT0248-BL"/>
        <s v="LTW25-MPT1140-GR"/>
        <s v="LTW25-MPT1140-GRY"/>
        <s v="LTW25-MPT1142-GR"/>
        <s v="LTW25-MPT1142-GRY"/>
        <s v="LTW25-MPT1144-GR"/>
        <s v="LTW25-MPT1144-GRY"/>
        <s v="LTW25-MPT1146-GR"/>
        <s v="LTW25-MPK08L-BK"/>
        <s v="LTW25-MPK08L-GR"/>
        <s v="LTW25-MPK08M-BK"/>
        <s v="LTW25-MPK08M-GR"/>
        <s v="LTW25-MPK08S-BK"/>
        <s v="LTW25-MPK08S-GR"/>
        <s v="LTW25-MPK08XL-GR"/>
        <s v="LTW25-MPK09L-BK"/>
        <s v="LTW25-MPK09L-BL"/>
        <s v="LTW25-MPK09M-BK"/>
        <s v="LTW25-MPK09M-BL"/>
        <s v="LTW25-MPK09S-BK"/>
        <s v="LTW25-MPK09S-BL"/>
        <s v="LTW25-MPK10L-BK"/>
        <s v="LTW25-MPK10M-BK"/>
        <s v="LTW25-MPK10S-BK"/>
        <s v="LTW25-MPK10XL-BK"/>
        <s v="LTS26-MSW03MY-L"/>
        <s v="LTS26-MSW03MY-M"/>
        <s v="LTS26-MSW03MY-S"/>
        <s v="LTS26-MSW03MY-XL"/>
        <s v="LTS26-MSW03OR-L"/>
        <s v="LTS26-MSW03OR-M"/>
        <s v="LTS26-MSW03OR-S"/>
        <s v="LTS26-MSW03OR-XL"/>
        <s v="LTS26-WKF04L-BK"/>
        <s v="LTS26-WKF04L-PK"/>
        <s v="LTS26-WKF04M-BK"/>
        <s v="LTS26-WKF04M-PK"/>
        <s v="LTS26-WKF04S-BK"/>
        <s v="LTS26-WKF04S-PK"/>
        <s v="LTS26-WKF04XL-BK"/>
        <s v="LTS26-WKF04XL-PK"/>
        <s v="LTS27-MFZH01L-GR"/>
        <s v="LTS27-MFZH01L-GY"/>
        <s v="LTS27-MFZH01M-GR"/>
        <s v="LTS27-MFZH01M-GY"/>
        <s v="LTS27-MFZH01S-GR"/>
        <s v="LTS27-MFZH01S-GY"/>
        <s v="LTS27-MFZH01XL-GR"/>
        <s v="LTS27-MFZH01XL-GY"/>
        <s v="LTS27-MFZH01XXL-GR"/>
        <s v="LTS27-MFZH01XXL-GY"/>
        <s v="LTW25-MKF03L-BK"/>
        <s v="LTW25-MKF03L-GR"/>
        <s v="LTW25-MKF03M-BK"/>
        <s v="LTW25-MKF03M-GR"/>
        <s v="LTW25-MKF03S-BK"/>
        <s v="LTW25-MKF03S-GR"/>
        <s v="LTW25-MKF03XL-GR"/>
        <s v="LTW25-MKF04L-BK"/>
        <s v="LTW25-MKF04L-BL"/>
        <s v="LTW25-MKF04M-BK"/>
        <s v="LTW25-MKF04M-BL"/>
        <s v="LTW25-MKF04S-BK"/>
        <s v="LTW25-MKF04S-BL"/>
        <s v="LTW25-MKF04XL-BK"/>
        <s v="LTW25-MKF04XL-BL"/>
        <s v="LTW25-MKF05L-BK"/>
        <s v="LTW25-MKF05L-BL"/>
        <s v="LTW25-MKF05M-BK"/>
        <s v="LTW25-MKF05M-BL"/>
        <s v="LTW25-MKF05S-BK"/>
        <s v="LTW25-MKF05S-BL"/>
        <s v="LTW25-MKF05XL-BK"/>
        <s v="LTW25-MKF05XL-BL"/>
        <s v="LTW25-MKF07L-ECRU"/>
        <s v="LTW25-MKF07L-GR"/>
        <s v="LTW25-MKF07M-ECRU"/>
        <s v="LTW25-MKF07M-GR"/>
        <s v="LTW25-MKF07S-ECRU"/>
        <s v="LTW25-MKF07S-GR"/>
        <s v="LTW25-MKF07XL-ECRU"/>
        <s v="LTW25-MKF07XL-GR"/>
        <s v="LTW25-MSW06L-GR"/>
        <s v="LTW25-MSW06L-GRY"/>
        <s v="LTW25-MSW06M-GR"/>
        <s v="LTW25-MSW06M-GRY"/>
        <s v="LTW25-MSW06S-GR"/>
        <s v="LTW25-MSW06S-GRY"/>
        <s v="LTW25-MSW06XL-GR"/>
        <s v="LTW25-MSW06XL-GRY"/>
        <s v="LTS26-MTS01L-BK"/>
        <s v="LTS26-MTS01L-BL"/>
        <s v="LTS26-MTS01L-GR"/>
        <s v="LTS26-MTS01M-BK"/>
        <s v="LTS26-MTS01M-BL"/>
        <s v="LTS26-MTS01M-GR"/>
        <s v="LTS26-MTS01S-BK"/>
        <s v="LTS26-MTS01S-BL"/>
        <s v="LTS26-MTS01S-GR"/>
        <s v="LTS26-MTS01XL-BK"/>
        <s v="LTS26-MTS01XL-BL"/>
        <s v="LTS26-MTS01XL-GR"/>
        <s v="LTS26-MTS02BDL-BK"/>
        <s v="LTS26-MTS02BDM-BK"/>
        <s v="LTS26-MTS02BDS-BK"/>
        <s v="LTS26-MTS02BDXL-BK"/>
        <s v="LTS26-MTS02BEL-BG"/>
        <s v="LTS26-MTS02BEM-BG"/>
        <s v="LTS26-MTS02BES-BG"/>
        <s v="LTS26-MTS02BEXL-BG"/>
        <s v="LTS26-MTS02BLL-GY"/>
        <s v="LTS26-MTS02BLM-GY"/>
        <s v="LTS26-MTS02BLS-GY"/>
        <s v="LTS26-MTS02BLXL-GY"/>
        <s v="LTS26-MTS02BMUL-GR"/>
        <s v="LTS26-MTS02BMUM-GR"/>
        <s v="LTS26-MTS02BMUS-GR"/>
        <s v="LTS26-MTS02BMUXL-GR"/>
        <s v="LTS26-MTS02BMYL-PK"/>
        <s v="LTS26-MTS02BMYM-PK"/>
        <s v="LTS26-MTS02BMYS-PK"/>
        <s v="LTS26-MTS02BMYXL-PK"/>
        <s v="LTS27-MTS02L-BR"/>
        <s v="LTS27-MTS02L-DBL"/>
        <s v="LTS27-MTS02L-DGN"/>
        <s v="LTS27-MTS02L-DGR"/>
        <s v="LTS27-MTS02L-WH"/>
        <s v="LTS27-MTS02M-BR"/>
        <s v="LTS27-MTS02M-DBL"/>
        <s v="LTS27-MTS02M-DGN"/>
        <s v="LTS27-MTS02M-DGR"/>
        <s v="LTS27-MTS02M-WH"/>
        <s v="LTS27-MTS02S-BR"/>
        <s v="LTS27-MTS02S-DBL"/>
        <s v="LTS27-MTS02S-DGN"/>
        <s v="LTS27-MTS02S-DGR"/>
        <s v="LTS27-MTS02S-WH"/>
        <s v="LTS27-MTS02XL-BR"/>
        <s v="LTS27-MTS02XL-DBL"/>
        <s v="LTS27-MTS02XL-DGN"/>
        <s v="LTS27-MTS02XL-DGR"/>
        <s v="LTS27-MTS02XL-WH"/>
        <s v="LTS27-MTS02XXL-BR"/>
        <s v="LTS27-MTS02XXL-DBL"/>
        <s v="LTS27-MTS02XXL-DGN"/>
        <s v="LTS27-MTS02XXL-DGR"/>
        <s v="LTS27-MTS02XXL-WH"/>
        <s v="LTW25-MFL01L-BK"/>
        <s v="LTW25-MFL01M-BK"/>
        <s v="LTW25-MFL01S-BK"/>
        <s v="LTW25-MFL01XL-BK"/>
        <s v="LTW25-MTS02L-BG"/>
        <s v="LTW25-MTS02L-GR"/>
        <s v="LTW25-MTS02L-GRY"/>
        <s v="LTW25-MTS02M-BG"/>
        <s v="LTW25-MTS02M-GR"/>
        <s v="LTW25-MTS02M-GRY"/>
        <s v="LTW25-MTS02S-BG"/>
        <s v="LTW25-MTS02S-GR"/>
        <s v="LTW25-MTS02S-GRY"/>
        <s v="LTW25-MTS02XL-BG"/>
        <s v="LTW25-MTS02XL-GR"/>
        <s v="LHCAMACSUM"/>
        <s v="LHCAMACXPL"/>
        <n v="8809563100316"/>
        <n v="8809563100347"/>
        <n v="8809563100828"/>
        <n v="8809563101054"/>
        <n v="8809563102471"/>
        <n v="8809563103430"/>
        <s v="SIMDECCHA"/>
        <s v="SIMDECROU"/>
        <s v="SIMDESSOM"/>
        <s v="SIMHIECHAR"/>
        <s v="SIMJARVID"/>
        <n v="66800506435054"/>
        <n v="66800507665930"/>
        <n v="66800509015029"/>
        <n v="66800510263382"/>
        <s v="SIMTAZMANGCO"/>
        <n v="1650298908518"/>
        <n v="1654207352499"/>
        <n v="1654207372101"/>
        <n v="1660857914743"/>
        <n v="67933854599885"/>
        <n v="67933856404072"/>
        <n v="67933857637909"/>
        <n v="67933859111971"/>
        <n v="67933860407346"/>
        <n v="67933861722733"/>
        <n v="67933863068841"/>
        <s v="SIMCOPESPMON"/>
        <s v="SIMCOPGINLDN"/>
        <s v="SIMCOPGINOND"/>
        <s v="SIMCOPVINALSA"/>
        <s v="SIMCOPVINOND"/>
        <s v="SIMCOPVINPIAM"/>
        <s v="SIMVASCORGINE"/>
        <s v="SIMVASHAM-335"/>
        <s v="SIMVASHAM-510"/>
        <s v="SIMVASLARGINE"/>
        <s v="SIMVASOND-332"/>
        <s v="SMVABOR4"/>
        <n v="1660859171584"/>
        <n v="68432930518995"/>
        <n v="1628018206370"/>
        <n v="1634845754276"/>
        <n v="1635956574926"/>
        <s v="SIMBATORG-BK"/>
        <s v="SIMBATOTOUL"/>
        <s v="SMBATCOPBK"/>
        <s v="SMBATLCGR"/>
        <s v="SMBATOXCR"/>
        <s v="SMBATOXBK"/>
        <s v="SMBATPMGR"/>
        <s v="SMBATSAV9-CR"/>
        <s v="SIMCENVER-CR"/>
        <s v="SIMCUCER-24"/>
        <s v="SIMCUHOL-5"/>
        <s v="SIMCUKUC-5"/>
        <s v="SIMCUMAR-BK"/>
        <s v="SIMCUMAR-CR"/>
        <s v="SIMCUMAR-WO"/>
        <s v="SIMCUPAR-BK"/>
        <s v="SIMCUPGL-30"/>
        <s v="SIMCUPRO-4"/>
        <s v="SIMCUROM-30"/>
        <s v="SIMCUSTA-5"/>
        <s v="SIMCUTOL-2"/>
        <s v="SIMCUVER-CR"/>
        <s v="SIMCUVER-WO"/>
        <n v="1660858101318"/>
        <s v="SIMMANCC-WH"/>
        <s v="SIMMANCC-BK"/>
        <n v="1635956592996"/>
        <n v="1635956597983"/>
        <s v="SIMO28TOUL"/>
        <n v="66800469437952"/>
        <n v="66800471275549"/>
        <n v="66800472805184"/>
        <n v="68142280732690"/>
        <n v="1629726091782"/>
        <n v="1629726117626"/>
        <n v="1639488921197"/>
        <n v="1660858025311"/>
        <s v="SIMTABCUT-WD"/>
        <s v="SIMINDX4-BG"/>
        <s v="SIMINDX4-GR"/>
        <s v="SIMMANTL-BG"/>
        <s v="SIMMANTL-GR"/>
        <s v="SIMMANTL-GREY"/>
        <s v="SIMMANTM-BG"/>
        <s v="SIMMANTM-GR"/>
        <s v="SIMMANTM-GREY"/>
        <s v="SIMSERVX4-BG"/>
        <s v="SIMSERVX4-GR"/>
        <n v="1629726159155"/>
        <n v="1630369674271"/>
        <n v="1652825295706"/>
        <s v="SIMCAFFRCO"/>
        <s v="SMCFIT12LC-GR"/>
        <s v="SMCFIT12SV-WH"/>
        <s v="SMCFIT4LC-GR"/>
        <s v="SMCFIT4SV-WH"/>
        <s v="SMCONTCAFMI"/>
        <n v="1654207295633"/>
        <n v="1654207307551"/>
        <n v="1654207333519"/>
        <n v="1660858266475"/>
        <n v="67951423489593"/>
        <n v="67951425161311"/>
        <s v="SIMBACOHA-55"/>
        <s v="SIMBACOIR-40"/>
        <s v="SIMBACOUR-30"/>
        <s v="SIMBASLIV-BK"/>
        <s v="SIMBASLUC-GR"/>
        <n v="1627418212924"/>
        <n v="1645629782262"/>
        <n v="1662389376894"/>
        <n v="1650295261109"/>
        <n v="1650295282448"/>
        <n v="1654189048611"/>
        <n v="1654189204021"/>
        <n v="1654207748340"/>
        <n v="1660858416606"/>
        <n v="1660858812938"/>
        <n v="1660858828618"/>
        <n v="1660858844449"/>
        <n v="1660859102915"/>
        <n v="1660859287583"/>
        <n v="67327712330533"/>
        <s v="SIM4FRHRDUB-WD"/>
        <n v="1660858793429"/>
        <n v="1660858776726"/>
        <n v="1660858756233"/>
        <s v="SIMOREXBAS-WD"/>
        <s v="SIMOREXOSL-WD"/>
        <s v="SIMTUPSILBEI"/>
        <s v="SIMTUPSILBL"/>
        <s v="SIMTUPSILGR"/>
        <s v="SIMTUPSILRD"/>
        <n v="1627418180602"/>
        <n v="1660857800718"/>
        <n v="1660858702400"/>
        <s v="SIMMOLVER-WD"/>
        <n v="1660858341796"/>
        <n v="1660858356962"/>
        <n v="68540048936286"/>
        <n v="68540051413139"/>
        <s v="SIMSECBILBK"/>
        <s v="SIMSECBILWH"/>
        <s v="SIMSECVALBK"/>
        <s v="SIMSECVALWH"/>
        <s v="SIMALCVID"/>
        <n v="1659989549286"/>
        <s v="SMAZUCVID"/>
        <n v="1659991481176"/>
        <n v="1661872956577"/>
        <s v="SIMJULZAMA-16"/>
        <s v="SIMJULZAMA-24"/>
        <s v="SIMJULZBRU-30"/>
        <s v="SIMJULZOPO-30"/>
        <s v="SIMJULZSAN-30"/>
        <s v="SIMJULZSIE-30"/>
        <s v="SIMJULZTOS-12"/>
        <s v="SIMBOWAMA-4"/>
        <s v="SIMBOWSIE-4"/>
        <s v="SIMBOWTAZ-4"/>
        <s v="SIMPLAMA-4"/>
        <s v="SIMPLSIE-4"/>
        <s v="SIMTAZPAL-2"/>
        <s v="SIMTAZSIE-4"/>
        <s v="TCAFSKIFL"/>
        <s v="TCRANEBL"/>
        <s v="TCALSCAEGL-PP"/>
        <s v="TCMULTSTY5N1"/>
        <s v="TCMULTSTY5N1-BG"/>
        <s v="MTBOBLOV420"/>
        <s v="MTBOBPET420"/>
        <s v="MTBOHWMON420"/>
        <s v="MTBOHWRAC420"/>
        <s v="MTBOTCLBARINS-750"/>
        <s v="MTBOTCLBARLIPR-750"/>
        <s v="MTBOTCLBARLIN-750"/>
        <s v="MTBOTCLBARDAPR-750"/>
        <s v="MTBOTFIBARSAF-900"/>
        <s v="MTBOTFIBARLIPR-900"/>
        <s v="MTBOTFIBARDAPR-900"/>
        <s v="MTBOTFIBARFL-900"/>
        <s v="MTBOTBARDR-500"/>
        <s v="MTBOTBARINS-500"/>
        <s v="MTBOTBARCL-500"/>
        <s v="MTSHBARLIPR-500"/>
        <s v="MTSHBARDAPR-500"/>
        <s v="MTHWLGBT590-AM"/>
        <s v="MTHWLGBT590-BK"/>
        <s v="MTHWLGBT750-BK"/>
        <s v="MTHWLGBT750-BY"/>
        <s v="MTHWLGBT750-YW"/>
        <s v="MTHWLGVT590-BG"/>
        <s v="MTHWLGVT590-BK"/>
        <s v="MTHWLGVT590-YW"/>
        <s v="MTBOBBA450"/>
        <s v="MTBOBIC450"/>
        <s v="MTBOBINS590"/>
        <s v="MTBOBMA450"/>
        <s v="MTBOBSHI590"/>
        <s v="MTBOHWCL450"/>
        <s v="MTBOHWCOM590"/>
        <s v="MTBOHWFA590"/>
        <s v="MTBOHWRA450"/>
        <s v="MTBOHWTR450"/>
        <s v="MTVTUMBDR590"/>
        <s v="MTVTUMBLO590"/>
        <s v="MTVTUMBPR590"/>
        <s v="MTVTUMBVI590"/>
        <s v="MTTCBFRI450"/>
        <s v="MTTCBFUN450"/>
        <s v="MTTCHWCLA330"/>
        <s v="MTTCHWTRU330"/>
        <n v="1656603353038"/>
        <n v="67898258445967"/>
        <n v="1660859424566"/>
        <s v="XRCOBMOT-BS"/>
        <s v="XRCOBSUV-BS"/>
        <s v="XRFUNCASUN-BK"/>
        <s v="XRPISUNIS3-BK"/>
        <s v="XRPISUNIS-BK"/>
        <s v="XRCADCANRR"/>
        <n v="1650301031879"/>
        <n v="1650302273911"/>
        <s v="XRBARRUNXC-120"/>
        <s v="XRBARRUNXC-127"/>
        <s v="XRBARRUNXC-137"/>
        <s v="XRBOLBL-410"/>
        <s v="XRBOLBL-430"/>
        <s v="XRPARREQ-BK"/>
        <n v="69746014453052"/>
        <n v="1650302269777"/>
        <s v="XRTOLLAT270-BG"/>
        <s v="XRCARAA10-CL"/>
        <s v="XRCARINF34-CL"/>
        <s v="XRCARINF68-CL"/>
        <s v="XRCARRTRACT-CL"/>
        <s v="XRCOLINF2P-CL"/>
        <s v="XRCOOLPOR50-BK"/>
        <s v="XRCOOLPORT20-GR"/>
        <s v="XRCOOLPORT40-GR"/>
        <s v="XRCOOLPORTF40-GR"/>
        <s v="XRCOOLPORT-GR"/>
        <s v="XRESTAENER-OG"/>
        <s v="XRQUITCD-CL"/>
        <s v="XRPARTBAT-GR"/>
        <s v="XRBAREMSS"/>
        <s v="XRHYDLAV-OR"/>
        <n v="1660858118518" u="1"/>
      </sharedItems>
    </cacheField>
    <cacheField name="Descripcion" numFmtId="0">
      <sharedItems count="664">
        <s v="Mecedor Eléctrico Coche Recargable Bebé Baby Chick Bandú"/>
        <s v="Cocina de Juguete Infantil Niños Madera Accesorios Bandú"/>
        <s v="Cocina de Juguete Infantil Niños Madera 11 Accesorios Bandú"/>
        <s v="Set Juego Mini Cocina de Juguete Alimentos Madera Bandú"/>
        <s v="Cocina de Juguete Infantil Niños Madera Rosada con Acc Bandú"/>
        <s v="Juguete Infantil Mini Electrodomésticos Cocina Madera Bandú"/>
        <s v="Set Juego Pastelería Corta Postre Infantil Niño Madera Bandú"/>
        <s v="Casa de Muñecas de Madera Juguete Infantil Bandú"/>
        <s v="Pack Infantil 1 Mesa 2 Sillas Madera Didáctico Bandú"/>
        <s v="Pizarra Madera Infantil Magnética 2 en 1 Didáctica Bandú"/>
        <s v="Set Juego de Roles Doctor Niños Madera 12 pcs Bandú"/>
        <s v="Set Juego de Limpieza y Aseo Madera Bandú"/>
        <s v="Juego de Maquillaje Set Belleza de Roll Niños Madera Bandú"/>
        <s v="Tocador Infantil Para Niñas Espejo Maquillaje Madera Bandú"/>
        <s v="Juego Heladería Infantil Niños Madera Bandú"/>
        <s v="Set Autos de Juguete Tren Pista y Señaleticas Madera Bandú"/>
        <s v="Pista de Autos y Tren de Madera Juego Didactico 70pcs Bandú"/>
        <s v="Juego de Construcción Herramientas Madera para Niños Bandú"/>
        <s v="Andador Correpasillos Bebe Didáctico Madera Bandú"/>
        <s v="Andador Correpasillos Bebe Juego Construccion Madera Bandú"/>
        <s v="Juego Bloques Magnéticos 89pcs MineBlocks Aventura Bandú"/>
        <s v="Juego Bloques Magnéticos 54pcs MineBlocks Bob Marino Bandú"/>
        <s v="Juego Bloques Magnéticos 114pcs MineBlocks Ciudad Bandú"/>
        <s v="⁠Juego Bloques Magnéticos 75pcs MineBlocks Mundo Bandú"/>
        <s v="⁠Juego Bloques Magnéticos 146pcs MineBlocks Mapa Bandú"/>
        <s v="Mesa Infantil Aprendizaje Didactica 7 en 1 Montessori Bandú"/>
        <s v="Gimnasio Infantil Juego Pikler Parque 8 en 1 Bandú"/>
        <s v="Gimnasio Móvil de Madera Bebé Infantil Bandú"/>
        <s v="Torre Aprendizaje Infantil Pikler Escalada Montessori Bandú"/>
        <s v="Silla de Comer Infantil Evolutiva Madera Regulable Bandú"/>
        <s v="Torre Aprendizaje Plegable Montesori Madera 3 Niveles Bandú"/>
        <s v="Hidrolavadora eléctrica Dynamo WP 1800w 130bar 220/240V 60Hz"/>
        <s v="Llave de Impacto Inalámbrica Dynamo 21V + 2 Baterias y Acss"/>
        <s v="Taladro Percutor Inalámbrico Dynamo 21v 2 Baterías + Accs"/>
        <s v="Pack Taladro Percutor + Atornillador de Impacto 21V Dynamo"/>
        <s v="Taladro Inalámbrico Dynamo Rotomartillo Percutor 2 Baterías"/>
        <s v="Kit Taladro Destornillador Inalámbrico Dynamo 21V 2 baterías"/>
        <s v="Cámara de Inspección Baroscopio con Sonda 20 Mts TP9200"/>
        <s v="Cámara de Inspección Baroscopio con Sonda 20 Mts H6"/>
        <s v="Cámara de Inspección Baroscopio con Sonda 40 Mts TP9200"/>
        <s v="Cámara de Inspección Baroscopio con Sonda 20 Mts TP9607F"/>
        <s v="Cámara de Inspección de Tuberías Endoscopio Industrial TP9600"/>
        <s v="Cámara de Inspección Baroscopio con Sonda 20 Mts H3"/>
        <s v="Cámara de Inspección Baroscopio con Sonda 20 Mts H5"/>
        <s v="Cámara de Inspección Baroscopio 512 Hz con Sonda 20 Mts H5"/>
        <s v="Cámara de Inspección Baroscopio con Sonda 40 Mts H6"/>
        <s v="Cámara de Inspección de Tuberías Endoscopio Industrial U9"/>
        <s v="Secador De Toallas Pedestal 6 Niveles"/>
        <s v="Cable de Carga Rápida USB-C 100W 5A 1Mt Negro LEVO"/>
        <s v="Cable de Carga Rápida USB-C 100W 5A 1Mt Blanco LEVO"/>
        <s v="Cable de Carga USB-C a Lightning 1 Mt Blanco LEVO"/>
        <s v="Cargador Inalámbrico Carga Rapida iPhone 12/13 Auto V+ LEVO"/>
        <s v="Cargador Inalámbrico Carga Rápida Magnético Auto VO1 LEVO"/>
        <s v="Cargador Super Rapido De Pared 25W USB-C Negro LEVO"/>
        <s v="Cargador Super Rapido De Pared 25W USB-C Blanco LEVO"/>
        <s v="Cargador Ultra Rapido De Pared 45W USB-C Negro LEVO"/>
        <s v="Cargador Ultra Rapido De Pared 45W USB-C Blanco LEVO"/>
        <s v="Hub USB-C Adaptador Multipuerto 5 en 1 Macbook Windows LEVO"/>
        <s v="Hub USB-C Adaptador Multipuerto 6 en 1 Macbook Windows LEVO"/>
        <s v="Funda HardShell Notebook 13-14&quot; Negra LEVO"/>
        <s v="Funda HardShell Notebook 15-16&quot; Negra LEVO"/>
        <s v="Funda Maletin Notebook EXECUTIVE 15,6&quot; Negra LEVO"/>
        <s v="Mochila Notebook Puerto USB 15,6&quot; Gris LEVO"/>
        <s v="Mochila Notebook Puerto USB 15,6&quot; Negra LEVO"/>
        <s v="Mochila Notebook MANAGER 15,6&quot; Negra LEVO"/>
        <s v="Mochila Notebook MANAGER 15,6&quot; Gris LEVO"/>
        <s v="Mochila Notebook Prime Lite 15,6” Negra LEVO"/>
        <s v="Mochila Notebook Velar Lite 15,6” Negra LEVO"/>
        <s v="Mochila Viaje Impermeable Notebook 30L Aerosuite Negra LEVO"/>
        <s v="Mochila Notebook WOLF Negra 15,6&quot; LEVO"/>
        <s v="Monitor Portátil Gamer NexView 15.6&quot; Full HD 1080P LEVO"/>
        <s v="Monitor Portátil Gamer PivotScope 15.6&quot; Full HD 1080P LEVO"/>
        <s v="Monitor Portátil Gamer ViewGo 15,6&quot; Full HD 1080P LEVO"/>
        <s v="Pantalla Totem Publicitario 43&quot; Touch Android Wifi Usb LEVO"/>
        <s v="Pantalla Totem Publicitario 50&quot; Touch Android Wifi Usb LEVO"/>
        <s v="Vr Box + Control Lentes de Realidad Virtual LEVO"/>
        <s v="Vr Box Ultra + Audífonos Lentes de Realidad Virtual  LEVO"/>
        <s v="Control Joystick Controller Compatible Nintendo Switch LEVO"/>
        <s v="Control Joystick Inalámbrico doble Shock P4 Negro LEVO"/>
        <s v="Control Joystick Inalámbrico doble Shock P4 Rojo LEVO"/>
        <s v="Audífono Gamer Inalámbrico Zenit Elite Bluetooth RGB Negro LEVO"/>
        <s v="Audífono Gamer Inalámbrico Zenit Elite Bluetooth RGB Blanco LEVO"/>
        <s v="Control Joystick Inalámbrico Compatible Switch Joy-Con LEVO"/>
        <s v="Mouse Gamer Inalambrico RGB Nexus Pro Negro LEVO"/>
        <s v="Mousepad Battlemat L 45x40 cm Antideslizante Negro LEVO"/>
        <s v="Mousepad Officepad S 23x20 cm Antideslizante Negro LEVO"/>
        <s v="Mousepad Battlemat XXL 90x40 cm Antideslizante Negro LEVO"/>
        <s v="Mousepad Battlemat XXL 90x40 cm Antideslizante Rosado LEVO"/>
        <s v="Mouse Gamer Inalambrico RGB NovaStrike Negro LEVO"/>
        <s v="Teclado Gamer NovaBlade TKL Red Switch Mecánico Español RGB LEVO"/>
        <s v="Teclado Gamer NovaBlade Red Switch Mecánico Español RGB LEVO"/>
        <s v="Silla Escritorio Oficina Ejecutiva Reclinable Comfort LEVO"/>
        <s v="KIT Micrófono de Solapa Inalámbrico Lavalier EchoPro LEVO"/>
        <s v="Mouse Inalámbrico Ultra Slim Silencioso Velar Grafito LEVO"/>
        <s v="Silla Escritorio Oficina Ergonómica Reclinable Ergotech LEVO"/>
        <s v="Silla de Escritorio Oficina Ergonomica Reclinable Lite LEVO"/>
        <s v="Teclado Inalámbrico Cygna Slim Grafito LEVO"/>
        <s v="Aspiradora Inalámbrica Portátil Xpira Negra LEVO"/>
        <s v="Cámara HD Auto D3 Frontal, Interior y Trasera LEVO"/>
        <s v="Cámara de Seguridad Impermeable Wifi 5G 2MP GuardPro X5 LEVO"/>
        <s v="Timbre Video Portero Citofono Monitor WIFI LEVO"/>
        <s v="Pesa Digital Balanza Baño Bluetooth Inteligente Negra LEVO"/>
        <s v="Pesa Digital Balanza Baño Bluetooth Inteligente Blanca LEVO"/>
        <s v="Soporte Base Alzador Notebook Plegable Ajustable Gris LEVO"/>
        <s v="Soporte Brazo Doble Monitor Notebook Escritorio Negro LEVO"/>
        <s v="Soporte de Television Ajustable 32&quot; a 72&quot; LEVO"/>
        <s v="Proyector Portatil Smart Hexa 8000lm WiFi BT Android LEVO"/>
        <s v="Proyector Portatil Smart Lumix 9000lm Inalambrico BT LEVO"/>
        <s v="Proyector Portatil Smart Nova 9000lm WiFi BT Android LEVO"/>
        <s v="Proyector Portatil Smart Orion 12000lm WiFi BT Android LEVO"/>
        <s v="Proyector Portatil Smart Mini Lux 9000lm WiFi BT Android LEVO"/>
        <s v="Proyector Portatil Smart Flux 9000lm WiFi BT Android LEVO"/>
        <s v="Proyector Portatil Smart NOVUS 9000lm WiFi BT Android LEVO"/>
        <s v="Proyector Portatil Smart Neon Ultra 9000lm WiFi BT Android LEVO"/>
        <s v="Telón Proyector 100 pulgadas 200 x 150 cm LEVO"/>
        <s v="Telón Proyector 60 pulgadas 120 x 90 cm LEVO"/>
        <s v="Telón Proyector 80 pulgadas 165 x 125 cm LEVO"/>
        <s v="Telón Proyector 100 pulgadas 200 x 150 cm Negro LEVO"/>
        <s v="Telón Proyector 60 pulgadas 120 x 90 cm Negro LEVO"/>
        <s v="Telón Proyector 80 pulgadas 165 x 125 cm Negro LEVO"/>
        <s v="Telón Proyector 100 pulgadas Eléctrico 200 x 150 cm LEVO"/>
        <s v="Telón Proyector 60 pulgadas Eléctrico 120 x 90 cm LEVO"/>
        <s v="Telón Proyector 80 pulgadas Eléctrico 165 x 125 cm LEVO"/>
        <s v="Telón Proyector 100 pulgadas Elevación 200 x 150cm LEVO"/>
        <s v="Calcetin Corte Bajo Vora Running Black L-XL"/>
        <s v="Calcetin Corte Bajo Vora Running Black S-M"/>
        <s v="Calcetin Corte Bajo Vora Running Gray Melange L-XL"/>
        <s v="Calcetin Corte Bajo Vora Running Gray Melange S-M"/>
        <s v="Calcetin Corte Bajo Vora Running White L-XL"/>
        <s v="Calcetin Corte Bajo Vora Running White S-M"/>
        <s v="Calcetin Corte Medio Andor Blue L-XL"/>
        <s v="Calcetin Corte Medio Andor Blue S-M"/>
        <s v="Calcetin Corte Medio Andor Earth L-XL"/>
        <s v="Calcetin Corte Medio Andor Earth S-M"/>
        <s v="Calcetin Corte Medio Andor Gray Melange L-XL"/>
        <s v="Calcetin Corte Medio Andor Gray Melange S-M"/>
        <s v="Calcetin Deportivo Corte Largo Trekking Andor Negro S-M Lhotse"/>
        <s v="Calcetin Deportivo Corte Largo Trekking Andor Negro L-XL Lhotse"/>
        <s v="Calcetin Deportivo Corte Medio Trail Numa Lhotse"/>
        <s v="Calcetin Corte Tobillo Numa Black S-M"/>
        <s v="Calcetin Corte Tobillo Numa Green L-XL"/>
        <s v="Calcetin Corte Tobillo Numa Green S-M"/>
        <s v="Calcetin Corte Tobillo Numa Gray L-XL"/>
        <s v="Calcetin Corte Tobillo Numa Gray S-M"/>
        <s v="Jockey 5 Panel Deck Algodón Unisex Black Lhotse"/>
        <s v="Jockey 5 Panel Deck Algodón Unisex Multi Lhotse"/>
        <s v="Jockey Deportivo Trail Running Alpine Unisex Black Lhotse"/>
        <s v="Jockey Deportivo Trail Running Alpine Unisex Green Lhotse"/>
        <s v="Jockey Deportivo Trail Running Alpine Unisex Purple Lhotse"/>
        <s v="Jockey Trekker Rise Algodon Unisex Lhotse"/>
        <s v="Jockey Trekker Southern Algodon Unisex Lhotse"/>
        <s v="Jockey Trekker Summit Algodón Unisex Lhotse"/>
        <s v="Jockey Deportivo FlexFlow DryFit Lhotse"/>
        <s v="Jockey Hike Algodón Unisex Lhotse"/>
        <s v="Jockey Ride Algodón Unisex Lhotse"/>
        <s v="Jockey Trekker Algodón Unisex Lhotse"/>
        <s v="Jockey Wave Algodón Unisex Lhotse"/>
        <s v="Pantuflas Térmicas Cloudfit Outdoor Suela WarmPath"/>
        <s v="Pantuflas Térmicas Nimbus Suela CloudGrip Outdoor Black 36/37"/>
        <s v="Pantuflas Térmicas Nimbus Suela CloudGrip Outdoor Black 38/39"/>
        <s v="Pantuflas Térmicas Nimbus Suela CloudGrip Outdoor Black 40/41"/>
        <s v="Pantuflas Térmicas Nimbus Suela CloudGrip Outdoor Black 42/43"/>
        <s v="Pantuflas Térmicas Nimbus Suela CloudGrip Outdoor Black 44/45"/>
        <s v="Pantuflas Térmicas Nimbus Suela CloudGrip Outdoor Black Camo 36/37"/>
        <s v="Pantuflas Térmicas Nimbus Suela CloudGrip Outdoor Black Camo 38/39"/>
        <s v="Pantuflas Térmicas Nimbus Suela CloudGrip Outdoor Black Camo 40/41"/>
        <s v="Pantuflas Térmicas Nimbus Suela CloudGrip Outdoor Black Camo 42/43"/>
        <s v="Pantuflas Térmicas Nimbus Suela CloudGrip Outdoor Black Camo 44/45"/>
        <s v="Pantuflas Térmicas Nimbus Suela CloudGrip Outdoor Pink 34/35"/>
        <s v="Pantuflas Térmicas Nimbus Suela CloudGrip Outdoor Pink 36/37"/>
        <s v="Pantuflas Térmicas Nimbus Suela CloudGrip Outdoor Pink 38/39"/>
        <s v="Pantuflas Térmicas Nimbus Suela CloudGrip Outdoor Pink 40/41"/>
        <s v="Pantuflas Térmicas Nimbus Suela CloudGrip Outdoor Smoky Green 36/37"/>
        <s v="Pantuflas Térmicas Nimbus Suela CloudGrip Outdoor Smoky Green 38/39"/>
        <s v="Pantuflas Térmicas Nimbus Suela CloudGrip Outdoor Smoky Green 40/41"/>
        <s v="Pantuflas Térmicas Nimbus Suela CloudGrip Outdoor Smoky Green 42/43"/>
        <s v="Pantuflas Térmicas Nimbus Suela CloudGrip Outdoor Smoky Green 44/45"/>
        <s v="Pantuflas Térmicas Nimbus Suela CloudGrip Outdoor Smoky Lila 34/35"/>
        <s v="Pantuflas Térmicas Nimbus Suela CloudGrip Outdoor Smoky Lila 36/37"/>
        <s v="Pantuflas Térmicas Nimbus Suela CloudGrip Outdoor Smoky Lila 38/39"/>
        <s v="Pantuflas Térmicas Nimbus Suela CloudGrip Outdoor Smoky Lila 40/41"/>
        <s v="Toalla Microfibra Secado Rapido QuickTrek Lhotse"/>
        <s v="Toalla Secado Rapido Lhotse 1"/>
        <s v="Toalla Secado Rapido Lhotse 2"/>
        <s v="Audifonos Bluetooth Inalambrico RM12 White Lhotse"/>
        <s v="Audifonos Bluetooth Inalambrico RM12 Black Lhotse"/>
        <s v="Audifonos Bluetooth Inalambrico RM12 Light Blue Lhotse"/>
        <s v="Audifonos Bluetooth Inalambrico RM12 Pink Lhotse"/>
        <s v="Audifonos Bluetooth Inalambrico RM7 Pro White Lhotse"/>
        <s v="Audifonos Bluetooth Inalambrico RM7 Pro Black Lhotse"/>
        <s v="Audifonos Bluetooth Inalambrico RM7 Pro Pink Lhotse"/>
        <s v="Audifonos Bluetooth Inalambrico RM7 Pro Light Blue Lhotse"/>
        <s v="Audifonos Inalámbricos Bluetooth Deportivos FitBuds Lhotse"/>
        <s v="Audifonos Inalámbricos Bluetooth Deportivos ENC Tuneair"/>
        <s v="Audifonos Bluetooth Inalambrico ANC BeatMaster Black Lhotse"/>
        <s v="Audifonos Bluetooth Inalambrico ANC BeatMaster Kaki Lhotse"/>
        <s v="Audifonos Bluetooth Inalambrico Over Ear WavePro Black Lhotse"/>
        <s v="Audifonos Bluetooth Inalambrico Over Ear WavePro White Lhotse"/>
        <s v="Audifonos Bluetooth TWS Pantalla Touch ANC RMPLUS+ Black Lhotse"/>
        <s v="Audifonos Bluetooth TWS Pantalla Touch ANC RMPLUS+ White Lhotse"/>
        <s v="Parlante Bounce Mini Black"/>
        <s v="Parlante Portatil Inalambrico Bluetooth Journey Black Lhotse"/>
        <s v="Parlante Portatil Inalambrico Bluetooth Journey Blue Lhotse"/>
        <s v="Parlante Portatil Inalambrico Bluetooth Pulse On Black Lhotse"/>
        <s v="Parlante Portatil Inalambrico Bluetooth Pulse On Blue Lhotse"/>
        <s v="Parlante Portatil Inalambrico Bluetooth Pulse On Gray Lhotse"/>
        <s v="Parlante Portatil Inalambrico Bluetooth Pulse On Red Lhotse"/>
        <s v="Parlante Portatil Inalambrico Bluetooth TripGo Black Lhotse"/>
        <s v="Parlante Portatil Inalambrico Bluetooth TripGo Blue Lhotse"/>
        <s v="Parlante Portatil Inalambrico Bluetooth TripGo Gray Lhotse"/>
        <s v="Parlante Portatil Inalambrico Bluetooth TripGo Red Lhotse"/>
        <s v="Parlante Portatil Inalambrico Bluetooth Tune Up Black Lhotse"/>
        <s v="Parlante Portatil Inalambrico Bluetooth Tune Up Red Lhotse"/>
        <s v="Parlante Portatil Inalambrico Bluetooth Tune Up Blue Lhotse"/>
        <s v="Parlante Portatil Inalambrico Bluetooth Tune Up Green Lhotse"/>
        <s v="Pick-up Pad Lhotse Porta 5 Bicicletas"/>
        <s v="Pick-up Pad Lhotse Porta 6 Bicicletas"/>
        <s v="Pick-up Pad Lhotse Porta 2 Bicicletas"/>
        <s v="Set Deportivo 7 en 1 Rueda Abdominal Cuerda Lhotse Fit"/>
        <s v="Banano Lhotse Impermeable Negro"/>
        <s v="Banano Outdoor Golight 1Lt Himalaya Lhotse"/>
        <s v="Banano Outdoor Impermeable K2 Negro 2L Lhotse"/>
        <s v="Bolso Deportivo Lhotse Duffel 30 Lts Bag Negro"/>
        <s v="Bolso Deportivo Impermeable Duffel 30L Traveller Black Lhotse"/>
        <s v="Bolso Deportivo Impermeable Duffel 30L Traveller Green Lhotse"/>
        <s v="Bolso Deportivo Impermeable Duffel 30L Traveller Navy Lhotse"/>
        <s v="Bolso Deportivo Impermeable Duffel 60L Traveller Black Lhotse"/>
        <s v="Bolso Deportivo Impermeable Duffel 60L Traveller Green Lhotse"/>
        <s v="Bolso Deportivo Impermeable Duffel 60L Traveller Navy Lhotse"/>
        <s v="Maleta Trolley Impermeable Duffel 30L Expedition Black Lhotse"/>
        <s v="Maleta Trolley Impermeable Duffel 70L Expedition Black Lhotse"/>
        <s v="Maleta Trolley Impermeable Duffel 90L Expedition Black Lhotse"/>
        <s v="Maleta Grande L Frontier Lhotse"/>
        <s v="Maleta Mediana M Frontier Lhotse"/>
        <s v="Maleta Cabina S Frontier Lhotse"/>
        <s v="Mochila Antirrobo Lhotse Gris"/>
        <s v="Mochila Outdoor Plegable 25L Black Lhotse"/>
        <s v="Mochila Outdoor Plegable 25 Lt Naranja Lhotse"/>
        <s v="Mochila Volcano Lhotse 19 Lt Negra"/>
        <s v="Mochila Volcano Lhotse 19 Lt Verde"/>
        <s v="Cooler Tote Bag 30L Lhotse"/>
        <s v="Mochila Outdoor con Bolsa de Agua HydroRoad Black Lhotse"/>
        <s v="Mochila Viaje Impermeable Porta Notebook 17.3&quot; 40L Broadpeak Black Lhotse"/>
        <s v="Mochila Cooler Bag 20L Lhotse"/>
        <s v="Mochila Outdoor 28L Latok Black Lhotse"/>
        <s v="Mochila Outdoor 28L Latok Burdeo Lhotse"/>
        <s v="Mochila Urbana Roll Top Impermeable Porta Notebook 22L Makalu Black Lhotse"/>
        <s v="Mochila Urbana Roll Top Impermeable Porta Notebook 22L Makalu Green Lhotse"/>
        <s v="Mochila Urbana Impermeable Porta Notebook 22L Pumori Black Lhotse"/>
        <s v="Mochila Urbana Impermeable Porta Notebook 22L Pumori Green Lhotse"/>
        <s v="Mochila Viaje Impermeable Porta Notebook 17.3&quot; 35L Nomad Black Lhotse"/>
        <s v="Neceser Viaje Waterproof 5L Khumbu Lhotse"/>
        <s v="Neceser Estuche de Viaje Travel Rimo Impermeable 5L Lhotse"/>
        <s v="Vaso Térmico Tumbler 1180ml Lhotse Light Blue"/>
        <s v="Vaso Térmico Tumbler 1180ml Lhotse Arena"/>
        <s v="Vaso Termico Tumbler Acero Inox Antiderrame 1180ml Black Lhotse"/>
        <s v="Vaso Termico Tumbler Acero Inox Antiderrame 1180ml Light Blue Lhotse"/>
        <s v="Vaso Termico Tumbler Acero Inox Antiderrame 1180ml Sand Lhotse"/>
        <s v="Vaso Termico Tumbler Acero Inox Antiderrame 1180ml Light Green Lhotse"/>
        <s v="Vaso Termico Tumbler Acero Inox Antiderrame 1180ml Pink Lhotse"/>
        <s v="Vaso Termico Tumbler Acero Inox Antiderrame 1180ml Lilac Lhotse"/>
        <s v="Vaso Térmico Tumbler 1180ml Lhotse Pink"/>
        <s v="Botella Termica Insulada 650ml Adventure Black Lhotse"/>
        <s v="Botella Termica Insulada 650ml Adventure Blue Lhotse"/>
        <s v="Botella Termica Insulada 650ml Adventure Pink Lhotse"/>
        <s v="Botella Termica Insulada 650ml Adventure White Lhotse"/>
        <s v="Botella Termica Insulada 960ml Hydro Lilac Lhotse"/>
        <s v="Botella Termica Insulada 960ml Hydro Pink Lhotse"/>
        <s v="Botella Termica Acero Inox 3 Tapas 1L HydroCore Beige Lhotse"/>
        <s v="Botella Termica Acero Inox 3 Tapas 1L HydroCore Black Lhotse"/>
        <s v="Botella Termica Acero Inox 3 Tapas 1L HydroCore Green Lhotse"/>
        <s v="Botella Termica Acero Inox 3 Tapas 1L HydroCore Navy Lhotse"/>
        <s v="Botella Termica Acero Inox 3 Tapas 1L HydroCore Pink Lhotse"/>
        <s v="Botella Termica Agua Hydrotek 750 ml Acero Inox Beige"/>
        <s v="Botella Termica Agua Hydrotek 750 ml Acero Inox Black"/>
        <s v="Botella Termica Agua Hydrotek 750 ml Acero Inox Green"/>
        <s v="Botella Termica Agua Hydrotek 750 ml Acero Inox Navy"/>
        <s v="Botella Termica Agua Hydrotek 750 ml Acero Inox Pink"/>
        <s v="Botella Termica Insulada 800ml Indo Black Lhotse"/>
        <s v="Botella Termica Insulada 800ml Indo Lilac Lhotse"/>
        <s v="Botella Termica Insulada 800ml Indo Red Lhotse"/>
        <s v="Mug Térmico para Café Termicup 590 ml Acero Inox Beige"/>
        <s v="Mug Térmico para Café Termicup 590 ml Acero Inox Black"/>
        <s v="Mug Térmico para Café Termicup 590 ml Acero Inox Green"/>
        <s v="Mug Térmico para Café Termicup 590 ml Acero Inox Navy"/>
        <s v="Mug Térmico para Café Termicup 590 ml Acero Inox Pink"/>
        <s v="Shaker Vaso Proteina Acero Inox NutriCore 500ml Beige Lhotse"/>
        <s v="Shaker Vaso Proteina Acero Inox 500ml NutriCore Black Lhotse"/>
        <s v="Shaker Vaso Proteina Acero Inox 500ml NutriCore Green Lhotse"/>
        <s v="Shaker Vaso Proteina Acero Inox NutriCore 500ml Blue Lhotse"/>
        <s v="Shaker Vaso Proteina Acero Inox 500ml NutriCore Pink Lhotse"/>
        <s v="Tapa Botella Boca Ancha Hydro Black Lhotse"/>
        <s v="Botella Termica Insulada 900ml Travel Mug Black Lhotse"/>
        <s v="Botella Termica Insulada 900ml Travel Mug Blue Lhotse"/>
        <s v="Botella Termica Insulada 900ml Travel Mug Green Lhotse"/>
        <s v="Botella Termica Insulada 900ml Travel Mug Pink Lhotse"/>
        <s v="Botella Termica Insulada 900ml Travel Mug White Lhotse"/>
        <s v="Taza Térmica Insulada Camping Black 350ml"/>
        <s v="Taza Térmica Insulada Camping Blue 350ml"/>
        <s v="Taza Térmica Insulada Camping Green 350ml"/>
        <s v="Taza Térmica Insulada Camping White 350ml"/>
        <s v="Mate Acero Inoxidable con Bombilla Black Lhotse"/>
        <s v="Mate Acero Inoxidable con Bombilla Green Lhotse"/>
        <s v="Mate Acero Inoxidable con Bombilla Light Pink Lhotse"/>
        <s v="Mate Acero Inoxidable con Bombilla Pink Lhotse"/>
        <s v="Mate Acero Inoxidable con Bombilla Red Lhotse"/>
        <s v="Mate Acero Inoxidable con Bombilla White Lhotse"/>
        <s v="Vaso Térmico Insulado Camping Black480ml"/>
        <s v="Vaso Térmico Insulado Camping Pink 480ml"/>
        <s v="Vaso Térmico Insulado Camping Red 480ml"/>
        <s v="Vaso Térmico Insulado Camping White 480ml"/>
        <s v="Termo Liquido Acero Inoxidable Classic 1,3 lts Black Lhotse"/>
        <s v="Termo Liquido Acero Inoxidable Classic 1,3 lts Green Lhotse"/>
        <s v="Termo Liquido Acero Inoxidable Classic 1,3 lts Pink Lhotse"/>
        <s v="Termo Liquido Acero Inoxidable Classic 1,3 lts White Lhotse"/>
        <s v="Banda Smartband Lhotse Flow 3"/>
        <s v="Reloj Smartwatch Lhotse Runner 219 46mm Black"/>
        <s v="Reloj Smartwatch Lhotse Ultimate GPS 217 Black"/>
        <s v="Reloj Smartwatch Lhotse Ultimate GPS 217 Pink"/>
        <s v="Reloj Smartwatch Lhotse Ultimate GPS 217 Gray"/>
        <s v="Smartwatch Mini Live 206 Pink"/>
        <s v="Reloj Smartwatch Lhotse Live 206 40mm Mini Black"/>
        <s v="Reloj Smartwatch Lhotse Live 206 Mini 40mm Light Green"/>
        <s v="Reloj Smartwatch GPS MoveOn 7 37/38mm"/>
        <s v="Reloj Smartwatch Music Rhythm X10 41mm"/>
        <s v="Reloj Smartwatch Shar GPS T1 43,5mm Black Lhotse"/>
        <s v="Reloj Smartwatch Shar GPS T1 43,5 Cream Lhotse"/>
        <s v="Reloj Smartwatch Shar GPS T1 43,5mm Pink Lhotse"/>
        <s v="Reloj Smartwatch Lhotse Vibe 05 GPS Black 45mm"/>
        <s v="Reloj Smartwatch Lhotse Vibe 05 GPS Cream 42mm"/>
        <s v="Calza Deportiva Mujer Legging Bergenia Lhotse"/>
        <s v="Peto Deportivo Mujer Middle Kalo Lhotse"/>
        <s v="Calza Biker Deportiva YALA Talla L Smoky Purple"/>
        <s v="Calza Biker Deportiva YALA Talla M Smoky Purple"/>
        <s v="Calza Biker Deportiva YALA Talla S Smoky Purple"/>
        <s v="Calza Biker Deportiva YALA Talla XL Smoky Purple"/>
        <s v="Calza Biker Deportiva YALA Talla XS Smoky Purple"/>
        <s v="Calza Legging Deportiva MERA Talla L Soft Purple"/>
        <s v="Calza Legging Deportiva MERA Talla M Soft Purple"/>
        <s v="Calza Legging Deportiva MERA Talla S Soft Purple"/>
        <s v="Calza Legging Deportiva MERA Talla XL Soft Purple"/>
        <s v="Calza Legging Deportiva MERA Talla XS Soft Purple"/>
        <s v="Peto Deportivo VEDA Talla L Smoky Purple"/>
        <s v="Peto Deportivo VEDA Talla M Smoky Purple"/>
        <s v="Peto Deportivo VEDA Talla S Smoky Purple"/>
        <s v="Peto Deportivo VEDA Talla XL Smoky Purple"/>
        <s v="Peto Deportivo VEDA Talla XS Smoky Purple"/>
        <s v="Short Hombre Cargo Adventure Barun UV50+ Lhotse"/>
        <s v="Calza Deportiva Mujer Biker Dhara Lhotse"/>
        <s v="Pantalón Trekking Desmontable Mujer UV50+ Lukla-W Lhotse"/>
        <s v="Pantalon Trekking Desmontable Namche Talla 40 Black"/>
        <s v="Pantalon Trekking Desmontable Namche Talla 40 Blue"/>
        <s v="Pantalon Trekking Desmontable Namche Talla 42 Black"/>
        <s v="Pantalon Trekking Desmontable Namche Talla 42 Blue"/>
        <s v="Pantalon Trekking Desmontable Namche Talla 44 Black"/>
        <s v="Pantalon Trekking Desmontable Namche Talla 44 Blue"/>
        <s v="Pantalon Trekking Desmontable Namche Talla 46 Black"/>
        <s v="Pantalon Trekking Desmontable Namche Talla 46 Blue"/>
        <s v="Pantalon Trekking Desmontable Namche Talla 48 Black"/>
        <s v="Pantalon Trekking Desmontable Namche Talla 48 Blue"/>
        <s v="Pantalon Trekking Hombre Desmontable Lukla Lhotse"/>
        <s v="Chaqueta Parka Hombre Nuptse Lhotse"/>
        <s v="Cortaviento Impermeable Gorak Shep Lhotse"/>
        <s v="Parka Puffa Hombre Khumbu Lhotse"/>
        <s v="Polerón Unisex Sweatshirt Mycena Lhotse"/>
        <s v="Polerón Unisex Sweatshirt Origin Lhotse"/>
        <s v="Polar Segunda Capa Mujer Lobuche Cap Lhotse"/>
        <s v="Poleron Hoodie Arun Talla L Green"/>
        <s v="Poleron Hoodie Arun Talla L Grey"/>
        <s v="Poleron Hoodie Arun Talla M Green"/>
        <s v="Poleron Hoodie Arun Talla M Grey"/>
        <s v="Poleron Hoodie Arun Talla S Green"/>
        <s v="Poleron Hoodie Arun Talla S Grey"/>
        <s v="Poleron Hoodie Arun Talla XL Green"/>
        <s v="Poleron Hoodie Arun Talla XL Grey"/>
        <s v="Poleron Hoodie Arun Talla XXL Green"/>
        <s v="Poleron Hoodie Arun Talla XXL Grey"/>
        <s v="Polar Segunda Capa Lobuche Lhotse"/>
        <s v="Polar Hombre Tejido Térmico Anti-peeling Middle Lhotse"/>
        <s v="Polar Hombre Half Zip Térmico con Bolsillos Shar Lhotse"/>
        <s v="Polar Hombre Chiporro Sherpa Térmico Main Lhotse"/>
        <s v="Polerón Hombre Hoodie Katmandú Lhotse"/>
        <s v="Polera Deportiva Manga Corta Hombre Boyak DryCool Lhotse"/>
        <s v="Polera Manga Corta Hombre Digueñe Lhotse"/>
        <s v="Polera Manga Corta Hombre Morchella Esculenta Lhotse"/>
        <s v="Polera Manga Corta Hombre Boletus Loyo Lhotse"/>
        <s v="Polera Manga Corta Hombre Amanita Muscaria Lhotse"/>
        <s v="Polera Manga Corta Hombre Micelio Mycena Lhotse"/>
        <s v="Polera Hombre South Summit Talla L Brown"/>
        <s v="Polera Hombre Explore Talla L Dark Blue"/>
        <s v="Polera Hombre Terrain Talla L Dark Green"/>
        <s v="Polera Hombre Meridian Talla L Dark Grey"/>
        <s v="Polera Hombre Expedition Talla L White"/>
        <s v="Polera Hombre South Summit Talla M Brown"/>
        <s v="Polera Hombre Explore Talla M Dark Blue"/>
        <s v="Polera Hombre Terrain Talla M Dark Green"/>
        <s v="Polera Hombre Meridian Talla M Dark Grey"/>
        <s v="Polera Hombre Expedition Talla M White"/>
        <s v="Polera Hombre South Summit Talla S Brown"/>
        <s v="Polera Hombre Explore Talla S Dark Blue"/>
        <s v="Polera Hombre Terrain Talla S Dark Green"/>
        <s v="Polera Hombre Meridian Talla S Dark Grey"/>
        <s v="Polera Hombre Expedition Talla S White"/>
        <s v="Polera Hombre South Summit Talla XL Brown"/>
        <s v="Polera Hombre Explore Talla XL Dark Blue"/>
        <s v="Polera Hombre Terrain Talla XL Dark Green"/>
        <s v="Polera Hombre Meridian Talla XL Dark Grey"/>
        <s v="Polera Hombre Expedition Talla XL White"/>
        <s v="Polera Hombre South Summit Talla XXL Brown"/>
        <s v="Polera Hombre Explore Talla XXL Dark Blue"/>
        <s v="Polera Hombre Terrain Talla XXL Dark Green"/>
        <s v="Polera Hombre Meridian Talla XXL Dark Grey"/>
        <s v="Polera Hombre Expedition Talla XXL White"/>
        <s v="Primera Capa Térmica Hombre Dugla Stay Warm Top Lhotse"/>
        <s v="Polera Hombre Manga Corta Nepal Lhotse"/>
        <s v="Cámara de Acción Deportiva Summit 5k 30fps Accesorios"/>
        <s v="Cámara de acción doble pantalla 4k 30ftps Xplore Lhotse"/>
        <s v="PURITO Wonder Releaf Centella Serum Unscented"/>
        <s v="PURITO Wonder Releaf Centella Toner Unscented"/>
        <s v="PURITO Wonder Releaf Centella Mini Kit Unscented"/>
        <s v="PURITO Oat-in Calming Gel Cream"/>
        <s v="PURITO Wonder Releaf Centella Cream Unscented"/>
        <s v="PURITO Mighty Bamboo Panthenol Cream"/>
        <s v="Decantador Aireador Vino Chateau 1650ml"/>
        <s v="Decantador Aireador Vino Rouge 1500ml"/>
        <s v="Descorchador Abridor Vino Sommelier Simplit"/>
        <s v="Hielera Vidrio Charlotte Tapa Madera 3,8lts Simplit"/>
        <s v="Jarra Vidrio"/>
        <s v="Cubeta de Hielo Silicona 160 Mini Hielos Simplit"/>
        <s v="Cubeta de Hielo Silicona 15 Hielos Simplit"/>
        <s v="Cubeta de Hielo Silicona 6 Hielos Redondos Simplit"/>
        <s v="Cubeta de Hielo Silicona 6 Hielos Grandes Simplit"/>
        <s v="Set 6 Tazas 250ml  mango color "/>
        <s v="Set 2 Vasos Moscow Mule Mug Cobre + Bombillas Simplit"/>
        <s v="Set 2 Vasos Vidrio Doble Pared 400 ml Simplit"/>
        <s v="Set 2 Vasos Vidrio Borosilicato 550 ml Simplit"/>
        <s v="Set 2 Vasos de Vidrio Estilo Japonés 320 ml Simplit"/>
        <s v="Set 2 Vasos Cobre Moscow Mule Mojito Bar + Bombilla Simplit"/>
        <s v="Set 6 Vasos Corto Vintage Charlotte 200ml Simplit"/>
        <s v="Set 6 Vasos Largo Vintage Charlotte 350ml Simplit"/>
        <s v="Set 6 Vasos redondos Virginia 340ml Simplit"/>
        <s v="Set 6 Vasos Whisky Kentucky 270ml Simplit"/>
        <s v="Set 6 Vasos Cerveza Portland 380ml Simplit"/>
        <s v="Set 6 Vaso Copa Cerveza Collins 420ml Simplit"/>
        <s v="Set 6 Copas Espumante 200ml Cristal Monaco Simplit"/>
        <s v="Set 6 Copas Gin 650ml Cristal London Simplit"/>
        <s v="Set 6 Copa Gin Ondas"/>
        <s v="Set 6 Copas Vino Blanco 400ml Cristal Alsacia Simplit"/>
        <s v="Set 6 copa vino Ondas"/>
        <s v="Set 6 Copas Vino Tinto 540ml Cristal Piamonte Simplit"/>
        <s v="Set 6 Vasos Cortos 380ml Vidrio Ginebra Simplit"/>
        <s v="Set 6 vasos 335ml hammer"/>
        <s v="Set 6 vasos 510ml hammer"/>
        <s v="Set 6 Vasos Largos 460ml Vidrio Ginebra Simplit"/>
        <s v="Set 6 vasos 332ml Ondas"/>
        <s v="Set 4 Vasos Vidrio Borosilicato 550 ml Simplit"/>
        <s v="Espumador de Leche 4 en 1 Negro Simplit"/>
        <s v="Espumador de Leche 4 en 1 Blanco Simplit"/>
        <s v="Juego De 4 Cachos Eco Cuero Negro Simplit"/>
        <s v="Batería de Cocina Antiadherente Classic 8 Piezas Simplit"/>
        <s v="Batería de Cocina Antiadherente Copper 7 Piezas Simplit"/>
        <s v="Batería de Cocina Antiadherente Oregon 5 Piezas Simplit"/>
        <s v="Batería de Cocina Toulouse 7 pcs + Accesorios Simplit"/>
        <s v="Batería de Cocina Antiadherente Black Copper 7 Pzs Simplit"/>
        <s v="Batería de Cocina Antiadherente Lucca 10 Piezas Simplit"/>
        <s v="Batería de Cocina Antiadherente Oxford Beige 15 pcs Simplit"/>
        <s v="Batería de Cocina Antiadherente Oxford Granito 15pcs Simplit"/>
        <s v="Batería de Cocina Antiadherente Pompei Granito 7 Piezas Simplit"/>
        <s v="Batería de Cocina Antiadherente Savannah 9 Piezas"/>
        <s v="Set de Cucharas Ensalada Versalle Acero Inoxidable Simplit"/>
        <s v="Set de Cuchillería 24 pcs Acero Inoxidable Cerdeña Simplit"/>
        <s v="Set Cuchillos Holz 5 pcs Acero Inoxidable + Taco Simplit"/>
        <s v="Set Cuchillos Küche 5 pcs Acero Inoxidable + Base Simplit"/>
        <s v="Set Cuchillos 5 pcs Paris Acero Inoxidable Simplit"/>
        <s v="Set Cuchillos 5 pcs Versalle Simplit"/>
        <s v="Set Cuchillos 5 pcs Marsella Acero Inoxidable Simplit"/>
        <s v="Set de Cuchillería 24 pcs Cubiertos Paris Simplit"/>
        <s v="Set de Cuchillería 30 pcs Cubiertos Acero Inoxidable Puglia"/>
        <s v="Set Cuchillos para Queso 4 pcs Provenza Simplit"/>
        <s v="Set de Cuchillería 30 pcs Cubiertos Acero Inoxidable Sicilia"/>
        <s v="Set Cuchillos Stahl 5 pcs Acero Inoxidable + Taco Simplit"/>
        <s v="Set Parrillero Toledo Cuchillo y Tenedor Acero Inox Simplit"/>
        <s v="Set de Cuchillería 24 pcs Cubiertos Versalle Simplit"/>
        <s v="Set de Cuchillería 24 pcs Cubiertos Le Mans Simplit"/>
        <s v="Mantequillero de Cerámica Tapa Bamboo 300 ml Simplit"/>
        <s v="Mantequillero Cerámica Tapa Bamboo + Cuchillo 600 ml Simplit"/>
        <s v="Mantequillero cerámica tapa bamboo con cuchillo 600ml NEGRO"/>
        <s v="Sartén Antiadherente Tapa 28cm Copper Simplit"/>
        <s v="Sartén Antiadherente 24cm Copper Simplit"/>
        <s v="Olla Cacerola Antiadherente 28cm Toulouse Simplit"/>
        <s v="Termo de Comida Insulado Acero Inox 750 ml Rosado Simplit"/>
        <s v="Termo de Comida Insulado Acero Inox 750 ml Negro Simplit"/>
        <s v="Termo de Comida Insulado Acero Inox 750 ml Gris Simplit"/>
        <s v="Termo Comida 400ml Negro Cuchara Acero Inox Simplit"/>
        <s v="Set 12 Utensilios De Cocina Silicona Calipso Simplit"/>
        <s v="Set 12 Utensilios De Cocina Silicona Negro Simplit"/>
        <s v="Balanza Pesa Digital Para Cocina Simplit"/>
        <s v="Bowl Cortador Rallador de Verduras Multifuncional Simplit"/>
        <s v="Tabla Para Picar Cortar Madera 40x28cm Cutte Simplit"/>
        <s v="Individual x4 Lineas 30x45cm Simplit"/>
        <s v="Individual x4 Liso 30x45cm Simplit"/>
        <s v="Mantel Liso 180x240cm Simplit"/>
        <s v="Mantel Rayas 180x240cm Simplit"/>
        <s v="Mantel Liso 150x210cm Simplit"/>
        <s v="Mantel Rayas 150x210cm Simplit"/>
        <s v="Servilleta Genero x4 Beige 40x40cm Simplit"/>
        <s v="Servilleta Genero x4 Verde 40x40cm Simplit"/>
        <s v="Cafetera Italiana Negra Granito 4 Tazas Simplit"/>
        <s v="Cafetera Prensa Francesa Negra 600 ml Simplit"/>
        <s v="Cafetera Italiana Negra Granito 12 Tazas Simplit"/>
        <s v="Cafetera Prensa Francesa Vidrio Cobre 600 ml Simplit"/>
        <s v="Cafetera Italiana Lucca 12 Tazas Simplit"/>
        <s v="Cafetera Italiana Savannah 12 Tazas Simplit"/>
        <s v="Cafetera Italiana Lucca 4 Tazas Simplit"/>
        <s v="Cafetera Italiana Savannah 4 Tazas Simplit"/>
        <s v="Contenedor Hermético De Café Acero Inoxidable Milán Simplit"/>
        <s v="Set 2 Tazas Vidrio Doble Pared Espreso 80 ml Simplit"/>
        <s v="Taza de Vidrio Doble Pared 350 ml Simplit"/>
        <s v="Taza Mug de Vidrio Doble Pared 300 ml Simplit"/>
        <s v="Termo Jarra Insulado 1 Lt Simplit"/>
        <s v="Vaso Térmico Tumbler 750ml Tapa y Bombilla Simplit"/>
        <s v="Basurero Cocina Handy 55lts Táctil Acero Inox Simplit"/>
        <s v="Basurero Cocina Iron 40lts Pedal Acero Inox Simplit"/>
        <s v="Basurero Cocina Urban 30lts Pedal Acero Inox Simplit"/>
        <s v="Basurero Cocina Livorno 12Lt Pedal Acero Inox Simplit"/>
        <s v="Basurero Cocina Lucca 12Lt Pedal Acero Inox Simplit"/>
        <s v="Set de 7 Contenedores Herméticos Plástico Simplit"/>
        <s v="Set de 3 Contenedores Herméticos Plástico Simplit"/>
        <s v="Set 3 Contenedores Cerámica Hermético Blanco Simplit"/>
        <s v="Organizador Refrigerador con Cesta M Simplit"/>
        <s v="Organizador Refrigerador con Cesta L Simplit"/>
        <s v="Organizador Refrigerador con Drenaje S Simplit"/>
        <s v="Organizador Refrigerador con Drenaje L Simplit"/>
        <s v="Set 3 Bowls con Tapa Acero Inoxidable Antideslizante Simplit"/>
        <s v="Panera Metálica con Tapa Bamboo Blanca Simplit"/>
        <s v="Contenedor de Cerámica Hermético Tapa Madera S Simplit"/>
        <s v="Contenedor de Cerámica Hermético Tapa Madera M Simplit"/>
        <s v="Contenedor de Cerámica Hermético Tapa Madera L Simplit"/>
        <s v="Tupper de Acero Inoxidable Tapa Madera 800 ml Simplit"/>
        <s v="Set 4 Contenedores de Vidrio Herméticos Tapa Bamboo Simplit"/>
        <s v="Set de 7 Contenedores Herméticos Plástico Negro Simplit"/>
        <s v="Set 4 Contenedores Herméticos Vidrio Tapa Madera Dublín Simplit"/>
        <s v="Organizador Cubiertos Expandible Madera Acasia Basel Simplit"/>
        <s v="Organizador de cubiertos expandible Oslo Simplit"/>
        <s v="Contenedor Plástico Hermético Bento Box"/>
        <s v="Especiero Condimentos Giratorio Metálico 16 Frascos Simplit"/>
        <s v="Especiero Condimentos de Madera 8 Frascos Vidrio Simplit"/>
        <s v="Set 2 Molinillos de Sal y Pimienta Vidrio Simplit"/>
        <s v="Set 2 Molinillos Sal Pimienta Madera Verona Simplit"/>
        <s v="Secaplatos Escurridor 2 Niveles Acero Inox Negro Simplit"/>
        <s v="Secaplatos Escurridor 2 Niveles Acero Inox Blanco Simplit"/>
        <s v="Secaplatos Escurridor 1 Nivel Acero Inox Negro Simplit"/>
        <s v="Secaplatos Escurridor 1 Nivel Acero Inox Blanco Simplit"/>
        <s v="Secaplatos Escurridor Acero Inox Bilbao 2 Niveles"/>
        <s v="Secaplatos Escurridor Acero Inox Valencia 2 Niveles Simplit"/>
        <s v="Alcuza vidrio"/>
        <s v="Set Alcuza Cerámica 2 Piezas Cuadrada 500 ml Simplit"/>
        <s v="Simplit Azucarero "/>
        <s v="Fuente de Cerámica para Horno Cacerola Olla Roja Simplit"/>
        <s v="Set 3 Fuentes de Cerámica para Horno Celeste Simplit"/>
        <s v="Juego Loza Cerámica 16 pcs Amalfi 4 personas Simplit"/>
        <s v="Juego Loza Cerámica 24 pcs Amalfi Simplit"/>
        <s v="Juego de Loza 30 pcs Cerámica Bruselas 6 personas Simplit"/>
        <s v="Juego de Loza 30 pcs Cerámica Oporto Simplit"/>
        <s v="Juego de Loza 30pcs Santorini Simplit"/>
        <s v="Juego Loza Cerámica 30 pcs Siena 6 personas Simplit"/>
        <s v="Juego de Loza 12 pcs Cerámica Toscana Simplit"/>
        <s v="Set 4 Bowls Cerámica 8,5cm Amalfi Simplit"/>
        <s v="Set 4 Bowls Cerámica 8,5cm Siena Simplit"/>
        <s v="Set 4 Tazas Cerámica 330ml Amalfi Simplit"/>
        <s v="Set 4 Platos Fondo Cerámica 27,4 cm Amalfi Simplit"/>
        <s v="Set 4 Platos Fondo Cerámica 26,7cm Siena Simplit"/>
        <s v="Set 2 Tazas Cerámica 420 ml Palermo Simplit"/>
        <s v="Set 4 Tazas Cerámica 330ml Siena Simplit"/>
        <s v="Afeitadora Facial Masculina SkinFlow T-Care"/>
        <s v="Afeitadora Rasuradora Corporal Electrica NeoBlade 3.1 T-Care"/>
        <s v="Alisador y Secador de Pelo 2 en 1 AeroGliss T-Care"/>
        <s v="Secador de pelo Multistyler T-Care 5 en 1"/>
        <s v="Secador de pelo Multistyler 5 en 1 AeroFlow Beige"/>
        <s v="Botella Agua Niños Barbie Love 420ml con Bombilla UMA"/>
        <s v="Botella Agua Niños Barbie &amp; Pets 420ml con Bombilla UMA"/>
        <s v="Botella Agua Niños Hot Wheels Monster Truck 420ml con Bombilla UMA"/>
        <s v="Botella Agua Niños Hot Wheels Race 420ml con Bombilla UMA"/>
        <s v="Botella Termica Insulada Classic Barbie Inspire 750ml"/>
        <s v="Botella Termica Insulada Classic Barbie Light Print 750ml"/>
        <s v="Botella Termica Insulada Classic Barbie Lines 750ml"/>
        <s v="Botella Termica Insulada Classic Barbie Dark Print 750ml"/>
        <s v="Botella Termica Insulada Fit Barbie Safari 900ml"/>
        <s v="Botella Termica Insulada Fit Barbie Light Print 900ml"/>
        <s v="Botella Termica Insulada Fit Barbie Dark Print 900ml"/>
        <s v="Botella Termica Insulada Fit Barbie Flow 900ml"/>
        <s v="Botella Termica Insulada Barbie Dream 500ml"/>
        <s v="Botella Termica Insulada Barbie Inspire 500ml"/>
        <s v="Botella Termica Insulada Barbie Club 500ml"/>
        <s v="Shaker Vaso Proteina Acero Inoxidable Barbie Light Print 500ml"/>
        <s v="Shaker Vaso Proteina Acero Inoxidable Barbie Dark Print 500ml"/>
        <s v="Botella Termica Insulada Hot Wheels Legends Nitro 2 en 1 Yellow 590ml UMA"/>
        <s v="Botella Termica Isulada Hot Wheels Legends Loop 2 en 1 Black 590ml UMA"/>
        <s v="Botella Térmica Insulada Hot Wheels Legends Finish Black 750 ml UMA"/>
        <s v="Botella Térmica Insulada Hot Wheels Legends Drift Yellow Lid 750 ml UMA"/>
        <s v="Botella Térmica Insulada Hot Wheels Legends Torque Yellow 750 ml UMA"/>
        <s v="Vaso Térmico para Café Mug Hot Wheels Legends Tour Beige 590 ml UMA"/>
        <s v="Vaso Térmico para Café Mug Hot Wheels Legends Champ Black 590 ml UMA"/>
        <s v="Vaso Térmico para Café Mug Hot Wheels Legends Turbo Yellow 590 ml UMA"/>
        <s v="Botella Termica Niños Barbie 450ml Acero Inox UMA"/>
        <s v="Botella Termica Niños Barbie Iconic 450ml Acero Inox UMA"/>
        <s v="Botella Termica Niños Barbie Inspire 2 en 1 590ml Acero Inox UMA"/>
        <s v="Botella Termica Niños Barbie Malibu 450ml Acero Inox UMA"/>
        <s v="Botella Termica Niños Barbie Shine 2 en 1 590ml Acero Inox UMA"/>
        <s v="Botella Termica Niños Hot Wheels Class 450ml Acero Inox UMA"/>
        <s v="Botella Termica Niños Hot Wheels Comic 2 en 1 590ml Acero Inox UMA"/>
        <s v="Botella Termica Niños Hot Wheels Fast 2 en 1 590ml Acero Inox UMA"/>
        <s v="Botella Termica Niños Hot Wheels Race 450ml Acero Inox UMA"/>
        <s v="Botella Termica Niños Hot Wheels Trucks 450ml Acero Inox UMA"/>
        <s v="Vaso Termico Tumbler Mug Barbie Dreams 590ml Acero Inox UMA"/>
        <s v="Vaso Termico Tumbler Mug Barbie Love 590ml Acero Inox UMA"/>
        <s v="Vaso Termico Tumbler Mug Barbie Print 590ml Acero Inox UMA"/>
        <s v="Vaso Termico Tumbler Mug Barbie Vibes 590ml Acero Inox UMA"/>
        <s v="Termo Comida Barbie &amp; Friends + Cuchara 450ml Acero Inox UMA"/>
        <s v="Termo Comida Barbie Fun + Cuchara 450ml Acero Inox UMA"/>
        <s v="Termo Comida Hot Wheels Class + Cuchara 330ml Acero Inox UMA"/>
        <s v="Termo Comida Hot Wheels Truck + Cuchara 330ml Acero Inox UMA"/>
        <s v="Funda Cubre Asiento de Auto Impermeable Mascotas Negra Xroad"/>
        <s v="Protector Funda Cubre Asiento Auto Perros Mascotas Xroad"/>
        <s v="Carpa Funda Cubre Auto Impermeable Premium con Felpa Xroad"/>
        <s v="Carpa Funda Cubre Moto Impermeable Premium con Felpa Xroad"/>
        <s v="Carpa Funda Cubre SUV Impermeable Premium con Felpa Xroad"/>
        <s v="Fundas Cubreasientos Ecocuero Universal Negro XRoad"/>
        <s v="Alfombra Piso de Goma para auto Universal 3 piezas Xroad"/>
        <s v="Alfombra Piso de Goma para auto Universal 4 piezas Xroad"/>
        <s v="Cadena + Candado para Rueda de Repuesto Antirrobo XRoad"/>
        <s v="Barras Portaequipaje de Aluminio para Techo Xroad"/>
        <s v="Parrilla Para Auto Aluminio Portaequipaje Universal Gris Xroad"/>
        <s v="Barras Portaequipaje Xcross Techo Aluminio 120 Cm"/>
        <s v="Barras Portaequipaje Xcross Techo Aluminio 127 Cm"/>
        <s v="Barras Portaequipaje Xcross Techo Aluminio 137 Cm"/>
        <s v="Bolso para Techo Porta Equipajes Blando Gris Xroad"/>
        <s v="Bolso para Techo Porta Equipajes Blando Color Xroad"/>
        <s v="Parrilla Para Auto Aluminio Portaequipaje Universal Negra Xroad"/>
        <s v="Sensor De Retroceso Para Automóviles Xroad"/>
        <s v="Toldo Camping Lateral Para Auto Techo Xroad"/>
        <s v="Toldo Camping Lateral Para Auto Techo 270° Xroad"/>
        <s v="Carpa Armado Automatico 10 personas Xroad"/>
        <s v="Carpa Inflable 3-4 Personas 3 Estaciones Beige Xroad"/>
        <s v="Carpa Inflable 6-8 personas Xroad"/>
        <s v="Carro de Transporte con Techo 150 KG Negro Xroad"/>
        <s v="Colchon inflable Automatico 2 plazas Xroad"/>
        <s v="Cooler Portátil 50L con Ruedas Negro Xroad"/>
        <s v="Cooler Eléctrico Portátil 20L 12V Gris Xroad"/>
        <s v="Cooler Eléctrico Portátil 40L 12V Gris Xroad"/>
        <s v="Cooler Freezer Eléctrico Portátil 40L 12V Gris Xroad"/>
        <s v="Cooler Eléctrico Portátil 30L 12V Gris Xroad"/>
        <s v="Estación de Energía Portátil 300W 248WH 80.000mAh 220V Xroad"/>
        <s v="Quitasol Con Drill de Instalacion Xroad"/>
        <s v="Partidor de Batería Portátil con Compresor de Aire 12V Xroad"/>
        <s v="Barra de Remolque automovil 2 Toneladas Xroad"/>
        <s v="Hidrolavadora Eléctrica HydroX 1800W 120 Bar Xroad"/>
        <s v="Botella Termica Insulada Fit Barbie Light Print 750ml" u="1"/>
        <s v="Botella Termica Insulada Fit Barbie Safari 750ml" u="1"/>
        <s v="Botella Termica Insulada Fit Barbie Dark Print 750ml" u="1"/>
        <s v="Botella Termica Insulada Fit Barbie Flow 750ml" u="1"/>
        <s v="Barra Portaequipaje Enganche Universal 122cm Xroad" u="1"/>
        <s v="Barra Portaequipaje Enganche Universal 129cm Xroad" u="1"/>
        <s v="Barra Portaequipaje Enganche Universal 139cm Xroad" u="1"/>
      </sharedItems>
    </cacheField>
    <cacheField name="TOTAL" numFmtId="0">
      <sharedItems containsBlank="1" count="2">
        <s v="NO TOTAL"/>
        <m/>
      </sharedItems>
    </cacheField>
    <cacheField name="Categoria Producto" numFmtId="0">
      <sharedItems containsBlank="1" count="9">
        <s v="Plata"/>
        <s v="Diamante"/>
        <s v="Descontinuado"/>
        <s v="Oro"/>
        <s v="Nuevo"/>
        <s v="Bronce"/>
        <s v="Corporativo"/>
        <s v="In/Out"/>
        <m u="1"/>
      </sharedItems>
    </cacheField>
    <cacheField name="% Proyeccion Vta" numFmtId="9">
      <sharedItems containsSemiMixedTypes="0" containsString="0" containsNumber="1" minValue="0.5" maxValue="1.8"/>
    </cacheField>
    <cacheField name="Ranking Comercial" numFmtId="41">
      <sharedItems containsSemiMixedTypes="0" containsString="0" containsNumber="1" containsInteger="1" minValue="0" maxValue="601" count="561">
        <n v="252"/>
        <n v="139"/>
        <n v="111"/>
        <n v="376"/>
        <n v="95"/>
        <n v="178"/>
        <n v="361"/>
        <n v="450"/>
        <n v="166"/>
        <n v="335"/>
        <n v="304"/>
        <n v="339"/>
        <n v="191"/>
        <n v="189"/>
        <n v="236"/>
        <n v="220"/>
        <n v="177"/>
        <n v="276"/>
        <n v="61"/>
        <n v="131"/>
        <n v="146"/>
        <n v="430"/>
        <n v="340"/>
        <n v="400"/>
        <n v="293"/>
        <n v="377"/>
        <n v="205"/>
        <n v="225"/>
        <n v="243"/>
        <n v="118"/>
        <n v="190"/>
        <n v="0"/>
        <n v="485"/>
        <n v="193"/>
        <n v="79"/>
        <n v="108"/>
        <n v="97"/>
        <n v="41"/>
        <n v="7"/>
        <n v="352"/>
        <n v="393"/>
        <n v="231"/>
        <n v="383"/>
        <n v="333"/>
        <n v="346"/>
        <n v="306"/>
        <n v="378"/>
        <n v="336"/>
        <n v="96"/>
        <n v="87"/>
        <n v="458"/>
        <n v="369"/>
        <n v="510"/>
        <n v="60"/>
        <n v="375"/>
        <n v="38"/>
        <n v="426"/>
        <n v="31"/>
        <n v="25"/>
        <n v="18"/>
        <n v="49"/>
        <n v="186"/>
        <n v="173"/>
        <n v="344"/>
        <n v="27"/>
        <n v="195"/>
        <n v="65"/>
        <n v="394"/>
        <n v="201"/>
        <n v="23"/>
        <n v="116"/>
        <n v="29"/>
        <n v="110"/>
        <n v="258"/>
        <n v="171"/>
        <n v="102"/>
        <n v="35"/>
        <n v="21"/>
        <n v="53"/>
        <n v="8"/>
        <n v="12"/>
        <n v="91"/>
        <n v="88"/>
        <n v="132"/>
        <n v="175"/>
        <n v="15"/>
        <n v="169"/>
        <n v="59"/>
        <n v="104"/>
        <n v="409"/>
        <n v="475"/>
        <n v="470"/>
        <n v="536"/>
        <n v="451"/>
        <n v="405"/>
        <n v="474"/>
        <n v="481"/>
        <n v="499"/>
        <n v="440"/>
        <n v="448"/>
        <n v="435"/>
        <n v="516"/>
        <n v="520"/>
        <n v="452"/>
        <n v="484"/>
        <n v="567"/>
        <n v="500"/>
        <n v="573"/>
        <n v="386"/>
        <n v="343"/>
        <n v="408"/>
        <n v="398"/>
        <n v="305"/>
        <n v="239"/>
        <n v="329"/>
        <n v="572"/>
        <n v="456"/>
        <n v="416"/>
        <n v="370"/>
        <n v="423"/>
        <n v="505"/>
        <n v="354"/>
        <n v="365"/>
        <n v="478"/>
        <n v="472"/>
        <n v="390"/>
        <n v="399"/>
        <n v="323"/>
        <n v="350"/>
        <n v="464"/>
        <n v="353"/>
        <n v="359"/>
        <n v="406"/>
        <n v="515"/>
        <n v="143"/>
        <n v="92"/>
        <n v="69"/>
        <n v="204"/>
        <n v="168"/>
        <n v="253"/>
        <n v="274"/>
        <n v="176"/>
        <n v="232"/>
        <n v="272"/>
        <n v="216"/>
        <n v="212"/>
        <n v="469"/>
        <n v="327"/>
        <n v="368"/>
        <n v="570"/>
        <n v="145"/>
        <n v="300"/>
        <n v="227"/>
        <n v="395"/>
        <n v="268"/>
        <n v="198"/>
        <n v="159"/>
        <n v="153"/>
        <n v="75"/>
        <n v="130"/>
        <n v="167"/>
        <n v="136"/>
        <n v="77"/>
        <n v="122"/>
        <n v="98"/>
        <n v="71"/>
        <n v="459"/>
        <n v="83"/>
        <n v="188"/>
        <n v="42"/>
        <n v="326"/>
        <n v="123"/>
        <n v="256"/>
        <n v="283"/>
        <n v="211"/>
        <n v="315"/>
        <n v="261"/>
        <n v="302"/>
        <n v="208"/>
        <n v="267"/>
        <n v="242"/>
        <n v="245"/>
        <n v="202"/>
        <n v="233"/>
        <n v="197"/>
        <n v="325"/>
        <n v="221"/>
        <n v="594"/>
        <n v="575"/>
        <n v="534"/>
        <n v="128"/>
        <n v="161"/>
        <n v="106"/>
        <n v="222"/>
        <n v="322"/>
        <n v="308"/>
        <n v="228"/>
        <n v="172"/>
        <n v="180"/>
        <n v="303"/>
        <n v="301"/>
        <n v="269"/>
        <n v="182"/>
        <n v="218"/>
        <n v="318"/>
        <n v="199"/>
        <n v="206"/>
        <n v="250"/>
        <n v="543"/>
        <n v="411"/>
        <n v="592"/>
        <n v="577"/>
        <n v="142"/>
        <n v="214"/>
        <n v="196"/>
        <n v="284"/>
        <n v="248"/>
        <n v="277"/>
        <n v="215"/>
        <n v="483"/>
        <n v="290"/>
        <n v="237"/>
        <n v="441"/>
        <n v="561"/>
        <n v="438"/>
        <n v="507"/>
        <n v="539"/>
        <n v="538"/>
        <n v="562"/>
        <n v="512"/>
        <n v="531"/>
        <n v="547"/>
        <n v="496"/>
        <n v="554"/>
        <n v="530"/>
        <n v="537"/>
        <n v="514"/>
        <n v="557"/>
        <n v="584"/>
        <n v="540"/>
        <n v="565"/>
        <n v="566"/>
        <n v="528"/>
        <n v="503"/>
        <n v="553"/>
        <n v="417"/>
        <n v="422"/>
        <n v="360"/>
        <n v="424"/>
        <n v="381"/>
        <n v="358"/>
        <n v="388"/>
        <n v="413"/>
        <n v="491"/>
        <n v="518"/>
        <n v="385"/>
        <n v="403"/>
        <n v="382"/>
        <n v="429"/>
        <n v="511"/>
        <n v="213"/>
        <n v="266"/>
        <n v="234"/>
        <n v="312"/>
        <n v="374"/>
        <n v="379"/>
        <n v="404"/>
        <n v="229"/>
        <n v="320"/>
        <n v="260"/>
        <n v="281"/>
        <n v="331"/>
        <n v="348"/>
        <n v="235"/>
        <n v="372"/>
        <n v="402"/>
        <n v="453"/>
        <n v="447"/>
        <n v="455"/>
        <n v="497"/>
        <n v="502"/>
        <n v="425"/>
        <n v="444"/>
        <n v="519"/>
        <n v="434"/>
        <n v="367"/>
        <n v="351"/>
        <n v="349"/>
        <n v="285"/>
        <n v="397"/>
        <n v="366"/>
        <n v="418"/>
        <n v="462"/>
        <n v="338"/>
        <n v="280"/>
        <n v="317"/>
        <n v="332"/>
        <n v="412"/>
        <n v="392"/>
        <n v="489"/>
        <n v="428"/>
        <n v="387"/>
        <n v="445"/>
        <n v="473"/>
        <n v="479"/>
        <n v="535"/>
        <n v="467"/>
        <n v="401"/>
        <n v="439"/>
        <n v="449"/>
        <n v="446"/>
        <n v="421"/>
        <n v="468"/>
        <n v="391"/>
        <n v="419"/>
        <n v="384"/>
        <n v="287"/>
        <n v="341"/>
        <n v="356"/>
        <n v="427"/>
        <n v="431"/>
        <n v="465"/>
        <n v="347"/>
        <n v="550"/>
        <n v="466"/>
        <n v="488"/>
        <n v="415"/>
        <n v="578"/>
        <n v="492"/>
        <n v="457"/>
        <n v="463"/>
        <n v="487"/>
        <n v="490"/>
        <n v="480"/>
        <n v="506"/>
        <n v="541"/>
        <n v="569"/>
        <n v="544"/>
        <n v="546"/>
        <n v="517"/>
        <n v="563"/>
        <n v="461"/>
        <n v="533"/>
        <n v="494"/>
        <n v="521"/>
        <n v="560"/>
        <n v="526"/>
        <n v="551"/>
        <n v="542"/>
        <n v="556"/>
        <n v="509"/>
        <n v="513"/>
        <n v="508"/>
        <n v="524"/>
        <n v="529"/>
        <n v="498"/>
        <n v="525"/>
        <n v="559"/>
        <n v="254"/>
        <n v="217"/>
        <n v="299"/>
        <n v="319"/>
        <n v="454"/>
        <n v="460"/>
        <n v="433"/>
        <n v="495"/>
        <n v="501"/>
        <n v="522"/>
        <n v="548"/>
        <n v="571"/>
        <n v="126"/>
        <n v="36"/>
        <n v="316"/>
        <n v="371"/>
        <n v="241"/>
        <n v="257"/>
        <n v="158"/>
        <n v="207"/>
        <n v="210"/>
        <n v="94"/>
        <n v="170"/>
        <n v="160"/>
        <n v="70"/>
        <n v="357"/>
        <n v="24"/>
        <n v="17"/>
        <n v="1"/>
        <n v="51"/>
        <n v="2"/>
        <n v="179"/>
        <n v="117"/>
        <n v="76"/>
        <n v="57"/>
        <n v="255"/>
        <n v="224"/>
        <n v="99"/>
        <n v="28"/>
        <n v="278"/>
        <n v="19"/>
        <n v="40"/>
        <n v="26"/>
        <n v="85"/>
        <n v="194"/>
        <n v="279"/>
        <n v="140"/>
        <n v="151"/>
        <n v="288"/>
        <n v="47"/>
        <n v="50"/>
        <n v="90"/>
        <n v="363"/>
        <n v="55"/>
        <n v="307"/>
        <n v="292"/>
        <n v="244"/>
        <n v="296"/>
        <n v="174"/>
        <n v="100"/>
        <n v="120"/>
        <n v="22"/>
        <n v="62"/>
        <n v="298"/>
        <n v="32"/>
        <n v="5"/>
        <n v="30"/>
        <n v="4"/>
        <n v="219"/>
        <n v="389"/>
        <n v="246"/>
        <n v="209"/>
        <n v="226"/>
        <n v="564"/>
        <n v="330"/>
        <n v="72"/>
        <n v="3"/>
        <n v="6"/>
        <n v="443"/>
        <n v="247"/>
        <n v="163"/>
        <n v="313"/>
        <n v="249"/>
        <n v="43"/>
        <n v="185"/>
        <n v="601"/>
        <n v="101"/>
        <n v="33"/>
        <n v="334"/>
        <n v="20" u="1"/>
        <n v="137" u="1"/>
        <n v="420" u="1"/>
        <n v="263" u="1"/>
        <n v="181" u="1"/>
        <n v="103" u="1"/>
        <n v="52" u="1"/>
        <n v="84" u="1"/>
        <n v="45" u="1"/>
        <n v="262" u="1"/>
        <n v="297" u="1"/>
        <n v="107" u="1"/>
        <n v="80" u="1"/>
        <n v="135" u="1"/>
        <n v="48" u="1"/>
        <n v="89" u="1"/>
        <n v="10" u="1"/>
        <n v="68" u="1"/>
        <n v="13" u="1"/>
        <n v="37" u="1"/>
        <n v="39" u="1"/>
        <n v="264" u="1"/>
        <n v="9" u="1"/>
        <n v="67" u="1"/>
        <n v="364" u="1"/>
        <n v="321" u="1"/>
        <n v="337" u="1"/>
        <n v="342" u="1"/>
        <n v="121" u="1"/>
        <n v="113" u="1"/>
        <n v="203" u="1"/>
        <n v="56" u="1"/>
        <n v="192" u="1"/>
        <n v="230" u="1"/>
        <n v="114" u="1"/>
        <n v="155" u="1"/>
        <n v="86" u="1"/>
        <n v="81" u="1"/>
        <n v="162" u="1"/>
        <n v="141" u="1"/>
        <n v="152" u="1"/>
        <n v="54" u="1"/>
        <n v="14" u="1"/>
        <n v="73" u="1"/>
        <n v="124" u="1"/>
        <n v="184" u="1"/>
        <n v="144" u="1"/>
        <n v="165" u="1"/>
        <n v="150" u="1"/>
        <n v="187" u="1"/>
        <n v="148" u="1"/>
        <n v="164" u="1"/>
        <n v="149" u="1"/>
        <n v="259" u="1"/>
        <n v="238" u="1"/>
        <n v="34" u="1"/>
        <n v="414" u="1"/>
        <n v="407" u="1"/>
        <n v="410" u="1"/>
        <n v="328" u="1"/>
        <n v="362" u="1"/>
        <n v="311" u="1"/>
        <n v="373" u="1"/>
        <n v="282" u="1"/>
        <n v="355" u="1"/>
        <n v="380" u="1"/>
        <n v="310" u="1"/>
        <n v="309" u="1"/>
        <n v="324" u="1"/>
        <n v="345" u="1"/>
        <n v="16" u="1"/>
        <n v="273" u="1"/>
        <n v="275" u="1"/>
        <n v="251" u="1"/>
        <n v="154" u="1"/>
        <n v="138" u="1"/>
        <n v="134" u="1"/>
        <n v="183" u="1"/>
        <n v="125" u="1"/>
        <n v="66" u="1"/>
        <n v="289" u="1"/>
        <n v="93" u="1"/>
        <n v="127" u="1"/>
        <n v="147" u="1"/>
        <n v="82" u="1"/>
        <n v="157" u="1"/>
        <n v="291" u="1"/>
        <n v="64" u="1"/>
        <n v="105" u="1"/>
        <n v="200" u="1"/>
        <n v="156" u="1"/>
        <n v="44" u="1"/>
        <n v="314" u="1"/>
        <n v="286" u="1"/>
        <n v="265" u="1"/>
        <n v="63" u="1"/>
        <n v="240" u="1"/>
        <n v="46" u="1"/>
        <n v="58" u="1"/>
        <n v="112" u="1"/>
        <n v="129" u="1"/>
        <n v="109" u="1"/>
        <n v="115" u="1"/>
        <n v="223" u="1"/>
        <n v="78" u="1"/>
        <n v="295" u="1"/>
        <n v="294" u="1"/>
        <n v="270" u="1"/>
        <n v="119" u="1"/>
        <n v="271" u="1"/>
        <n v="396" u="1"/>
        <n v="11" u="1"/>
        <n v="74" u="1"/>
        <n v="133" u="1"/>
      </sharedItems>
    </cacheField>
    <cacheField name="Stock HOY" numFmtId="41">
      <sharedItems containsString="0" containsBlank="1" containsNumber="1" containsInteger="1" minValue="0" maxValue="6390"/>
    </cacheField>
    <cacheField name="OHNSO" numFmtId="41">
      <sharedItems containsString="0" containsBlank="1" containsNumber="1" containsInteger="1" minValue="100" maxValue="1500"/>
    </cacheField>
    <cacheField name="OHNSO CST" numFmtId="41">
      <sharedItems containsString="0" containsBlank="1" containsNumber="1" minValue="0" maxValue="18050000"/>
    </cacheField>
    <cacheField name="CST Actual" numFmtId="0">
      <sharedItems containsSemiMixedTypes="0" containsString="0" containsNumber="1" minValue="643" maxValue="1867612"/>
    </cacheField>
    <cacheField name="Stock Hoy CST" numFmtId="41">
      <sharedItems containsString="0" containsBlank="1" containsNumber="1" containsInteger="1" minValue="0" maxValue="30924760"/>
    </cacheField>
    <cacheField name="COSTO USD" numFmtId="0">
      <sharedItems containsSemiMixedTypes="0" containsString="0" containsNumber="1" minValue="0.5" maxValue="1709.4846681922197"/>
    </cacheField>
    <cacheField name="COST CLP" numFmtId="0">
      <sharedItems containsString="0" containsBlank="1" containsNumber="1" minValue="546.25" maxValue="1916332.3130434782"/>
    </cacheField>
    <cacheField name="Ticekt Promedio" numFmtId="41">
      <sharedItems containsSemiMixedTypes="0" containsString="0" containsNumber="1" minValue="3352.9411764705883" maxValue="5042008.4033613447"/>
    </cacheField>
    <cacheField name="Ticekt Promedio Evento" numFmtId="41">
      <sharedItems containsSemiMixedTypes="0" containsString="0" containsNumber="1" minValue="0" maxValue="5042008.4033613447"/>
    </cacheField>
    <cacheField name="Puerto Origen" numFmtId="0">
      <sharedItems/>
    </cacheField>
    <cacheField name="Tipo Pago" numFmtId="0">
      <sharedItems containsBlank="1" count="8">
        <s v="30/70"/>
        <s v="20/80"/>
        <s v="20/80 Credit"/>
        <s v="100/0"/>
        <m/>
        <s v="30/71"/>
        <s v="30/72"/>
        <s v="30/73"/>
      </sharedItems>
    </cacheField>
    <cacheField name="LEAD TIME NORMAL" numFmtId="41">
      <sharedItems containsSemiMixedTypes="0" containsString="0" containsNumber="1" containsInteger="1" minValue="15" maxValue="90"/>
    </cacheField>
    <cacheField name="LEAD TIME Q4" numFmtId="41">
      <sharedItems containsString="0" containsBlank="1" containsNumber="1" containsInteger="1" minValue="0" maxValue="60"/>
    </cacheField>
    <cacheField name="MOQ" numFmtId="41">
      <sharedItems containsSemiMixedTypes="0" containsString="0" containsNumber="1" containsInteger="1" minValue="1" maxValue="2000"/>
    </cacheField>
    <cacheField name="VENTA REAL UNID ENE 25" numFmtId="41">
      <sharedItems containsString="0" containsBlank="1" containsNumber="1" containsInteger="1" minValue="0" maxValue="3238"/>
    </cacheField>
    <cacheField name="MG FRONT ENE 25" numFmtId="171">
      <sharedItems containsBlank="1" containsMixedTypes="1" containsNumber="1" minValue="-0.1008019242333132" maxValue="1.3778107475711301"/>
    </cacheField>
    <cacheField name="VENTA REAL UNID FEB 25" numFmtId="41">
      <sharedItems containsString="0" containsBlank="1" containsNumber="1" containsInteger="1" minValue="0" maxValue="928"/>
    </cacheField>
    <cacheField name="MG FRONT FEB 25" numFmtId="171">
      <sharedItems containsBlank="1" containsMixedTypes="1" containsNumber="1" minValue="0" maxValue="1.5228450871169601"/>
    </cacheField>
    <cacheField name="VENTA REAL UNID MAR 25" numFmtId="41">
      <sharedItems containsString="0" containsBlank="1" containsNumber="1" containsInteger="1" minValue="0" maxValue="4022"/>
    </cacheField>
    <cacheField name="MG FRONT MAR 25" numFmtId="171">
      <sharedItems containsBlank="1" containsMixedTypes="1" containsNumber="1" minValue="-6.6078947368421057E-2" maxValue="1.5108339762982601"/>
    </cacheField>
    <cacheField name="VENTA REAL UNID ABR 25" numFmtId="41">
      <sharedItems containsString="0" containsBlank="1" containsNumber="1" containsInteger="1" minValue="0" maxValue="2076"/>
    </cacheField>
    <cacheField name="MG FRONT ABR 25" numFmtId="0">
      <sharedItems containsBlank="1" containsMixedTypes="1" containsNumber="1" minValue="-2.8060329708848557E-5" maxValue="1.4463139681163"/>
    </cacheField>
    <cacheField name="VENTA REAL UNID MAY 25" numFmtId="41">
      <sharedItems containsString="0" containsBlank="1" containsNumber="1" containsInteger="1" minValue="0" maxValue="1919"/>
    </cacheField>
    <cacheField name="MG FRONT MAY 25" numFmtId="0">
      <sharedItems containsBlank="1" containsMixedTypes="1" containsNumber="1" minValue="-2.6891149304286617E-5" maxValue="1.5486194368245201"/>
    </cacheField>
    <cacheField name="VENTA REAL UNID JUN 25" numFmtId="41">
      <sharedItems containsString="0" containsBlank="1" containsNumber="1" containsInteger="1" minValue="0" maxValue="3320"/>
    </cacheField>
    <cacheField name="MG FRONT JUN 25" numFmtId="0">
      <sharedItems containsBlank="1" containsMixedTypes="1" containsNumber="1" minValue="-9.2396553804798401E-2" maxValue="2.8151994762139445"/>
    </cacheField>
    <cacheField name="VENTA REAL UNID JUL 25" numFmtId="41">
      <sharedItems containsString="0" containsBlank="1" containsNumber="1" containsInteger="1" minValue="0" maxValue="2164"/>
    </cacheField>
    <cacheField name="MG FRONT JUL 25" numFmtId="0">
      <sharedItems containsBlank="1" containsMixedTypes="1" containsNumber="1" minValue="0" maxValue="1.4570594404145401"/>
    </cacheField>
    <cacheField name="VENTA REAL UNID AGO 25" numFmtId="41">
      <sharedItems containsString="0" containsBlank="1" containsNumber="1" containsInteger="1" minValue="-228" maxValue="591"/>
    </cacheField>
    <cacheField name="MG FRONT AGO 25" numFmtId="0">
      <sharedItems containsBlank="1" containsMixedTypes="1" containsNumber="1" minValue="-6.5003685740092132E-2" maxValue="1.5048120543835699"/>
    </cacheField>
    <cacheField name="VENTA REAL UNID SEP 25" numFmtId="41">
      <sharedItems containsString="0" containsBlank="1" containsNumber="1" containsInteger="1" minValue="-1" maxValue="2809"/>
    </cacheField>
    <cacheField name="MG FRONT SEP 25" numFmtId="0">
      <sharedItems containsBlank="1" containsMixedTypes="1" containsNumber="1" minValue="0" maxValue="1.0000000000000002"/>
    </cacheField>
    <cacheField name="VENTA REAL UNID OCT 25" numFmtId="41">
      <sharedItems containsString="0" containsBlank="1" containsNumber="1" containsInteger="1" minValue="0" maxValue="1791"/>
    </cacheField>
    <cacheField name="MG FRONT OCT 25" numFmtId="0">
      <sharedItems containsBlank="1" containsMixedTypes="1" containsNumber="1" minValue="-0.18692180513706888" maxValue="1"/>
    </cacheField>
    <cacheField name="VENTA REAL UNID NOV 25" numFmtId="41">
      <sharedItems containsString="0" containsBlank="1" containsNumber="1" containsInteger="1" minValue="-7" maxValue="2880"/>
    </cacheField>
    <cacheField name="MG FRONT NOV 25" numFmtId="0">
      <sharedItems containsBlank="1" containsMixedTypes="1" containsNumber="1" minValue="0" maxValue="1.000054735840076"/>
    </cacheField>
    <cacheField name="VENTA REAL UNID DIC 25" numFmtId="41">
      <sharedItems containsString="0" containsBlank="1" containsNumber="1" containsInteger="1" minValue="-1" maxValue="507"/>
    </cacheField>
    <cacheField name="MG FRONT DIC 25" numFmtId="0">
      <sharedItems containsBlank="1" containsMixedTypes="1" containsNumber="1" minValue="-1.1134888264745406" maxValue="1"/>
    </cacheField>
    <cacheField name="VENTA REAL UNID ENE 26" numFmtId="41">
      <sharedItems containsString="0" containsBlank="1" containsNumber="1" containsInteger="1" minValue="0" maxValue="2097"/>
    </cacheField>
    <cacheField name="MG FRONT ENE 26" numFmtId="0">
      <sharedItems containsBlank="1" containsMixedTypes="1" containsNumber="1" minValue="-0.21292067343924678" maxValue="0.80464231262928487"/>
    </cacheField>
    <cacheField name="VENTA REAL UNID FEB 26" numFmtId="41">
      <sharedItems containsString="0" containsBlank="1" containsNumber="1" containsInteger="1" minValue="0" maxValue="304"/>
    </cacheField>
    <cacheField name="MG FRONT FEB 26" numFmtId="9">
      <sharedItems containsBlank="1" containsMixedTypes="1" containsNumber="1" minValue="-0.35274486498576396" maxValue="0.97716453418572602"/>
    </cacheField>
    <cacheField name="VENTA REAL UNID MAR 26" numFmtId="3">
      <sharedItems containsString="0" containsBlank="1" containsNumber="1" containsInteger="1" minValue="-6" maxValue="1978"/>
    </cacheField>
    <cacheField name="MG FRONT MAR 26" numFmtId="9">
      <sharedItems containsBlank="1" containsMixedTypes="1" containsNumber="1" minValue="-3.6170212765957448E-3" maxValue="17824.295999999998"/>
    </cacheField>
    <cacheField name="VENTA REAL UNID ABR 26" numFmtId="41">
      <sharedItems containsString="0" containsBlank="1" containsNumber="1" containsInteger="1" minValue="0" maxValue="1000"/>
    </cacheField>
    <cacheField name="MG FRONT ABR 26" numFmtId="9">
      <sharedItems containsBlank="1" containsMixedTypes="1" containsNumber="1" minValue="-0.2202124349455204" maxValue="0.84500593213806929"/>
    </cacheField>
    <cacheField name="% Cumplimiento ABR 26" numFmtId="9">
      <sharedItems containsString="0" containsBlank="1" containsNumber="1" minValue="0" maxValue="7.2222222222222223"/>
    </cacheField>
    <cacheField name="VENTA REAL UNID MAY 26" numFmtId="3">
      <sharedItems containsString="0" containsBlank="1" containsNumber="1" containsInteger="1" minValue="-2" maxValue="1661"/>
    </cacheField>
    <cacheField name="MG FRONT MAY 26" numFmtId="9">
      <sharedItems containsBlank="1" containsMixedTypes="1" containsNumber="1" minValue="-4.048291215403129" maxValue="0.82491998571534453"/>
    </cacheField>
    <cacheField name="% Cumplimiento MAY 26" numFmtId="9">
      <sharedItems containsString="0" containsBlank="1" containsNumber="1" minValue="-1" maxValue="18"/>
    </cacheField>
    <cacheField name="VENTA REAL UNID JUN 26" numFmtId="41">
      <sharedItems containsString="0" containsBlank="1" containsNumber="1" containsInteger="1" minValue="-7" maxValue="1174"/>
    </cacheField>
    <cacheField name="MG FRONT JUN 26" numFmtId="9">
      <sharedItems containsBlank="1" containsMixedTypes="1" containsNumber="1" minValue="-7.8686369999999988" maxValue="2.6670721649484537"/>
    </cacheField>
    <cacheField name="% Cumplimiento JUN 26" numFmtId="9">
      <sharedItems containsString="0" containsBlank="1" containsNumber="1" minValue="-0.17499999999999999" maxValue="6.333333333333333"/>
    </cacheField>
    <cacheField name="VENTA REAL UNID JUL 26" numFmtId="3">
      <sharedItems containsSemiMixedTypes="0" containsString="0" containsNumber="1" containsInteger="1" minValue="-5" maxValue="438"/>
    </cacheField>
    <cacheField name="MG FRONT JUL 26" numFmtId="9">
      <sharedItems containsMixedTypes="1" containsNumber="1" minValue="-0.58699577769049494" maxValue="4.8634586180713741"/>
    </cacheField>
    <cacheField name="% Cumplimiento JUL 26" numFmtId="9">
      <sharedItems containsSemiMixedTypes="0" containsString="0" containsNumber="1" minValue="-1" maxValue="13.2"/>
    </cacheField>
    <cacheField name="VENTA REAL UNID AGO 26" numFmtId="41">
      <sharedItems containsSemiMixedTypes="0" containsString="0" containsNumber="1" containsInteger="1" minValue="-60" maxValue="410"/>
    </cacheField>
    <cacheField name="MG FRONT AGO 26" numFmtId="9">
      <sharedItems containsMixedTypes="1" containsNumber="1" minValue="-3.5097859999999996" maxValue="0.8397339239782794"/>
    </cacheField>
    <cacheField name="% Cumplimiento AGO 26" numFmtId="9">
      <sharedItems containsSemiMixedTypes="0" containsString="0" containsNumber="1" minValue="-0.33333333333333331" maxValue="13.666666666666666"/>
    </cacheField>
    <cacheField name="VENTA REAL UNID SEP 26" numFmtId="3">
      <sharedItems containsSemiMixedTypes="0" containsString="0" containsNumber="1" containsInteger="1" minValue="-124" maxValue="2001"/>
    </cacheField>
    <cacheField name="MG FRONT SEP 26" numFmtId="171">
      <sharedItems containsMixedTypes="1" containsNumber="1" minValue="-12.559469721210117" maxValue="7.1838418999999982"/>
    </cacheField>
    <cacheField name="% Cumplimiento SEP 26" numFmtId="9">
      <sharedItems containsSemiMixedTypes="0" containsString="0" containsNumber="1" minValue="-3.5428571428571427" maxValue="150.25"/>
    </cacheField>
    <cacheField name="VENTA REAL UNID OCT 26" numFmtId="9">
      <sharedItems containsNonDate="0" containsString="0" containsBlank="1"/>
    </cacheField>
    <cacheField name="MG FRONT OCT 26" numFmtId="9">
      <sharedItems containsNonDate="0" containsString="0" containsBlank="1"/>
    </cacheField>
    <cacheField name="% Cumplimiento OCT 26" numFmtId="9">
      <sharedItems containsNonDate="0" containsString="0" containsBlank="1"/>
    </cacheField>
    <cacheField name="VENTA REAL UNID NOV 26" numFmtId="9">
      <sharedItems containsNonDate="0" containsString="0" containsBlank="1"/>
    </cacheField>
    <cacheField name="MG FRONT NOV 26" numFmtId="9">
      <sharedItems containsNonDate="0" containsString="0" containsBlank="1"/>
    </cacheField>
    <cacheField name="% Cumplimiento NOV 26" numFmtId="9">
      <sharedItems containsNonDate="0" containsString="0" containsBlank="1"/>
    </cacheField>
    <cacheField name="VENTA REAL UNID DIC 26" numFmtId="9">
      <sharedItems containsNonDate="0" containsString="0" containsBlank="1"/>
    </cacheField>
    <cacheField name="MG FRONT DIC 26" numFmtId="9">
      <sharedItems containsNonDate="0" containsString="0" containsBlank="1"/>
    </cacheField>
    <cacheField name="% Cumplimiento DIC 26" numFmtId="9">
      <sharedItems containsNonDate="0" containsString="0" containsBlank="1"/>
    </cacheField>
    <cacheField name="Venta FCST ENE Inicial" numFmtId="41">
      <sharedItems containsString="0" containsBlank="1" containsNumber="1" minValue="0" maxValue="900"/>
    </cacheField>
    <cacheField name="Stock Inicial ENE26" numFmtId="41">
      <sharedItems containsString="0" containsBlank="1" containsNumber="1" containsInteger="1" minValue="0" maxValue="6426"/>
    </cacheField>
    <cacheField name=" Venta PPTO ENE26" numFmtId="41">
      <sharedItems containsString="0" containsBlank="1" containsNumber="1" minValue="0" maxValue="900"/>
    </cacheField>
    <cacheField name="PEDIDO SEP_x000a_LLEGADAS ENE26" numFmtId="41">
      <sharedItems containsString="0" containsBlank="1" containsNumber="1" containsInteger="1" minValue="0" maxValue="1000"/>
    </cacheField>
    <cacheField name="TRANSITO ENE" numFmtId="41">
      <sharedItems containsString="0" containsBlank="1" containsNumber="1" containsInteger="1" minValue="0" maxValue="1500"/>
    </cacheField>
    <cacheField name="EMBARQUE ENERO" numFmtId="41">
      <sharedItems containsString="0" containsBlank="1" containsNumber="1" containsInteger="1" minValue="0" maxValue="0"/>
    </cacheField>
    <cacheField name="STK Ideal Cst ENE26" numFmtId="41">
      <sharedItems containsString="0" containsBlank="1" containsNumber="1" minValue="0" maxValue="25012033"/>
    </cacheField>
    <cacheField name="Stock Inicial Cst ENE26" numFmtId="41">
      <sharedItems containsString="0" containsBlank="1" containsNumber="1" minValue="0" maxValue="24661980"/>
    </cacheField>
    <cacheField name=" Venta Cst ENE26" numFmtId="41">
      <sharedItems containsString="0" containsBlank="1" containsNumber="1" minValue="0" maxValue="7394400"/>
    </cacheField>
    <cacheField name="Llegadas Cst ENE26" numFmtId="41">
      <sharedItems containsString="0" containsBlank="1" containsNumber="1" containsInteger="1" minValue="0" maxValue="0"/>
    </cacheField>
    <cacheField name="Stock + Pedido Unid ENE26" numFmtId="41">
      <sharedItems containsString="0" containsBlank="1" containsNumber="1" containsInteger="1" minValue="0" maxValue="6390"/>
    </cacheField>
    <cacheField name="Stock + Pedido Csto ENE26" numFmtId="41">
      <sharedItems containsString="0" containsBlank="1" containsNumber="1" containsInteger="1" minValue="0" maxValue="30924760"/>
    </cacheField>
    <cacheField name="Venta Neta Enero" numFmtId="0">
      <sharedItems containsString="0" containsBlank="1" containsNumber="1" minValue="0" maxValue="12851281.689146247"/>
    </cacheField>
    <cacheField name="Venta FCST FEB Inicial" numFmtId="0">
      <sharedItems containsString="0" containsBlank="1" containsNumber="1" minValue="0" maxValue="880"/>
    </cacheField>
    <cacheField name="Stock Inicial FEB26" numFmtId="0">
      <sharedItems containsString="0" containsBlank="1" containsNumber="1" containsInteger="1" minValue="0" maxValue="6556"/>
    </cacheField>
    <cacheField name=" Venta PPTO FEB26" numFmtId="0">
      <sharedItems containsString="0" containsBlank="1" containsNumber="1" minValue="0" maxValue="456"/>
    </cacheField>
    <cacheField name="PEDIDO SEP_x000a_LLEGADAS FEB26" numFmtId="0">
      <sharedItems containsString="0" containsBlank="1" containsNumber="1" minValue="0" maxValue="1880"/>
    </cacheField>
    <cacheField name="Transito Feb 26" numFmtId="0">
      <sharedItems containsString="0" containsBlank="1" containsNumber="1" minValue="0" maxValue="1880"/>
    </cacheField>
    <cacheField name="EMBARQUE FEBRERO" numFmtId="0">
      <sharedItems containsString="0" containsBlank="1" containsNumber="1" containsInteger="1" minValue="0" maxValue="0"/>
    </cacheField>
    <cacheField name="STK Ideal Cst FEB26" numFmtId="0">
      <sharedItems containsString="0" containsBlank="1" containsNumber="1" minValue="0" maxValue="30761425"/>
    </cacheField>
    <cacheField name="Stock Inicial Cst FEB26" numFmtId="0">
      <sharedItems containsString="0" containsBlank="1" containsNumber="1" minValue="0" maxValue="27464346"/>
    </cacheField>
    <cacheField name=" Venta Cst FEB26" numFmtId="0">
      <sharedItems containsString="0" containsBlank="1" containsNumber="1" minValue="0" maxValue="8918091"/>
    </cacheField>
    <cacheField name="Llegadas Cst FEB26" numFmtId="0">
      <sharedItems containsString="0" containsBlank="1" containsNumber="1" containsInteger="1" minValue="0" maxValue="0"/>
    </cacheField>
    <cacheField name="Stock + Pedido Unid FEB26" numFmtId="0">
      <sharedItems containsString="0" containsBlank="1" containsNumber="1" containsInteger="1" minValue="0" maxValue="6390"/>
    </cacheField>
    <cacheField name="Stock + Pedido Csto FEB26" numFmtId="0">
      <sharedItems containsString="0" containsBlank="1" containsNumber="1" containsInteger="1" minValue="0" maxValue="30924760"/>
    </cacheField>
    <cacheField name="Venta Neta Feb" numFmtId="41">
      <sharedItems containsString="0" containsBlank="1" containsNumber="1" minValue="0" maxValue="15323356.401384084"/>
    </cacheField>
    <cacheField name="Venta FCST MAR Inicial" numFmtId="41">
      <sharedItems containsString="0" containsBlank="1" containsNumber="1" minValue="0" maxValue="1481"/>
    </cacheField>
    <cacheField name="Stock Inicial MAR26" numFmtId="41">
      <sharedItems containsString="0" containsBlank="1" containsNumber="1" containsInteger="1" minValue="-1" maxValue="6492"/>
    </cacheField>
    <cacheField name=" Venta PPTO MAR26" numFmtId="41">
      <sharedItems containsString="0" containsBlank="1" containsNumber="1" containsInteger="1" minValue="-6" maxValue="1978"/>
    </cacheField>
    <cacheField name="PEDIDO SEP_x000a_LLEGADAS MAR26" numFmtId="41">
      <sharedItems containsString="0" containsBlank="1" containsNumber="1" containsInteger="1" minValue="0" maxValue="0"/>
    </cacheField>
    <cacheField name="Transito MAR 26" numFmtId="41">
      <sharedItems containsString="0" containsBlank="1" containsNumber="1" containsInteger="1" minValue="0" maxValue="0"/>
    </cacheField>
    <cacheField name="STK Ideal Cst MAR26" numFmtId="41">
      <sharedItems containsString="0" containsBlank="1" containsNumber="1" minValue="0" maxValue="27697022"/>
    </cacheField>
    <cacheField name="Stock Inicial Cst MAR26" numFmtId="41">
      <sharedItems containsString="0" containsBlank="1" containsNumber="1" minValue="-32325" maxValue="25027200"/>
    </cacheField>
    <cacheField name=" Venta Cst MAR26" numFmtId="41">
      <sharedItems containsString="0" containsBlank="1" containsNumber="1" containsInteger="1" minValue="-204744" maxValue="12827242"/>
    </cacheField>
    <cacheField name="Llegadas Cst MAR26" numFmtId="41">
      <sharedItems containsString="0" containsBlank="1" containsNumber="1" containsInteger="1" minValue="0" maxValue="0"/>
    </cacheField>
    <cacheField name="Stock + Pedido Unid MAR26" numFmtId="41">
      <sharedItems containsString="0" containsBlank="1" containsNumber="1" containsInteger="1" minValue="0" maxValue="6390"/>
    </cacheField>
    <cacheField name="Stock + Pedido Csto MAR26" numFmtId="41">
      <sharedItems containsString="0" containsBlank="1" containsNumber="1" containsInteger="1" minValue="0" maxValue="30924760"/>
    </cacheField>
    <cacheField name="Venta Neta Marzo" numFmtId="0">
      <sharedItems containsString="0" containsBlank="1" containsNumber="1" minValue="-403310.92436974798" maxValue="29568142.857142862"/>
    </cacheField>
    <cacheField name="Venta FCST ABR Inicial" numFmtId="0">
      <sharedItems containsString="0" containsBlank="1" containsNumber="1" minValue="0" maxValue="850"/>
    </cacheField>
    <cacheField name="Stock Inicial ABR26" numFmtId="0">
      <sharedItems containsString="0" containsBlank="1" containsNumber="1" containsInteger="1" minValue="0" maxValue="7189"/>
    </cacheField>
    <cacheField name=" Venta PPTO ABR26" numFmtId="0">
      <sharedItems containsString="0" containsBlank="1" containsNumber="1" containsInteger="1" minValue="0" maxValue="1000"/>
    </cacheField>
    <cacheField name="PEDIDO SEP_x000a_LLEGADAS ABR26" numFmtId="0">
      <sharedItems containsString="0" containsBlank="1" containsNumber="1" containsInteger="1" minValue="0" maxValue="2000"/>
    </cacheField>
    <cacheField name="Transito ABR 26" numFmtId="0">
      <sharedItems containsString="0" containsBlank="1" containsNumber="1" containsInteger="1" minValue="0" maxValue="0"/>
    </cacheField>
    <cacheField name="Stock Inicial Cst ABR26" numFmtId="0">
      <sharedItems containsString="0" containsBlank="1" containsNumber="1" minValue="0" maxValue="35378370"/>
    </cacheField>
    <cacheField name=" Venta Cst ABR26" numFmtId="0">
      <sharedItems containsString="0" containsBlank="1" containsNumber="1" minValue="0" maxValue="9016092"/>
    </cacheField>
    <cacheField name="Compra Cst ABR26" numFmtId="0">
      <sharedItems containsString="0" containsBlank="1" containsNumber="1" minValue="0" maxValue="49679999.999999993" count="113">
        <n v="0"/>
        <n v="662607"/>
        <n v="299632.49999999994"/>
        <n v="56925"/>
        <n v="161460"/>
        <n v="610443"/>
        <n v="72449.999999999985"/>
        <n v="372600"/>
        <n v="144796.5"/>
        <n v="434389.5"/>
        <n v="279449.99999999994"/>
        <n v="848700"/>
        <n v="905625"/>
        <n v="1048454.9999999999"/>
        <n v="175949.99999999997"/>
        <n v="2753099.9999999995"/>
        <n v="3151574.9999999995"/>
        <n v="672750"/>
        <n v="1314449.9999999998"/>
        <n v="1086749.9999999998"/>
        <n v="442462.5"/>
        <n v="139725"/>
        <m/>
        <n v="1138500"/>
        <n v="621000"/>
        <n v="2287349.9999999995"/>
        <n v="9832500"/>
        <n v="7245000"/>
        <n v="3311999.9999999995"/>
        <n v="6313499.9999999991"/>
        <n v="1904400"/>
        <n v="2018249.9999999998"/>
        <n v="1531799.9999999998"/>
        <n v="328819.5"/>
        <n v="3933000"/>
        <n v="1474875"/>
        <n v="3519000"/>
        <n v="1573200"/>
        <n v="393300"/>
        <n v="1055700"/>
        <n v="6986250"/>
        <n v="1148850"/>
        <n v="1956150"/>
        <n v="1490399.9999999998"/>
        <n v="7141500.0000000009"/>
        <n v="7917750.0000000009"/>
        <n v="5278500.0000000009"/>
        <n v="8486999.9999999981"/>
        <n v="4885200"/>
        <n v="776250"/>
        <n v="1459350"/>
        <n v="1241999.9999999998"/>
        <n v="403650"/>
        <n v="269100"/>
        <n v="1145745"/>
        <n v="289800"/>
        <n v="258750"/>
        <n v="380880"/>
        <n v="285660"/>
        <n v="107640"/>
        <n v="142830"/>
        <n v="357075"/>
        <n v="1304099.9999999998"/>
        <n v="652049.99999999988"/>
        <n v="11255625"/>
        <n v="399510"/>
        <n v="240119.99999999997"/>
        <n v="144900"/>
        <n v="155250"/>
        <n v="613237.49999999988"/>
        <n v="5940900.0000000009"/>
        <n v="9653962.5000000019"/>
        <n v="573390"/>
        <n v="3824325"/>
        <n v="4305599.9999999991"/>
        <n v="5071500"/>
        <n v="310499.99999999994"/>
        <n v="714149.99999999988"/>
        <n v="1319625"/>
        <n v="3694950"/>
        <n v="890100"/>
        <n v="517500"/>
        <n v="419175"/>
        <n v="209587.5"/>
        <n v="5149125"/>
        <n v="1345499.9999999998"/>
        <n v="2831759.9999999995"/>
        <n v="3757050.0000000005"/>
        <n v="382949.99999999994"/>
        <n v="341550"/>
        <n v="596159.99999999988"/>
        <n v="900449.99999999988"/>
        <n v="1117799.9999999998"/>
        <n v="4641974.9999999991"/>
        <n v="1687050"/>
        <n v="2817787.5000000005"/>
        <n v="1583550"/>
        <n v="553725"/>
        <n v="341549.99999999994"/>
        <n v="2587500"/>
        <n v="2070000"/>
        <n v="2018250"/>
        <n v="1816425"/>
        <n v="3073949.9999999995"/>
        <n v="2049299.9999999998"/>
        <n v="582187.49999999988"/>
        <n v="12711869.999999998"/>
        <n v="8745749.9999999981"/>
        <n v="207000"/>
        <n v="49679999.999999993"/>
        <n v="2380500"/>
        <n v="155249.99999999997"/>
        <n v="321367.5"/>
      </sharedItems>
    </cacheField>
    <cacheField name="Llegadas Cst ABR26" numFmtId="0">
      <sharedItems containsString="0" containsBlank="1" containsNumber="1" containsInteger="1" minValue="0" maxValue="0" count="2">
        <n v="0"/>
        <m/>
      </sharedItems>
    </cacheField>
    <cacheField name="Stock + Pedido Unid ABR26" numFmtId="0">
      <sharedItems containsString="0" containsBlank="1" containsNumber="1" containsInteger="1" minValue="0" maxValue="6390"/>
    </cacheField>
    <cacheField name="Stock + Pedido Csto ABR26" numFmtId="0">
      <sharedItems containsString="0" containsBlank="1" containsNumber="1" containsInteger="1" minValue="0" maxValue="30924760"/>
    </cacheField>
    <cacheField name="Venta Neta ABR 26" numFmtId="41">
      <sharedItems containsString="0" containsBlank="1" containsNumber="1" minValue="0" maxValue="18678596.638655465"/>
    </cacheField>
    <cacheField name="Venta FCST MAY Inicial" numFmtId="0">
      <sharedItems containsString="0" containsBlank="1" containsNumber="1" minValue="0" maxValue="2070"/>
    </cacheField>
    <cacheField name="Stock Inicial MAY26" numFmtId="0">
      <sharedItems containsString="0" containsBlank="1" containsNumber="1" containsInteger="1" minValue="0" maxValue="6407"/>
    </cacheField>
    <cacheField name=" Venta PPTO MAY26" numFmtId="0">
      <sharedItems containsString="0" containsBlank="1" containsNumber="1" minValue="0" maxValue="2070"/>
    </cacheField>
    <cacheField name="PEDIDO SEP_x000a_LLEGADAS MAY26" numFmtId="0">
      <sharedItems containsString="0" containsBlank="1" containsNumber="1" containsInteger="1" minValue="0" maxValue="600"/>
    </cacheField>
    <cacheField name="Transito MAY 26" numFmtId="0">
      <sharedItems containsString="0" containsBlank="1" containsNumber="1" containsInteger="1" minValue="0" maxValue="1000"/>
    </cacheField>
    <cacheField name="Embarcado Mayo" numFmtId="0">
      <sharedItems containsString="0" containsBlank="1" containsNumber="1" containsInteger="1" minValue="0" maxValue="0"/>
    </cacheField>
    <cacheField name="Stock Inicial Cst MAY26" numFmtId="0">
      <sharedItems containsString="0" containsBlank="1" containsNumber="1" minValue="0" maxValue="37741274"/>
    </cacheField>
    <cacheField name=" Venta Cst MAY26" numFmtId="0">
      <sharedItems containsString="0" containsBlank="1" containsNumber="1" minValue="0" maxValue="8383500"/>
    </cacheField>
    <cacheField name="Compra Cst MAY 26" numFmtId="0">
      <sharedItems containsString="0" containsBlank="1" containsNumber="1" minValue="0" maxValue="19665000" count="33">
        <n v="0"/>
        <n v="1190249.9999999998"/>
        <n v="683100"/>
        <n v="729674.99999999988"/>
        <n v="828000"/>
        <n v="760725"/>
        <n v="2753099.9999999995"/>
        <n v="3151574.9999999995"/>
        <n v="538200"/>
        <n v="1314449.9999999998"/>
        <n v="3622500"/>
        <n v="3156749.9999999995"/>
        <n v="952200"/>
        <n v="19665000"/>
        <m/>
        <n v="3933000"/>
        <n v="491625"/>
        <n v="1759500"/>
        <n v="1573200"/>
        <n v="393300"/>
        <n v="1055700"/>
        <n v="2328750"/>
        <n v="652050"/>
        <n v="15276599.999999998"/>
        <n v="18555480"/>
        <n v="3824325"/>
        <n v="5166719.9999999991"/>
        <n v="5071500"/>
        <n v="5899500"/>
        <n v="791775"/>
        <n v="3167100"/>
        <n v="3130875.0000000005"/>
        <n v="2504700.0000000005"/>
      </sharedItems>
    </cacheField>
    <cacheField name="Llegadas Cst MAY26" numFmtId="0">
      <sharedItems containsString="0" containsBlank="1" containsNumber="1" containsInteger="1" minValue="0" maxValue="0"/>
    </cacheField>
    <cacheField name="Stock + Pedido Unid MAY26" numFmtId="0">
      <sharedItems containsString="0" containsBlank="1" containsNumber="1" containsInteger="1" minValue="0" maxValue="6390"/>
    </cacheField>
    <cacheField name="Stock + Pedido Csto MAY26" numFmtId="0">
      <sharedItems containsString="0" containsBlank="1" containsNumber="1" containsInteger="1" minValue="0" maxValue="30924760"/>
    </cacheField>
    <cacheField name="Venta Neta MAY 26" numFmtId="0">
      <sharedItems containsString="0" containsBlank="1" containsNumber="1" minValue="0" maxValue="21006302.521008406"/>
    </cacheField>
    <cacheField name="Venta FCST JUN Inicial" numFmtId="41">
      <sharedItems containsString="0" containsBlank="1" containsNumber="1" minValue="0" maxValue="605"/>
    </cacheField>
    <cacheField name="Stock Inicial JUN26" numFmtId="41">
      <sharedItems containsString="0" containsBlank="1" containsNumber="1" containsInteger="1" minValue="-6" maxValue="6492"/>
    </cacheField>
    <cacheField name=" Venta PPTO JUN26" numFmtId="41">
      <sharedItems containsString="0" containsBlank="1" containsNumber="1" containsInteger="1" minValue="-7" maxValue="1174"/>
    </cacheField>
    <cacheField name="PEDIDO SEP_x000a_LLEGADAS JUN26" numFmtId="172">
      <sharedItems containsNonDate="0" containsString="0" containsBlank="1"/>
    </cacheField>
    <cacheField name="Transito JUN 26" numFmtId="41">
      <sharedItems containsString="0" containsBlank="1" containsNumber="1" containsInteger="1" minValue="0" maxValue="1000"/>
    </cacheField>
    <cacheField name="Embarcado Junio" numFmtId="41">
      <sharedItems containsString="0" containsBlank="1" containsNumber="1" containsInteger="1" minValue="0" maxValue="0"/>
    </cacheField>
    <cacheField name="Stock Inicial Cst JUN26" numFmtId="41">
      <sharedItems containsString="0" containsBlank="1" containsNumber="1" containsInteger="1" minValue="-61635" maxValue="45428908"/>
    </cacheField>
    <cacheField name=" Venta Cst JUN26" numFmtId="41">
      <sharedItems containsString="0" containsBlank="1" containsNumber="1" minValue="-65205" maxValue="18895663.800000001"/>
    </cacheField>
    <cacheField name="Compra Cst JUN26" numFmtId="41">
      <sharedItems containsString="0" containsBlank="1" containsNumber="1" containsInteger="1" minValue="0" maxValue="0"/>
    </cacheField>
    <cacheField name="Llegadas Cst JUN26" numFmtId="41">
      <sharedItems containsString="0" containsBlank="1" containsNumber="1" containsInteger="1" minValue="0" maxValue="0"/>
    </cacheField>
    <cacheField name="Stock + Pedido Unid JUN26" numFmtId="41">
      <sharedItems containsString="0" containsBlank="1" containsNumber="1" containsInteger="1" minValue="-6" maxValue="6492"/>
    </cacheField>
    <cacheField name="Stock + Pedido Csto JUN26" numFmtId="41">
      <sharedItems containsString="0" containsBlank="1" containsNumber="1" containsInteger="1" minValue="0" maxValue="30924760"/>
    </cacheField>
    <cacheField name="Venta Neta JUN 26" numFmtId="41">
      <sharedItems containsString="0" containsBlank="1" containsNumber="1" minValue="-147000" maxValue="46204949.579831935"/>
    </cacheField>
    <cacheField name="Venta FCST JUL Inicial" numFmtId="0">
      <sharedItems containsString="0" containsBlank="1" containsNumber="1" minValue="0" maxValue="370"/>
    </cacheField>
    <cacheField name="Stock Inicial JUL26" numFmtId="1">
      <sharedItems containsString="0" containsBlank="1" containsNumber="1" containsInteger="1" minValue="-1" maxValue="6390"/>
    </cacheField>
    <cacheField name=" Venta PPTO JUL26" numFmtId="41">
      <sharedItems containsString="0" containsBlank="1" containsNumber="1" containsInteger="1" minValue="-5" maxValue="438"/>
    </cacheField>
    <cacheField name="Compra JUL 26" numFmtId="3">
      <sharedItems containsString="0" containsBlank="1" containsNumber="1" containsInteger="1" minValue="0" maxValue="1000"/>
    </cacheField>
    <cacheField name="Transito JUL 26" numFmtId="3">
      <sharedItems containsString="0" containsBlank="1" containsNumber="1" containsInteger="1" minValue="0" maxValue="1000"/>
    </cacheField>
    <cacheField name="Embarcado Julio 26" numFmtId="3">
      <sharedItems containsString="0" containsBlank="1" containsNumber="1" containsInteger="1" minValue="0" maxValue="0"/>
    </cacheField>
    <cacheField name="Stock Inicial Cst JUL26" numFmtId="3">
      <sharedItems containsString="0" containsBlank="1" containsNumber="1" containsInteger="1" minValue="-3853" maxValue="36804820"/>
    </cacheField>
    <cacheField name=" Venta Cst JUL26" numFmtId="3">
      <sharedItems containsString="0" containsBlank="1" containsNumber="1" minValue="-47610" maxValue="9712439.9999999981"/>
    </cacheField>
    <cacheField name="Compra CST JUL 26" numFmtId="3">
      <sharedItems containsString="0" containsBlank="1" containsNumber="1" minValue="0" maxValue="8154075"/>
    </cacheField>
    <cacheField name="Llegadas Cst JUL26" numFmtId="3">
      <sharedItems containsString="0" containsBlank="1" containsNumber="1" containsInteger="1" minValue="0" maxValue="0"/>
    </cacheField>
    <cacheField name="Stock + Pedido Unid JUL26" numFmtId="3">
      <sharedItems containsString="0" containsBlank="1" containsNumber="1" containsInteger="1" minValue="-1" maxValue="6390"/>
    </cacheField>
    <cacheField name="Stock + Pedido Csto JUL26" numFmtId="3">
      <sharedItems containsString="0" containsBlank="1" containsNumber="1" containsInteger="1" minValue="0" maxValue="30924760"/>
    </cacheField>
    <cacheField name="Venta Neta JUL 26" numFmtId="3">
      <sharedItems containsString="0" containsBlank="1" containsNumber="1" minValue="-168025.21008403361" maxValue="24639571.428571429"/>
    </cacheField>
    <cacheField name="Venta FCST AGO Inicial" numFmtId="41">
      <sharedItems containsString="0" containsBlank="1" containsNumber="1" minValue="0" maxValue="2000"/>
    </cacheField>
    <cacheField name="Stock Inicial AGO26" numFmtId="41">
      <sharedItems containsString="0" containsBlank="1" containsNumber="1" containsInteger="1" minValue="-55" maxValue="6708"/>
    </cacheField>
    <cacheField name=" Venta PPTO AGO26" numFmtId="41">
      <sharedItems containsString="0" containsBlank="1" containsNumber="1" containsInteger="1" minValue="-62" maxValue="423"/>
    </cacheField>
    <cacheField name="PEDIDO SEP_x000a_LLEGADAS AGO26" numFmtId="41">
      <sharedItems containsString="0" containsBlank="1" containsNumber="1" minValue="0" maxValue="1500"/>
    </cacheField>
    <cacheField name="Transito AGO 26" numFmtId="41">
      <sharedItems containsString="0" containsBlank="1" containsNumber="1" minValue="0" maxValue="1500"/>
    </cacheField>
    <cacheField name="Embarcado AGO 26" numFmtId="41">
      <sharedItems containsString="0" containsBlank="1" containsNumber="1" containsInteger="1" minValue="0" maxValue="0"/>
    </cacheField>
    <cacheField name="Stock Inicial Cst AGO26" numFmtId="41">
      <sharedItems containsString="0" containsBlank="1" containsNumber="1" containsInteger="1" minValue="-1667985" maxValue="38590616"/>
    </cacheField>
    <cacheField name=" Venta Cst AGO26" numFmtId="41">
      <sharedItems containsString="0" containsBlank="1" containsNumber="1" minValue="-1796759.9999999998" maxValue="9056250"/>
    </cacheField>
    <cacheField name="Compra Cst AGO26" numFmtId="41">
      <sharedItems containsString="0" containsBlank="1" containsNumber="1" minValue="0" maxValue="20120400"/>
    </cacheField>
    <cacheField name="Llegadas Cst AGO26" numFmtId="41">
      <sharedItems containsString="0" containsBlank="1" containsNumber="1" containsInteger="1" minValue="0" maxValue="0"/>
    </cacheField>
    <cacheField name="Stock + Pedido Unid AGO26" numFmtId="41">
      <sharedItems containsString="0" containsBlank="1" containsNumber="1" containsInteger="1" minValue="-55" maxValue="6708"/>
    </cacheField>
    <cacheField name="Stock + Pedido Csto AGO26" numFmtId="41">
      <sharedItems containsString="0" containsBlank="1" containsNumber="1" containsInteger="1" minValue="-1667985" maxValue="38590616"/>
    </cacheField>
    <cacheField name="Venta Neta AGO 26" numFmtId="41">
      <sharedItems containsString="0" containsBlank="1" containsNumber="1" minValue="-3646537.8151260507" maxValue="21006302.521008406"/>
    </cacheField>
    <cacheField name="Venta FCST SEP Inicial" numFmtId="41">
      <sharedItems containsString="0" containsBlank="1" containsNumber="1" minValue="0" maxValue="350"/>
    </cacheField>
    <cacheField name="Stock Inicial SEP26" numFmtId="41">
      <sharedItems containsSemiMixedTypes="0" containsString="0" containsNumber="1" containsInteger="1" minValue="-4" maxValue="6415"/>
    </cacheField>
    <cacheField name=" Venta PPTO SEP26" numFmtId="41">
      <sharedItems containsSemiMixedTypes="0" containsString="0" containsNumber="1" minValue="0" maxValue="346.5"/>
    </cacheField>
    <cacheField name="PEDIDO SEP_x000a_LLEGADAS SEP26" numFmtId="41">
      <sharedItems containsString="0" containsBlank="1" containsNumber="1" containsInteger="1" minValue="0" maxValue="2000"/>
    </cacheField>
    <cacheField name="Transito SEP 26" numFmtId="41">
      <sharedItems containsString="0" containsBlank="1" containsNumber="1" containsInteger="1" minValue="0" maxValue="2000"/>
    </cacheField>
    <cacheField name="Embarcado SEP 26" numFmtId="41">
      <sharedItems containsSemiMixedTypes="0" containsString="0" containsNumber="1" containsInteger="1" minValue="0" maxValue="0"/>
    </cacheField>
    <cacheField name="Stock Inicial Cst SEP26" numFmtId="41">
      <sharedItems containsString="0" containsBlank="1" containsNumber="1" minValue="-93150" maxValue="29438194.499999993"/>
    </cacheField>
    <cacheField name=" Venta Cst SEP26" numFmtId="41">
      <sharedItems containsString="0" containsBlank="1" containsNumber="1" minValue="0" maxValue="6060804.7499999991"/>
    </cacheField>
    <cacheField name="Compra Cst SEP26" numFmtId="41">
      <sharedItems containsString="0" containsBlank="1" containsNumber="1" minValue="0" maxValue="49679999.999999993"/>
    </cacheField>
    <cacheField name="Llegadas Cst SEP26" numFmtId="41">
      <sharedItems containsSemiMixedTypes="0" containsString="0" containsNumber="1" containsInteger="1" minValue="0" maxValue="0"/>
    </cacheField>
    <cacheField name="Stock + Pedido Unid SEP26" numFmtId="41">
      <sharedItems containsSemiMixedTypes="0" containsString="0" containsNumber="1" containsInteger="1" minValue="0" maxValue="6390"/>
    </cacheField>
    <cacheField name="Stock + Pedido Csto SEP26" numFmtId="41">
      <sharedItems containsSemiMixedTypes="0" containsString="0" containsNumber="1" containsInteger="1" minValue="0" maxValue="30924760"/>
    </cacheField>
    <cacheField name="Venta Neta SEP 26" numFmtId="41">
      <sharedItems containsString="0" containsBlank="1" containsNumber="1" minValue="0" maxValue="15429441.176470587"/>
    </cacheField>
    <cacheField name="Venta FCST OCT Inicial" numFmtId="41">
      <sharedItems containsSemiMixedTypes="0" containsString="0" containsNumber="1" minValue="0" maxValue="700"/>
    </cacheField>
    <cacheField name="Stock Inicial OCT26" numFmtId="41">
      <sharedItems containsSemiMixedTypes="0" containsString="0" containsNumber="1" minValue="0" maxValue="6392.5"/>
    </cacheField>
    <cacheField name=" Venta PPTO OCT26" numFmtId="41">
      <sharedItems containsSemiMixedTypes="0" containsString="0" containsNumber="1" minValue="0" maxValue="600"/>
    </cacheField>
    <cacheField name="PEDIDO OCT_x000a_LLEGADAS OCT26" numFmtId="41">
      <sharedItems containsString="0" containsBlank="1" containsNumber="1" containsInteger="1" minValue="0" maxValue="1200"/>
    </cacheField>
    <cacheField name="Transito OCT 26" numFmtId="41">
      <sharedItems containsString="0" containsBlank="1" containsNumber="1" containsInteger="1" minValue="0" maxValue="1200"/>
    </cacheField>
    <cacheField name="Embarcado OCT 26" numFmtId="41">
      <sharedItems containsSemiMixedTypes="0" containsString="0" containsNumber="1" containsInteger="1" minValue="0" maxValue="2004"/>
    </cacheField>
    <cacheField name="Atrasos SEPT" numFmtId="41">
      <sharedItems containsString="0" containsBlank="1" containsNumber="1" containsInteger="1" minValue="0" maxValue="2000"/>
    </cacheField>
    <cacheField name="Stock Inicial Cst OCT26" numFmtId="41">
      <sharedItems containsSemiMixedTypes="0" containsString="0" containsNumber="1" minValue="0" maxValue="23377389.749999996"/>
    </cacheField>
    <cacheField name=" Venta Cst OCT26" numFmtId="41">
      <sharedItems containsSemiMixedTypes="0" containsString="0" containsNumber="1" minValue="0" maxValue="12419999.999999998"/>
    </cacheField>
    <cacheField name="Compra Cst OCT26" numFmtId="41">
      <sharedItems containsSemiMixedTypes="0" containsString="0" containsNumber="1" minValue="0" maxValue="31049999.999999996"/>
    </cacheField>
    <cacheField name="Llegadas Cst OCT26" numFmtId="41">
      <sharedItems containsSemiMixedTypes="0" containsString="0" containsNumber="1" minValue="0" maxValue="49779359.999999993"/>
    </cacheField>
    <cacheField name="Stock + Pedido Unid OCT26" numFmtId="41">
      <sharedItems containsSemiMixedTypes="0" containsString="0" containsNumber="1" minValue="0" maxValue="6392.5"/>
    </cacheField>
    <cacheField name="Stock + Pedido Csto OCT26" numFmtId="41">
      <sharedItems containsSemiMixedTypes="0" containsString="0" containsNumber="1" minValue="0" maxValue="49829039.999999993"/>
    </cacheField>
    <cacheField name="Venta Neta OCT 26" numFmtId="41">
      <sharedItems containsSemiMixedTypes="0" containsString="0" containsNumber="1" minValue="0" maxValue="25205882.352941178"/>
    </cacheField>
    <cacheField name="Venta FCST NOV Inicial" numFmtId="41">
      <sharedItems containsSemiMixedTypes="0" containsString="0" containsNumber="1" minValue="0" maxValue="400"/>
    </cacheField>
    <cacheField name="Stock Inicial NOV26" numFmtId="41">
      <sharedItems containsSemiMixedTypes="0" containsString="0" containsNumber="1" minValue="0" maxValue="6342.5"/>
    </cacheField>
    <cacheField name=" Venta PPTO NOV26" numFmtId="41">
      <sharedItems containsSemiMixedTypes="0" containsString="0" containsNumber="1" minValue="0" maxValue="400"/>
    </cacheField>
    <cacheField name="PEDIDO NOV_x000a_LLEGADAS NOV26" numFmtId="41">
      <sharedItems containsString="0" containsBlank="1" containsNumber="1" containsInteger="1" minValue="0" maxValue="1000"/>
    </cacheField>
    <cacheField name="Transito NOV 26" numFmtId="41">
      <sharedItems containsString="0" containsBlank="1" containsNumber="1" containsInteger="1" minValue="0" maxValue="1000"/>
    </cacheField>
    <cacheField name="Embarcado NOV 26" numFmtId="41">
      <sharedItems containsSemiMixedTypes="0" containsString="0" containsNumber="1" containsInteger="1" minValue="0" maxValue="1525"/>
    </cacheField>
    <cacheField name="Stock Inicial Cst NOV26" numFmtId="41">
      <sharedItems containsSemiMixedTypes="0" containsString="0" containsNumber="1" minValue="0" maxValue="37409039.999999993"/>
    </cacheField>
    <cacheField name=" Venta Cst NOV26" numFmtId="41">
      <sharedItems containsSemiMixedTypes="0" containsString="0" containsNumber="1" minValue="0" maxValue="9277740"/>
    </cacheField>
    <cacheField name="Compra Cst NOV26" numFmtId="41">
      <sharedItems containsSemiMixedTypes="0" containsString="0" containsNumber="1" minValue="0" maxValue="18555480"/>
    </cacheField>
    <cacheField name="Llegadas Cst NOV26" numFmtId="41">
      <sharedItems containsSemiMixedTypes="0" containsString="0" containsNumber="1" minValue="0" maxValue="18555480"/>
    </cacheField>
    <cacheField name="Stock + Pedido Unid NOV26" numFmtId="41">
      <sharedItems containsSemiMixedTypes="0" containsString="0" containsNumber="1" minValue="0" maxValue="6342.5"/>
    </cacheField>
    <cacheField name="Stock + Pedido Csto NOV26" numFmtId="41">
      <sharedItems containsSemiMixedTypes="0" containsString="0" containsNumber="1" minValue="0" maxValue="37409039.999999993"/>
    </cacheField>
    <cacheField name="Venta Neta NOV 26" numFmtId="41">
      <sharedItems containsSemiMixedTypes="0" containsString="0" containsNumber="1" minValue="0" maxValue="20165546.218487397"/>
    </cacheField>
    <cacheField name="Venta FCST DIC Inicial" numFmtId="41">
      <sharedItems containsSemiMixedTypes="0" containsString="0" containsNumber="1" minValue="0" maxValue="500"/>
    </cacheField>
    <cacheField name="Stock Inicial DIC26" numFmtId="41">
      <sharedItems containsSemiMixedTypes="0" containsString="0" containsNumber="1" minValue="0" maxValue="6292.5"/>
    </cacheField>
    <cacheField name=" Venta PPTO DIC26" numFmtId="41">
      <sharedItems containsSemiMixedTypes="0" containsString="0" containsNumber="1" minValue="0" maxValue="500"/>
    </cacheField>
    <cacheField name="PEDIDO DIC_x000a_LLEGADAS DIC26" numFmtId="41">
      <sharedItems containsString="0" containsBlank="1" containsNumber="1" containsInteger="1" minValue="0" maxValue="1000"/>
    </cacheField>
    <cacheField name="Transito DIC 26" numFmtId="41">
      <sharedItems containsString="0" containsBlank="1" containsNumber="1" containsInteger="1" minValue="0" maxValue="1000"/>
    </cacheField>
    <cacheField name="Stock Inicial Cst DIC26" numFmtId="41">
      <sharedItems containsSemiMixedTypes="0" containsString="0" containsNumber="1" minValue="0" maxValue="31199039.999999996"/>
    </cacheField>
    <cacheField name=" Venta Cst DIC26" numFmtId="41">
      <sharedItems containsSemiMixedTypes="0" containsString="0" containsNumber="1" minValue="0" maxValue="12419999.999999998"/>
    </cacheField>
    <cacheField name="Compra Cst DIC26" numFmtId="41">
      <sharedItems containsSemiMixedTypes="0" containsString="0" containsNumber="1" minValue="0" maxValue="21548700"/>
    </cacheField>
    <cacheField name="Llegadas Cst DIC26" numFmtId="41">
      <sharedItems containsSemiMixedTypes="0" containsString="0" containsNumber="1" minValue="0" maxValue="15524999.999999998"/>
    </cacheField>
    <cacheField name="Stock + Pedido Unid DIC26" numFmtId="41">
      <sharedItems containsSemiMixedTypes="0" containsString="0" containsNumber="1" minValue="0" maxValue="6292.5"/>
    </cacheField>
    <cacheField name="Stock + Pedido Csto DIC26" numFmtId="41">
      <sharedItems containsSemiMixedTypes="0" containsString="0" containsNumber="1" minValue="0" maxValue="31199039.999999996"/>
    </cacheField>
    <cacheField name="Venta Neta DIC 26" numFmtId="41">
      <sharedItems containsSemiMixedTypes="0" containsString="0" containsNumber="1" minValue="0" maxValue="31508403.361344539"/>
    </cacheField>
    <cacheField name="Venta FCST ENE27 Inicial" numFmtId="41">
      <sharedItems containsSemiMixedTypes="0" containsString="0" containsNumber="1" minValue="0" maxValue="350"/>
    </cacheField>
    <cacheField name="Stock Inicial ENE27" numFmtId="41">
      <sharedItems containsString="0" containsBlank="1" containsNumber="1" minValue="0" maxValue="6242.5"/>
    </cacheField>
    <cacheField name=" Venta PPTO ENE27" numFmtId="41">
      <sharedItems containsString="0" containsBlank="1" containsNumber="1" minValue="0" maxValue="350"/>
    </cacheField>
    <cacheField name="COMPRA ENE27" numFmtId="41">
      <sharedItems containsSemiMixedTypes="0" containsString="0" containsNumber="1" containsInteger="1" minValue="0" maxValue="1000"/>
    </cacheField>
    <cacheField name="Transito ENE27" numFmtId="41">
      <sharedItems containsString="0" containsBlank="1" containsNumber="1" containsInteger="1" minValue="0" maxValue="1000"/>
    </cacheField>
    <cacheField name="Stock Inicial Cst ENE27" numFmtId="41">
      <sharedItems containsSemiMixedTypes="0" containsString="0" containsNumber="1" minValue="0" maxValue="18779039.999999996"/>
    </cacheField>
    <cacheField name=" Venta Cst ENE27" numFmtId="41">
      <sharedItems containsSemiMixedTypes="0" containsString="0" containsNumber="1" minValue="0" maxValue="7622300"/>
    </cacheField>
    <cacheField name="Llegadas Cst ENE27" numFmtId="41">
      <sharedItems containsSemiMixedTypes="0" containsString="0" containsNumber="1" minValue="0" maxValue="21186449.999999996"/>
    </cacheField>
    <cacheField name="Stock + Pedido Unid ENE27" numFmtId="41">
      <sharedItems containsSemiMixedTypes="0" containsString="0" containsNumber="1" minValue="0" maxValue="6242.5"/>
    </cacheField>
    <cacheField name="Stock + Pedido Csto ENE27" numFmtId="41">
      <sharedItems containsSemiMixedTypes="0" containsString="0" containsNumber="1" minValue="0" maxValue="31126124.249999993"/>
    </cacheField>
    <cacheField name="Venta Neta ENE 26" numFmtId="41">
      <sharedItems containsSemiMixedTypes="0" containsString="0" containsNumber="1" minValue="0" maxValue="15585294.117647059"/>
    </cacheField>
    <cacheField name="Cobertura DIC" numFmtId="0" formula="IFERROR(#NAME?/((#NAME?+#NAME?+#NAME?)/3),0)" databaseField="0"/>
    <cacheField name="Cumpl. DIC Acum." numFmtId="0" formula="IFERROR(#NAME?/#NAME?,0)" databaseField="0"/>
    <cacheField name="Stock + Pedido Unid ENE" numFmtId="0" formula="#NAME?+#NAME?" databaseField="0"/>
    <cacheField name="Cobert. ENE Unid" numFmtId="0" formula="IFERROR(#NAME?/((#NAME?+#NAME?+#NAME?)/3),0)" databaseField="0"/>
    <cacheField name="Cobert. Unid FEB" numFmtId="0" formula="IFERROR(#NAME?/((#NAME?+#NAME?+#NAME?)/3),0)" databaseField="0"/>
    <cacheField name="Cobert. Unid MAR" numFmtId="0" formula="IFERROR(#NAME?/((#NAME?+#NAME?+#NAME?)/3),0)" databaseField="0"/>
    <cacheField name="Cobert. Unid ABR" numFmtId="0" formula="IFERROR(#NAME?/((#NAME?+#NAME?+#NAME?)/3),0)" databaseField="0"/>
    <cacheField name="Cobert. Unid MAY" numFmtId="0" formula=" IFERROR( ('Stock HOY'+#NAME?)/((#NAME?+#NAME?+#NAME?)/3),0)" databaseField="0"/>
    <cacheField name="Cobert. Unid JUN" numFmtId="0" formula=" IFERROR(#NAME?/((#NAME?+#NAME?+#NAME?)/3),0)" databaseField="0"/>
    <cacheField name="% Acum vs FCST" numFmtId="0" formula="IFERROR('VENTA REAL UNID ENE 25'/#NAME?,0)" databaseField="0"/>
    <cacheField name="Quiebres FEB" numFmtId="0" formula="#NAME?-#NAME?" databaseField="0"/>
    <cacheField name="Cobertura JUL UNID" numFmtId="0" formula="(#NAME?)/((#NAME?+#NAME?+#NAME?)/3)" databaseField="0"/>
    <cacheField name="Cobert. AGO 25" numFmtId="0" formula=" (#NAME?)/((#NAME?+#NAME?+#NAME?)/3)" databaseField="0"/>
    <cacheField name="Cobert. SEP 25" numFmtId="0" formula="(#NAME?)/((#NAME?+#NAME?+#NAME?)/3)" databaseField="0"/>
    <cacheField name="Cobert. OCT 25" numFmtId="0" formula="(#NAME?)/((#NAME?+#NAME?+#NAME?)/3)" databaseField="0"/>
    <cacheField name="Cobert. NOV 25" numFmtId="0" formula=" ('Stock Hoy CST')/((#NAME?+#NAME?+' Venta Cst ENE26')/3)" databaseField="0"/>
    <cacheField name="Cobert. DIC 25" numFmtId="0" formula="(#NAME?)/((' Venta PPTO ENE26'+' Venta PPTO FEB26'+#NAME?)/3)" databaseField="0"/>
    <cacheField name="Cobert. Proyct. NOV 25" numFmtId="0" formula="(#NAME?)/((' Venta PPTO ENE26'+#NAME?+#NAME?)/3)" databaseField="0"/>
    <cacheField name="Cobert. ACT NOV 25" numFmtId="0" formula="('Stock Hoy CST')/((' Venta PPTO ENE26'+#NAME?+#NAME?)/3)" databaseField="0"/>
    <cacheField name="Cobert. Proyect. NOV 25" numFmtId="0" formula="(#NAME?)/((#NAME?+#NAME?+' Venta Cst ENE26')/3)" databaseField="0"/>
    <cacheField name="Cobert. Dic Cst" numFmtId="0" formula="(#NAME?)/((#NAME?+' Venta Cst ENE26'+' Venta Cst FEB26')/3)" databaseField="0"/>
    <cacheField name="Cobert. Act Dic" numFmtId="0" formula="('Stock Hoy CST')/((#NAME?+' Venta Cst ENE26'+' Venta Cst FEB26')/3)" databaseField="0"/>
    <cacheField name="Cobert. Ene 26" numFmtId="0" formula="IFERROR((('Stock + Pedido Csto ENE26')/((' Venta Cst ENE26'+' Venta Cst FEB26'+' Venta Cst MAR26')/3)),0)" databaseField="0"/>
    <cacheField name="Cobert. Unid ENE 26" numFmtId="0" formula="(('Stock + Pedido Unid ENE26')/((' Venta PPTO ENE26'+' Venta PPTO FEB26'+' Venta PPTO MAR26')/3))" databaseField="0"/>
    <cacheField name="Diferencias Venta" numFmtId="0" formula="'Stock HOY'+#NAME?-#NAME?" databaseField="0"/>
    <cacheField name="Perdida Costo" numFmtId="0" formula="'CST Actual'*'Diferencias Venta'" databaseField="0"/>
    <cacheField name="Cobertura Feb 26" numFmtId="0" formula="IFERROR((('Stock + Pedido Csto FEB26')/((' Venta Cst FEB26'+' Venta Cst MAR26'+' Venta Cst ABR26')/3)),0)" databaseField="0"/>
    <cacheField name="Cobert. MAR 26" numFmtId="0" formula=" (('Stock + Pedido Csto MAR26')/((' Venta Cst MAR26'+' Venta Cst ABR26'+' Venta Cst MAY26')/3))" databaseField="0"/>
    <cacheField name="Cobert. Feb 26 unid" numFmtId="0" formula="('Stock + Pedido Unid FEB26')/((' Venta PPTO FEB26'+' Venta PPTO MAR26'+' Venta PPTO ABR26')/3)" databaseField="0"/>
    <cacheField name="Cobert. Marzo 26 Unid" numFmtId="0" formula="('Stock + Pedido Unid MAR26')/((' Venta PPTO MAR26'+' Venta PPTO ABR26'+' Venta PPTO MAY26')/3)" databaseField="0"/>
    <cacheField name="Cobert. Abr 26" numFmtId="0" formula=" ('Stock + Pedido Csto ABR26')/((' Venta Cst ABR26'+' Venta Cst MAY26'+' Venta Cst JUN26')/3)" databaseField="0"/>
    <cacheField name="Cobert. MAY 26" numFmtId="0" formula="('Stock + Pedido Csto MAY26')/((' Venta Cst MAY26'+' Venta Cst MAY26'+' Venta Cst JUN26')/3)" databaseField="0"/>
    <cacheField name="Cobert. JUN 26" numFmtId="0" formula=" ('Stock HOY')/((' Venta PPTO JUN26'+' Venta PPTO JUL26'+' Venta PPTO AGO26')/3)" databaseField="0"/>
    <cacheField name="Cobert. ACT Ene 26" numFmtId="0" formula="IFERROR((('Stock Hoy CST')/((' Venta Cst ABR26'+' Venta Cst MAY26'+' Venta Cst MAR26')/3)),0)" databaseField="0"/>
    <cacheField name="% Cumpl. Vs FCST $" numFmtId="0" formula=" (('VENTA REAL UNID ENE 26'*'CST Actual')/' Venta Cst ENE26')" databaseField="0"/>
    <cacheField name="Cumpl. Vta Vs FCST ENE 26" numFmtId="0" formula="IFERROR(('VENTA REAL UNID ENE 26'*'COST CLP')/('Venta FCST ENE Inicial'*'COST CLP'),0)" databaseField="0"/>
    <cacheField name="Campo1" numFmtId="0" formula="'Ticekt Promedio'*' Venta PPTO ENE26'" databaseField="0"/>
    <cacheField name="Venta Enero Bruta" numFmtId="0" formula="' Venta PPTO ENE26'*'Ticekt Promedio'" databaseField="0"/>
    <cacheField name="Cumpl. Vta Vs FCST FEB 26" numFmtId="0" formula="IFERROR(('VENTA REAL UNID FEB 26'*'COST CLP')/('Venta FCST FEB Inicial'*'COST CLP'),0)" databaseField="0"/>
    <cacheField name="Cobert. Julio" numFmtId="0" formula="('Stock + Pedido Csto JUL26')/((' Venta Cst JUL26'+' Venta Cst AGO26'+' Venta Cst SEP26')/3)" databaseField="0"/>
    <cacheField name="Cobert. AGO 26" numFmtId="0" formula=" ('Stock + Pedido Csto AGO26')/((' Venta Cst AGO26'+' Venta Cst SEP26'+' Venta Cst OCT26')/3)" databaseField="0"/>
    <cacheField name="Cobert. SEP 26" numFmtId="0" formula=" ('Stock + Pedido Csto SEP26')/((' Venta Cst SEP26'+' Venta Cst OCT26'+' Venta Cst NOV26')/3)" databaseField="0"/>
    <cacheField name="Cobert. JUL 26 Unid" numFmtId="0" formula=" IFERROR(('Stock + Pedido Unid JUL26')/((' Venta PPTO JUL26'+' Venta PPTO AGO26'+' Venta PPTO SEP26')/3),0)" databaseField="0"/>
    <cacheField name="Cobert. AGO 26 Unid" numFmtId="0" formula=" IFERROR(('Stock + Pedido Unid AGO26')/((' Venta PPTO OCT26'+' Venta PPTO AGO26'+' Venta PPTO SEP26')/3),0)" databaseField="0"/>
    <cacheField name="Cobert. SEP 26 Unid" numFmtId="0" formula=" IFERROR(('Stock + Pedido Unid SEP26')/((' Venta PPTO OCT26'+' Venta PPTO NOV26'+' Venta PPTO SEP26')/3),0)" databaseField="0"/>
    <cacheField name="Cobert. OCT 26" numFmtId="0" formula="'Stock + Pedido Csto OCT26'/((' Venta Cst OCT26'+' Venta Cst NOV26'+' Venta Cst DIC26')/3)" databaseField="0"/>
    <cacheField name="Cobert. ACT Unid" numFmtId="0" formula=" ('Stock HOY')/((' Venta PPTO AGO26'+' Venta PPTO SEP26'+' Venta PPTO OCT26')/3)" databaseField="0"/>
    <cacheField name="Cobert. OCT26 Unid" numFmtId="0" formula=" ('Stock + Pedido Unid OCT26')/((' Venta PPTO OCT26'+' Venta PPTO NOV26'+' Venta PPTO DIC26')/3)" databaseField="0"/>
    <cacheField name="Cobert. NOV 26" numFmtId="0" formula="'Stock + Pedido Csto NOV26'/((' Venta Cst ENE27'+' Venta Cst NOV26'+' Venta Cst DIC26')/3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818">
  <r>
    <s v="Bandú-Accesorios de Bebe"/>
    <x v="0"/>
    <x v="0"/>
    <x v="0"/>
    <s v="BDBBYCHK"/>
    <x v="0"/>
    <x v="0"/>
    <x v="0"/>
    <x v="0"/>
    <n v="1"/>
    <x v="0"/>
    <n v="12"/>
    <m/>
    <n v="0"/>
    <n v="20716"/>
    <n v="248592"/>
    <n v="16"/>
    <n v="17936"/>
    <n v="50411.76470588236"/>
    <n v="42008.40336134454"/>
    <s v="Ningbo"/>
    <s v="30/70"/>
    <n v="30"/>
    <n v="10"/>
    <n v="0"/>
    <s v=""/>
    <n v="0"/>
    <s v=""/>
    <n v="0"/>
    <s v=""/>
    <n v="0"/>
    <s v=""/>
    <n v="0"/>
    <s v=""/>
    <n v="0"/>
    <s v=""/>
    <n v="0"/>
    <s v=""/>
    <n v="1"/>
    <n v="0"/>
    <n v="2"/>
    <n v="0.3553619186398086"/>
    <n v="15"/>
    <n v="0.408209758364873"/>
    <n v="20"/>
    <n v="0.4213424867733418"/>
    <n v="7"/>
    <n v="0.4109035779653498"/>
    <n v="5"/>
    <n v="0.4050112741588662"/>
    <n v="5"/>
    <n v="0.3511987086966878"/>
    <n v="7"/>
    <n v="0.2980303565724745"/>
    <n v="5"/>
    <n v="0.3878162133720794"/>
    <n v="0.4166666666666667"/>
    <n v="3"/>
    <n v="0.4898623881688314"/>
    <n v="0.75"/>
    <n v="6"/>
    <n v="0.3348361808913696"/>
    <n v="0.5"/>
    <n v="6"/>
    <n v="0.5048802311024227"/>
    <n v="1"/>
    <n v="1"/>
    <n v="0.5068509701940388"/>
    <n v="0.08333333333333333"/>
    <m/>
    <m/>
    <m/>
    <m/>
    <m/>
    <m/>
    <m/>
    <m/>
    <m/>
    <m/>
    <m/>
    <m/>
    <n v="10"/>
    <n v="49"/>
    <n v="10"/>
    <n v="0"/>
    <m/>
    <n v="0"/>
    <n v="507542"/>
    <n v="811440"/>
    <n v="207160"/>
    <n v="0"/>
    <n v="12"/>
    <n v="248592"/>
    <n v="423628.2748393476"/>
    <n v="10"/>
    <n v="43"/>
    <n v="7.5"/>
    <n v="0"/>
    <n v="0"/>
    <n v="0"/>
    <n v="403962"/>
    <n v="712080"/>
    <n v="155370"/>
    <n v="0"/>
    <n v="12"/>
    <n v="248592"/>
    <n v="317721.2061295107"/>
    <n v="12"/>
    <n v="38"/>
    <n v="7"/>
    <n v="0"/>
    <n v="0"/>
    <n v="314832"/>
    <n v="787208"/>
    <n v="145012"/>
    <n v="0"/>
    <n v="12"/>
    <n v="248592"/>
    <n v="352882.3529411765"/>
    <n v="12"/>
    <n v="32"/>
    <n v="5"/>
    <n v="0"/>
    <n v="0"/>
    <n v="529920"/>
    <n v="103580"/>
    <n v="0"/>
    <n v="0"/>
    <n v="12"/>
    <n v="248592"/>
    <n v="252058.8235294118"/>
    <n v="4"/>
    <n v="15"/>
    <n v="4"/>
    <m/>
    <n v="0"/>
    <n v="0"/>
    <n v="310740"/>
    <n v="66240"/>
    <n v="0"/>
    <n v="0"/>
    <n v="12"/>
    <n v="248592"/>
    <n v="201647.0588235294"/>
    <n v="12"/>
    <n v="18"/>
    <n v="6"/>
    <m/>
    <n v="0"/>
    <n v="0"/>
    <n v="372888"/>
    <n v="99360"/>
    <n v="0"/>
    <n v="0"/>
    <n v="18"/>
    <n v="248592"/>
    <n v="302470.5882352942"/>
    <n v="6"/>
    <n v="18"/>
    <n v="6"/>
    <n v="0"/>
    <n v="0"/>
    <n v="0"/>
    <n v="372888"/>
    <n v="99360"/>
    <n v="0"/>
    <n v="0"/>
    <n v="18"/>
    <n v="248592"/>
    <n v="302470.5882352942"/>
    <n v="12"/>
    <n v="12"/>
    <n v="12"/>
    <n v="0"/>
    <n v="0"/>
    <n v="0"/>
    <n v="248592"/>
    <n v="198720"/>
    <n v="0"/>
    <n v="0"/>
    <n v="12"/>
    <n v="248592"/>
    <n v="604941.1764705883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m/>
    <n v="0"/>
    <n v="0"/>
    <n v="0"/>
    <n v="0"/>
    <n v="0"/>
    <n v="0"/>
    <n v="0"/>
    <n v="14"/>
    <n v="0"/>
    <n v="14"/>
    <n v="0"/>
    <n v="0"/>
    <n v="0"/>
    <n v="231840"/>
    <n v="0"/>
    <n v="0"/>
    <n v="0"/>
    <n v="0"/>
    <n v="617523.5294117648"/>
    <n v="16"/>
    <n v="0"/>
    <n v="16"/>
    <n v="0"/>
    <n v="0"/>
    <n v="0"/>
    <n v="264960"/>
    <n v="0"/>
    <n v="0"/>
    <n v="0"/>
    <n v="806588.2352941177"/>
    <n v="8.4"/>
    <n v="0"/>
    <n v="8.4"/>
    <n v="0"/>
    <m/>
    <n v="0"/>
    <n v="174014.4"/>
    <n v="0"/>
    <n v="0"/>
    <n v="0"/>
    <n v="423458.8235294118"/>
  </r>
  <r>
    <s v="Bandú-Jueguetes de Rol"/>
    <x v="0"/>
    <x v="1"/>
    <x v="1"/>
    <s v="BDCOCGRND"/>
    <x v="1"/>
    <x v="1"/>
    <x v="0"/>
    <x v="1"/>
    <n v="1"/>
    <x v="1"/>
    <n v="66"/>
    <m/>
    <n v="0"/>
    <n v="33277"/>
    <n v="2196282"/>
    <n v="32.01"/>
    <n v="35883.20999999999"/>
    <n v="100831.9327731092"/>
    <n v="84025.21008403362"/>
    <s v="Ningbo"/>
    <s v="30/70"/>
    <n v="30"/>
    <n v="10"/>
    <n v="0"/>
    <s v=""/>
    <n v="0"/>
    <s v=""/>
    <n v="0"/>
    <s v=""/>
    <n v="0"/>
    <s v=""/>
    <n v="0"/>
    <s v=""/>
    <n v="0"/>
    <s v=""/>
    <n v="18"/>
    <n v="0.6028728989202062"/>
    <n v="2"/>
    <n v="0.7173083654299389"/>
    <n v="0"/>
    <s v=""/>
    <n v="0"/>
    <s v=""/>
    <n v="37"/>
    <n v="0.5406142199219739"/>
    <n v="43"/>
    <n v="0.564734839105831"/>
    <n v="0"/>
    <s v=""/>
    <n v="0"/>
    <s v=""/>
    <n v="5"/>
    <n v="0.4662338107246732"/>
    <n v="13"/>
    <n v="0.5031191751064413"/>
    <n v="0.65"/>
    <n v="4"/>
    <n v="0.6509860150757159"/>
    <n v="0.2666666666666667"/>
    <n v="6"/>
    <n v="0.4959429606373492"/>
    <n v="0.1714285714285714"/>
    <n v="18"/>
    <n v="0.5355712783675455"/>
    <n v="0.6"/>
    <n v="18"/>
    <n v="0.5069827405278314"/>
    <n v="0.45"/>
    <m/>
    <m/>
    <m/>
    <m/>
    <m/>
    <m/>
    <m/>
    <m/>
    <m/>
    <m/>
    <m/>
    <m/>
    <n v="0"/>
    <n v="3"/>
    <n v="0"/>
    <n v="0"/>
    <m/>
    <n v="0"/>
    <n v="166385"/>
    <n v="99391.04999999999"/>
    <n v="0"/>
    <n v="0"/>
    <n v="66"/>
    <n v="2196282"/>
    <n v="0"/>
    <n v="10"/>
    <n v="48"/>
    <n v="0"/>
    <n v="45"/>
    <n v="45"/>
    <n v="0"/>
    <n v="598986"/>
    <n v="1590256.8"/>
    <n v="0"/>
    <n v="0"/>
    <n v="66"/>
    <n v="2196282"/>
    <n v="0"/>
    <n v="15"/>
    <n v="48"/>
    <n v="5"/>
    <n v="0"/>
    <n v="0"/>
    <n v="1095941.25"/>
    <n v="1597296"/>
    <n v="166385"/>
    <n v="0"/>
    <n v="66"/>
    <n v="2196282"/>
    <n v="504159.6638655462"/>
    <n v="20"/>
    <n v="57"/>
    <n v="13"/>
    <n v="20"/>
    <n v="0"/>
    <n v="1888429.95"/>
    <n v="432601"/>
    <n v="662607"/>
    <n v="0"/>
    <n v="66"/>
    <n v="2196282"/>
    <n v="1310815.12605042"/>
    <n v="15"/>
    <n v="70"/>
    <n v="15"/>
    <m/>
    <n v="0"/>
    <n v="0"/>
    <n v="2329390"/>
    <n v="496955.25"/>
    <n v="0"/>
    <n v="0"/>
    <n v="66"/>
    <n v="2196282"/>
    <n v="1512478.991596639"/>
    <n v="35"/>
    <n v="72"/>
    <n v="6"/>
    <m/>
    <n v="0"/>
    <n v="0"/>
    <n v="2395944"/>
    <n v="198782.1"/>
    <n v="0"/>
    <n v="0"/>
    <n v="72"/>
    <n v="2196282"/>
    <n v="604991.5966386555"/>
    <n v="30"/>
    <n v="84"/>
    <n v="18"/>
    <n v="60"/>
    <n v="60"/>
    <n v="0"/>
    <n v="2795268"/>
    <n v="596346.2999999999"/>
    <n v="1921560.3"/>
    <n v="0"/>
    <n v="84"/>
    <n v="2196282"/>
    <n v="1814974.789915967"/>
    <n v="40"/>
    <n v="66"/>
    <n v="40"/>
    <n v="0"/>
    <n v="0"/>
    <n v="0"/>
    <n v="2196282"/>
    <n v="1325214"/>
    <n v="0"/>
    <n v="0"/>
    <n v="66"/>
    <n v="2196282"/>
    <n v="4033277.31092437"/>
    <n v="15"/>
    <n v="26"/>
    <n v="15"/>
    <n v="30"/>
    <n v="30"/>
    <n v="0"/>
    <n v="861389.1"/>
    <n v="496955.25"/>
    <n v="993910.5"/>
    <n v="0"/>
    <n v="26"/>
    <n v="861389.1"/>
    <n v="1512478.991596639"/>
    <n v="40"/>
    <n v="41"/>
    <n v="40"/>
    <n v="95"/>
    <n v="95"/>
    <n v="95"/>
    <n v="30"/>
    <n v="1358344.35"/>
    <n v="1325214"/>
    <n v="3147383.25"/>
    <n v="4141293.75"/>
    <n v="136"/>
    <n v="5499638.1"/>
    <n v="3361008.403361345"/>
    <n v="45"/>
    <n v="96"/>
    <n v="45"/>
    <n v="0"/>
    <n v="0"/>
    <n v="3180513.6"/>
    <n v="1490865.75"/>
    <n v="0"/>
    <n v="0"/>
    <n v="96"/>
    <n v="3180513.6"/>
    <n v="3970191.176470589"/>
    <n v="60"/>
    <n v="51"/>
    <n v="60"/>
    <n v="0"/>
    <n v="0"/>
    <n v="1689647.85"/>
    <n v="1987821"/>
    <n v="0"/>
    <n v="51"/>
    <n v="1689647.85"/>
    <n v="6049915.966386555"/>
    <n v="27"/>
    <n v="0"/>
    <n v="27"/>
    <n v="0"/>
    <m/>
    <n v="0"/>
    <n v="898479"/>
    <n v="0"/>
    <n v="0"/>
    <n v="0"/>
    <n v="2722462.18487395"/>
  </r>
  <r>
    <s v="Bandú-Jueguetes de Rol"/>
    <x v="0"/>
    <x v="1"/>
    <x v="1"/>
    <s v="BDCOCMEDI"/>
    <x v="2"/>
    <x v="2"/>
    <x v="0"/>
    <x v="1"/>
    <n v="1"/>
    <x v="2"/>
    <n v="7"/>
    <m/>
    <n v="0"/>
    <n v="31092"/>
    <n v="217644"/>
    <n v="28.95"/>
    <n v="32452.95"/>
    <n v="84025.21008403362"/>
    <n v="75621.84873949581"/>
    <s v="Ningbo"/>
    <s v="30/70"/>
    <n v="30"/>
    <n v="10"/>
    <n v="0"/>
    <s v=""/>
    <n v="0"/>
    <s v=""/>
    <n v="0"/>
    <s v=""/>
    <n v="0"/>
    <s v=""/>
    <n v="0"/>
    <s v=""/>
    <n v="0"/>
    <s v=""/>
    <n v="20"/>
    <n v="0.5405400697051421"/>
    <n v="1"/>
    <s v=""/>
    <n v="1"/>
    <n v="0.5658274047234931"/>
    <n v="0"/>
    <s v=""/>
    <n v="86"/>
    <n v="0.5170459588093252"/>
    <n v="1"/>
    <n v="0.6744882576959695"/>
    <n v="3"/>
    <n v="0.5477228330274085"/>
    <n v="0"/>
    <s v=""/>
    <n v="33"/>
    <n v="0.4755086884506002"/>
    <n v="40"/>
    <n v="0.4216253109107868"/>
    <n v="0.8"/>
    <n v="0"/>
    <s v=""/>
    <n v="0"/>
    <n v="3"/>
    <n v="0.4668401558781943"/>
    <n v="0.04615384615384616"/>
    <n v="41"/>
    <n v="0.5229511721256515"/>
    <n v="1.025"/>
    <n v="30"/>
    <n v="0.5148029740333677"/>
    <n v="0.4615384615384616"/>
    <m/>
    <m/>
    <m/>
    <m/>
    <m/>
    <m/>
    <m/>
    <m/>
    <m/>
    <m/>
    <m/>
    <m/>
    <n v="0"/>
    <n v="3"/>
    <n v="3"/>
    <n v="0"/>
    <m/>
    <n v="0"/>
    <n v="1119312"/>
    <n v="89889.74999999999"/>
    <n v="93276"/>
    <n v="0"/>
    <n v="7"/>
    <n v="217644"/>
    <n v="211828.2607160512"/>
    <n v="15"/>
    <n v="65"/>
    <n v="0"/>
    <n v="65"/>
    <n v="65"/>
    <n v="0"/>
    <n v="2269716"/>
    <n v="1947611.25"/>
    <n v="0"/>
    <n v="0"/>
    <n v="7"/>
    <n v="217644"/>
    <n v="0"/>
    <n v="20"/>
    <n v="65"/>
    <n v="33"/>
    <n v="0"/>
    <n v="0"/>
    <n v="3618062.25"/>
    <n v="2020980"/>
    <n v="1026036"/>
    <n v="0"/>
    <n v="7"/>
    <n v="217644"/>
    <n v="2772831.93277311"/>
    <n v="50"/>
    <n v="41"/>
    <n v="40"/>
    <n v="10"/>
    <n v="0"/>
    <n v="1228493.25"/>
    <n v="1243680"/>
    <n v="299632.4999999999"/>
    <n v="0"/>
    <n v="7"/>
    <n v="217644"/>
    <n v="3361008.403361345"/>
    <n v="45"/>
    <n v="7"/>
    <n v="45"/>
    <m/>
    <n v="0"/>
    <n v="0"/>
    <n v="217644"/>
    <n v="1348346.25"/>
    <n v="0"/>
    <n v="0"/>
    <n v="7"/>
    <n v="217644"/>
    <n v="3781134.453781513"/>
    <n v="65"/>
    <n v="10"/>
    <n v="3"/>
    <m/>
    <n v="0"/>
    <n v="0"/>
    <n v="310920"/>
    <n v="89889.74999999999"/>
    <n v="0"/>
    <n v="0"/>
    <n v="10"/>
    <n v="217644"/>
    <n v="252075.6302521009"/>
    <n v="40"/>
    <n v="48"/>
    <n v="41"/>
    <n v="80"/>
    <n v="80"/>
    <n v="0"/>
    <n v="1492416"/>
    <n v="1228493.25"/>
    <n v="2317158"/>
    <n v="0"/>
    <n v="48"/>
    <n v="217644"/>
    <n v="3445033.613445378"/>
    <n v="65"/>
    <n v="7"/>
    <n v="65"/>
    <n v="0"/>
    <n v="0"/>
    <n v="0"/>
    <n v="217644"/>
    <n v="1947611.25"/>
    <n v="0"/>
    <n v="0"/>
    <n v="7"/>
    <n v="217644"/>
    <n v="5461638.655462185"/>
    <n v="25"/>
    <n v="0"/>
    <n v="25"/>
    <n v="50"/>
    <n v="50"/>
    <n v="0"/>
    <n v="0"/>
    <n v="749081.2499999999"/>
    <n v="1498162.5"/>
    <n v="0"/>
    <n v="0"/>
    <n v="0"/>
    <n v="2100630.252100841"/>
    <n v="50"/>
    <n v="50"/>
    <n v="50"/>
    <n v="150"/>
    <n v="150"/>
    <n v="150"/>
    <n v="50"/>
    <n v="1498162.5"/>
    <n v="1498162.5"/>
    <n v="4494487.499999999"/>
    <n v="5992649.999999999"/>
    <n v="200"/>
    <n v="7490812.499999999"/>
    <n v="3781092.43697479"/>
    <n v="100"/>
    <n v="150"/>
    <n v="100"/>
    <n v="125"/>
    <n v="125"/>
    <n v="4494487.499999999"/>
    <n v="2996325"/>
    <n v="3745406.25"/>
    <n v="3745406.25"/>
    <n v="275"/>
    <n v="8239893.749999998"/>
    <n v="7940294.11764706"/>
    <n v="150"/>
    <n v="175"/>
    <n v="150"/>
    <n v="0"/>
    <n v="0"/>
    <n v="5243568.749999999"/>
    <n v="4494487.499999999"/>
    <n v="0"/>
    <n v="175"/>
    <n v="5243568.749999999"/>
    <n v="12603781.51260504"/>
    <n v="60"/>
    <n v="25"/>
    <n v="60"/>
    <n v="0"/>
    <m/>
    <n v="749081.2499999999"/>
    <n v="1865520"/>
    <n v="0"/>
    <n v="25"/>
    <n v="749081.2499999999"/>
    <n v="5041512.605042017"/>
  </r>
  <r>
    <s v="Bandú-Jueguetes de Rol"/>
    <x v="0"/>
    <x v="1"/>
    <x v="1"/>
    <s v="BDCOCMIN"/>
    <x v="3"/>
    <x v="3"/>
    <x v="0"/>
    <x v="2"/>
    <n v="1"/>
    <x v="3"/>
    <n v="0"/>
    <m/>
    <n v="0"/>
    <n v="7906"/>
    <n v="0"/>
    <n v="7"/>
    <n v="7847"/>
    <n v="16798.31932773109"/>
    <n v="16798.31932773109"/>
    <s v="Ningbo"/>
    <s v="30/70"/>
    <n v="30"/>
    <n v="10"/>
    <n v="0"/>
    <s v=""/>
    <n v="0"/>
    <s v=""/>
    <n v="0"/>
    <s v=""/>
    <n v="0"/>
    <s v=""/>
    <n v="0"/>
    <s v=""/>
    <n v="0"/>
    <s v=""/>
    <n v="5"/>
    <n v="0.4640523774809843"/>
    <n v="6"/>
    <n v="0.5667927391057274"/>
    <n v="5"/>
    <n v="0.5360810147230735"/>
    <n v="4"/>
    <n v="0.4426934596782723"/>
    <n v="12"/>
    <n v="0.4124866581060413"/>
    <n v="24"/>
    <n v="0.5372474762612608"/>
    <n v="4"/>
    <n v="0.1686090885119508"/>
    <n v="5"/>
    <n v="0.4401585007017096"/>
    <n v="7"/>
    <n v="0.2578665542223561"/>
    <n v="10"/>
    <n v="0.2306704669277378"/>
    <n v="1.25"/>
    <n v="1"/>
    <n v="0.5293981990995498"/>
    <n v="0.125"/>
    <n v="2"/>
    <n v="0.3512358381827893"/>
    <n v="0"/>
    <n v="6"/>
    <n v="0.5588198927672612"/>
    <n v="0"/>
    <n v="2"/>
    <n v="0.4912209302325581"/>
    <n v="0"/>
    <m/>
    <m/>
    <m/>
    <m/>
    <m/>
    <m/>
    <m/>
    <m/>
    <m/>
    <m/>
    <m/>
    <m/>
    <n v="8"/>
    <n v="36"/>
    <n v="4"/>
    <n v="0"/>
    <n v="0"/>
    <n v="0"/>
    <n v="146261"/>
    <n v="260820"/>
    <n v="31624"/>
    <n v="0"/>
    <n v="0"/>
    <n v="0"/>
    <n v="56464.93891674317"/>
    <n v="6"/>
    <n v="33"/>
    <n v="7.5"/>
    <n v="0.124576271186438"/>
    <n v="0"/>
    <n v="0"/>
    <n v="193697"/>
    <n v="239085"/>
    <n v="59295"/>
    <n v="0"/>
    <n v="0"/>
    <n v="0"/>
    <n v="105871.7604688935"/>
    <n v="8"/>
    <n v="28"/>
    <n v="7"/>
    <n v="0"/>
    <n v="0"/>
    <n v="192362"/>
    <n v="221368"/>
    <n v="55342"/>
    <n v="0"/>
    <n v="0"/>
    <n v="0"/>
    <n v="117588.2352941177"/>
    <n v="8"/>
    <n v="22"/>
    <n v="10"/>
    <n v="0"/>
    <n v="0"/>
    <n v="159390"/>
    <n v="79060"/>
    <n v="0"/>
    <n v="0"/>
    <n v="0"/>
    <n v="0"/>
    <n v="167983.1932773109"/>
    <n v="8"/>
    <n v="1"/>
    <n v="8"/>
    <m/>
    <n v="0"/>
    <n v="0"/>
    <n v="7906"/>
    <n v="57959.99999999999"/>
    <n v="0"/>
    <n v="0"/>
    <n v="0"/>
    <n v="0"/>
    <n v="134386.5546218487"/>
    <n v="0"/>
    <n v="2"/>
    <n v="2"/>
    <m/>
    <n v="0"/>
    <n v="0"/>
    <n v="15812"/>
    <n v="14490"/>
    <n v="0"/>
    <n v="0"/>
    <n v="2"/>
    <n v="0"/>
    <n v="33596.63865546219"/>
    <n v="0"/>
    <n v="6"/>
    <n v="6"/>
    <n v="0"/>
    <n v="0"/>
    <n v="0"/>
    <n v="47436"/>
    <n v="43469.99999999999"/>
    <n v="0"/>
    <n v="0"/>
    <n v="6"/>
    <n v="0"/>
    <n v="100789.91596638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31.5"/>
    <n v="0"/>
    <n v="31.5"/>
    <n v="0"/>
    <n v="0"/>
    <n v="0"/>
    <n v="228217.4999999999"/>
    <n v="0"/>
    <n v="0"/>
    <n v="0"/>
    <n v="0"/>
    <n v="555604.4117647059"/>
    <n v="36"/>
    <n v="0"/>
    <n v="36"/>
    <n v="0"/>
    <n v="0"/>
    <n v="0"/>
    <n v="260820"/>
    <n v="0"/>
    <n v="0"/>
    <n v="0"/>
    <n v="604739.4957983193"/>
    <n v="18.9"/>
    <n v="0"/>
    <n v="18.9"/>
    <n v="0"/>
    <m/>
    <n v="0"/>
    <n v="149423.4"/>
    <n v="0"/>
    <n v="0"/>
    <n v="0"/>
    <n v="317488.2352941177"/>
  </r>
  <r>
    <s v="Bandú-Jueguetes de Rol"/>
    <x v="0"/>
    <x v="1"/>
    <x v="1"/>
    <s v="BDCOCPQMD"/>
    <x v="4"/>
    <x v="4"/>
    <x v="0"/>
    <x v="1"/>
    <n v="1.1"/>
    <x v="4"/>
    <n v="10"/>
    <m/>
    <n v="0"/>
    <n v="26349"/>
    <n v="263490"/>
    <n v="23.98"/>
    <n v="26881.58"/>
    <n v="58815.12605042017"/>
    <n v="58815.12605042017"/>
    <s v="Ningbo"/>
    <s v="30/70"/>
    <n v="30"/>
    <n v="10"/>
    <n v="0"/>
    <s v=""/>
    <n v="0"/>
    <s v=""/>
    <n v="0"/>
    <s v=""/>
    <n v="0"/>
    <s v=""/>
    <n v="0"/>
    <s v=""/>
    <n v="0"/>
    <s v=""/>
    <n v="25"/>
    <n v="0.5433831903719938"/>
    <n v="21"/>
    <n v="0.6066451955040256"/>
    <n v="1"/>
    <n v="0.5879109888736093"/>
    <n v="1"/>
    <n v="0.5879109888736093"/>
    <n v="21"/>
    <n v="0.5528711178516521"/>
    <n v="0"/>
    <s v=""/>
    <n v="9"/>
    <n v="0.3339672790994184"/>
    <n v="41"/>
    <n v="0.3354737617561034"/>
    <n v="81"/>
    <n v="0.2584857151850063"/>
    <n v="84"/>
    <n v="0.3385980217259191"/>
    <n v="1.2"/>
    <n v="60"/>
    <n v="0.5321813588710477"/>
    <n v="1.2"/>
    <n v="2"/>
    <n v="0.2897987675168834"/>
    <n v="0.02"/>
    <n v="11"/>
    <n v="0.5520078657822584"/>
    <n v="0.1375"/>
    <n v="0"/>
    <s v=""/>
    <n v="0"/>
    <m/>
    <m/>
    <m/>
    <m/>
    <m/>
    <m/>
    <m/>
    <m/>
    <m/>
    <m/>
    <m/>
    <m/>
    <n v="25"/>
    <n v="236"/>
    <n v="12"/>
    <n v="0"/>
    <m/>
    <n v="0"/>
    <n v="4070920.5"/>
    <n v="5857354.8"/>
    <n v="316188"/>
    <n v="0"/>
    <n v="10"/>
    <n v="263490"/>
    <n v="593093.708071464"/>
    <n v="20"/>
    <n v="277"/>
    <n v="61.5"/>
    <n v="50"/>
    <n v="0"/>
    <n v="0"/>
    <n v="5968048.5"/>
    <n v="6874946.1"/>
    <n v="1620463.5"/>
    <n v="0"/>
    <n v="10"/>
    <n v="263490"/>
    <n v="3039605.253866252"/>
    <n v="35"/>
    <n v="211"/>
    <n v="81"/>
    <n v="0"/>
    <n v="0"/>
    <n v="5712646.5"/>
    <n v="5559639"/>
    <n v="2134269"/>
    <n v="0"/>
    <n v="10"/>
    <n v="263490"/>
    <n v="4764025.210084034"/>
    <n v="70"/>
    <n v="145"/>
    <n v="84"/>
    <n v="0"/>
    <n v="0"/>
    <n v="3598798.5"/>
    <n v="2213316"/>
    <n v="0"/>
    <n v="0"/>
    <n v="10"/>
    <n v="263490"/>
    <n v="4940470.588235294"/>
    <n v="50"/>
    <n v="70"/>
    <n v="55.00000000000001"/>
    <m/>
    <n v="0"/>
    <n v="0"/>
    <n v="1844430"/>
    <n v="1365061.5"/>
    <n v="0"/>
    <n v="0"/>
    <n v="10"/>
    <n v="263490"/>
    <n v="3234831.93277311"/>
    <n v="100"/>
    <n v="12"/>
    <n v="2"/>
    <m/>
    <n v="0"/>
    <n v="0"/>
    <n v="316188"/>
    <n v="49638.6"/>
    <n v="0"/>
    <n v="0"/>
    <n v="12"/>
    <n v="263490"/>
    <n v="117630.2521008403"/>
    <n v="80"/>
    <n v="21"/>
    <n v="11"/>
    <n v="0"/>
    <n v="0"/>
    <n v="0"/>
    <n v="553329"/>
    <n v="273012.3"/>
    <n v="0"/>
    <n v="0"/>
    <n v="21"/>
    <n v="263490"/>
    <n v="646966.3865546219"/>
    <n v="100"/>
    <n v="10"/>
    <n v="110"/>
    <n v="0"/>
    <n v="0"/>
    <n v="0"/>
    <n v="263490"/>
    <n v="2730123"/>
    <n v="0"/>
    <n v="0"/>
    <n v="10"/>
    <n v="263490"/>
    <n v="6469663.86554622"/>
    <n v="40"/>
    <n v="0"/>
    <n v="44"/>
    <n v="80"/>
    <n v="80"/>
    <n v="0"/>
    <n v="0"/>
    <n v="1092049.2"/>
    <n v="1985544"/>
    <n v="0"/>
    <n v="0"/>
    <n v="0"/>
    <n v="2587865.546218487"/>
    <n v="100"/>
    <n v="80"/>
    <n v="80"/>
    <n v="200"/>
    <n v="200"/>
    <n v="200"/>
    <n v="80"/>
    <n v="1985544"/>
    <n v="1985544"/>
    <n v="4963860"/>
    <n v="6949404"/>
    <n v="280"/>
    <n v="8934948"/>
    <n v="4705210.084033614"/>
    <n v="105"/>
    <n v="200"/>
    <n v="115.5"/>
    <n v="170"/>
    <n v="170"/>
    <n v="4963860"/>
    <n v="2866629.15"/>
    <n v="4219281"/>
    <n v="4219281"/>
    <n v="370"/>
    <n v="9183141"/>
    <n v="7132804.411764707"/>
    <n v="160"/>
    <n v="254.5"/>
    <n v="176"/>
    <n v="0"/>
    <n v="0"/>
    <n v="6316511.85"/>
    <n v="4368196.8"/>
    <n v="0"/>
    <n v="254.5"/>
    <n v="6316511.85"/>
    <n v="10351462.18487395"/>
    <n v="63"/>
    <n v="78.5"/>
    <n v="69.30000000000001"/>
    <n v="0"/>
    <m/>
    <n v="1948315.05"/>
    <n v="1825985.7"/>
    <n v="0"/>
    <n v="78.5"/>
    <n v="1948315.05"/>
    <n v="4075888.235294119"/>
  </r>
  <r>
    <s v="Bandú-Jueguetes de Rol"/>
    <x v="0"/>
    <x v="1"/>
    <x v="1"/>
    <s v="BDELECTCOC"/>
    <x v="5"/>
    <x v="5"/>
    <x v="0"/>
    <x v="3"/>
    <n v="1.2"/>
    <x v="5"/>
    <n v="29"/>
    <m/>
    <n v="0"/>
    <n v="6007"/>
    <n v="174203"/>
    <n v="5.5"/>
    <n v="6165.5"/>
    <n v="14277.31092436975"/>
    <n v="12596.63865546219"/>
    <s v="Ningbo"/>
    <s v="30/70"/>
    <n v="30"/>
    <n v="10"/>
    <n v="0"/>
    <s v=""/>
    <n v="0"/>
    <s v=""/>
    <n v="0"/>
    <s v=""/>
    <n v="0"/>
    <s v=""/>
    <n v="0"/>
    <s v=""/>
    <n v="0"/>
    <s v=""/>
    <n v="23"/>
    <n v="0.5598222319180348"/>
    <n v="14"/>
    <n v="0.5986366597399279"/>
    <n v="0"/>
    <s v=""/>
    <n v="1"/>
    <n v="0.6022221110555278"/>
    <n v="29"/>
    <n v="0.5332501960431566"/>
    <n v="74"/>
    <n v="0.571440516055897"/>
    <n v="13"/>
    <n v="0.4105988481203441"/>
    <n v="17"/>
    <n v="0.3905302101956707"/>
    <n v="24"/>
    <n v="0.3697082715194531"/>
    <n v="20"/>
    <n v="0.3626300468484747"/>
    <n v="1.333333333333333"/>
    <n v="25"/>
    <n v="0.5903884280081654"/>
    <n v="5"/>
    <n v="35"/>
    <n v="0.3718274760426585"/>
    <n v="2.916666666666667"/>
    <n v="39"/>
    <n v="0.5638228139634599"/>
    <n v="1.56"/>
    <n v="28"/>
    <n v="0.5781383572119482"/>
    <n v="0.7"/>
    <m/>
    <m/>
    <m/>
    <m/>
    <m/>
    <m/>
    <m/>
    <m/>
    <m/>
    <m/>
    <m/>
    <m/>
    <n v="20"/>
    <n v="64"/>
    <n v="15"/>
    <n v="0"/>
    <m/>
    <n v="0"/>
    <n v="387451.5"/>
    <n v="364320"/>
    <n v="90105"/>
    <n v="0"/>
    <n v="29"/>
    <n v="174203"/>
    <n v="179966.1040886943"/>
    <n v="12"/>
    <n v="109"/>
    <n v="25.5"/>
    <n v="45"/>
    <n v="30"/>
    <n v="0"/>
    <n v="417486.5"/>
    <n v="620482.5"/>
    <n v="153178.5"/>
    <n v="0"/>
    <n v="29"/>
    <n v="174203"/>
    <n v="305942.3769507803"/>
    <n v="32"/>
    <n v="86"/>
    <n v="24"/>
    <n v="0"/>
    <n v="0"/>
    <n v="298463"/>
    <n v="516602"/>
    <n v="144168"/>
    <n v="0"/>
    <n v="29"/>
    <n v="174203"/>
    <n v="342655.462184874"/>
    <n v="15"/>
    <n v="76"/>
    <n v="20"/>
    <n v="10"/>
    <n v="0"/>
    <n v="432630"/>
    <n v="120140"/>
    <n v="56925"/>
    <n v="0"/>
    <n v="29"/>
    <n v="174203"/>
    <n v="285546.218487395"/>
    <n v="5"/>
    <n v="54"/>
    <n v="6"/>
    <m/>
    <n v="0"/>
    <n v="0"/>
    <n v="324378"/>
    <n v="34155"/>
    <n v="0"/>
    <n v="0"/>
    <n v="29"/>
    <n v="174203"/>
    <n v="85663.8655462185"/>
    <n v="12"/>
    <n v="64"/>
    <n v="35"/>
    <m/>
    <n v="0"/>
    <n v="0"/>
    <n v="384448"/>
    <n v="199237.5"/>
    <n v="0"/>
    <n v="0"/>
    <n v="64"/>
    <n v="174203"/>
    <n v="499705.8823529412"/>
    <n v="25"/>
    <n v="68"/>
    <n v="39"/>
    <n v="100"/>
    <n v="100"/>
    <n v="0"/>
    <n v="408476"/>
    <n v="222007.5"/>
    <n v="550275"/>
    <n v="0"/>
    <n v="68"/>
    <n v="174203"/>
    <n v="556815.1260504202"/>
    <n v="40"/>
    <n v="29"/>
    <n v="48"/>
    <n v="0"/>
    <n v="0"/>
    <n v="0"/>
    <n v="174203"/>
    <n v="273240"/>
    <n v="0"/>
    <n v="0"/>
    <n v="29"/>
    <n v="174203"/>
    <n v="685310.924369748"/>
    <n v="15"/>
    <n v="0"/>
    <n v="18"/>
    <n v="0"/>
    <n v="0"/>
    <n v="0"/>
    <n v="0"/>
    <n v="102465"/>
    <n v="0"/>
    <n v="0"/>
    <n v="0"/>
    <n v="0"/>
    <n v="256991.5966386555"/>
    <n v="30"/>
    <n v="0"/>
    <n v="0"/>
    <n v="145"/>
    <n v="145"/>
    <n v="145"/>
    <n v="0"/>
    <n v="0"/>
    <n v="0"/>
    <n v="825412.5"/>
    <n v="825412.5"/>
    <n v="145"/>
    <n v="825412.5"/>
    <n v="0"/>
    <n v="30"/>
    <n v="145"/>
    <n v="36"/>
    <n v="0"/>
    <n v="0"/>
    <n v="825412.5"/>
    <n v="204930"/>
    <n v="0"/>
    <n v="0"/>
    <n v="145"/>
    <n v="825412.5"/>
    <n v="476152.9411764707"/>
    <n v="80"/>
    <n v="109"/>
    <n v="96"/>
    <n v="0"/>
    <n v="0"/>
    <n v="620482.5"/>
    <n v="546480"/>
    <n v="0"/>
    <n v="109"/>
    <n v="620482.5"/>
    <n v="1370621.848739496"/>
    <n v="18"/>
    <n v="13"/>
    <n v="21.6"/>
    <n v="0"/>
    <m/>
    <n v="74002.5"/>
    <n v="129751.2"/>
    <n v="0"/>
    <n v="13"/>
    <n v="74002.5"/>
    <n v="308389.9159663866"/>
  </r>
  <r>
    <s v="Bandú-Jueguetes de Rol"/>
    <x v="0"/>
    <x v="1"/>
    <x v="1"/>
    <s v="BDSETPAST"/>
    <x v="6"/>
    <x v="6"/>
    <x v="0"/>
    <x v="2"/>
    <n v="1"/>
    <x v="3"/>
    <n v="34"/>
    <m/>
    <n v="0"/>
    <n v="6889"/>
    <n v="234226"/>
    <n v="6.5"/>
    <n v="7286.5"/>
    <n v="14277.31092436975"/>
    <n v="12596.63865546219"/>
    <s v="Ningbo"/>
    <s v="30/70"/>
    <n v="30"/>
    <n v="10"/>
    <n v="0"/>
    <s v=""/>
    <n v="0"/>
    <s v=""/>
    <n v="0"/>
    <s v=""/>
    <n v="0"/>
    <s v=""/>
    <n v="0"/>
    <s v=""/>
    <n v="0"/>
    <s v=""/>
    <n v="3"/>
    <n v="0.4333107120484443"/>
    <n v="3"/>
    <n v="0.5618717487286593"/>
    <n v="1"/>
    <n v="0.5691830915457728"/>
    <n v="3"/>
    <n v="0.4254926412347907"/>
    <n v="5"/>
    <n v="0.4225641201690034"/>
    <n v="9"/>
    <n v="0.4991071487425828"/>
    <n v="1"/>
    <n v="-0.03586279836303675"/>
    <n v="2"/>
    <n v="0.4069425462276247"/>
    <n v="2"/>
    <n v="0.1514971910253245"/>
    <n v="2"/>
    <n v="0.2383159969452096"/>
    <n v="1"/>
    <n v="1"/>
    <n v="0.5174643908181282"/>
    <n v="0.25"/>
    <n v="11"/>
    <n v="0.3068177552248852"/>
    <n v="1.1"/>
    <n v="5"/>
    <n v="0.5044426041225897"/>
    <n v="0.5"/>
    <n v="1"/>
    <n v="0.3689091608929946"/>
    <n v="0.06666666666666667"/>
    <m/>
    <m/>
    <m/>
    <m/>
    <m/>
    <m/>
    <m/>
    <m/>
    <m/>
    <m/>
    <m/>
    <m/>
    <n v="5"/>
    <n v="37"/>
    <n v="3"/>
    <n v="0"/>
    <n v="0"/>
    <n v="0"/>
    <n v="55112"/>
    <n v="248917.5"/>
    <n v="20667"/>
    <n v="0"/>
    <n v="34"/>
    <n v="234226"/>
    <n v="35993.22081773887"/>
    <n v="5"/>
    <n v="53"/>
    <n v="3"/>
    <n v="0.3559322033898322"/>
    <n v="0"/>
    <n v="0"/>
    <n v="48223"/>
    <n v="356557.4999999999"/>
    <n v="20667"/>
    <n v="0"/>
    <n v="34"/>
    <n v="234226"/>
    <n v="35993.22081773887"/>
    <n v="5"/>
    <n v="51"/>
    <n v="2"/>
    <n v="0"/>
    <n v="0"/>
    <n v="54466"/>
    <n v="351339"/>
    <n v="13778"/>
    <n v="0"/>
    <n v="34"/>
    <n v="234226"/>
    <n v="28554.6218487395"/>
    <n v="2"/>
    <n v="49"/>
    <n v="2"/>
    <n v="0"/>
    <n v="0"/>
    <n v="329647.4999999999"/>
    <n v="13778"/>
    <n v="0"/>
    <n v="0"/>
    <n v="34"/>
    <n v="234226"/>
    <n v="28554.6218487395"/>
    <n v="4"/>
    <n v="35"/>
    <n v="4"/>
    <m/>
    <n v="0"/>
    <n v="0"/>
    <n v="241115"/>
    <n v="26910"/>
    <n v="0"/>
    <n v="0"/>
    <n v="34"/>
    <n v="234226"/>
    <n v="57109.243697479"/>
    <n v="10"/>
    <n v="45"/>
    <n v="11"/>
    <m/>
    <n v="0"/>
    <n v="0"/>
    <n v="310005"/>
    <n v="74002.49999999999"/>
    <n v="0"/>
    <n v="0"/>
    <n v="45"/>
    <n v="234226"/>
    <n v="157050.4201680672"/>
    <n v="10"/>
    <n v="39"/>
    <n v="5"/>
    <n v="0"/>
    <n v="0"/>
    <n v="0"/>
    <n v="268671"/>
    <n v="33637.49999999999"/>
    <n v="0"/>
    <n v="0"/>
    <n v="39"/>
    <n v="234226"/>
    <n v="71386.55462184874"/>
    <n v="15"/>
    <n v="34"/>
    <n v="15"/>
    <n v="0"/>
    <n v="0"/>
    <n v="0"/>
    <n v="234226"/>
    <n v="100912.5"/>
    <n v="0"/>
    <n v="0"/>
    <n v="34"/>
    <n v="234226"/>
    <n v="214159.6638655462"/>
    <n v="5"/>
    <n v="19"/>
    <n v="5"/>
    <n v="0"/>
    <n v="0"/>
    <n v="0"/>
    <n v="127822.5"/>
    <n v="33637.49999999999"/>
    <n v="0"/>
    <n v="0"/>
    <n v="19"/>
    <n v="127822.5"/>
    <n v="71386.55462184874"/>
    <n v="5"/>
    <n v="14"/>
    <n v="5"/>
    <n v="0"/>
    <n v="0"/>
    <n v="0"/>
    <m/>
    <n v="94184.99999999999"/>
    <n v="33637.49999999999"/>
    <n v="0"/>
    <n v="0"/>
    <n v="14"/>
    <n v="94184.99999999999"/>
    <n v="62983.19327731093"/>
    <n v="0"/>
    <n v="9"/>
    <n v="0"/>
    <n v="0"/>
    <n v="0"/>
    <n v="60547.49999999999"/>
    <n v="0"/>
    <n v="0"/>
    <n v="0"/>
    <n v="9"/>
    <n v="60547.49999999999"/>
    <n v="0"/>
    <n v="0"/>
    <n v="9"/>
    <n v="0"/>
    <n v="0"/>
    <n v="0"/>
    <n v="60547.49999999999"/>
    <n v="0"/>
    <n v="0"/>
    <n v="9"/>
    <n v="60547.49999999999"/>
    <n v="0"/>
    <n v="0"/>
    <n v="9"/>
    <n v="0"/>
    <n v="0"/>
    <m/>
    <n v="60547.49999999999"/>
    <n v="0"/>
    <n v="0"/>
    <n v="9"/>
    <n v="60547.49999999999"/>
    <n v="0"/>
  </r>
  <r>
    <s v="Bandú-Jueguetes de Rol"/>
    <x v="0"/>
    <x v="1"/>
    <x v="2"/>
    <s v="BDCASMUÑEC-WD"/>
    <x v="7"/>
    <x v="7"/>
    <x v="0"/>
    <x v="4"/>
    <n v="1"/>
    <x v="3"/>
    <n v="37"/>
    <m/>
    <n v="0"/>
    <n v="21866"/>
    <n v="809042"/>
    <n v="21.66"/>
    <n v="24692.4"/>
    <n v="62249.74789915968"/>
    <n v="52912.28571428572"/>
    <s v="Ningbo"/>
    <s v="30/70"/>
    <n v="30"/>
    <n v="1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1"/>
    <n v="0.5224731143329051"/>
    <n v="0.1"/>
    <n v="12"/>
    <n v="0.5782633647586374"/>
    <n v="0.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37"/>
    <n v="809042"/>
    <n v="0"/>
    <n v="0"/>
    <n v="0"/>
    <n v="0"/>
    <n v="0"/>
    <n v="0"/>
    <n v="0"/>
    <n v="0"/>
    <n v="0"/>
    <n v="0"/>
    <n v="37"/>
    <n v="809042"/>
    <n v="0"/>
    <n v="0"/>
    <n v="37"/>
    <n v="0"/>
    <m/>
    <m/>
    <n v="0"/>
    <n v="809042"/>
    <n v="0"/>
    <n v="0"/>
    <n v="0"/>
    <n v="37"/>
    <n v="809042"/>
    <n v="0"/>
    <n v="70"/>
    <n v="37"/>
    <n v="0"/>
    <m/>
    <n v="0"/>
    <n v="0"/>
    <n v="809042"/>
    <n v="0"/>
    <n v="0"/>
    <n v="0"/>
    <n v="37"/>
    <n v="809042"/>
    <n v="0"/>
    <n v="10"/>
    <n v="38"/>
    <n v="1"/>
    <n v="50"/>
    <n v="50"/>
    <n v="0"/>
    <n v="830908"/>
    <n v="22418.1"/>
    <n v="1083541.5"/>
    <n v="0"/>
    <n v="38"/>
    <n v="809042"/>
    <n v="62249.74789915968"/>
    <n v="25"/>
    <n v="37"/>
    <n v="25"/>
    <n v="0"/>
    <n v="0"/>
    <n v="0"/>
    <n v="809042"/>
    <n v="560452.5"/>
    <n v="0"/>
    <n v="0"/>
    <n v="37"/>
    <n v="809042"/>
    <n v="1556243.697478992"/>
    <n v="10"/>
    <n v="12"/>
    <n v="10"/>
    <n v="15"/>
    <n v="15"/>
    <n v="0"/>
    <n v="269017.2"/>
    <n v="224181"/>
    <n v="336271.5"/>
    <n v="0"/>
    <n v="12"/>
    <n v="269017.2"/>
    <n v="622497.4789915968"/>
    <n v="25"/>
    <n v="17"/>
    <n v="17"/>
    <n v="80"/>
    <n v="80"/>
    <n v="80"/>
    <n v="15"/>
    <n v="381107.7"/>
    <n v="381107.7"/>
    <n v="1793448"/>
    <n v="2129719.5"/>
    <n v="97"/>
    <n v="2510827.2"/>
    <n v="899508.8571428573"/>
    <n v="28"/>
    <n v="80"/>
    <n v="28"/>
    <n v="0"/>
    <n v="0"/>
    <n v="1793448"/>
    <n v="627706.7999999999"/>
    <n v="0"/>
    <n v="0"/>
    <n v="80"/>
    <n v="1793448"/>
    <n v="1555621.2"/>
    <n v="48"/>
    <n v="52"/>
    <n v="48"/>
    <n v="0"/>
    <n v="0"/>
    <n v="1165741.2"/>
    <n v="1076068.8"/>
    <n v="0"/>
    <n v="52"/>
    <n v="1165741.2"/>
    <n v="2987987.899159665"/>
    <n v="16.8"/>
    <n v="4"/>
    <n v="16.8"/>
    <n v="0"/>
    <m/>
    <n v="89672.39999999999"/>
    <n v="367348.8"/>
    <n v="0"/>
    <n v="4"/>
    <n v="89672.39999999999"/>
    <n v="1045795.764705883"/>
  </r>
  <r>
    <s v="Bandú-Jueguetes de Rol"/>
    <x v="0"/>
    <x v="1"/>
    <x v="2"/>
    <s v="BDPKMESILL"/>
    <x v="8"/>
    <x v="8"/>
    <x v="0"/>
    <x v="4"/>
    <n v="1"/>
    <x v="3"/>
    <n v="0"/>
    <m/>
    <n v="0"/>
    <n v="47880"/>
    <n v="0"/>
    <n v="42"/>
    <n v="47880"/>
    <n v="120705.8823529412"/>
    <n v="102600"/>
    <s v="Ningbo"/>
    <s v="30/70"/>
    <n v="30"/>
    <n v="1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10"/>
    <n v="0.6177690059274371"/>
    <n v="2"/>
    <n v="1"/>
    <n v="0.6437615174344956"/>
    <n v="0.33333333333333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3"/>
    <n v="0"/>
    <n v="0"/>
    <m/>
    <n v="0"/>
    <n v="0"/>
    <n v="0"/>
    <n v="0"/>
    <n v="0"/>
    <n v="0"/>
    <n v="0"/>
    <n v="0"/>
    <n v="0"/>
    <n v="5"/>
    <n v="10"/>
    <n v="10"/>
    <n v="10"/>
    <n v="10"/>
    <n v="0"/>
    <n v="478800"/>
    <n v="434700"/>
    <n v="420210"/>
    <n v="0"/>
    <n v="10"/>
    <n v="0"/>
    <n v="1207058.823529412"/>
    <n v="3"/>
    <n v="0"/>
    <n v="3"/>
    <n v="0"/>
    <n v="0"/>
    <n v="0"/>
    <n v="0"/>
    <n v="130410"/>
    <n v="0"/>
    <n v="0"/>
    <n v="0"/>
    <n v="0"/>
    <n v="362117.6470588235"/>
    <n v="2"/>
    <n v="0"/>
    <n v="2"/>
    <n v="0"/>
    <n v="0"/>
    <n v="0"/>
    <n v="0"/>
    <n v="86940"/>
    <n v="0"/>
    <n v="0"/>
    <n v="0"/>
    <n v="0"/>
    <n v="241411.7647058823"/>
    <n v="4"/>
    <n v="0"/>
    <n v="0"/>
    <n v="20"/>
    <n v="20"/>
    <n v="20"/>
    <n v="0"/>
    <n v="0"/>
    <n v="0"/>
    <n v="869400"/>
    <n v="869400"/>
    <n v="20"/>
    <n v="869400"/>
    <n v="0"/>
    <n v="3.5"/>
    <n v="20"/>
    <n v="3.5"/>
    <n v="5"/>
    <n v="5"/>
    <n v="869400"/>
    <n v="152145"/>
    <n v="217350"/>
    <n v="217350"/>
    <n v="25"/>
    <n v="1086750"/>
    <n v="377055"/>
    <n v="8"/>
    <n v="21.5"/>
    <n v="8"/>
    <n v="0"/>
    <n v="0"/>
    <n v="934605"/>
    <n v="347760"/>
    <n v="0"/>
    <n v="21.5"/>
    <n v="934605"/>
    <n v="965647.0588235294"/>
    <n v="2.1"/>
    <n v="13.5"/>
    <n v="2.1"/>
    <n v="0"/>
    <m/>
    <n v="586845"/>
    <n v="100548"/>
    <n v="0"/>
    <n v="13.5"/>
    <n v="586845"/>
    <n v="253482.3529411765"/>
  </r>
  <r>
    <s v="Bandú-Jueguetes de Rol"/>
    <x v="0"/>
    <x v="1"/>
    <x v="2"/>
    <s v="BDPZMG2E1"/>
    <x v="9"/>
    <x v="9"/>
    <x v="0"/>
    <x v="4"/>
    <n v="1"/>
    <x v="3"/>
    <n v="17"/>
    <m/>
    <n v="0"/>
    <n v="13648"/>
    <n v="232016"/>
    <n v="14"/>
    <n v="15960"/>
    <n v="40235.29411764706"/>
    <n v="34200"/>
    <s v="Ningbo"/>
    <s v="30/70"/>
    <n v="30"/>
    <n v="1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9"/>
    <n v="0.5430865243349692"/>
    <n v="0.45"/>
    <n v="23"/>
    <n v="0.5034392704746966"/>
    <n v="0.65714285714285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17"/>
    <n v="232016"/>
    <n v="0"/>
    <n v="0"/>
    <n v="0"/>
    <n v="0"/>
    <n v="0"/>
    <n v="0"/>
    <n v="0"/>
    <n v="0"/>
    <n v="0"/>
    <n v="0"/>
    <n v="17"/>
    <n v="232016"/>
    <n v="0"/>
    <n v="0"/>
    <n v="17"/>
    <n v="0"/>
    <m/>
    <m/>
    <n v="0"/>
    <n v="232016"/>
    <n v="0"/>
    <n v="0"/>
    <n v="0"/>
    <n v="17"/>
    <n v="232016"/>
    <n v="0"/>
    <n v="10"/>
    <n v="17"/>
    <n v="0"/>
    <m/>
    <n v="0"/>
    <n v="0"/>
    <n v="232016"/>
    <n v="0"/>
    <n v="0"/>
    <n v="0"/>
    <n v="17"/>
    <n v="232016"/>
    <n v="0"/>
    <n v="20"/>
    <n v="26"/>
    <n v="9"/>
    <n v="50"/>
    <n v="50"/>
    <n v="0"/>
    <n v="354848"/>
    <n v="130410"/>
    <n v="700349.9999999999"/>
    <n v="0"/>
    <n v="26"/>
    <n v="232016"/>
    <n v="362117.6470588236"/>
    <n v="35"/>
    <n v="17"/>
    <n v="35"/>
    <n v="0"/>
    <n v="0"/>
    <n v="0"/>
    <n v="232016"/>
    <n v="507149.9999999999"/>
    <n v="0"/>
    <n v="0"/>
    <n v="17"/>
    <n v="232016"/>
    <n v="1408235.294117647"/>
    <n v="15"/>
    <n v="0"/>
    <n v="15"/>
    <n v="30"/>
    <n v="30"/>
    <n v="0"/>
    <n v="0"/>
    <n v="217350"/>
    <n v="434699.9999999999"/>
    <n v="0"/>
    <n v="0"/>
    <n v="0"/>
    <n v="603529.4117647059"/>
    <n v="50"/>
    <n v="30"/>
    <n v="30"/>
    <n v="100"/>
    <n v="100"/>
    <n v="100"/>
    <n v="30"/>
    <n v="434699.9999999999"/>
    <n v="434699.9999999999"/>
    <n v="1449000"/>
    <n v="1883700"/>
    <n v="130"/>
    <n v="2318400"/>
    <n v="1026000"/>
    <n v="56"/>
    <n v="100"/>
    <n v="56"/>
    <n v="50"/>
    <n v="50"/>
    <n v="1449000"/>
    <n v="811439.9999999999"/>
    <n v="724499.9999999999"/>
    <n v="724499.9999999999"/>
    <n v="150"/>
    <n v="2173500"/>
    <n v="2010960"/>
    <n v="80"/>
    <n v="94"/>
    <n v="80"/>
    <n v="0"/>
    <n v="0"/>
    <n v="1362060"/>
    <n v="1159200"/>
    <n v="0"/>
    <n v="94"/>
    <n v="1362060"/>
    <n v="3218823.529411765"/>
    <n v="33.6"/>
    <n v="14"/>
    <n v="33.6"/>
    <n v="0"/>
    <m/>
    <n v="202860"/>
    <n v="458572.8"/>
    <n v="0"/>
    <n v="14"/>
    <n v="202860"/>
    <n v="1351905.882352941"/>
  </r>
  <r>
    <s v="Bandú-Jueguetes de Rol"/>
    <x v="0"/>
    <x v="1"/>
    <x v="2"/>
    <s v="BDSETDOC"/>
    <x v="10"/>
    <x v="10"/>
    <x v="0"/>
    <x v="1"/>
    <n v="1"/>
    <x v="6"/>
    <n v="1"/>
    <m/>
    <n v="0"/>
    <n v="5503"/>
    <n v="5503"/>
    <n v="5.2"/>
    <n v="5829.2"/>
    <n v="12596.63865546219"/>
    <n v="10915.96638655462"/>
    <s v="Ningbo"/>
    <s v="30/70"/>
    <n v="30"/>
    <n v="10"/>
    <n v="0"/>
    <s v=""/>
    <n v="0"/>
    <s v=""/>
    <n v="0"/>
    <s v=""/>
    <n v="0"/>
    <s v=""/>
    <n v="0"/>
    <s v=""/>
    <n v="0"/>
    <s v=""/>
    <n v="29"/>
    <n v="0.5637074239745126"/>
    <n v="31"/>
    <n v="0.5868174845762019"/>
    <n v="1"/>
    <n v="0.5192506152258475"/>
    <n v="0"/>
    <s v=""/>
    <n v="2"/>
    <n v="0.5192437199866713"/>
    <n v="0"/>
    <s v=""/>
    <n v="40"/>
    <n v="0.2411783195454702"/>
    <n v="36"/>
    <n v="0.2810560508802636"/>
    <n v="92"/>
    <n v="0.2705288096715394"/>
    <n v="0"/>
    <s v=""/>
    <n v="0"/>
    <n v="0"/>
    <s v=""/>
    <n v="0"/>
    <n v="4"/>
    <n v="0.2730215298645454"/>
    <n v="0.04"/>
    <n v="35"/>
    <n v="0.5231736588048884"/>
    <n v="0.5833333333333334"/>
    <n v="21"/>
    <n v="0.624536923656723"/>
    <n v="0.175"/>
    <m/>
    <m/>
    <m/>
    <m/>
    <m/>
    <m/>
    <m/>
    <m/>
    <m/>
    <m/>
    <m/>
    <m/>
    <n v="30"/>
    <n v="68"/>
    <n v="10"/>
    <n v="0"/>
    <m/>
    <n v="0"/>
    <n v="858468"/>
    <n v="365976"/>
    <n v="55030"/>
    <n v="0"/>
    <n v="1"/>
    <n v="5503"/>
    <n v="105854.1063484217"/>
    <n v="25"/>
    <n v="128"/>
    <n v="54"/>
    <n v="0"/>
    <n v="100"/>
    <n v="0"/>
    <n v="803438"/>
    <n v="688896"/>
    <n v="297162"/>
    <n v="0"/>
    <n v="1"/>
    <n v="5503"/>
    <n v="571612.1742814773"/>
    <n v="70"/>
    <n v="57"/>
    <n v="92"/>
    <n v="0"/>
    <n v="0"/>
    <n v="721556"/>
    <n v="313671"/>
    <n v="506276"/>
    <n v="0"/>
    <n v="1"/>
    <n v="5503"/>
    <n v="1158890.756302521"/>
    <n v="30"/>
    <n v="0"/>
    <n v="0"/>
    <n v="0"/>
    <n v="0"/>
    <n v="0"/>
    <n v="0"/>
    <n v="0"/>
    <n v="0"/>
    <n v="1"/>
    <n v="5503"/>
    <n v="0"/>
    <n v="40"/>
    <n v="1"/>
    <n v="40"/>
    <m/>
    <n v="0"/>
    <n v="0"/>
    <n v="5503"/>
    <n v="215280"/>
    <n v="0"/>
    <n v="0"/>
    <n v="1"/>
    <n v="5503"/>
    <n v="503865.5462184874"/>
    <n v="100"/>
    <n v="5"/>
    <n v="4"/>
    <m/>
    <n v="0"/>
    <n v="0"/>
    <n v="27515"/>
    <n v="21528"/>
    <n v="0"/>
    <n v="0"/>
    <n v="5"/>
    <n v="5503"/>
    <n v="50386.55462184874"/>
    <n v="60"/>
    <n v="36"/>
    <n v="35"/>
    <n v="50"/>
    <n v="50"/>
    <n v="0"/>
    <n v="198108"/>
    <n v="188370"/>
    <n v="260130"/>
    <n v="0"/>
    <n v="36"/>
    <n v="5503"/>
    <n v="440882.3529411765"/>
    <n v="120"/>
    <n v="1"/>
    <n v="120"/>
    <n v="0"/>
    <n v="0"/>
    <n v="0"/>
    <n v="5503"/>
    <n v="645840"/>
    <n v="0"/>
    <n v="0"/>
    <n v="1"/>
    <n v="5503"/>
    <n v="1511596.638655462"/>
    <n v="40"/>
    <n v="0"/>
    <n v="40"/>
    <n v="80"/>
    <n v="80"/>
    <n v="0"/>
    <n v="0"/>
    <n v="215280"/>
    <n v="430560"/>
    <n v="0"/>
    <n v="0"/>
    <n v="0"/>
    <n v="503865.5462184874"/>
    <n v="100"/>
    <n v="80"/>
    <n v="80"/>
    <n v="200"/>
    <n v="200"/>
    <n v="200"/>
    <n v="80"/>
    <n v="430560"/>
    <n v="430560"/>
    <n v="1076400"/>
    <n v="1506960"/>
    <n v="280"/>
    <n v="1937520"/>
    <n v="873277.3109243698"/>
    <n v="105"/>
    <n v="200"/>
    <n v="105"/>
    <n v="160"/>
    <n v="160"/>
    <n v="1076400"/>
    <n v="565110"/>
    <n v="861120"/>
    <n v="861120"/>
    <n v="360"/>
    <n v="1937520"/>
    <n v="1203485.294117647"/>
    <n v="200"/>
    <n v="255"/>
    <n v="200"/>
    <n v="0"/>
    <n v="0"/>
    <n v="1372410"/>
    <n v="1076400"/>
    <n v="0"/>
    <n v="255"/>
    <n v="1372410"/>
    <n v="2519327.731092437"/>
    <n v="63"/>
    <n v="55"/>
    <n v="63"/>
    <n v="0"/>
    <m/>
    <n v="296010"/>
    <n v="346689"/>
    <n v="0"/>
    <n v="55"/>
    <n v="296010"/>
    <n v="793588.2352941177"/>
  </r>
  <r>
    <s v="Bandú-Jueguetes de Rol"/>
    <x v="0"/>
    <x v="1"/>
    <x v="2"/>
    <s v="BDSETLIMP"/>
    <x v="11"/>
    <x v="11"/>
    <x v="0"/>
    <x v="4"/>
    <n v="1"/>
    <x v="3"/>
    <n v="33"/>
    <m/>
    <n v="0"/>
    <n v="11185"/>
    <n v="369105"/>
    <n v="10.5"/>
    <n v="11970"/>
    <n v="30176.47058823529"/>
    <n v="25650"/>
    <s v="Ningbo"/>
    <s v="30/70"/>
    <n v="30"/>
    <n v="1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12"/>
    <n v="0.529384848842006"/>
    <n v="0.48"/>
    <n v="7"/>
    <n v="0.4882988060062171"/>
    <n v="0.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33"/>
    <n v="369105"/>
    <n v="0"/>
    <n v="0"/>
    <n v="0"/>
    <n v="0"/>
    <n v="0"/>
    <n v="0"/>
    <n v="0"/>
    <n v="0"/>
    <n v="0"/>
    <n v="0"/>
    <n v="33"/>
    <n v="369105"/>
    <n v="0"/>
    <n v="0"/>
    <n v="33"/>
    <n v="0"/>
    <m/>
    <m/>
    <n v="0"/>
    <n v="369105"/>
    <n v="0"/>
    <n v="0"/>
    <n v="0"/>
    <n v="33"/>
    <n v="369105"/>
    <n v="0"/>
    <n v="15"/>
    <n v="33"/>
    <n v="0"/>
    <m/>
    <n v="0"/>
    <n v="0"/>
    <n v="369105"/>
    <n v="0"/>
    <n v="0"/>
    <n v="0"/>
    <n v="33"/>
    <n v="369105"/>
    <n v="0"/>
    <n v="25"/>
    <n v="45"/>
    <n v="12"/>
    <n v="50"/>
    <n v="50"/>
    <n v="0"/>
    <n v="503325"/>
    <n v="130410"/>
    <n v="525262.5"/>
    <n v="0"/>
    <n v="45"/>
    <n v="369105"/>
    <n v="362117.6470588235"/>
    <n v="10"/>
    <n v="33"/>
    <n v="10"/>
    <n v="0"/>
    <n v="0"/>
    <n v="0"/>
    <n v="369105"/>
    <n v="108675"/>
    <n v="0"/>
    <n v="0"/>
    <n v="33"/>
    <n v="369105"/>
    <n v="301764.705882353"/>
    <n v="8"/>
    <n v="23"/>
    <n v="8"/>
    <n v="0"/>
    <n v="0"/>
    <n v="0"/>
    <n v="249952.5"/>
    <n v="86940"/>
    <n v="0"/>
    <n v="0"/>
    <n v="23"/>
    <n v="249952.5"/>
    <n v="241411.7647058823"/>
    <n v="20"/>
    <n v="15"/>
    <n v="15"/>
    <n v="70"/>
    <n v="70"/>
    <n v="70"/>
    <n v="0"/>
    <n v="163012.5"/>
    <n v="163012.5"/>
    <n v="760725"/>
    <n v="760725"/>
    <n v="85"/>
    <n v="923737.5"/>
    <n v="384750"/>
    <n v="17.5"/>
    <n v="70"/>
    <n v="17.5"/>
    <n v="0"/>
    <n v="0"/>
    <n v="760725"/>
    <n v="190181.25"/>
    <n v="0"/>
    <n v="0"/>
    <n v="70"/>
    <n v="760725"/>
    <n v="471318.75"/>
    <n v="40"/>
    <n v="52.5"/>
    <n v="40"/>
    <n v="0"/>
    <n v="0"/>
    <n v="570543.75"/>
    <n v="434700"/>
    <n v="0"/>
    <n v="52.5"/>
    <n v="570543.75"/>
    <n v="1207058.823529412"/>
    <n v="10.5"/>
    <n v="12.5"/>
    <n v="10.5"/>
    <n v="0"/>
    <m/>
    <n v="135843.75"/>
    <n v="117442.5"/>
    <n v="0"/>
    <n v="12.5"/>
    <n v="135843.75"/>
    <n v="316852.9411764706"/>
  </r>
  <r>
    <m/>
    <x v="0"/>
    <x v="1"/>
    <x v="3"/>
    <s v="BDSETMAQ"/>
    <x v="12"/>
    <x v="12"/>
    <x v="0"/>
    <x v="3"/>
    <n v="0.8"/>
    <x v="7"/>
    <n v="49"/>
    <m/>
    <n v="0"/>
    <n v="5118"/>
    <n v="250782"/>
    <n v="5.2"/>
    <n v="5829.2"/>
    <n v="16798.31932773109"/>
    <n v="12596.63865546219"/>
    <s v="Ningbo"/>
    <s v="30/70"/>
    <n v="30"/>
    <n v="10"/>
    <n v="0"/>
    <s v=""/>
    <n v="0"/>
    <s v=""/>
    <n v="0"/>
    <s v=""/>
    <n v="0"/>
    <s v=""/>
    <n v="0"/>
    <s v=""/>
    <n v="0"/>
    <s v=""/>
    <n v="9"/>
    <n v="0.5232967349894877"/>
    <n v="17"/>
    <n v="0.5913898857649567"/>
    <n v="20"/>
    <n v="0.5521064308442364"/>
    <n v="10"/>
    <n v="0.5317324154041807"/>
    <n v="4"/>
    <n v="0.5493041601547964"/>
    <n v="0"/>
    <s v=""/>
    <n v="0"/>
    <s v=""/>
    <n v="0"/>
    <s v=""/>
    <n v="13"/>
    <n v="0.4115187921395645"/>
    <n v="11"/>
    <n v="0.4603695655778608"/>
    <n v="0.7333333333333333"/>
    <n v="9"/>
    <n v="0.7420200799386167"/>
    <n v="0.9"/>
    <n v="20"/>
    <n v="0.4271407496287915"/>
    <n v="0.8"/>
    <n v="38"/>
    <n v="0.6284755081651828"/>
    <n v="1.085714285714286"/>
    <n v="42"/>
    <n v="0.6019180100337502"/>
    <n v="0.9333333333333333"/>
    <m/>
    <m/>
    <m/>
    <m/>
    <m/>
    <m/>
    <m/>
    <m/>
    <m/>
    <m/>
    <m/>
    <m/>
    <n v="0"/>
    <n v="0"/>
    <n v="0"/>
    <n v="0"/>
    <m/>
    <n v="0"/>
    <n v="66534"/>
    <n v="0"/>
    <n v="0"/>
    <n v="0"/>
    <n v="49"/>
    <n v="250782"/>
    <n v="0"/>
    <n v="0"/>
    <n v="80"/>
    <n v="0"/>
    <n v="0"/>
    <n v="0"/>
    <n v="0"/>
    <n v="122832"/>
    <n v="430560"/>
    <n v="0"/>
    <n v="0"/>
    <n v="49"/>
    <n v="250782"/>
    <n v="0"/>
    <n v="15"/>
    <n v="80"/>
    <n v="13"/>
    <n v="0"/>
    <n v="0"/>
    <n v="165888"/>
    <n v="409440"/>
    <n v="66534"/>
    <n v="0"/>
    <n v="49"/>
    <n v="250782"/>
    <n v="218378.1512605042"/>
    <n v="15"/>
    <n v="109"/>
    <n v="11"/>
    <n v="30"/>
    <n v="0"/>
    <n v="586638"/>
    <n v="56298"/>
    <n v="161460"/>
    <n v="0"/>
    <n v="49"/>
    <n v="250782"/>
    <n v="184781.512605042"/>
    <n v="10"/>
    <n v="58"/>
    <n v="8"/>
    <m/>
    <n v="0"/>
    <n v="0"/>
    <n v="296844"/>
    <n v="43056"/>
    <n v="0"/>
    <n v="0"/>
    <n v="49"/>
    <n v="250782"/>
    <n v="134386.5546218487"/>
    <n v="25"/>
    <n v="69"/>
    <n v="20"/>
    <m/>
    <n v="0"/>
    <n v="0"/>
    <n v="353142"/>
    <n v="107640"/>
    <n v="0"/>
    <n v="0"/>
    <n v="69"/>
    <n v="250782"/>
    <n v="335966.3865546219"/>
    <n v="35"/>
    <n v="87"/>
    <n v="38"/>
    <n v="50"/>
    <n v="50"/>
    <n v="0"/>
    <n v="445266"/>
    <n v="204516"/>
    <n v="260130"/>
    <n v="0"/>
    <n v="87"/>
    <n v="250782"/>
    <n v="638336.1344537815"/>
    <n v="45"/>
    <n v="49"/>
    <n v="36"/>
    <n v="0"/>
    <n v="0"/>
    <n v="0"/>
    <n v="250782"/>
    <n v="193752"/>
    <n v="0"/>
    <n v="0"/>
    <n v="49"/>
    <n v="250782"/>
    <n v="604739.4957983193"/>
    <n v="15"/>
    <n v="13"/>
    <n v="12"/>
    <n v="0"/>
    <n v="0"/>
    <n v="0"/>
    <n v="69966"/>
    <n v="64584"/>
    <n v="0"/>
    <n v="0"/>
    <n v="13"/>
    <n v="69966"/>
    <n v="201579.8319327731"/>
    <n v="25"/>
    <n v="1"/>
    <n v="1"/>
    <n v="40"/>
    <n v="40"/>
    <n v="40"/>
    <n v="0"/>
    <n v="5382"/>
    <n v="5382"/>
    <n v="215280"/>
    <n v="215280"/>
    <n v="41"/>
    <n v="220662"/>
    <n v="12596.63865546219"/>
    <n v="35"/>
    <n v="40"/>
    <n v="28"/>
    <n v="0"/>
    <n v="0"/>
    <n v="215280"/>
    <n v="150696"/>
    <n v="0"/>
    <n v="0"/>
    <n v="40"/>
    <n v="215280"/>
    <n v="370341.1764705883"/>
    <n v="64"/>
    <n v="12"/>
    <n v="51.2"/>
    <n v="0"/>
    <n v="0"/>
    <n v="64584"/>
    <n v="275558.4"/>
    <n v="0"/>
    <n v="12"/>
    <n v="64584"/>
    <n v="860073.949579832"/>
    <n v="21"/>
    <n v="0"/>
    <n v="16.8"/>
    <n v="0"/>
    <m/>
    <n v="0"/>
    <n v="85982.40000000001"/>
    <n v="0"/>
    <n v="0"/>
    <n v="0"/>
    <n v="282211.7647058823"/>
  </r>
  <r>
    <s v="Bandú-Jueguetes de Rol"/>
    <x v="0"/>
    <x v="1"/>
    <x v="3"/>
    <s v="BDTOCMD-WH"/>
    <x v="13"/>
    <x v="13"/>
    <x v="0"/>
    <x v="3"/>
    <n v="0.7"/>
    <x v="8"/>
    <n v="37"/>
    <m/>
    <n v="0"/>
    <n v="31868"/>
    <n v="1179116"/>
    <n v="29.49"/>
    <n v="33058.29"/>
    <n v="84025.21008403362"/>
    <n v="84025.21008403362"/>
    <s v="Ningbo"/>
    <s v="30/70"/>
    <n v="30"/>
    <n v="10"/>
    <n v="0"/>
    <s v=""/>
    <n v="0"/>
    <s v=""/>
    <n v="0"/>
    <s v=""/>
    <n v="0"/>
    <s v=""/>
    <n v="0"/>
    <s v=""/>
    <n v="0"/>
    <s v=""/>
    <n v="6"/>
    <n v="0.4848252642785003"/>
    <n v="7"/>
    <n v="0.536414592772578"/>
    <n v="4"/>
    <n v="0.5115805699305357"/>
    <n v="3"/>
    <n v="0.5115778222277785"/>
    <n v="26"/>
    <n v="0.4868110654157207"/>
    <n v="13"/>
    <n v="0.5138497966751184"/>
    <n v="0"/>
    <s v=""/>
    <n v="0"/>
    <s v=""/>
    <n v="0"/>
    <s v=""/>
    <n v="4"/>
    <n v="0.4952806418639356"/>
    <n v="0.4"/>
    <n v="2"/>
    <n v="0.6520835110163468"/>
    <n v="0.1333333333333333"/>
    <n v="4"/>
    <n v="0.5122368723358822"/>
    <n v="0.1142857142857143"/>
    <n v="5"/>
    <n v="0.552746106290084"/>
    <n v="0.2"/>
    <n v="7"/>
    <n v="0.4894337627227596"/>
    <n v="0.2333333333333333"/>
    <m/>
    <m/>
    <m/>
    <m/>
    <m/>
    <m/>
    <m/>
    <m/>
    <m/>
    <m/>
    <m/>
    <m/>
    <n v="0"/>
    <n v="0"/>
    <n v="0"/>
    <n v="0"/>
    <m/>
    <n v="0"/>
    <n v="0"/>
    <n v="0"/>
    <n v="0"/>
    <n v="0"/>
    <n v="37"/>
    <n v="1179116"/>
    <n v="0"/>
    <n v="0"/>
    <n v="0"/>
    <n v="0"/>
    <n v="0"/>
    <n v="0"/>
    <n v="0"/>
    <n v="127472"/>
    <n v="0"/>
    <n v="0"/>
    <n v="0"/>
    <n v="37"/>
    <n v="1179116"/>
    <n v="0"/>
    <n v="5"/>
    <n v="0"/>
    <n v="0"/>
    <n v="0"/>
    <n v="0"/>
    <n v="447954.575"/>
    <n v="0"/>
    <n v="0"/>
    <n v="0"/>
    <n v="37"/>
    <n v="1179116"/>
    <n v="0"/>
    <n v="10"/>
    <n v="16"/>
    <n v="4"/>
    <n v="20"/>
    <n v="0"/>
    <n v="488354.4"/>
    <n v="127472"/>
    <n v="610443"/>
    <n v="0"/>
    <n v="37"/>
    <n v="1179116"/>
    <n v="336100.8403361345"/>
    <n v="15"/>
    <n v="39"/>
    <n v="10.5"/>
    <m/>
    <n v="0"/>
    <n v="0"/>
    <n v="1242852"/>
    <n v="320482.575"/>
    <n v="0"/>
    <n v="0"/>
    <n v="37"/>
    <n v="1179116"/>
    <n v="882264.705882353"/>
    <n v="35"/>
    <n v="41"/>
    <n v="4"/>
    <m/>
    <n v="0"/>
    <n v="0"/>
    <n v="1306588"/>
    <n v="122088.6"/>
    <n v="0"/>
    <n v="0"/>
    <n v="41"/>
    <n v="1179116"/>
    <n v="336100.8403361345"/>
    <n v="25"/>
    <n v="42"/>
    <n v="5"/>
    <n v="40"/>
    <n v="40"/>
    <n v="0"/>
    <n v="1338456"/>
    <n v="152610.75"/>
    <n v="1180189.8"/>
    <n v="0"/>
    <n v="42"/>
    <n v="1179116"/>
    <n v="420126.0504201681"/>
    <n v="30"/>
    <n v="37"/>
    <n v="21"/>
    <n v="0"/>
    <n v="0"/>
    <n v="0"/>
    <n v="1179116"/>
    <n v="640965.1499999999"/>
    <n v="0"/>
    <n v="0"/>
    <n v="37"/>
    <n v="1179116"/>
    <n v="1764529.411764706"/>
    <n v="16"/>
    <n v="16"/>
    <n v="11.2"/>
    <n v="30"/>
    <n v="30"/>
    <n v="0"/>
    <n v="488354.4"/>
    <n v="341848.08"/>
    <n v="915664.4999999999"/>
    <n v="0"/>
    <n v="16"/>
    <n v="488354.4"/>
    <n v="941082.3529411765"/>
    <n v="20"/>
    <n v="34.8"/>
    <n v="14"/>
    <n v="0"/>
    <n v="0"/>
    <n v="0"/>
    <n v="30"/>
    <n v="1062170.82"/>
    <n v="427310.1"/>
    <n v="0"/>
    <n v="915664.4999999999"/>
    <n v="34.8"/>
    <n v="1977835.32"/>
    <n v="1176352.941176471"/>
    <n v="25"/>
    <n v="20.8"/>
    <n v="17.5"/>
    <n v="45"/>
    <n v="45"/>
    <n v="634860.7199999999"/>
    <n v="534137.625"/>
    <n v="1373496.75"/>
    <n v="1373496.75"/>
    <n v="65.8"/>
    <n v="2008357.47"/>
    <n v="1543963.235294118"/>
    <n v="30"/>
    <n v="48.3"/>
    <n v="21"/>
    <n v="0"/>
    <n v="0"/>
    <n v="1474219.845"/>
    <n v="640965.1499999999"/>
    <n v="0"/>
    <n v="48.3"/>
    <n v="1474219.845"/>
    <n v="1764529.411764706"/>
    <n v="15"/>
    <n v="27.3"/>
    <n v="10.5"/>
    <n v="0"/>
    <m/>
    <n v="833254.6949999998"/>
    <n v="334614"/>
    <n v="0"/>
    <n v="27.3"/>
    <n v="833254.6949999998"/>
    <n v="882264.705882353"/>
  </r>
  <r>
    <s v="Bandú-Juguetes de Armado"/>
    <x v="0"/>
    <x v="2"/>
    <x v="4"/>
    <s v="BDHELMAD"/>
    <x v="14"/>
    <x v="14"/>
    <x v="0"/>
    <x v="5"/>
    <n v="1.2"/>
    <x v="9"/>
    <n v="7"/>
    <m/>
    <n v="0"/>
    <n v="14626"/>
    <n v="102382"/>
    <n v="12.9"/>
    <n v="14460.9"/>
    <n v="33605.04201680672"/>
    <n v="31084.03361344538"/>
    <s v="Ningbo"/>
    <s v="30/70"/>
    <n v="30"/>
    <n v="10"/>
    <m/>
    <s v=""/>
    <m/>
    <s v=""/>
    <m/>
    <s v=""/>
    <m/>
    <s v=""/>
    <m/>
    <s v=""/>
    <m/>
    <s v=""/>
    <m/>
    <s v=""/>
    <m/>
    <s v=""/>
    <n v="0"/>
    <s v=""/>
    <n v="0"/>
    <s v=""/>
    <m/>
    <m/>
    <n v="11"/>
    <n v="0.5234186920187074"/>
    <n v="1"/>
    <n v="0.502567760705478"/>
    <n v="2"/>
    <n v="0.2371494570547365"/>
    <n v="4"/>
    <n v="0.21944803470546"/>
    <n v="5"/>
    <n v="0.3542556329930861"/>
    <n v="1.666666666666667"/>
    <n v="6"/>
    <n v="0.5536038300418911"/>
    <n v="2"/>
    <n v="11"/>
    <n v="0.3148751786771394"/>
    <n v="3.666666666666667"/>
    <n v="8"/>
    <n v="0.5448513336820083"/>
    <n v="1.333333333333333"/>
    <n v="0"/>
    <s v=""/>
    <n v="0"/>
    <m/>
    <m/>
    <m/>
    <m/>
    <m/>
    <m/>
    <m/>
    <m/>
    <m/>
    <m/>
    <m/>
    <m/>
    <n v="10"/>
    <n v="40"/>
    <n v="5"/>
    <n v="0"/>
    <m/>
    <n v="0"/>
    <n v="175512"/>
    <n v="534059.9999999999"/>
    <n v="73130"/>
    <n v="0"/>
    <n v="7"/>
    <n v="102382"/>
    <n v="141197.6555328013"/>
    <n v="10"/>
    <n v="39"/>
    <n v="3"/>
    <n v="0"/>
    <n v="0"/>
    <n v="0"/>
    <n v="175512"/>
    <n v="520708.4999999999"/>
    <n v="43878"/>
    <n v="0"/>
    <n v="7"/>
    <n v="102382"/>
    <n v="84718.59331968082"/>
    <n v="4"/>
    <n v="37"/>
    <n v="4"/>
    <n v="0"/>
    <n v="0"/>
    <n v="179699.4"/>
    <n v="541162"/>
    <n v="58504"/>
    <n v="0"/>
    <n v="7"/>
    <n v="102382"/>
    <n v="134420.1680672269"/>
    <n v="3"/>
    <n v="33"/>
    <n v="5"/>
    <n v="0"/>
    <n v="0"/>
    <n v="440599.4999999999"/>
    <n v="73130"/>
    <n v="0"/>
    <n v="0"/>
    <n v="7"/>
    <n v="102382"/>
    <n v="168025.2100840336"/>
    <n v="3"/>
    <n v="13"/>
    <n v="3.6"/>
    <m/>
    <n v="0"/>
    <n v="0"/>
    <n v="190138"/>
    <n v="48065.39999999999"/>
    <n v="0"/>
    <n v="0"/>
    <n v="7"/>
    <n v="102382"/>
    <n v="120978.1512605042"/>
    <n v="3"/>
    <n v="18"/>
    <n v="11"/>
    <m/>
    <n v="0"/>
    <n v="0"/>
    <n v="263268"/>
    <n v="146866.5"/>
    <n v="0"/>
    <n v="0"/>
    <n v="18"/>
    <n v="102382"/>
    <n v="369655.4621848739"/>
    <n v="6"/>
    <n v="15"/>
    <n v="8"/>
    <n v="0"/>
    <n v="0"/>
    <n v="0"/>
    <n v="219390"/>
    <n v="106812"/>
    <n v="0"/>
    <n v="0"/>
    <n v="15"/>
    <n v="102382"/>
    <n v="268840.3361344538"/>
    <n v="6"/>
    <n v="7"/>
    <n v="7.199999999999999"/>
    <n v="0"/>
    <n v="0"/>
    <n v="0"/>
    <n v="102382"/>
    <n v="96130.79999999997"/>
    <n v="0"/>
    <n v="0"/>
    <n v="7"/>
    <n v="102382"/>
    <n v="241956.3025210084"/>
    <n v="5"/>
    <n v="0"/>
    <n v="6"/>
    <n v="0"/>
    <n v="0"/>
    <n v="0"/>
    <n v="0"/>
    <n v="80108.99999999999"/>
    <n v="0"/>
    <n v="0"/>
    <n v="0"/>
    <n v="0"/>
    <n v="201630.2521008403"/>
    <n v="5"/>
    <n v="0"/>
    <n v="0"/>
    <n v="30"/>
    <n v="30"/>
    <n v="30"/>
    <n v="0"/>
    <n v="0"/>
    <n v="0"/>
    <n v="400544.9999999999"/>
    <n v="400544.9999999999"/>
    <n v="30"/>
    <n v="400544.9999999999"/>
    <n v="0"/>
    <n v="6"/>
    <n v="30"/>
    <n v="7.199999999999999"/>
    <n v="0"/>
    <n v="0"/>
    <n v="400544.9999999999"/>
    <n v="96130.79999999997"/>
    <n v="0"/>
    <n v="0"/>
    <n v="30"/>
    <n v="400544.9999999999"/>
    <n v="234995.2941176471"/>
    <n v="12"/>
    <n v="22.8"/>
    <n v="14.4"/>
    <n v="0"/>
    <n v="0"/>
    <n v="304414.2"/>
    <n v="192261.5999999999"/>
    <n v="0"/>
    <n v="22.8"/>
    <n v="304414.2"/>
    <n v="483912.6050420167"/>
    <n v="3.6"/>
    <n v="8.400000000000002"/>
    <n v="4.319999999999999"/>
    <n v="0"/>
    <m/>
    <n v="112152.6"/>
    <n v="63184.31999999999"/>
    <n v="0"/>
    <n v="8.400000000000002"/>
    <n v="112152.6"/>
    <n v="145173.781512605"/>
  </r>
  <r>
    <s v="Bandú-Juguetes de Armado"/>
    <x v="0"/>
    <x v="2"/>
    <x v="4"/>
    <s v="BDJUEAUT"/>
    <x v="15"/>
    <x v="15"/>
    <x v="0"/>
    <x v="0"/>
    <n v="1"/>
    <x v="10"/>
    <n v="39"/>
    <m/>
    <n v="0"/>
    <n v="7306"/>
    <n v="284934"/>
    <n v="7"/>
    <n v="7847"/>
    <n v="16798.31932773109"/>
    <n v="14277.31092436975"/>
    <s v="Ningbo"/>
    <s v="30/70"/>
    <n v="30"/>
    <n v="10"/>
    <n v="0"/>
    <s v=""/>
    <n v="0"/>
    <s v=""/>
    <n v="0"/>
    <s v=""/>
    <n v="0"/>
    <s v=""/>
    <n v="0"/>
    <s v=""/>
    <n v="0"/>
    <s v=""/>
    <n v="6"/>
    <n v="0.4824447810766953"/>
    <n v="20"/>
    <n v="0.5367769205797898"/>
    <n v="8"/>
    <n v="0.5038266670153309"/>
    <n v="13"/>
    <n v="0.4541670941442916"/>
    <n v="25"/>
    <n v="0.4682658235319235"/>
    <n v="60"/>
    <n v="0.5466322427265492"/>
    <n v="4"/>
    <n v="0.401679440427989"/>
    <n v="9"/>
    <n v="0.3765536350257915"/>
    <n v="19"/>
    <n v="0.2900202433714792"/>
    <n v="14"/>
    <n v="0.3810830054274665"/>
    <n v="0.9333333333333333"/>
    <n v="12"/>
    <n v="0.6113472020124793"/>
    <n v="1.2"/>
    <n v="19"/>
    <n v="0.3031217206221785"/>
    <n v="0.76"/>
    <n v="25"/>
    <n v="0.5510099483767628"/>
    <n v="1.25"/>
    <n v="18"/>
    <n v="0.6149951312382371"/>
    <n v="0.72"/>
    <m/>
    <m/>
    <m/>
    <m/>
    <m/>
    <m/>
    <m/>
    <m/>
    <m/>
    <m/>
    <m/>
    <m/>
    <n v="15"/>
    <n v="14"/>
    <n v="6"/>
    <n v="0"/>
    <m/>
    <n v="0"/>
    <n v="281281"/>
    <n v="101430"/>
    <n v="43836"/>
    <n v="0"/>
    <n v="39"/>
    <n v="284934"/>
    <n v="84697.40837511476"/>
    <n v="10"/>
    <n v="62"/>
    <n v="13.5"/>
    <n v="45"/>
    <n v="45"/>
    <n v="0"/>
    <n v="339729"/>
    <n v="449189.9999999999"/>
    <n v="98631"/>
    <n v="0"/>
    <n v="39"/>
    <n v="284934"/>
    <n v="190569.1688440082"/>
    <n v="20"/>
    <n v="50"/>
    <n v="19"/>
    <n v="0"/>
    <n v="0"/>
    <n v="313548"/>
    <n v="365300"/>
    <n v="138814"/>
    <n v="0"/>
    <n v="39"/>
    <n v="284934"/>
    <n v="319168.0672268908"/>
    <n v="15"/>
    <n v="44"/>
    <n v="14"/>
    <n v="10"/>
    <n v="0"/>
    <n v="318779.9999999999"/>
    <n v="102284"/>
    <n v="72449.99999999999"/>
    <n v="0"/>
    <n v="39"/>
    <n v="284934"/>
    <n v="235176.4705882353"/>
    <n v="10"/>
    <n v="51"/>
    <n v="10"/>
    <m/>
    <n v="0"/>
    <n v="0"/>
    <n v="372606"/>
    <n v="72449.99999999999"/>
    <n v="0"/>
    <n v="0"/>
    <n v="39"/>
    <n v="284934"/>
    <n v="167983.1932773109"/>
    <n v="25"/>
    <n v="58"/>
    <n v="19"/>
    <m/>
    <n v="0"/>
    <n v="0"/>
    <n v="423748"/>
    <n v="137655"/>
    <n v="0"/>
    <n v="0"/>
    <n v="58"/>
    <n v="284934"/>
    <n v="319168.0672268908"/>
    <n v="20"/>
    <n v="64"/>
    <n v="25"/>
    <n v="75"/>
    <n v="75"/>
    <n v="0"/>
    <n v="467584"/>
    <n v="181125"/>
    <n v="525262.4999999999"/>
    <n v="0"/>
    <n v="64"/>
    <n v="284934"/>
    <n v="419957.9831932773"/>
    <n v="25"/>
    <n v="39"/>
    <n v="25"/>
    <n v="0"/>
    <n v="0"/>
    <n v="0"/>
    <n v="284934"/>
    <n v="181125"/>
    <n v="0"/>
    <n v="0"/>
    <n v="39"/>
    <n v="284934"/>
    <n v="419957.9831932773"/>
    <n v="12"/>
    <n v="14"/>
    <n v="12"/>
    <n v="0"/>
    <n v="0"/>
    <n v="0"/>
    <n v="101430"/>
    <n v="86939.99999999999"/>
    <n v="0"/>
    <n v="0"/>
    <n v="14"/>
    <n v="101430"/>
    <n v="201579.8319327731"/>
    <n v="20"/>
    <n v="2"/>
    <n v="2"/>
    <n v="0"/>
    <n v="0"/>
    <n v="0"/>
    <m/>
    <n v="14490"/>
    <n v="14490"/>
    <n v="0"/>
    <n v="0"/>
    <n v="2"/>
    <n v="14490"/>
    <n v="28554.6218487395"/>
    <n v="25"/>
    <n v="0"/>
    <n v="25"/>
    <n v="90"/>
    <n v="90"/>
    <n v="0"/>
    <n v="181125"/>
    <n v="652049.9999999999"/>
    <n v="652049.9999999999"/>
    <n v="90"/>
    <n v="652049.9999999999"/>
    <n v="374779.4117647059"/>
    <n v="60"/>
    <n v="65"/>
    <n v="60"/>
    <n v="0"/>
    <n v="0"/>
    <n v="470924.9999999999"/>
    <n v="434699.9999999999"/>
    <n v="0"/>
    <n v="65"/>
    <n v="470924.9999999999"/>
    <n v="1007899.159663866"/>
    <n v="15"/>
    <n v="5"/>
    <n v="15"/>
    <n v="0"/>
    <m/>
    <n v="36224.99999999999"/>
    <n v="109590"/>
    <n v="0"/>
    <n v="5"/>
    <n v="36224.99999999999"/>
    <n v="251974.7899159664"/>
  </r>
  <r>
    <m/>
    <x v="0"/>
    <x v="2"/>
    <x v="4"/>
    <s v="BDJUETRE"/>
    <x v="16"/>
    <x v="16"/>
    <x v="0"/>
    <x v="3"/>
    <n v="1"/>
    <x v="11"/>
    <n v="71"/>
    <m/>
    <n v="0"/>
    <n v="16374"/>
    <n v="1162554"/>
    <n v="15.67"/>
    <n v="17566.07"/>
    <n v="42008.40336134454"/>
    <n v="36126.05042016807"/>
    <s v="Ningbo"/>
    <s v="30/70"/>
    <n v="30"/>
    <n v="10"/>
    <n v="0"/>
    <s v=""/>
    <n v="0"/>
    <s v=""/>
    <n v="0"/>
    <s v=""/>
    <n v="0"/>
    <s v=""/>
    <n v="0"/>
    <s v=""/>
    <n v="0"/>
    <s v=""/>
    <n v="9"/>
    <n v="0.584974107675614"/>
    <n v="9"/>
    <n v="0.5446437261128816"/>
    <n v="3"/>
    <n v="0.5847219577223386"/>
    <n v="1"/>
    <n v="0.5674328646879416"/>
    <n v="1"/>
    <n v="0"/>
    <n v="0"/>
    <s v=""/>
    <n v="3"/>
    <n v="0.3472711035227415"/>
    <n v="5"/>
    <n v="0.3140433124763666"/>
    <n v="11"/>
    <n v="0.3647647058914939"/>
    <n v="8"/>
    <n v="0.3482216619427914"/>
    <n v="0.8"/>
    <n v="13"/>
    <n v="0.6032576420168803"/>
    <n v="0.8666666666666667"/>
    <n v="11"/>
    <n v="0.3666316618849932"/>
    <n v="0.3142857142857143"/>
    <n v="7"/>
    <n v="0.5581566714286177"/>
    <n v="0.28"/>
    <n v="1"/>
    <n v="0.3712462084543401"/>
    <n v="0.03333333333333333"/>
    <m/>
    <m/>
    <m/>
    <m/>
    <m/>
    <m/>
    <m/>
    <m/>
    <m/>
    <m/>
    <m/>
    <m/>
    <n v="10"/>
    <n v="86"/>
    <n v="5"/>
    <n v="0"/>
    <m/>
    <n v="0"/>
    <n v="384789"/>
    <n v="1394786.7"/>
    <n v="81870"/>
    <n v="0"/>
    <n v="71"/>
    <n v="1162554"/>
    <n v="176505.8964762376"/>
    <n v="5"/>
    <n v="83"/>
    <n v="7.5"/>
    <n v="0"/>
    <n v="0"/>
    <n v="0"/>
    <n v="433911"/>
    <n v="1346131.35"/>
    <n v="122805"/>
    <n v="0"/>
    <n v="71"/>
    <n v="1162554"/>
    <n v="264758.8447143564"/>
    <n v="15"/>
    <n v="76"/>
    <n v="11"/>
    <n v="0"/>
    <n v="0"/>
    <n v="554382.75"/>
    <n v="1244424"/>
    <n v="180114"/>
    <n v="0"/>
    <n v="71"/>
    <n v="1162554"/>
    <n v="462092.4369747899"/>
    <n v="10"/>
    <n v="54"/>
    <n v="8"/>
    <n v="0"/>
    <n v="0"/>
    <n v="875796.2999999999"/>
    <n v="130992"/>
    <n v="0"/>
    <n v="0"/>
    <n v="71"/>
    <n v="1162554"/>
    <n v="336067.2268907563"/>
    <n v="15"/>
    <n v="84"/>
    <n v="15"/>
    <m/>
    <n v="0"/>
    <n v="0"/>
    <n v="1375416"/>
    <n v="243276.75"/>
    <n v="0"/>
    <n v="0"/>
    <n v="71"/>
    <n v="1162554"/>
    <n v="630126.0504201681"/>
    <n v="35"/>
    <n v="82"/>
    <n v="11"/>
    <m/>
    <n v="0"/>
    <n v="0"/>
    <n v="1342668"/>
    <n v="178402.95"/>
    <n v="0"/>
    <n v="0"/>
    <n v="82"/>
    <n v="1162554"/>
    <n v="462092.4369747899"/>
    <n v="25"/>
    <n v="78"/>
    <n v="7"/>
    <n v="40"/>
    <n v="40"/>
    <n v="0"/>
    <n v="1277172"/>
    <n v="113529.15"/>
    <n v="627113.3999999999"/>
    <n v="0"/>
    <n v="78"/>
    <n v="1162554"/>
    <n v="294058.8235294118"/>
    <n v="30"/>
    <n v="71"/>
    <n v="30"/>
    <n v="0"/>
    <n v="0"/>
    <n v="0"/>
    <n v="1162554"/>
    <n v="486553.4999999999"/>
    <n v="0"/>
    <n v="0"/>
    <n v="71"/>
    <n v="1162554"/>
    <n v="1260252.100840336"/>
    <n v="15"/>
    <n v="41"/>
    <n v="15"/>
    <n v="30"/>
    <n v="30"/>
    <n v="0"/>
    <n v="664956.45"/>
    <n v="243276.75"/>
    <n v="486553.4999999999"/>
    <n v="0"/>
    <n v="41"/>
    <n v="664956.45"/>
    <n v="630126.0504201681"/>
    <n v="15"/>
    <n v="56"/>
    <n v="15"/>
    <n v="0"/>
    <n v="0"/>
    <n v="0"/>
    <n v="30"/>
    <n v="908233.2"/>
    <n v="243276.75"/>
    <n v="0"/>
    <n v="486553.4999999999"/>
    <n v="56"/>
    <n v="1394786.7"/>
    <n v="541890.756302521"/>
    <n v="28"/>
    <n v="41"/>
    <n v="28"/>
    <n v="50"/>
    <n v="50"/>
    <n v="664956.45"/>
    <n v="454116.6"/>
    <n v="810922.5"/>
    <n v="810922.5"/>
    <n v="91"/>
    <n v="1475878.95"/>
    <n v="1062105.882352941"/>
    <n v="40"/>
    <n v="63"/>
    <n v="40"/>
    <n v="0"/>
    <n v="0"/>
    <n v="1021762.35"/>
    <n v="648738"/>
    <n v="0"/>
    <n v="63"/>
    <n v="1021762.35"/>
    <n v="1680336.134453782"/>
    <n v="16.8"/>
    <n v="23"/>
    <n v="16.8"/>
    <n v="0"/>
    <m/>
    <n v="373024.35"/>
    <n v="275083.2"/>
    <n v="0"/>
    <n v="23"/>
    <n v="373024.35"/>
    <n v="705741.1764705883"/>
  </r>
  <r>
    <s v="Bandú-Juguetes de Armado"/>
    <x v="0"/>
    <x v="2"/>
    <x v="5"/>
    <s v="BDMESHERRA"/>
    <x v="17"/>
    <x v="17"/>
    <x v="0"/>
    <x v="0"/>
    <n v="0.6"/>
    <x v="12"/>
    <n v="9"/>
    <m/>
    <n v="0"/>
    <n v="17060"/>
    <n v="153540"/>
    <n v="18"/>
    <n v="20178"/>
    <n v="42008.40336134454"/>
    <n v="42008.40336134454"/>
    <s v="Ningbo"/>
    <s v="30/70"/>
    <n v="30"/>
    <n v="10"/>
    <n v="0"/>
    <s v=""/>
    <n v="0"/>
    <s v=""/>
    <n v="0"/>
    <s v=""/>
    <n v="0"/>
    <s v=""/>
    <n v="0"/>
    <s v=""/>
    <n v="0"/>
    <s v=""/>
    <n v="2"/>
    <n v="0.3355210819411297"/>
    <n v="2"/>
    <n v="0.5228051799657208"/>
    <n v="2"/>
    <n v="0.4385974738846725"/>
    <n v="6"/>
    <n v="0.4736750056850926"/>
    <n v="9"/>
    <n v="0.4346389278428951"/>
    <n v="12"/>
    <n v="0.5464689198134115"/>
    <n v="0"/>
    <s v=""/>
    <n v="0"/>
    <s v=""/>
    <n v="0"/>
    <s v=""/>
    <n v="2"/>
    <n v="0.3117777559961397"/>
    <n v="0.2"/>
    <n v="2"/>
    <n v="0.5938811762352469"/>
    <n v="0.3333333333333333"/>
    <n v="6"/>
    <n v="0.3951633921744622"/>
    <n v="0.4"/>
    <n v="4"/>
    <n v="0.6291352459765076"/>
    <n v="0.4"/>
    <n v="0"/>
    <s v="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9"/>
    <n v="153540"/>
    <n v="0"/>
    <n v="0"/>
    <n v="0"/>
    <n v="0"/>
    <n v="0.01016949152542423"/>
    <n v="0"/>
    <n v="0"/>
    <n v="34120"/>
    <n v="0"/>
    <n v="0"/>
    <n v="0"/>
    <n v="9"/>
    <n v="153540"/>
    <n v="0"/>
    <n v="5"/>
    <n v="0"/>
    <n v="0"/>
    <n v="0"/>
    <n v="0"/>
    <n v="101188"/>
    <n v="0"/>
    <n v="0"/>
    <n v="0"/>
    <n v="9"/>
    <n v="153540"/>
    <n v="0"/>
    <n v="10"/>
    <n v="17"/>
    <n v="2"/>
    <n v="20"/>
    <n v="0"/>
    <n v="316710"/>
    <n v="34120"/>
    <n v="372600"/>
    <n v="0"/>
    <n v="9"/>
    <n v="153540"/>
    <n v="84016.80672268909"/>
    <n v="6"/>
    <n v="11"/>
    <n v="3.6"/>
    <m/>
    <n v="0"/>
    <n v="0"/>
    <n v="187660"/>
    <n v="67068"/>
    <n v="0"/>
    <n v="0"/>
    <n v="9"/>
    <n v="153540"/>
    <n v="151230.2521008403"/>
    <n v="15"/>
    <n v="15"/>
    <n v="6"/>
    <m/>
    <n v="0"/>
    <n v="0"/>
    <n v="255900"/>
    <n v="111780"/>
    <n v="0"/>
    <n v="0"/>
    <n v="15"/>
    <n v="153540"/>
    <n v="252050.4201680673"/>
    <n v="10"/>
    <n v="13"/>
    <n v="4"/>
    <n v="0"/>
    <n v="0"/>
    <n v="0"/>
    <n v="221780"/>
    <n v="74520"/>
    <n v="0"/>
    <n v="0"/>
    <n v="13"/>
    <n v="153540"/>
    <n v="168033.6134453782"/>
    <n v="12"/>
    <n v="9"/>
    <n v="7.199999999999999"/>
    <n v="0"/>
    <n v="0"/>
    <n v="0"/>
    <n v="153540"/>
    <n v="134136"/>
    <n v="0"/>
    <n v="0"/>
    <n v="9"/>
    <n v="153540"/>
    <n v="302460.5042016807"/>
    <n v="10"/>
    <n v="1.800000000000001"/>
    <n v="6"/>
    <n v="15"/>
    <n v="15"/>
    <n v="0"/>
    <n v="33534.00000000001"/>
    <n v="111780"/>
    <n v="279450"/>
    <n v="0"/>
    <n v="1.800000000000001"/>
    <n v="33534.00000000001"/>
    <n v="252050.4201680673"/>
    <n v="6"/>
    <n v="15"/>
    <n v="3.6"/>
    <n v="10"/>
    <n v="10"/>
    <n v="10"/>
    <n v="15"/>
    <n v="279450"/>
    <n v="67068"/>
    <n v="186300"/>
    <n v="465750"/>
    <n v="25"/>
    <n v="745200"/>
    <n v="151230.2521008403"/>
    <n v="9"/>
    <n v="21.4"/>
    <n v="5.399999999999999"/>
    <n v="0"/>
    <n v="0"/>
    <n v="398682"/>
    <n v="100602"/>
    <n v="0"/>
    <n v="0"/>
    <n v="21.4"/>
    <n v="398682"/>
    <n v="238187.6470588236"/>
    <n v="12"/>
    <n v="16"/>
    <n v="7.199999999999999"/>
    <n v="0"/>
    <n v="0"/>
    <n v="298080"/>
    <n v="134136"/>
    <n v="0"/>
    <n v="16"/>
    <n v="298080"/>
    <n v="302460.5042016807"/>
    <n v="5.399999999999999"/>
    <n v="8.800000000000001"/>
    <n v="3.24"/>
    <n v="0"/>
    <m/>
    <n v="163944"/>
    <n v="55274.39999999999"/>
    <n v="0"/>
    <n v="8.800000000000001"/>
    <n v="163944"/>
    <n v="136107.2268907563"/>
  </r>
  <r>
    <m/>
    <x v="0"/>
    <x v="3"/>
    <x v="6"/>
    <s v="BDANDDIDAC"/>
    <x v="18"/>
    <x v="18"/>
    <x v="0"/>
    <x v="1"/>
    <n v="0.8"/>
    <x v="13"/>
    <n v="13"/>
    <m/>
    <n v="0"/>
    <n v="14718"/>
    <n v="191334"/>
    <n v="13.99"/>
    <n v="15682.79"/>
    <n v="42008.40336134454"/>
    <n v="33605.04201680672"/>
    <s v="Ningbo"/>
    <s v="30/70"/>
    <n v="30"/>
    <n v="10"/>
    <n v="0"/>
    <s v=""/>
    <n v="0"/>
    <s v=""/>
    <n v="0"/>
    <s v=""/>
    <n v="0"/>
    <s v=""/>
    <n v="0"/>
    <s v=""/>
    <n v="0"/>
    <s v=""/>
    <n v="19"/>
    <n v="0.5517097746852493"/>
    <n v="28"/>
    <n v="0.5080748707235321"/>
    <n v="3"/>
    <n v="0.5115911477869467"/>
    <n v="0"/>
    <s v=""/>
    <n v="55"/>
    <n v="0.4951656376064832"/>
    <n v="-1"/>
    <n v="0.1417207792207792"/>
    <n v="3"/>
    <n v="0.4315104532588093"/>
    <n v="4"/>
    <n v="0.4616660147004568"/>
    <n v="25"/>
    <n v="0.4020841346425451"/>
    <n v="11"/>
    <n v="0.4584322875264777"/>
    <n v="0.55"/>
    <n v="14"/>
    <n v="0.6412875595537537"/>
    <n v="0.7"/>
    <n v="24"/>
    <n v="0.3684360591515075"/>
    <n v="0.96"/>
    <n v="134"/>
    <n v="0.5963857747616489"/>
    <n v="4.466666666666667"/>
    <n v="54"/>
    <n v="0.5558521584199484"/>
    <n v="1.35"/>
    <m/>
    <m/>
    <m/>
    <m/>
    <m/>
    <m/>
    <m/>
    <m/>
    <m/>
    <m/>
    <m/>
    <m/>
    <n v="20"/>
    <n v="115"/>
    <n v="5"/>
    <n v="0"/>
    <m/>
    <n v="0"/>
    <n v="529848"/>
    <n v="1665159.75"/>
    <n v="73590"/>
    <n v="0"/>
    <n v="13"/>
    <n v="191334"/>
    <n v="176505.8964762376"/>
    <n v="20"/>
    <n v="161"/>
    <n v="6"/>
    <n v="50"/>
    <n v="0"/>
    <n v="0"/>
    <n v="618156"/>
    <n v="2331223.65"/>
    <n v="88308"/>
    <n v="0"/>
    <n v="13"/>
    <n v="191334"/>
    <n v="211807.0757714851"/>
    <n v="30"/>
    <n v="157"/>
    <n v="25"/>
    <n v="0"/>
    <n v="0"/>
    <n v="761522.4"/>
    <n v="2310726"/>
    <n v="367950"/>
    <n v="0"/>
    <n v="13"/>
    <n v="191334"/>
    <n v="1050210.084033614"/>
    <n v="20"/>
    <n v="137"/>
    <n v="11"/>
    <n v="10"/>
    <n v="0"/>
    <n v="1983712.05"/>
    <n v="161898"/>
    <n v="144796.5"/>
    <n v="0"/>
    <n v="13"/>
    <n v="191334"/>
    <n v="462092.4369747899"/>
    <n v="20"/>
    <n v="27"/>
    <n v="16"/>
    <m/>
    <n v="0"/>
    <n v="0"/>
    <n v="397386"/>
    <n v="231674.4"/>
    <n v="0"/>
    <n v="0"/>
    <n v="13"/>
    <n v="191334"/>
    <n v="672134.4537815127"/>
    <n v="25"/>
    <n v="37"/>
    <n v="24"/>
    <m/>
    <n v="0"/>
    <n v="0"/>
    <n v="544566"/>
    <n v="347511.6"/>
    <n v="0"/>
    <n v="0"/>
    <n v="37"/>
    <n v="191334"/>
    <n v="1008201.680672269"/>
    <n v="30"/>
    <n v="147"/>
    <n v="134"/>
    <n v="100"/>
    <n v="100"/>
    <n v="0"/>
    <n v="2163546"/>
    <n v="1940273.1"/>
    <n v="1399699.5"/>
    <n v="0"/>
    <n v="147"/>
    <n v="191334"/>
    <n v="5629126.050420169"/>
    <n v="40"/>
    <n v="13"/>
    <n v="32"/>
    <n v="0"/>
    <n v="0"/>
    <n v="0"/>
    <n v="191334"/>
    <n v="463348.8"/>
    <n v="0"/>
    <n v="0"/>
    <n v="13"/>
    <n v="191334"/>
    <n v="1344268.907563025"/>
    <n v="20"/>
    <n v="0"/>
    <n v="16"/>
    <n v="0"/>
    <n v="0"/>
    <n v="0"/>
    <n v="0"/>
    <n v="231674.4"/>
    <n v="0"/>
    <n v="0"/>
    <n v="0"/>
    <n v="0"/>
    <n v="672134.4537815127"/>
    <n v="25"/>
    <n v="0"/>
    <n v="0"/>
    <n v="0"/>
    <n v="0"/>
    <n v="0"/>
    <m/>
    <n v="0"/>
    <n v="0"/>
    <n v="0"/>
    <n v="0"/>
    <n v="0"/>
    <n v="0"/>
    <n v="0"/>
    <n v="60"/>
    <n v="0"/>
    <n v="48"/>
    <n v="70"/>
    <n v="70"/>
    <n v="0"/>
    <n v="695023.2"/>
    <n v="1013575.5"/>
    <n v="1013575.5"/>
    <n v="70"/>
    <n v="1013575.5"/>
    <n v="1693694.117647059"/>
    <n v="100"/>
    <n v="22"/>
    <n v="80"/>
    <n v="0"/>
    <n v="0"/>
    <n v="318552.3"/>
    <n v="1158372"/>
    <n v="0"/>
    <n v="22"/>
    <n v="318552.3"/>
    <n v="3360672.268907563"/>
    <n v="36"/>
    <n v="0"/>
    <n v="28.8"/>
    <n v="0"/>
    <m/>
    <n v="0"/>
    <n v="423878.4"/>
    <n v="0"/>
    <n v="0"/>
    <n v="0"/>
    <n v="1209842.016806723"/>
  </r>
  <r>
    <m/>
    <x v="0"/>
    <x v="3"/>
    <x v="6"/>
    <s v="BDANDDIDAC-GR"/>
    <x v="19"/>
    <x v="18"/>
    <x v="0"/>
    <x v="3"/>
    <n v="0.8"/>
    <x v="14"/>
    <n v="18"/>
    <m/>
    <n v="0"/>
    <n v="14601"/>
    <n v="262818"/>
    <n v="13.99"/>
    <n v="15682.79"/>
    <n v="42008.40336134454"/>
    <n v="33605.04201680672"/>
    <s v="Ningbo"/>
    <s v="30/70"/>
    <n v="30"/>
    <n v="10"/>
    <n v="0"/>
    <s v=""/>
    <n v="0"/>
    <s v=""/>
    <n v="0"/>
    <s v=""/>
    <n v="0"/>
    <s v=""/>
    <n v="0"/>
    <s v=""/>
    <n v="0"/>
    <s v=""/>
    <n v="2"/>
    <n v="0.4934757165430621"/>
    <n v="13"/>
    <n v="0.504923784298567"/>
    <n v="14"/>
    <n v="0.4948094198259502"/>
    <n v="8"/>
    <n v="0.4958317939570837"/>
    <n v="50"/>
    <n v="0.4680659648520266"/>
    <n v="1"/>
    <n v="0.7671416172917989"/>
    <n v="0"/>
    <s v=""/>
    <n v="1"/>
    <n v="0.286585656294206"/>
    <n v="14"/>
    <n v="0.3295987142058401"/>
    <n v="9"/>
    <n v="0.3822042822040343"/>
    <n v="0.6"/>
    <n v="2"/>
    <n v="0.6819587917583516"/>
    <n v="0.1333333333333333"/>
    <n v="13"/>
    <n v="0.4350612837733387"/>
    <n v="0.52"/>
    <n v="59"/>
    <n v="0.5686626127327028"/>
    <n v="2.36"/>
    <n v="36"/>
    <n v="0.5458514780844874"/>
    <n v="1.028571428571428"/>
    <m/>
    <m/>
    <m/>
    <m/>
    <m/>
    <m/>
    <m/>
    <m/>
    <m/>
    <m/>
    <m/>
    <m/>
    <n v="15"/>
    <n v="8"/>
    <n v="5"/>
    <n v="0"/>
    <n v="0"/>
    <n v="0"/>
    <n v="299320.5"/>
    <n v="115837.2"/>
    <n v="73005"/>
    <n v="0"/>
    <n v="18"/>
    <n v="262818"/>
    <n v="176505.8964762376"/>
    <n v="15"/>
    <n v="23"/>
    <n v="1.5"/>
    <n v="15"/>
    <n v="15"/>
    <n v="0"/>
    <n v="357724.5"/>
    <n v="333031.95"/>
    <n v="21901.5"/>
    <n v="0"/>
    <n v="18"/>
    <n v="262818"/>
    <n v="52951.76894287128"/>
    <n v="20"/>
    <n v="22"/>
    <n v="14"/>
    <n v="0"/>
    <n v="0"/>
    <n v="509578.8"/>
    <n v="321222"/>
    <n v="204414"/>
    <n v="0"/>
    <n v="18"/>
    <n v="262818"/>
    <n v="588117.6470588236"/>
    <n v="15"/>
    <n v="35"/>
    <n v="9"/>
    <n v="30"/>
    <n v="0"/>
    <n v="506787.75"/>
    <n v="131409"/>
    <n v="434389.5"/>
    <n v="0"/>
    <n v="18"/>
    <n v="262818"/>
    <n v="378075.6302521009"/>
    <n v="15"/>
    <n v="20"/>
    <n v="12"/>
    <m/>
    <n v="0"/>
    <n v="0"/>
    <n v="292020"/>
    <n v="173755.8"/>
    <n v="0"/>
    <n v="0"/>
    <n v="18"/>
    <n v="262818"/>
    <n v="504100.8403361345"/>
    <n v="25"/>
    <n v="31"/>
    <n v="13"/>
    <m/>
    <n v="0"/>
    <n v="0"/>
    <n v="452631"/>
    <n v="188235.45"/>
    <n v="0"/>
    <n v="0"/>
    <n v="31"/>
    <n v="262818"/>
    <n v="546109.243697479"/>
    <n v="25"/>
    <n v="77"/>
    <n v="59"/>
    <n v="100"/>
    <n v="100"/>
    <n v="0"/>
    <n v="1124277"/>
    <n v="854299.35"/>
    <n v="1399699.5"/>
    <n v="0"/>
    <n v="77"/>
    <n v="262818"/>
    <n v="2478495.798319328"/>
    <n v="35"/>
    <n v="18"/>
    <n v="28"/>
    <n v="0"/>
    <n v="0"/>
    <n v="0"/>
    <n v="262818"/>
    <n v="405430.2"/>
    <n v="0"/>
    <n v="0"/>
    <n v="18"/>
    <n v="262818"/>
    <n v="1176235.294117647"/>
    <n v="20"/>
    <n v="0"/>
    <n v="16"/>
    <n v="0"/>
    <n v="0"/>
    <n v="0"/>
    <n v="0"/>
    <n v="231674.4"/>
    <n v="0"/>
    <n v="0"/>
    <n v="0"/>
    <n v="0"/>
    <n v="672134.4537815127"/>
    <n v="25"/>
    <n v="0"/>
    <n v="0"/>
    <n v="0"/>
    <n v="0"/>
    <n v="0"/>
    <m/>
    <n v="0"/>
    <n v="0"/>
    <n v="0"/>
    <n v="0"/>
    <n v="0"/>
    <n v="0"/>
    <n v="0"/>
    <n v="50"/>
    <n v="0"/>
    <n v="40"/>
    <n v="120"/>
    <n v="120"/>
    <n v="0"/>
    <n v="579186"/>
    <n v="1737558"/>
    <n v="1737558"/>
    <n v="120"/>
    <n v="1737558"/>
    <n v="1411411.764705882"/>
    <n v="80"/>
    <n v="80"/>
    <n v="64"/>
    <n v="0"/>
    <n v="0"/>
    <n v="1158372"/>
    <n v="926697.6"/>
    <n v="0"/>
    <n v="80"/>
    <n v="1158372"/>
    <n v="2688537.815126051"/>
    <n v="30"/>
    <n v="16"/>
    <n v="24"/>
    <n v="0"/>
    <m/>
    <n v="231674.4"/>
    <n v="350424"/>
    <n v="0"/>
    <n v="16"/>
    <n v="231674.4"/>
    <n v="1008201.680672269"/>
  </r>
  <r>
    <s v="Bandú-Juguetes de Motricidad"/>
    <x v="0"/>
    <x v="3"/>
    <x v="6"/>
    <s v="BNANDCONTRU"/>
    <x v="20"/>
    <x v="19"/>
    <x v="0"/>
    <x v="0"/>
    <n v="1"/>
    <x v="15"/>
    <n v="2"/>
    <m/>
    <n v="0"/>
    <n v="15856"/>
    <n v="31712"/>
    <n v="15"/>
    <n v="16815"/>
    <n v="42008.40336134454"/>
    <n v="33605.04201680672"/>
    <s v="Ningbo"/>
    <s v="30/70"/>
    <n v="30"/>
    <n v="10"/>
    <n v="0"/>
    <s v=""/>
    <n v="0"/>
    <s v=""/>
    <n v="0"/>
    <s v=""/>
    <n v="0"/>
    <s v=""/>
    <n v="0"/>
    <s v=""/>
    <n v="0"/>
    <s v=""/>
    <n v="7"/>
    <n v="0.5834111069149396"/>
    <n v="10"/>
    <n v="0.5867519663176547"/>
    <n v="8"/>
    <n v="0.6024581063699121"/>
    <n v="16"/>
    <n v="0.5397365986180286"/>
    <n v="10"/>
    <n v="0.5858908233756536"/>
    <n v="0"/>
    <s v=""/>
    <n v="0"/>
    <s v=""/>
    <n v="0"/>
    <s v=""/>
    <n v="1"/>
    <n v="0.4507620137975099"/>
    <n v="0"/>
    <s v=""/>
    <n v="0"/>
    <n v="0"/>
    <s v=""/>
    <n v="0"/>
    <n v="1"/>
    <n v="0.4878424737456242"/>
    <n v="0.125"/>
    <n v="41"/>
    <n v="0.6182388822686216"/>
    <n v="8.199999999999999"/>
    <n v="0"/>
    <s v=""/>
    <n v="0"/>
    <m/>
    <m/>
    <m/>
    <m/>
    <m/>
    <m/>
    <m/>
    <m/>
    <m/>
    <m/>
    <m/>
    <m/>
    <n v="0"/>
    <n v="0"/>
    <n v="0"/>
    <n v="0"/>
    <m/>
    <n v="0"/>
    <n v="15856"/>
    <n v="0"/>
    <n v="0"/>
    <n v="0"/>
    <n v="2"/>
    <n v="31712"/>
    <n v="0"/>
    <n v="5"/>
    <n v="0"/>
    <n v="0"/>
    <n v="0"/>
    <n v="0"/>
    <n v="0"/>
    <n v="15856"/>
    <n v="0"/>
    <n v="0"/>
    <n v="0"/>
    <n v="2"/>
    <n v="31712"/>
    <n v="0"/>
    <n v="6"/>
    <n v="0"/>
    <n v="1"/>
    <n v="0"/>
    <n v="0"/>
    <n v="62430.99999999999"/>
    <n v="0"/>
    <n v="15856"/>
    <n v="0"/>
    <n v="2"/>
    <n v="31712"/>
    <n v="42008.40336134454"/>
    <n v="0"/>
    <n v="0"/>
    <n v="0"/>
    <n v="0"/>
    <n v="0"/>
    <n v="0"/>
    <n v="0"/>
    <n v="0"/>
    <n v="0"/>
    <n v="2"/>
    <n v="31712"/>
    <n v="0"/>
    <n v="3"/>
    <n v="2"/>
    <n v="3"/>
    <m/>
    <n v="0"/>
    <n v="0"/>
    <n v="31712"/>
    <n v="46574.99999999999"/>
    <n v="0"/>
    <n v="0"/>
    <n v="2"/>
    <n v="31712"/>
    <n v="126025.2100840336"/>
    <n v="8"/>
    <n v="3"/>
    <n v="1"/>
    <m/>
    <n v="0"/>
    <n v="0"/>
    <n v="47568"/>
    <n v="15525"/>
    <n v="0"/>
    <n v="0"/>
    <n v="3"/>
    <n v="31712"/>
    <n v="42008.40336134454"/>
    <n v="5"/>
    <n v="43"/>
    <n v="41"/>
    <n v="45"/>
    <n v="45"/>
    <n v="0"/>
    <n v="681808"/>
    <n v="636524.9999999999"/>
    <n v="675337.4999999999"/>
    <n v="0"/>
    <n v="43"/>
    <n v="31712"/>
    <n v="1722344.537815126"/>
    <n v="15"/>
    <n v="2"/>
    <n v="15"/>
    <n v="0"/>
    <n v="0"/>
    <n v="0"/>
    <n v="31712"/>
    <n v="232875"/>
    <n v="0"/>
    <n v="0"/>
    <n v="2"/>
    <n v="31712"/>
    <n v="630126.0504201681"/>
    <n v="5"/>
    <n v="0"/>
    <n v="5"/>
    <n v="0"/>
    <n v="0"/>
    <n v="0"/>
    <n v="0"/>
    <n v="77624.99999999999"/>
    <n v="0"/>
    <n v="0"/>
    <n v="0"/>
    <n v="0"/>
    <n v="210042.0168067227"/>
    <n v="20"/>
    <n v="0"/>
    <n v="0"/>
    <n v="0"/>
    <n v="0"/>
    <n v="0"/>
    <m/>
    <n v="0"/>
    <n v="0"/>
    <n v="0"/>
    <n v="0"/>
    <n v="0"/>
    <n v="0"/>
    <n v="0"/>
    <n v="21"/>
    <n v="0"/>
    <n v="21"/>
    <n v="50"/>
    <n v="50"/>
    <n v="0"/>
    <n v="326024.9999999999"/>
    <n v="776249.9999999999"/>
    <n v="776249.9999999999"/>
    <n v="50"/>
    <n v="776249.9999999999"/>
    <n v="740991.1764705883"/>
    <n v="30"/>
    <n v="29"/>
    <n v="30"/>
    <n v="0"/>
    <n v="0"/>
    <n v="450224.9999999999"/>
    <n v="465749.9999999999"/>
    <n v="0"/>
    <n v="29"/>
    <n v="450224.9999999999"/>
    <n v="1260252.100840336"/>
    <n v="12.6"/>
    <n v="0"/>
    <n v="12.6"/>
    <n v="0"/>
    <m/>
    <n v="0"/>
    <n v="199785.6"/>
    <n v="0"/>
    <n v="0"/>
    <n v="0"/>
    <n v="529305.8823529412"/>
  </r>
  <r>
    <m/>
    <x v="0"/>
    <x v="3"/>
    <x v="7"/>
    <s v="BDMBAVTHIE"/>
    <x v="21"/>
    <x v="20"/>
    <x v="0"/>
    <x v="2"/>
    <n v="1"/>
    <x v="3"/>
    <n v="198"/>
    <m/>
    <n v="0"/>
    <n v="11071"/>
    <n v="2192058"/>
    <n v="10.05"/>
    <n v="11266.05"/>
    <n v="19319.32773109244"/>
    <n v="16798.31932773109"/>
    <s v="Ningbo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1"/>
    <n v="0.4436962539587193"/>
    <n v="0"/>
    <s v=""/>
    <n v="1"/>
    <n v="0.0644691382528452"/>
    <n v="0"/>
    <s v=""/>
    <n v="1"/>
    <n v="0.139812735705504"/>
    <n v="0.3333333333333333"/>
    <n v="1"/>
    <n v="0.5293659355576195"/>
    <n v="0.3333333333333333"/>
    <n v="1"/>
    <n v="0.1813762893003604"/>
    <n v="0.05"/>
    <n v="1"/>
    <n v="0.5881929857464366"/>
    <n v="0.06666666666666667"/>
    <n v="3"/>
    <n v="0.3517772092107853"/>
    <n v="0.2"/>
    <m/>
    <m/>
    <m/>
    <m/>
    <m/>
    <m/>
    <m/>
    <m/>
    <m/>
    <m/>
    <m/>
    <m/>
    <n v="15"/>
    <n v="205"/>
    <n v="5"/>
    <n v="0"/>
    <m/>
    <n v="0"/>
    <n v="71961.5"/>
    <n v="2132358.75"/>
    <n v="55355"/>
    <n v="0"/>
    <n v="198"/>
    <n v="2192058"/>
    <n v="81173.64592895983"/>
    <n v="5"/>
    <n v="205"/>
    <n v="1.5"/>
    <n v="0"/>
    <n v="0"/>
    <n v="0"/>
    <n v="27677.5"/>
    <n v="2132358.75"/>
    <n v="16606.5"/>
    <n v="0"/>
    <n v="198"/>
    <n v="2192058"/>
    <n v="24352.09377868795"/>
    <n v="35"/>
    <n v="204"/>
    <n v="0"/>
    <n v="0"/>
    <n v="0"/>
    <n v="42276.25"/>
    <n v="2258484"/>
    <n v="0"/>
    <n v="0"/>
    <n v="198"/>
    <n v="2192058"/>
    <n v="0"/>
    <n v="3"/>
    <n v="204"/>
    <n v="1"/>
    <n v="0"/>
    <n v="0"/>
    <n v="2121957"/>
    <n v="11071"/>
    <n v="0"/>
    <n v="0"/>
    <n v="198"/>
    <n v="2192058"/>
    <n v="19319.32773109244"/>
    <n v="3"/>
    <n v="199"/>
    <n v="3"/>
    <m/>
    <n v="0"/>
    <n v="0"/>
    <n v="2203129"/>
    <n v="31205.25"/>
    <n v="0"/>
    <n v="0"/>
    <n v="198"/>
    <n v="2192058"/>
    <n v="57957.98319327732"/>
    <n v="20"/>
    <n v="199"/>
    <n v="1"/>
    <m/>
    <n v="0"/>
    <n v="0"/>
    <n v="2203129"/>
    <n v="10401.75"/>
    <n v="0"/>
    <n v="0"/>
    <n v="199"/>
    <n v="2192058"/>
    <n v="19319.32773109244"/>
    <n v="15"/>
    <n v="199"/>
    <n v="1"/>
    <n v="0"/>
    <n v="0"/>
    <n v="0"/>
    <n v="2203129"/>
    <n v="10401.75"/>
    <n v="0"/>
    <n v="0"/>
    <n v="199"/>
    <n v="2192058"/>
    <n v="19319.32773109244"/>
    <n v="15"/>
    <n v="198"/>
    <n v="15"/>
    <n v="0"/>
    <n v="0"/>
    <n v="0"/>
    <n v="2192058"/>
    <n v="156026.25"/>
    <n v="0"/>
    <n v="0"/>
    <n v="198"/>
    <n v="2192058"/>
    <n v="289789.9159663866"/>
    <n v="5"/>
    <n v="183"/>
    <n v="5"/>
    <n v="0"/>
    <n v="0"/>
    <n v="0"/>
    <n v="1903520.25"/>
    <n v="52008.75"/>
    <n v="0"/>
    <n v="0"/>
    <n v="183"/>
    <n v="1903520.25"/>
    <n v="96596.63865546219"/>
    <n v="15"/>
    <n v="178"/>
    <n v="15"/>
    <n v="0"/>
    <n v="0"/>
    <n v="0"/>
    <m/>
    <n v="1851511.5"/>
    <n v="156026.25"/>
    <n v="0"/>
    <n v="0"/>
    <n v="178"/>
    <n v="1851511.5"/>
    <n v="251974.7899159664"/>
    <n v="10.5"/>
    <n v="163"/>
    <n v="10.5"/>
    <n v="0"/>
    <n v="0"/>
    <n v="1695485.25"/>
    <n v="109218.375"/>
    <n v="0"/>
    <n v="0"/>
    <n v="163"/>
    <n v="1695485.25"/>
    <n v="185201.4705882353"/>
    <n v="16"/>
    <n v="152.5"/>
    <n v="16"/>
    <n v="0"/>
    <n v="0"/>
    <n v="1586266.875"/>
    <n v="166428"/>
    <n v="0"/>
    <n v="152.5"/>
    <n v="1586266.875"/>
    <n v="309109.243697479"/>
    <n v="6.3"/>
    <n v="136.5"/>
    <n v="6.3"/>
    <n v="0"/>
    <m/>
    <n v="1419838.875"/>
    <n v="69747.3"/>
    <n v="0"/>
    <n v="136.5"/>
    <n v="1419838.875"/>
    <n v="121711.7647058824"/>
  </r>
  <r>
    <m/>
    <x v="0"/>
    <x v="3"/>
    <x v="7"/>
    <s v="BDMBBOESP"/>
    <x v="22"/>
    <x v="21"/>
    <x v="0"/>
    <x v="2"/>
    <n v="1"/>
    <x v="3"/>
    <n v="131"/>
    <m/>
    <n v="0"/>
    <n v="4538"/>
    <n v="594478"/>
    <n v="3.81"/>
    <n v="4271.01"/>
    <n v="8394.957983193277"/>
    <n v="7554.621848739496"/>
    <s v="Ningbo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5617999227500966"/>
    <n v="38"/>
    <n v="0.5392155801661496"/>
    <n v="12"/>
    <n v="0.2526052474120559"/>
    <n v="4"/>
    <n v="0.3159271029359682"/>
    <n v="8"/>
    <n v="0.2300393931665441"/>
    <n v="3"/>
    <n v="0.3971057944490617"/>
    <n v="1"/>
    <n v="8"/>
    <n v="0.4594424424424425"/>
    <n v="2.666666666666667"/>
    <n v="13"/>
    <n v="0.2389265114800985"/>
    <n v="0.8666666666666667"/>
    <n v="21"/>
    <n v="0.3311435564730168"/>
    <n v="1.75"/>
    <n v="4"/>
    <n v="0.5842817551963048"/>
    <n v="0.2"/>
    <m/>
    <m/>
    <m/>
    <m/>
    <m/>
    <m/>
    <m/>
    <m/>
    <m/>
    <m/>
    <m/>
    <m/>
    <n v="20"/>
    <n v="205"/>
    <n v="10"/>
    <n v="0"/>
    <m/>
    <n v="0"/>
    <n v="108912"/>
    <n v="808386.75"/>
    <n v="45380"/>
    <n v="0"/>
    <n v="131"/>
    <n v="594478"/>
    <n v="70545.86540498552"/>
    <n v="10"/>
    <n v="193"/>
    <n v="6"/>
    <n v="0"/>
    <n v="0"/>
    <n v="0"/>
    <n v="77146"/>
    <n v="761066.5499999999"/>
    <n v="27228"/>
    <n v="0"/>
    <n v="131"/>
    <n v="594478"/>
    <n v="42327.51924299131"/>
    <n v="50"/>
    <n v="188"/>
    <n v="8"/>
    <n v="0"/>
    <n v="0"/>
    <n v="61748.05"/>
    <n v="853144"/>
    <n v="36304"/>
    <n v="0"/>
    <n v="131"/>
    <n v="594478"/>
    <n v="67159.66386554622"/>
    <n v="3"/>
    <n v="181"/>
    <n v="3"/>
    <n v="0"/>
    <n v="0"/>
    <n v="713746.35"/>
    <n v="13614"/>
    <n v="0"/>
    <n v="0"/>
    <n v="131"/>
    <n v="594478"/>
    <n v="25184.87394957983"/>
    <n v="3"/>
    <n v="139"/>
    <n v="3"/>
    <m/>
    <n v="0"/>
    <n v="0"/>
    <n v="630782"/>
    <n v="11830.05"/>
    <n v="0"/>
    <n v="0"/>
    <n v="131"/>
    <n v="594478"/>
    <n v="25184.87394957983"/>
    <n v="15"/>
    <n v="144"/>
    <n v="13"/>
    <m/>
    <n v="0"/>
    <n v="0"/>
    <n v="653472"/>
    <n v="51263.55"/>
    <n v="0"/>
    <n v="0"/>
    <n v="144"/>
    <n v="594478"/>
    <n v="109134.4537815126"/>
    <n v="12"/>
    <n v="152"/>
    <n v="21"/>
    <n v="0"/>
    <n v="0"/>
    <n v="0"/>
    <n v="689776"/>
    <n v="82810.34999999999"/>
    <n v="0"/>
    <n v="0"/>
    <n v="152"/>
    <n v="594478"/>
    <n v="176294.1176470588"/>
    <n v="20"/>
    <n v="131"/>
    <n v="20"/>
    <n v="0"/>
    <n v="0"/>
    <n v="0"/>
    <n v="594478"/>
    <n v="78867"/>
    <n v="0"/>
    <n v="0"/>
    <n v="131"/>
    <n v="594478"/>
    <n v="167899.1596638655"/>
    <n v="4"/>
    <n v="111"/>
    <n v="4"/>
    <n v="0"/>
    <n v="0"/>
    <n v="0"/>
    <n v="437711.85"/>
    <n v="15773.4"/>
    <n v="0"/>
    <n v="0"/>
    <n v="111"/>
    <n v="437711.85"/>
    <n v="33579.83193277311"/>
    <n v="20"/>
    <n v="107"/>
    <n v="20"/>
    <n v="0"/>
    <n v="0"/>
    <n v="0"/>
    <m/>
    <n v="421938.45"/>
    <n v="78867"/>
    <n v="0"/>
    <n v="0"/>
    <n v="107"/>
    <n v="421938.45"/>
    <n v="151092.4369747899"/>
    <n v="14"/>
    <n v="87"/>
    <n v="14"/>
    <n v="0"/>
    <n v="0"/>
    <n v="343071.45"/>
    <n v="55206.9"/>
    <n v="0"/>
    <n v="0"/>
    <n v="87"/>
    <n v="343071.45"/>
    <n v="111052.9411764706"/>
    <n v="32"/>
    <n v="73"/>
    <n v="32"/>
    <n v="0"/>
    <n v="0"/>
    <n v="287864.55"/>
    <n v="126187.2"/>
    <n v="0"/>
    <n v="73"/>
    <n v="287864.55"/>
    <n v="268638.6554621849"/>
    <n v="8.4"/>
    <n v="41"/>
    <n v="8.4"/>
    <n v="0"/>
    <m/>
    <n v="161677.35"/>
    <n v="38119.2"/>
    <n v="0"/>
    <n v="41"/>
    <n v="161677.35"/>
    <n v="70517.64705882352"/>
  </r>
  <r>
    <m/>
    <x v="0"/>
    <x v="3"/>
    <x v="7"/>
    <s v="BDMBCIUMG"/>
    <x v="23"/>
    <x v="22"/>
    <x v="0"/>
    <x v="2"/>
    <n v="1"/>
    <x v="3"/>
    <n v="159"/>
    <m/>
    <n v="0"/>
    <n v="8924"/>
    <n v="1418916"/>
    <n v="8"/>
    <n v="8968"/>
    <n v="15957.98319327731"/>
    <n v="14277.31092436975"/>
    <s v="Ningbo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05003193527783692"/>
    <n v="3"/>
    <n v="0.4731684278883051"/>
    <n v="29"/>
    <n v="0.3763441491689134"/>
    <n v="3"/>
    <n v="0.2413787506317653"/>
    <n v="1"/>
    <n v="0.1676575582208582"/>
    <n v="4"/>
    <n v="0.2758392288733568"/>
    <n v="0"/>
    <s v=""/>
    <n v="0"/>
    <n v="1"/>
    <n v="0.5872997551591466"/>
    <n v="0.3333333333333333"/>
    <n v="2"/>
    <n v="0.2928365758754864"/>
    <n v="0.1111111111111111"/>
    <n v="5"/>
    <n v="0.3815163480914608"/>
    <n v="0.3571428571428572"/>
    <n v="9"/>
    <n v="0.3159974093264248"/>
    <n v="0.45"/>
    <m/>
    <m/>
    <m/>
    <m/>
    <m/>
    <m/>
    <m/>
    <m/>
    <m/>
    <m/>
    <m/>
    <m/>
    <n v="20"/>
    <n v="184"/>
    <n v="5"/>
    <n v="0"/>
    <m/>
    <n v="0"/>
    <n v="93702"/>
    <n v="1523520"/>
    <n v="44620"/>
    <n v="0"/>
    <n v="159"/>
    <n v="1418916"/>
    <n v="67050.34955158536"/>
    <n v="5"/>
    <n v="181"/>
    <n v="1.5"/>
    <n v="0"/>
    <n v="0"/>
    <n v="0"/>
    <n v="49082"/>
    <n v="1498680"/>
    <n v="13386"/>
    <n v="0"/>
    <n v="159"/>
    <n v="1418916"/>
    <n v="20115.10486547561"/>
    <n v="25"/>
    <n v="180"/>
    <n v="4"/>
    <n v="0"/>
    <n v="0"/>
    <n v="60536"/>
    <n v="1606320"/>
    <n v="35696"/>
    <n v="0"/>
    <n v="159"/>
    <n v="1418916"/>
    <n v="63831.93277310925"/>
    <n v="3"/>
    <n v="176"/>
    <n v="0"/>
    <n v="0"/>
    <n v="0"/>
    <n v="1457280"/>
    <n v="0"/>
    <n v="0"/>
    <n v="0"/>
    <n v="159"/>
    <n v="1418916"/>
    <n v="0"/>
    <n v="3"/>
    <n v="160"/>
    <n v="3"/>
    <m/>
    <n v="0"/>
    <n v="0"/>
    <n v="1427840"/>
    <n v="24840"/>
    <n v="0"/>
    <n v="0"/>
    <n v="159"/>
    <n v="1418916"/>
    <n v="47873.94957983194"/>
    <n v="18"/>
    <n v="161"/>
    <n v="2"/>
    <m/>
    <n v="0"/>
    <n v="0"/>
    <n v="1436764"/>
    <n v="16560"/>
    <n v="0"/>
    <n v="0"/>
    <n v="161"/>
    <n v="1418916"/>
    <n v="31915.96638655462"/>
    <n v="14"/>
    <n v="164"/>
    <n v="5"/>
    <n v="0"/>
    <n v="0"/>
    <n v="0"/>
    <n v="1463536"/>
    <n v="41400"/>
    <n v="0"/>
    <n v="0"/>
    <n v="164"/>
    <n v="1418916"/>
    <n v="79789.91596638656"/>
    <n v="20"/>
    <n v="159"/>
    <n v="20"/>
    <n v="0"/>
    <n v="0"/>
    <n v="0"/>
    <n v="1418916"/>
    <n v="165600"/>
    <n v="0"/>
    <n v="0"/>
    <n v="159"/>
    <n v="1418916"/>
    <n v="319159.6638655462"/>
    <n v="5"/>
    <n v="139"/>
    <n v="5"/>
    <n v="0"/>
    <n v="0"/>
    <n v="0"/>
    <n v="1150920"/>
    <n v="41400"/>
    <n v="0"/>
    <n v="0"/>
    <n v="139"/>
    <n v="1150920"/>
    <n v="79789.91596638656"/>
    <n v="22"/>
    <n v="134"/>
    <n v="22"/>
    <n v="0"/>
    <n v="0"/>
    <n v="0"/>
    <m/>
    <n v="1109520"/>
    <n v="182160"/>
    <n v="0"/>
    <n v="0"/>
    <n v="134"/>
    <n v="1109520"/>
    <n v="314100.8403361345"/>
    <n v="15.4"/>
    <n v="112"/>
    <n v="15.4"/>
    <n v="0"/>
    <n v="0"/>
    <n v="927360"/>
    <n v="127512"/>
    <n v="0"/>
    <n v="0"/>
    <n v="112"/>
    <n v="927360"/>
    <n v="230864.1176470589"/>
    <n v="24"/>
    <n v="96.59999999999999"/>
    <n v="24"/>
    <n v="0"/>
    <n v="0"/>
    <n v="799848"/>
    <n v="198720"/>
    <n v="0"/>
    <n v="96.59999999999999"/>
    <n v="799848"/>
    <n v="382991.5966386555"/>
    <n v="9.239999999999998"/>
    <n v="72.59999999999999"/>
    <n v="9.239999999999998"/>
    <n v="0"/>
    <m/>
    <n v="601128"/>
    <n v="82457.75999999998"/>
    <n v="0"/>
    <n v="72.59999999999999"/>
    <n v="601128"/>
    <n v="147451.7647058823"/>
  </r>
  <r>
    <s v="Bandú-Juguetes de Motricidad"/>
    <x v="0"/>
    <x v="3"/>
    <x v="7"/>
    <s v="BDMBMNMRIO"/>
    <x v="24"/>
    <x v="23"/>
    <x v="0"/>
    <x v="2"/>
    <n v="1"/>
    <x v="3"/>
    <n v="44"/>
    <m/>
    <n v="0"/>
    <n v="6475"/>
    <n v="284900"/>
    <n v="5.66"/>
    <n v="6344.86"/>
    <n v="12596.63865546219"/>
    <n v="10075.63025210084"/>
    <s v="Ningbo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4"/>
    <n v="0.4745171238435319"/>
    <n v="124"/>
    <n v="0.4515867871567701"/>
    <n v="11"/>
    <n v="0.3015956380343283"/>
    <n v="11"/>
    <n v="0.2328919237208636"/>
    <n v="6"/>
    <n v="0.2171952368427338"/>
    <n v="1"/>
    <n v="0.2124809084735052"/>
    <n v="0.3333333333333333"/>
    <n v="4"/>
    <n v="0.5995302998804636"/>
    <n v="1.333333333333333"/>
    <n v="21"/>
    <n v="0.3816474218236193"/>
    <n v="1.05"/>
    <n v="8"/>
    <n v="0.4198287026579324"/>
    <n v="0.5333333333333333"/>
    <n v="7"/>
    <n v="0.4407937462417318"/>
    <n v="0.2333333333333333"/>
    <m/>
    <m/>
    <m/>
    <m/>
    <m/>
    <m/>
    <m/>
    <m/>
    <m/>
    <m/>
    <m/>
    <m/>
    <n v="40"/>
    <n v="103"/>
    <n v="15"/>
    <n v="0"/>
    <m/>
    <n v="0"/>
    <n v="242812.5"/>
    <n v="603384.2999999999"/>
    <n v="97125"/>
    <n v="0"/>
    <n v="44"/>
    <n v="284900"/>
    <n v="158781.1595226326"/>
    <n v="15"/>
    <n v="102"/>
    <n v="16.5"/>
    <n v="0"/>
    <n v="0"/>
    <n v="0"/>
    <n v="152162.5"/>
    <n v="597526.2"/>
    <n v="106837.5"/>
    <n v="0"/>
    <n v="44"/>
    <n v="284900"/>
    <n v="174659.2754748959"/>
    <n v="45"/>
    <n v="91"/>
    <n v="6"/>
    <n v="0"/>
    <n v="0"/>
    <n v="62899.3"/>
    <n v="589225"/>
    <n v="38850"/>
    <n v="0"/>
    <n v="44"/>
    <n v="284900"/>
    <n v="75579.83193277312"/>
    <n v="3"/>
    <n v="85"/>
    <n v="1"/>
    <n v="0"/>
    <n v="0"/>
    <n v="497938.4999999999"/>
    <n v="6475"/>
    <n v="0"/>
    <n v="0"/>
    <n v="44"/>
    <n v="284900"/>
    <n v="12596.63865546219"/>
    <n v="3"/>
    <n v="48"/>
    <n v="3"/>
    <m/>
    <n v="0"/>
    <n v="0"/>
    <n v="310800"/>
    <n v="17574.3"/>
    <n v="0"/>
    <n v="0"/>
    <n v="44"/>
    <n v="284900"/>
    <n v="37789.91596638656"/>
    <n v="20"/>
    <n v="65"/>
    <n v="21"/>
    <m/>
    <n v="0"/>
    <n v="0"/>
    <n v="420875"/>
    <n v="123020.1"/>
    <n v="0"/>
    <n v="0"/>
    <n v="65"/>
    <n v="284900"/>
    <n v="264529.4117647059"/>
    <n v="15"/>
    <n v="52"/>
    <n v="8"/>
    <n v="0"/>
    <n v="0"/>
    <n v="0"/>
    <n v="336700"/>
    <n v="46864.8"/>
    <n v="0"/>
    <n v="0"/>
    <n v="52"/>
    <n v="284900"/>
    <n v="100773.1092436975"/>
    <n v="30"/>
    <n v="44"/>
    <n v="30"/>
    <n v="0"/>
    <n v="0"/>
    <n v="0"/>
    <n v="284900"/>
    <n v="175743"/>
    <n v="0"/>
    <n v="0"/>
    <n v="44"/>
    <n v="284900"/>
    <n v="377899.1596638656"/>
    <n v="5"/>
    <n v="14"/>
    <n v="5"/>
    <n v="0"/>
    <n v="0"/>
    <n v="0"/>
    <n v="82013.39999999999"/>
    <n v="29290.5"/>
    <n v="0"/>
    <n v="0"/>
    <n v="14"/>
    <n v="82013.39999999999"/>
    <n v="62983.19327731093"/>
    <n v="20"/>
    <n v="9"/>
    <n v="9"/>
    <n v="0"/>
    <n v="0"/>
    <n v="0"/>
    <m/>
    <n v="52722.89999999999"/>
    <n v="52722.89999999999"/>
    <n v="0"/>
    <n v="0"/>
    <n v="9"/>
    <n v="52722.89999999999"/>
    <n v="90680.67226890757"/>
    <n v="17.5"/>
    <n v="0"/>
    <n v="17.5"/>
    <n v="0"/>
    <n v="0"/>
    <n v="0"/>
    <n v="102516.75"/>
    <n v="0"/>
    <n v="0"/>
    <n v="0"/>
    <n v="0"/>
    <n v="185139.705882353"/>
    <n v="80"/>
    <n v="0"/>
    <n v="80"/>
    <n v="0"/>
    <n v="0"/>
    <n v="0"/>
    <n v="468647.9999999999"/>
    <n v="0"/>
    <n v="0"/>
    <n v="0"/>
    <n v="1007731.092436975"/>
    <n v="10.5"/>
    <n v="0"/>
    <n v="10.5"/>
    <n v="0"/>
    <m/>
    <n v="0"/>
    <n v="67987.5"/>
    <n v="0"/>
    <n v="0"/>
    <n v="0"/>
    <n v="132264.705882353"/>
  </r>
  <r>
    <s v="Bandú-Juguetes de Motricidad"/>
    <x v="0"/>
    <x v="3"/>
    <x v="7"/>
    <s v="BDMBSPAVMRIO"/>
    <x v="25"/>
    <x v="24"/>
    <x v="0"/>
    <x v="2"/>
    <n v="1"/>
    <x v="3"/>
    <n v="99"/>
    <m/>
    <n v="0"/>
    <n v="12159"/>
    <n v="1203741"/>
    <n v="11.09"/>
    <n v="12431.89"/>
    <n v="21000"/>
    <n v="19319.32773109244"/>
    <s v="Ningbo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4210091903303122"/>
    <n v="58"/>
    <n v="0.4166206744165363"/>
    <n v="17"/>
    <n v="0.1081464517094846"/>
    <n v="7"/>
    <n v="0.3161331493666164"/>
    <n v="6"/>
    <n v="0.1488203663455514"/>
    <n v="3"/>
    <n v="0.1475194724004796"/>
    <n v="1"/>
    <n v="7"/>
    <n v="0.3012416091176897"/>
    <n v="2.333333333333333"/>
    <n v="5"/>
    <n v="0.1325292107895879"/>
    <n v="0.3333333333333333"/>
    <n v="7"/>
    <n v="0.3213276690409343"/>
    <n v="0.5833333333333334"/>
    <n v="9"/>
    <n v="0.4271104913071022"/>
    <n v="0.45"/>
    <m/>
    <m/>
    <m/>
    <m/>
    <m/>
    <m/>
    <m/>
    <m/>
    <m/>
    <m/>
    <m/>
    <m/>
    <n v="20"/>
    <n v="153"/>
    <n v="15"/>
    <n v="0"/>
    <m/>
    <n v="0"/>
    <n v="383008.5"/>
    <n v="1756156.95"/>
    <n v="182385"/>
    <n v="0"/>
    <n v="99"/>
    <n v="1203741"/>
    <n v="264705.8823529412"/>
    <n v="15"/>
    <n v="137"/>
    <n v="10.5"/>
    <n v="0"/>
    <n v="0"/>
    <n v="0"/>
    <n v="237100.5"/>
    <n v="1572506.55"/>
    <n v="127669.5"/>
    <n v="0"/>
    <n v="99"/>
    <n v="1203741"/>
    <n v="185294.1176470588"/>
    <n v="25"/>
    <n v="130"/>
    <n v="6"/>
    <n v="0"/>
    <n v="0"/>
    <n v="143865.45"/>
    <n v="1580670"/>
    <n v="72954"/>
    <n v="0"/>
    <n v="99"/>
    <n v="1203741"/>
    <n v="126000"/>
    <n v="3"/>
    <n v="124"/>
    <n v="3"/>
    <n v="0"/>
    <n v="0"/>
    <n v="1423290.6"/>
    <n v="36477"/>
    <n v="0"/>
    <n v="0"/>
    <n v="99"/>
    <n v="1203741"/>
    <n v="63000"/>
    <n v="3"/>
    <n v="106"/>
    <n v="3"/>
    <m/>
    <n v="0"/>
    <n v="0"/>
    <n v="1288854"/>
    <n v="34434.45"/>
    <n v="0"/>
    <n v="0"/>
    <n v="99"/>
    <n v="1203741"/>
    <n v="63000"/>
    <n v="15"/>
    <n v="104"/>
    <n v="5"/>
    <m/>
    <n v="0"/>
    <n v="0"/>
    <n v="1264536"/>
    <n v="57390.75"/>
    <n v="0"/>
    <n v="0"/>
    <n v="104"/>
    <n v="1203741"/>
    <n v="105000"/>
    <n v="12"/>
    <n v="106"/>
    <n v="7"/>
    <n v="0"/>
    <n v="0"/>
    <n v="0"/>
    <n v="1288854"/>
    <n v="80347.05"/>
    <n v="0"/>
    <n v="0"/>
    <n v="106"/>
    <n v="1203741"/>
    <n v="147000"/>
    <n v="20"/>
    <n v="99"/>
    <n v="20"/>
    <n v="0"/>
    <n v="0"/>
    <n v="0"/>
    <n v="1203741"/>
    <n v="229563"/>
    <n v="0"/>
    <n v="0"/>
    <n v="99"/>
    <n v="1203741"/>
    <n v="420000"/>
    <n v="4"/>
    <n v="79"/>
    <n v="4"/>
    <n v="0"/>
    <n v="0"/>
    <n v="0"/>
    <n v="906773.85"/>
    <n v="45912.6"/>
    <n v="0"/>
    <n v="0"/>
    <n v="79"/>
    <n v="906773.85"/>
    <n v="84000"/>
    <n v="20"/>
    <n v="75"/>
    <n v="20"/>
    <n v="0"/>
    <n v="0"/>
    <n v="0"/>
    <m/>
    <n v="860861.25"/>
    <n v="229563"/>
    <n v="0"/>
    <n v="0"/>
    <n v="75"/>
    <n v="860861.25"/>
    <n v="386386.5546218487"/>
    <n v="14"/>
    <n v="55"/>
    <n v="14"/>
    <n v="0"/>
    <n v="0"/>
    <n v="631298.25"/>
    <n v="160694.1"/>
    <n v="0"/>
    <n v="0"/>
    <n v="55"/>
    <n v="631298.25"/>
    <n v="283994.1176470589"/>
    <n v="40"/>
    <n v="41"/>
    <n v="40"/>
    <n v="0"/>
    <n v="0"/>
    <n v="470604.15"/>
    <n v="459126"/>
    <n v="0"/>
    <n v="41"/>
    <n v="470604.15"/>
    <n v="840000"/>
    <n v="8.4"/>
    <n v="1"/>
    <n v="8.4"/>
    <n v="0"/>
    <m/>
    <n v="11478.15"/>
    <n v="102135.6"/>
    <n v="0"/>
    <n v="1"/>
    <n v="11478.15"/>
    <n v="176400"/>
  </r>
  <r>
    <s v="Bandú-Juguetes de Motricidad"/>
    <x v="0"/>
    <x v="3"/>
    <x v="7"/>
    <s v="BDMESDIDAC"/>
    <x v="26"/>
    <x v="25"/>
    <x v="0"/>
    <x v="2"/>
    <n v="1"/>
    <x v="3"/>
    <n v="13"/>
    <m/>
    <n v="0"/>
    <n v="16411"/>
    <n v="213343"/>
    <n v="13.5"/>
    <n v="15133.5"/>
    <n v="42008.40336134454"/>
    <n v="39487.3949579832"/>
    <s v="Ningbo"/>
    <s v="30/70"/>
    <n v="30"/>
    <n v="10"/>
    <n v="0"/>
    <s v=""/>
    <n v="0"/>
    <s v=""/>
    <n v="0"/>
    <s v=""/>
    <n v="0"/>
    <s v=""/>
    <n v="0"/>
    <s v=""/>
    <n v="0"/>
    <s v=""/>
    <n v="4"/>
    <n v="0.618383799911128"/>
    <n v="4"/>
    <n v="0.5790874018890515"/>
    <n v="8"/>
    <n v="0.5401272026037202"/>
    <n v="2"/>
    <n v="0.5527884721537869"/>
    <n v="16"/>
    <n v="0.5186522281427984"/>
    <n v="38"/>
    <n v="0.5444723700677282"/>
    <n v="3"/>
    <n v="0.4449040449071355"/>
    <n v="0"/>
    <s v=""/>
    <n v="0"/>
    <s v=""/>
    <n v="4"/>
    <n v="0.3602681118384033"/>
    <n v="1.333333333333333"/>
    <n v="5"/>
    <n v="0.5407219512195122"/>
    <n v="1.666666666666667"/>
    <n v="13"/>
    <n v="0.3712680296036364"/>
    <n v="2.166666666666667"/>
    <n v="7"/>
    <n v="0.5918646972259783"/>
    <n v="2.333333333333333"/>
    <n v="3"/>
    <n v="0.5902231307363204"/>
    <n v="0.6"/>
    <m/>
    <m/>
    <m/>
    <m/>
    <m/>
    <m/>
    <m/>
    <m/>
    <m/>
    <m/>
    <m/>
    <m/>
    <n v="7"/>
    <n v="3"/>
    <n v="3"/>
    <n v="0"/>
    <m/>
    <n v="0"/>
    <n v="49233"/>
    <n v="41917.49999999999"/>
    <n v="49233"/>
    <n v="0"/>
    <n v="13"/>
    <n v="213343"/>
    <n v="105903.5378857426"/>
    <n v="6"/>
    <n v="0"/>
    <n v="0"/>
    <n v="0"/>
    <n v="0"/>
    <n v="0"/>
    <n v="65644"/>
    <n v="0"/>
    <n v="0"/>
    <n v="0"/>
    <n v="13"/>
    <n v="213343"/>
    <n v="0"/>
    <n v="15"/>
    <n v="0"/>
    <n v="0"/>
    <n v="0"/>
    <n v="0"/>
    <n v="107561.5"/>
    <n v="0"/>
    <n v="0"/>
    <n v="0"/>
    <n v="13"/>
    <n v="213343"/>
    <n v="0"/>
    <n v="3"/>
    <n v="19"/>
    <n v="4"/>
    <n v="20"/>
    <n v="0"/>
    <n v="265477.4999999999"/>
    <n v="65644"/>
    <n v="279449.9999999999"/>
    <n v="0"/>
    <n v="13"/>
    <n v="213343"/>
    <n v="168033.6134453782"/>
    <n v="3"/>
    <n v="18"/>
    <n v="3"/>
    <m/>
    <n v="0"/>
    <n v="0"/>
    <n v="295398"/>
    <n v="41917.49999999999"/>
    <n v="0"/>
    <n v="0"/>
    <n v="13"/>
    <n v="213343"/>
    <n v="126025.2100840336"/>
    <n v="6"/>
    <n v="26"/>
    <n v="13"/>
    <m/>
    <n v="0"/>
    <n v="0"/>
    <n v="426686"/>
    <n v="181642.5"/>
    <n v="0"/>
    <n v="0"/>
    <n v="26"/>
    <n v="213343"/>
    <n v="546109.243697479"/>
    <n v="3"/>
    <n v="20"/>
    <n v="7"/>
    <n v="20"/>
    <n v="20"/>
    <n v="0"/>
    <n v="328220"/>
    <n v="97807.49999999999"/>
    <n v="270134.9999999999"/>
    <n v="0"/>
    <n v="20"/>
    <n v="213343"/>
    <n v="294058.8235294118"/>
    <n v="5"/>
    <n v="13"/>
    <n v="5"/>
    <n v="0"/>
    <n v="0"/>
    <n v="0"/>
    <n v="213343"/>
    <n v="69862.49999999999"/>
    <n v="0"/>
    <n v="0"/>
    <n v="13"/>
    <n v="213343"/>
    <n v="210042.0168067227"/>
    <n v="0"/>
    <n v="8"/>
    <n v="0"/>
    <n v="0"/>
    <n v="0"/>
    <n v="0"/>
    <n v="111780"/>
    <n v="0"/>
    <n v="0"/>
    <n v="0"/>
    <n v="8"/>
    <n v="111780"/>
    <n v="0"/>
    <n v="0"/>
    <n v="8"/>
    <n v="0"/>
    <n v="0"/>
    <n v="0"/>
    <n v="0"/>
    <m/>
    <n v="111780"/>
    <n v="0"/>
    <n v="0"/>
    <n v="0"/>
    <n v="8"/>
    <n v="111780"/>
    <n v="0"/>
    <n v="0"/>
    <n v="8"/>
    <n v="0"/>
    <n v="0"/>
    <n v="0"/>
    <n v="111780"/>
    <n v="0"/>
    <n v="0"/>
    <n v="0"/>
    <n v="8"/>
    <n v="111780"/>
    <n v="0"/>
    <n v="0"/>
    <n v="8"/>
    <n v="0"/>
    <n v="0"/>
    <n v="0"/>
    <n v="111780"/>
    <n v="0"/>
    <n v="0"/>
    <n v="8"/>
    <n v="111780"/>
    <n v="0"/>
    <n v="0"/>
    <n v="8"/>
    <n v="0"/>
    <n v="0"/>
    <m/>
    <n v="111780"/>
    <n v="0"/>
    <n v="0"/>
    <n v="8"/>
    <n v="111780"/>
    <n v="0"/>
  </r>
  <r>
    <s v="Bandú-Juguetes de Motricidad"/>
    <x v="0"/>
    <x v="3"/>
    <x v="8"/>
    <s v="BDGIMPIK"/>
    <x v="27"/>
    <x v="26"/>
    <x v="0"/>
    <x v="3"/>
    <n v="1"/>
    <x v="16"/>
    <n v="11"/>
    <m/>
    <n v="0"/>
    <n v="87718"/>
    <n v="964898"/>
    <n v="80"/>
    <n v="91200"/>
    <n v="243689.0756302521"/>
    <n v="252092.4369747899"/>
    <s v="Ningbo"/>
    <s v="30/70"/>
    <n v="30"/>
    <n v="10"/>
    <m/>
    <m/>
    <m/>
    <m/>
    <m/>
    <m/>
    <m/>
    <m/>
    <m/>
    <m/>
    <m/>
    <m/>
    <m/>
    <m/>
    <m/>
    <m/>
    <n v="0"/>
    <s v=""/>
    <n v="0"/>
    <s v=""/>
    <n v="15"/>
    <n v="0.6120851770765463"/>
    <n v="19"/>
    <n v="0.6474668723768621"/>
    <n v="0"/>
    <s v=""/>
    <n v="0"/>
    <s v=""/>
    <n v="2"/>
    <n v="0.4179858087600965"/>
    <n v="0"/>
    <s v=""/>
    <n v="0"/>
    <n v="0"/>
    <s v=""/>
    <n v="0"/>
    <n v="2"/>
    <n v="0.4617466965565519"/>
    <n v="0.2"/>
    <n v="5"/>
    <n v="0.4553265352477617"/>
    <n v="0.7142857142857143"/>
    <n v="8"/>
    <n v="0.4476714948973606"/>
    <n v="0.5333333333333333"/>
    <m/>
    <m/>
    <m/>
    <m/>
    <m/>
    <m/>
    <m/>
    <m/>
    <m/>
    <m/>
    <m/>
    <m/>
    <n v="0"/>
    <n v="0"/>
    <n v="0"/>
    <n v="0"/>
    <m/>
    <n v="0"/>
    <n v="175436"/>
    <n v="0"/>
    <n v="0"/>
    <n v="0"/>
    <n v="11"/>
    <n v="964898"/>
    <n v="0"/>
    <n v="0"/>
    <n v="0"/>
    <n v="0"/>
    <n v="0"/>
    <n v="0"/>
    <n v="0"/>
    <n v="175436"/>
    <n v="0"/>
    <n v="0"/>
    <n v="0"/>
    <n v="11"/>
    <n v="964898"/>
    <n v="0"/>
    <n v="0"/>
    <n v="0"/>
    <n v="2"/>
    <n v="0"/>
    <n v="0"/>
    <n v="506636"/>
    <n v="0"/>
    <n v="175436"/>
    <n v="0"/>
    <n v="11"/>
    <n v="964898"/>
    <n v="487378.1512605042"/>
    <n v="0"/>
    <n v="0"/>
    <n v="0"/>
    <n v="0"/>
    <n v="0"/>
    <n v="0"/>
    <n v="0"/>
    <n v="0"/>
    <n v="0"/>
    <n v="11"/>
    <n v="964898"/>
    <n v="0"/>
    <n v="4"/>
    <n v="11"/>
    <n v="4"/>
    <m/>
    <n v="0"/>
    <n v="0"/>
    <n v="964898"/>
    <n v="331200"/>
    <n v="0"/>
    <n v="0"/>
    <n v="11"/>
    <n v="964898"/>
    <n v="974756.3025210084"/>
    <n v="10"/>
    <n v="13"/>
    <n v="2"/>
    <m/>
    <n v="0"/>
    <n v="0"/>
    <n v="1140334"/>
    <n v="165600"/>
    <n v="0"/>
    <n v="0"/>
    <n v="13"/>
    <n v="964898"/>
    <n v="487378.1512605042"/>
    <n v="7"/>
    <n v="16"/>
    <n v="5"/>
    <n v="25"/>
    <n v="25"/>
    <n v="0"/>
    <n v="1403488"/>
    <n v="414000"/>
    <n v="2001000"/>
    <n v="0"/>
    <n v="16"/>
    <n v="964898"/>
    <n v="1218445.378151261"/>
    <n v="15"/>
    <n v="11"/>
    <n v="15"/>
    <n v="0"/>
    <n v="0"/>
    <n v="0"/>
    <n v="964898"/>
    <n v="1242000"/>
    <n v="0"/>
    <n v="0"/>
    <n v="11"/>
    <n v="964898"/>
    <n v="3655336.134453781"/>
    <n v="5"/>
    <n v="0"/>
    <n v="5"/>
    <n v="5"/>
    <n v="5"/>
    <n v="0"/>
    <n v="0"/>
    <n v="414000"/>
    <n v="414000"/>
    <n v="0"/>
    <n v="0"/>
    <n v="0"/>
    <n v="1218445.378151261"/>
    <n v="12"/>
    <n v="5"/>
    <n v="5"/>
    <n v="70"/>
    <n v="70"/>
    <n v="70"/>
    <n v="5"/>
    <n v="414000"/>
    <n v="414000"/>
    <n v="5796000"/>
    <n v="6210000"/>
    <n v="75"/>
    <n v="6624000"/>
    <n v="1260462.18487395"/>
    <n v="25"/>
    <n v="70"/>
    <n v="25"/>
    <n v="0"/>
    <n v="0"/>
    <n v="5796000"/>
    <n v="2070000"/>
    <n v="0"/>
    <n v="0"/>
    <n v="70"/>
    <n v="5796000"/>
    <n v="6617426.470588235"/>
    <n v="35"/>
    <n v="45"/>
    <n v="35"/>
    <n v="0"/>
    <n v="0"/>
    <n v="3726000"/>
    <n v="2898000"/>
    <n v="0"/>
    <n v="45"/>
    <n v="3726000"/>
    <n v="8529117.647058824"/>
    <n v="15"/>
    <n v="10"/>
    <n v="15"/>
    <n v="0"/>
    <m/>
    <n v="828000"/>
    <n v="1315770"/>
    <n v="0"/>
    <n v="10"/>
    <n v="828000"/>
    <n v="3655336.134453781"/>
  </r>
  <r>
    <m/>
    <x v="0"/>
    <x v="3"/>
    <x v="8"/>
    <s v="BDGMNMVBB"/>
    <x v="28"/>
    <x v="27"/>
    <x v="0"/>
    <x v="4"/>
    <n v="1"/>
    <x v="3"/>
    <n v="1"/>
    <m/>
    <n v="0"/>
    <n v="10632"/>
    <n v="10632"/>
    <n v="11"/>
    <n v="39990"/>
    <n v="100815.1260504202"/>
    <n v="85692.85714285714"/>
    <s v="Ningbo"/>
    <s v="30/70"/>
    <n v="30"/>
    <n v="1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28"/>
    <n v="0.5704574764768648"/>
    <n v="1.866666666666667"/>
    <n v="1"/>
    <n v="0.5781360453484495"/>
    <n v="0.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1"/>
    <n v="10632"/>
    <n v="0"/>
    <n v="0"/>
    <n v="0"/>
    <n v="0"/>
    <n v="0"/>
    <n v="0"/>
    <n v="0"/>
    <n v="0"/>
    <n v="0"/>
    <n v="0"/>
    <n v="1"/>
    <n v="10632"/>
    <n v="0"/>
    <n v="0"/>
    <n v="1"/>
    <n v="0"/>
    <m/>
    <m/>
    <n v="0"/>
    <n v="10632"/>
    <n v="0"/>
    <n v="0"/>
    <n v="0"/>
    <n v="1"/>
    <n v="10632"/>
    <n v="0"/>
    <n v="8"/>
    <n v="1"/>
    <n v="0"/>
    <m/>
    <n v="0"/>
    <n v="0"/>
    <n v="10632"/>
    <n v="0"/>
    <n v="0"/>
    <n v="0"/>
    <n v="1"/>
    <n v="10632"/>
    <n v="0"/>
    <n v="15"/>
    <n v="29"/>
    <n v="28"/>
    <n v="30"/>
    <n v="30"/>
    <n v="0"/>
    <n v="308328"/>
    <n v="318780"/>
    <n v="330165"/>
    <n v="0"/>
    <n v="29"/>
    <n v="10632"/>
    <n v="2822823.529411765"/>
    <n v="25"/>
    <n v="1"/>
    <n v="25"/>
    <n v="0"/>
    <n v="0"/>
    <n v="0"/>
    <n v="10632"/>
    <n v="284625"/>
    <n v="0"/>
    <n v="0"/>
    <n v="1"/>
    <n v="10632"/>
    <n v="2520378.151260504"/>
    <n v="10"/>
    <n v="0"/>
    <n v="10"/>
    <n v="15"/>
    <n v="15"/>
    <n v="0"/>
    <n v="0"/>
    <n v="113850"/>
    <n v="170775"/>
    <n v="0"/>
    <n v="0"/>
    <n v="0"/>
    <n v="1008151.260504202"/>
    <n v="20"/>
    <n v="15"/>
    <n v="15"/>
    <n v="75"/>
    <n v="75"/>
    <n v="75"/>
    <n v="15"/>
    <n v="170775"/>
    <n v="170775"/>
    <n v="853875"/>
    <n v="1024650"/>
    <n v="90"/>
    <n v="1195425"/>
    <n v="1285392.857142857"/>
    <n v="21"/>
    <n v="75"/>
    <n v="21"/>
    <n v="0"/>
    <n v="0"/>
    <n v="853875"/>
    <n v="239085"/>
    <n v="0"/>
    <n v="0"/>
    <n v="75"/>
    <n v="853875"/>
    <n v="1889527.5"/>
    <n v="40"/>
    <n v="54"/>
    <n v="40"/>
    <n v="0"/>
    <n v="0"/>
    <n v="614790"/>
    <n v="455400"/>
    <n v="0"/>
    <n v="54"/>
    <n v="614790"/>
    <n v="4032605.042016807"/>
    <n v="12.6"/>
    <n v="14"/>
    <n v="12.6"/>
    <n v="0"/>
    <m/>
    <n v="159390"/>
    <n v="133963.2"/>
    <n v="0"/>
    <n v="14"/>
    <n v="159390"/>
    <n v="1270270.588235294"/>
  </r>
  <r>
    <s v="Bandú-Juguetes de Motricidad"/>
    <x v="0"/>
    <x v="3"/>
    <x v="8"/>
    <s v="BDMROBLDESC"/>
    <x v="29"/>
    <x v="28"/>
    <x v="0"/>
    <x v="1"/>
    <n v="1.2"/>
    <x v="17"/>
    <n v="41"/>
    <m/>
    <n v="0"/>
    <n v="41438"/>
    <n v="1698958"/>
    <n v="41"/>
    <n v="45961"/>
    <n v="109235.2941176471"/>
    <n v="84025.21008403362"/>
    <s v="Ningbo"/>
    <s v="30/70"/>
    <n v="30"/>
    <n v="10"/>
    <n v="0"/>
    <s v=""/>
    <n v="0"/>
    <s v=""/>
    <n v="0"/>
    <s v=""/>
    <n v="0"/>
    <s v=""/>
    <n v="0"/>
    <s v=""/>
    <n v="0"/>
    <s v=""/>
    <n v="5"/>
    <n v="0.5030900141962138"/>
    <n v="0"/>
    <s v=""/>
    <n v="0"/>
    <s v=""/>
    <n v="0"/>
    <s v=""/>
    <n v="23"/>
    <n v="0.5244349943996969"/>
    <n v="17"/>
    <n v="0.5144799891373201"/>
    <n v="0"/>
    <s v=""/>
    <n v="0"/>
    <s v=""/>
    <n v="0"/>
    <s v=""/>
    <n v="12"/>
    <n v="0.497308322582689"/>
    <n v="1.2"/>
    <n v="3"/>
    <n v="0.6321469556013591"/>
    <n v="0.5"/>
    <n v="22"/>
    <n v="0.3389091812960445"/>
    <n v="1.466666666666667"/>
    <n v="11"/>
    <n v="0.4816240713432447"/>
    <n v="0.9166666666666666"/>
    <n v="6"/>
    <n v="0.3796502044474004"/>
    <n v="0.3"/>
    <m/>
    <m/>
    <m/>
    <m/>
    <m/>
    <m/>
    <m/>
    <m/>
    <m/>
    <m/>
    <m/>
    <m/>
    <n v="0"/>
    <n v="0"/>
    <n v="0"/>
    <n v="0"/>
    <m/>
    <n v="0"/>
    <n v="0"/>
    <n v="0"/>
    <n v="0"/>
    <n v="0"/>
    <n v="41"/>
    <n v="1698958"/>
    <n v="0"/>
    <n v="0"/>
    <n v="30"/>
    <n v="0"/>
    <n v="0"/>
    <n v="0"/>
    <n v="0"/>
    <n v="497256"/>
    <n v="1273050"/>
    <n v="0"/>
    <n v="0"/>
    <n v="41"/>
    <n v="1698958"/>
    <n v="0"/>
    <n v="15"/>
    <n v="30"/>
    <n v="0"/>
    <n v="0"/>
    <n v="0"/>
    <n v="802788"/>
    <n v="1243140"/>
    <n v="0"/>
    <n v="0"/>
    <n v="41"/>
    <n v="1698958"/>
    <n v="0"/>
    <n v="10"/>
    <n v="50"/>
    <n v="12"/>
    <n v="20"/>
    <n v="0"/>
    <n v="2121750"/>
    <n v="497256"/>
    <n v="848700"/>
    <n v="0"/>
    <n v="41"/>
    <n v="1698958"/>
    <n v="1310823.529411765"/>
    <n v="6"/>
    <n v="44"/>
    <n v="7.199999999999999"/>
    <m/>
    <n v="0"/>
    <n v="0"/>
    <n v="1823272"/>
    <n v="305531.9999999999"/>
    <n v="0"/>
    <n v="0"/>
    <n v="41"/>
    <n v="1698958"/>
    <n v="786494.1176470588"/>
    <n v="15"/>
    <n v="63"/>
    <n v="22"/>
    <m/>
    <n v="0"/>
    <n v="0"/>
    <n v="2610594"/>
    <n v="933570"/>
    <n v="0"/>
    <n v="0"/>
    <n v="63"/>
    <n v="1698958"/>
    <n v="2403176.470588235"/>
    <n v="12"/>
    <n v="52"/>
    <n v="11"/>
    <n v="40"/>
    <n v="40"/>
    <n v="0"/>
    <n v="2154776"/>
    <n v="466785"/>
    <n v="1640820"/>
    <n v="0"/>
    <n v="52"/>
    <n v="1698958"/>
    <n v="1201588.235294118"/>
    <n v="20"/>
    <n v="41"/>
    <n v="24"/>
    <n v="0"/>
    <n v="0"/>
    <n v="0"/>
    <n v="1698958"/>
    <n v="1018440"/>
    <n v="0"/>
    <n v="0"/>
    <n v="41"/>
    <n v="1698958"/>
    <n v="2621647.05882353"/>
    <n v="10"/>
    <n v="17"/>
    <n v="12"/>
    <n v="0"/>
    <n v="0"/>
    <n v="0"/>
    <n v="721395"/>
    <n v="509220"/>
    <n v="0"/>
    <n v="0"/>
    <n v="17"/>
    <n v="721395"/>
    <n v="1310823.529411765"/>
    <n v="20"/>
    <n v="5"/>
    <n v="5"/>
    <n v="100"/>
    <n v="100"/>
    <n v="100"/>
    <n v="0"/>
    <n v="212175"/>
    <n v="212175"/>
    <n v="4243500"/>
    <n v="4243500"/>
    <n v="105"/>
    <n v="4455675"/>
    <n v="420126.0504201681"/>
    <n v="25"/>
    <n v="100"/>
    <n v="30"/>
    <n v="0"/>
    <n v="0"/>
    <n v="4243500"/>
    <n v="1273050"/>
    <n v="0"/>
    <n v="0"/>
    <n v="100"/>
    <n v="4243500"/>
    <n v="2646794.117647059"/>
    <n v="50"/>
    <n v="70"/>
    <n v="60"/>
    <n v="0"/>
    <n v="0"/>
    <n v="2970450"/>
    <n v="2546100"/>
    <n v="0"/>
    <n v="70"/>
    <n v="2970450"/>
    <n v="6554117.647058824"/>
    <n v="15"/>
    <n v="10"/>
    <n v="18"/>
    <n v="0"/>
    <m/>
    <n v="424350"/>
    <n v="745884"/>
    <n v="0"/>
    <n v="10"/>
    <n v="424350"/>
    <n v="1966235.294117647"/>
  </r>
  <r>
    <s v="Bandú-Juguetes de Motricidad"/>
    <x v="0"/>
    <x v="3"/>
    <x v="8"/>
    <s v="BDSILLEVREG"/>
    <x v="30"/>
    <x v="29"/>
    <x v="0"/>
    <x v="4"/>
    <n v="1"/>
    <x v="3"/>
    <n v="10"/>
    <m/>
    <n v="0"/>
    <n v="57328"/>
    <n v="573280"/>
    <n v="30"/>
    <n v="34200"/>
    <n v="86218.48739495799"/>
    <n v="73285.71428571429"/>
    <s v="Shenzhen"/>
    <s v="30/70"/>
    <n v="30"/>
    <n v="1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11"/>
    <n v="0.4329112968434735"/>
    <n v="1.222222222222222"/>
    <n v="8"/>
    <n v="0.4769488796457802"/>
    <n v="0.66666666666666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10"/>
    <n v="573280"/>
    <n v="0"/>
    <n v="0"/>
    <n v="0"/>
    <n v="0"/>
    <n v="0"/>
    <n v="0"/>
    <n v="0"/>
    <n v="0"/>
    <n v="0"/>
    <n v="0"/>
    <n v="10"/>
    <n v="573280"/>
    <n v="0"/>
    <n v="0"/>
    <n v="10"/>
    <n v="0"/>
    <m/>
    <m/>
    <n v="0"/>
    <n v="573280"/>
    <n v="0"/>
    <n v="0"/>
    <n v="0"/>
    <n v="10"/>
    <n v="573280"/>
    <n v="0"/>
    <n v="12"/>
    <n v="10"/>
    <n v="0"/>
    <m/>
    <n v="0"/>
    <n v="0"/>
    <n v="573280"/>
    <n v="0"/>
    <n v="0"/>
    <n v="0"/>
    <n v="10"/>
    <n v="573280"/>
    <n v="0"/>
    <n v="9"/>
    <n v="21"/>
    <n v="11"/>
    <n v="30"/>
    <n v="30"/>
    <n v="0"/>
    <n v="1203888"/>
    <n v="341549.9999999999"/>
    <n v="900449.9999999999"/>
    <n v="0"/>
    <n v="21"/>
    <n v="573280"/>
    <n v="948403.3613445379"/>
    <n v="12"/>
    <n v="10"/>
    <n v="12"/>
    <n v="0"/>
    <n v="0"/>
    <n v="0"/>
    <n v="573280"/>
    <n v="372599.9999999999"/>
    <n v="0"/>
    <n v="0"/>
    <n v="10"/>
    <n v="573280"/>
    <n v="1034621.848739496"/>
    <n v="6"/>
    <n v="0"/>
    <n v="6"/>
    <n v="0"/>
    <n v="0"/>
    <n v="0"/>
    <n v="0"/>
    <n v="186300"/>
    <n v="0"/>
    <n v="0"/>
    <n v="0"/>
    <n v="0"/>
    <n v="517310.924369748"/>
    <n v="10"/>
    <n v="0"/>
    <n v="0"/>
    <n v="50"/>
    <n v="50"/>
    <n v="50"/>
    <n v="0"/>
    <n v="0"/>
    <n v="0"/>
    <n v="1552500"/>
    <n v="1552500"/>
    <n v="50"/>
    <n v="1552500"/>
    <n v="0"/>
    <n v="15"/>
    <n v="50"/>
    <n v="15"/>
    <n v="0"/>
    <n v="0"/>
    <n v="1552500"/>
    <n v="465749.9999999999"/>
    <n v="0"/>
    <n v="0"/>
    <n v="50"/>
    <n v="1552500"/>
    <n v="1154250"/>
    <n v="30"/>
    <n v="35"/>
    <n v="30"/>
    <n v="0"/>
    <n v="0"/>
    <n v="1086750"/>
    <n v="931499.9999999999"/>
    <n v="0"/>
    <n v="35"/>
    <n v="1086750"/>
    <n v="2586554.62184874"/>
    <n v="9"/>
    <n v="5"/>
    <n v="9"/>
    <n v="0"/>
    <m/>
    <n v="155250"/>
    <n v="515952"/>
    <n v="0"/>
    <n v="5"/>
    <n v="155250"/>
    <n v="775966.386554622"/>
  </r>
  <r>
    <m/>
    <x v="0"/>
    <x v="3"/>
    <x v="8"/>
    <s v="BDTORRAPR"/>
    <x v="31"/>
    <x v="30"/>
    <x v="0"/>
    <x v="4"/>
    <n v="1"/>
    <x v="3"/>
    <n v="27"/>
    <m/>
    <n v="0"/>
    <n v="32529"/>
    <n v="878283"/>
    <n v="31.5"/>
    <n v="35910"/>
    <n v="90529.41176470589"/>
    <n v="76950"/>
    <s v="Shenzhen"/>
    <s v="30/70"/>
    <n v="30"/>
    <n v="1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3"/>
    <s v=""/>
    <n v="0.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27"/>
    <n v="878283"/>
    <n v="0"/>
    <n v="0"/>
    <n v="0"/>
    <n v="0"/>
    <n v="0"/>
    <n v="0"/>
    <n v="0"/>
    <n v="0"/>
    <n v="0"/>
    <n v="0"/>
    <n v="27"/>
    <n v="878283"/>
    <n v="0"/>
    <n v="0"/>
    <n v="27"/>
    <n v="0"/>
    <m/>
    <m/>
    <n v="0"/>
    <n v="878283"/>
    <n v="0"/>
    <n v="0"/>
    <n v="0"/>
    <n v="27"/>
    <n v="878283"/>
    <n v="0"/>
    <n v="12"/>
    <n v="27"/>
    <n v="0"/>
    <m/>
    <n v="0"/>
    <n v="0"/>
    <n v="878283"/>
    <n v="0"/>
    <n v="0"/>
    <n v="0"/>
    <n v="27"/>
    <n v="878283"/>
    <n v="0"/>
    <n v="9"/>
    <n v="27"/>
    <n v="0"/>
    <n v="30"/>
    <n v="30"/>
    <n v="0"/>
    <n v="878283"/>
    <n v="0"/>
    <n v="945472.4999999999"/>
    <n v="0"/>
    <n v="27"/>
    <n v="878283"/>
    <n v="0"/>
    <n v="12"/>
    <n v="27"/>
    <n v="12"/>
    <n v="0"/>
    <n v="0"/>
    <n v="0"/>
    <n v="878283"/>
    <n v="391229.9999999999"/>
    <n v="0"/>
    <n v="0"/>
    <n v="27"/>
    <n v="878283"/>
    <n v="1086352.941176471"/>
    <n v="6"/>
    <n v="15"/>
    <n v="6"/>
    <n v="0"/>
    <n v="0"/>
    <n v="0"/>
    <n v="489037.4999999999"/>
    <n v="195615"/>
    <n v="0"/>
    <n v="0"/>
    <n v="15"/>
    <n v="489037.4999999999"/>
    <n v="543176.4705882353"/>
    <n v="10"/>
    <n v="9"/>
    <n v="9"/>
    <n v="40"/>
    <n v="40"/>
    <n v="40"/>
    <n v="0"/>
    <n v="293422.4999999999"/>
    <n v="293422.4999999999"/>
    <n v="1304100"/>
    <n v="1304100"/>
    <n v="49"/>
    <n v="1597522.5"/>
    <n v="692550"/>
    <n v="15"/>
    <n v="40"/>
    <n v="15"/>
    <n v="0"/>
    <n v="0"/>
    <n v="1304100"/>
    <n v="489037.4999999999"/>
    <n v="0"/>
    <n v="0"/>
    <n v="40"/>
    <n v="1304100"/>
    <n v="1211962.5"/>
    <n v="25"/>
    <n v="25"/>
    <n v="25"/>
    <n v="0"/>
    <n v="0"/>
    <n v="815062.4999999999"/>
    <n v="815062.4999999999"/>
    <n v="0"/>
    <n v="25"/>
    <n v="815062.4999999999"/>
    <n v="2263235.294117647"/>
    <n v="9"/>
    <n v="0"/>
    <n v="9"/>
    <n v="0"/>
    <m/>
    <n v="0"/>
    <n v="292761"/>
    <n v="0"/>
    <n v="0"/>
    <n v="0"/>
    <n v="814764.705882353"/>
  </r>
  <r>
    <s v="Dynamo-Herramientas Eléctricas"/>
    <x v="1"/>
    <x v="4"/>
    <x v="9"/>
    <s v="DYNHYDLA"/>
    <x v="32"/>
    <x v="31"/>
    <x v="0"/>
    <x v="2"/>
    <n v="1"/>
    <x v="3"/>
    <n v="4"/>
    <m/>
    <n v="0"/>
    <n v="32555"/>
    <n v="130220"/>
    <n v="28"/>
    <n v="30590"/>
    <n v="58815.12605042017"/>
    <n v="58815.12605042017"/>
    <s v="Shenzhen"/>
    <s v="30/70"/>
    <n v="30"/>
    <n v="10"/>
    <n v="0"/>
    <s v=""/>
    <n v="0"/>
    <s v=""/>
    <n v="3"/>
    <n v="0.4967810088397556"/>
    <n v="7"/>
    <n v="0.4876330283904215"/>
    <n v="6"/>
    <n v="0.506643270968446"/>
    <n v="16"/>
    <n v="0.4479282503016295"/>
    <n v="9"/>
    <n v="0.4429889447494357"/>
    <n v="17"/>
    <n v="0.3820969685000308"/>
    <n v="22"/>
    <n v="0.3133755410941272"/>
    <n v="41"/>
    <n v="0.2420444516341229"/>
    <n v="4"/>
    <n v="0.5000684897322988"/>
    <n v="6"/>
    <n v="0.3281140895503906"/>
    <n v="1"/>
    <n v="0.440160022077647"/>
    <n v="25"/>
    <n v="0.4914633321299421"/>
    <n v="4"/>
    <n v="0.2962800090677434"/>
    <n v="0"/>
    <s v=""/>
    <n v="0"/>
    <n v="0"/>
    <s v=""/>
    <n v="0"/>
    <n v="1"/>
    <n v="0.4464837833976282"/>
    <n v="0"/>
    <n v="0"/>
    <s v=""/>
    <n v="0"/>
    <n v="0"/>
    <s v=""/>
    <n v="0"/>
    <m/>
    <m/>
    <m/>
    <m/>
    <m/>
    <m/>
    <m/>
    <m/>
    <m/>
    <m/>
    <m/>
    <m/>
    <n v="15"/>
    <n v="34"/>
    <n v="5"/>
    <n v="0"/>
    <m/>
    <n v="0"/>
    <n v="1513807.5"/>
    <n v="985319.9999999999"/>
    <n v="162775"/>
    <n v="0"/>
    <n v="4"/>
    <n v="130220"/>
    <n v="247122.37836311"/>
    <n v="10"/>
    <n v="33"/>
    <n v="37.5"/>
    <n v="0"/>
    <n v="0"/>
    <n v="0"/>
    <n v="1351032.5"/>
    <n v="956339.9999999999"/>
    <n v="1220812.5"/>
    <n v="0"/>
    <n v="4"/>
    <n v="130220"/>
    <n v="1853417.837723325"/>
    <n v="10"/>
    <n v="5"/>
    <n v="4"/>
    <n v="0"/>
    <n v="0"/>
    <n v="130220"/>
    <n v="162775"/>
    <n v="130220"/>
    <n v="0"/>
    <n v="4"/>
    <n v="130220"/>
    <n v="235260.5042016807"/>
    <n v="5"/>
    <n v="2"/>
    <n v="0"/>
    <n v="0"/>
    <n v="0"/>
    <n v="57959.99999999999"/>
    <n v="0"/>
    <n v="0"/>
    <n v="0"/>
    <n v="4"/>
    <n v="130220"/>
    <n v="0"/>
    <n v="0"/>
    <n v="4"/>
    <n v="0"/>
    <m/>
    <n v="0"/>
    <n v="0"/>
    <n v="130220"/>
    <n v="0"/>
    <n v="0"/>
    <n v="0"/>
    <n v="4"/>
    <n v="130220"/>
    <n v="0"/>
    <n v="0"/>
    <n v="5"/>
    <n v="1"/>
    <m/>
    <n v="0"/>
    <n v="0"/>
    <n v="162775"/>
    <n v="28980"/>
    <n v="0"/>
    <n v="0"/>
    <n v="5"/>
    <n v="130220"/>
    <n v="58815.12605042017"/>
    <n v="0"/>
    <n v="4"/>
    <n v="0"/>
    <n v="0"/>
    <n v="0"/>
    <n v="0"/>
    <n v="130220"/>
    <n v="0"/>
    <n v="0"/>
    <n v="0"/>
    <n v="4"/>
    <n v="130220"/>
    <n v="0"/>
    <n v="0"/>
    <n v="4"/>
    <n v="0"/>
    <n v="0"/>
    <n v="0"/>
    <n v="0"/>
    <n v="130220"/>
    <n v="0"/>
    <n v="0"/>
    <n v="0"/>
    <n v="4"/>
    <n v="130220"/>
    <n v="0"/>
    <n v="0"/>
    <n v="4"/>
    <n v="0"/>
    <n v="0"/>
    <n v="0"/>
    <n v="0"/>
    <n v="115920"/>
    <n v="0"/>
    <n v="0"/>
    <n v="0"/>
    <n v="4"/>
    <n v="115920"/>
    <n v="0"/>
    <n v="0"/>
    <n v="4"/>
    <n v="0"/>
    <n v="0"/>
    <n v="0"/>
    <n v="0"/>
    <m/>
    <n v="115920"/>
    <n v="0"/>
    <n v="0"/>
    <n v="0"/>
    <n v="4"/>
    <n v="115920"/>
    <n v="0"/>
    <n v="0"/>
    <n v="4"/>
    <n v="0"/>
    <n v="0"/>
    <n v="0"/>
    <n v="115920"/>
    <n v="0"/>
    <n v="0"/>
    <n v="0"/>
    <n v="4"/>
    <n v="115920"/>
    <n v="0"/>
    <n v="0"/>
    <n v="4"/>
    <n v="0"/>
    <n v="0"/>
    <n v="0"/>
    <n v="115920"/>
    <n v="0"/>
    <n v="0"/>
    <n v="4"/>
    <n v="115920"/>
    <n v="0"/>
    <n v="0"/>
    <n v="4"/>
    <n v="0"/>
    <n v="0"/>
    <m/>
    <n v="115920"/>
    <n v="0"/>
    <n v="0"/>
    <n v="4"/>
    <n v="115920"/>
    <n v="0"/>
  </r>
  <r>
    <s v="Dynamo-Herramientas Eléctricas"/>
    <x v="1"/>
    <x v="4"/>
    <x v="10"/>
    <s v="DYNLLAIMP"/>
    <x v="33"/>
    <x v="32"/>
    <x v="0"/>
    <x v="3"/>
    <n v="0.8"/>
    <x v="18"/>
    <n v="245"/>
    <m/>
    <n v="0"/>
    <n v="23976"/>
    <n v="5874120"/>
    <n v="23"/>
    <n v="25127.5"/>
    <n v="50411.76470588236"/>
    <n v="42008.40336134454"/>
    <s v="Shenzhen"/>
    <s v="30/70"/>
    <n v="30"/>
    <n v="10"/>
    <n v="0"/>
    <s v=""/>
    <n v="0"/>
    <s v=""/>
    <n v="6"/>
    <n v="0.5275428955478242"/>
    <n v="2"/>
    <n v="0.5258505955021671"/>
    <n v="7"/>
    <n v="0.462856665755393"/>
    <n v="37"/>
    <n v="0.4439849068496023"/>
    <n v="11"/>
    <n v="0.4616790335748903"/>
    <n v="7"/>
    <n v="0.3893924101741112"/>
    <n v="24"/>
    <n v="0.478121848321637"/>
    <n v="160"/>
    <n v="0.3217685696222699"/>
    <n v="57"/>
    <n v="0.4735935911163412"/>
    <n v="15"/>
    <n v="0.4225752114473266"/>
    <n v="29"/>
    <n v="0.2601938251965437"/>
    <n v="8"/>
    <n v="0.3051062925954971"/>
    <n v="5"/>
    <n v="0.3695999835451718"/>
    <n v="0"/>
    <s v=""/>
    <n v="0"/>
    <n v="2"/>
    <n v="0.6263631701093716"/>
    <n v="0.08"/>
    <n v="6"/>
    <n v="0.521527757944572"/>
    <n v="0.1333333333333333"/>
    <n v="7"/>
    <n v="0.6005222847633106"/>
    <n v="0.175"/>
    <n v="1"/>
    <n v="0.5610060164027758"/>
    <n v="0.03333333333333333"/>
    <m/>
    <m/>
    <m/>
    <m/>
    <m/>
    <m/>
    <m/>
    <m/>
    <m/>
    <m/>
    <m/>
    <m/>
    <n v="35"/>
    <n v="98"/>
    <n v="15"/>
    <n v="0"/>
    <m/>
    <n v="0"/>
    <n v="767232"/>
    <n v="2332890"/>
    <n v="359640"/>
    <n v="0"/>
    <n v="245"/>
    <n v="5874120"/>
    <n v="635442.4122590213"/>
    <n v="25"/>
    <n v="70"/>
    <n v="12"/>
    <n v="0"/>
    <n v="0"/>
    <n v="0"/>
    <n v="407592"/>
    <n v="1666350"/>
    <n v="287712"/>
    <n v="0"/>
    <n v="245"/>
    <n v="5874120"/>
    <n v="508353.9298072171"/>
    <n v="24"/>
    <n v="61"/>
    <n v="5"/>
    <n v="0"/>
    <n v="0"/>
    <n v="595980"/>
    <n v="1462536"/>
    <n v="119880"/>
    <n v="0"/>
    <n v="245"/>
    <n v="5874120"/>
    <n v="252058.8235294118"/>
    <n v="20"/>
    <n v="57"/>
    <n v="0"/>
    <n v="0"/>
    <n v="0"/>
    <n v="1356885"/>
    <n v="0"/>
    <n v="0"/>
    <n v="0"/>
    <n v="245"/>
    <n v="5874120"/>
    <n v="0"/>
    <n v="25"/>
    <n v="247"/>
    <n v="20"/>
    <n v="50"/>
    <n v="50"/>
    <n v="0"/>
    <n v="5922072"/>
    <n v="476099.9999999999"/>
    <n v="1190250"/>
    <n v="0"/>
    <n v="245"/>
    <n v="5874120"/>
    <n v="1008235.294117647"/>
    <n v="45"/>
    <n v="251"/>
    <n v="6"/>
    <m/>
    <n v="50"/>
    <n v="0"/>
    <n v="6017976"/>
    <n v="142830"/>
    <n v="0"/>
    <n v="0"/>
    <n v="251"/>
    <n v="5874120"/>
    <n v="302470.5882352942"/>
    <n v="40"/>
    <n v="252"/>
    <n v="7"/>
    <n v="150"/>
    <n v="150"/>
    <n v="0"/>
    <n v="6041952"/>
    <n v="166635"/>
    <n v="3451725"/>
    <n v="0"/>
    <n v="252"/>
    <n v="5874120"/>
    <n v="352882.3529411765"/>
    <n v="30"/>
    <n v="245"/>
    <n v="24"/>
    <n v="0"/>
    <n v="0"/>
    <n v="0"/>
    <n v="5874120"/>
    <n v="571319.9999999999"/>
    <n v="0"/>
    <n v="0"/>
    <n v="245"/>
    <n v="5874120"/>
    <n v="1209882.352941177"/>
    <n v="35"/>
    <n v="221"/>
    <n v="28"/>
    <n v="0"/>
    <n v="0"/>
    <n v="0"/>
    <n v="5260904.999999999"/>
    <n v="666539.9999999999"/>
    <n v="0"/>
    <n v="0"/>
    <n v="221"/>
    <n v="5260904.999999999"/>
    <n v="1411529.411764706"/>
    <n v="150"/>
    <n v="193"/>
    <n v="120"/>
    <n v="0"/>
    <n v="0"/>
    <n v="0"/>
    <m/>
    <n v="4594364.999999999"/>
    <n v="2856600"/>
    <n v="0"/>
    <n v="0"/>
    <n v="193"/>
    <n v="4594364.999999999"/>
    <n v="5041008.403361345"/>
    <n v="60"/>
    <n v="73"/>
    <n v="48"/>
    <n v="0"/>
    <n v="0"/>
    <n v="1737765"/>
    <n v="1142640"/>
    <n v="0"/>
    <n v="0"/>
    <n v="73"/>
    <n v="1737765"/>
    <n v="2117223.529411765"/>
    <n v="100"/>
    <n v="25"/>
    <n v="80"/>
    <n v="0"/>
    <n v="0"/>
    <n v="595124.9999999999"/>
    <n v="1904400"/>
    <n v="0"/>
    <n v="25"/>
    <n v="595124.9999999999"/>
    <n v="4032941.176470588"/>
    <n v="36"/>
    <n v="0"/>
    <n v="28.8"/>
    <n v="0"/>
    <m/>
    <n v="0"/>
    <n v="690508.8"/>
    <n v="0"/>
    <n v="0"/>
    <n v="0"/>
    <n v="1451858.823529412"/>
  </r>
  <r>
    <s v="Dynamo-Herramientas Eléctricas"/>
    <x v="1"/>
    <x v="4"/>
    <x v="10"/>
    <s v="DYNTALCPER"/>
    <x v="34"/>
    <x v="33"/>
    <x v="0"/>
    <x v="0"/>
    <n v="1.5"/>
    <x v="19"/>
    <n v="47"/>
    <m/>
    <n v="0"/>
    <n v="11882"/>
    <n v="558454"/>
    <n v="11"/>
    <n v="12017.5"/>
    <n v="25201.68067226891"/>
    <n v="22680.67226890757"/>
    <s v="Shenzhen"/>
    <s v="30/70"/>
    <n v="30"/>
    <n v="10"/>
    <n v="0"/>
    <s v=""/>
    <n v="0"/>
    <s v=""/>
    <n v="9"/>
    <n v="0.631328887583061"/>
    <n v="25"/>
    <n v="0.6680169456297448"/>
    <n v="24"/>
    <n v="0.6755984360603224"/>
    <n v="45"/>
    <n v="0.5472369533656074"/>
    <n v="21"/>
    <n v="0.6616756969626661"/>
    <n v="21"/>
    <n v="0.5956039550259358"/>
    <n v="61"/>
    <n v="0.5354165661118518"/>
    <n v="140"/>
    <n v="0.4819522952777636"/>
    <n v="99"/>
    <n v="0.4826776543604407"/>
    <n v="49"/>
    <n v="0.4842225079443421"/>
    <n v="2"/>
    <n v="0.6132664252407727"/>
    <n v="0"/>
    <s v=""/>
    <n v="15"/>
    <n v="0.4907396016241773"/>
    <n v="48"/>
    <n v="0.3930351601168171"/>
    <n v="2.4"/>
    <n v="88"/>
    <n v="0.5676694272459949"/>
    <n v="2.933333333333333"/>
    <n v="30"/>
    <n v="0.1141789267752218"/>
    <n v="0.6"/>
    <n v="72"/>
    <n v="0.5653406502433257"/>
    <n v="2.057142857142857"/>
    <n v="23"/>
    <n v="0.5402595738846412"/>
    <n v="0.92"/>
    <m/>
    <m/>
    <m/>
    <m/>
    <m/>
    <m/>
    <m/>
    <m/>
    <m/>
    <m/>
    <m/>
    <m/>
    <n v="0"/>
    <n v="2"/>
    <n v="2"/>
    <n v="0"/>
    <m/>
    <n v="0"/>
    <n v="201994"/>
    <n v="22770"/>
    <n v="23764"/>
    <n v="0"/>
    <n v="47"/>
    <n v="558454"/>
    <n v="42355.76583574607"/>
    <n v="0"/>
    <n v="0"/>
    <n v="0"/>
    <n v="150"/>
    <n v="150"/>
    <n v="0"/>
    <n v="748566"/>
    <n v="0"/>
    <n v="0"/>
    <n v="0"/>
    <n v="47"/>
    <n v="558454"/>
    <n v="0"/>
    <n v="50"/>
    <n v="62"/>
    <n v="15"/>
    <n v="0"/>
    <n v="0"/>
    <n v="1260891"/>
    <n v="736684"/>
    <n v="178230"/>
    <n v="0"/>
    <n v="47"/>
    <n v="558454"/>
    <n v="378025.2100840336"/>
    <n v="20"/>
    <n v="132"/>
    <n v="48"/>
    <n v="0"/>
    <n v="0"/>
    <n v="1502820"/>
    <n v="570336"/>
    <n v="0"/>
    <n v="0"/>
    <n v="47"/>
    <n v="558454"/>
    <n v="1209680.672268908"/>
    <n v="30"/>
    <n v="135"/>
    <n v="45"/>
    <n v="60"/>
    <n v="60"/>
    <n v="0"/>
    <n v="1604070"/>
    <n v="512325"/>
    <n v="683100"/>
    <n v="0"/>
    <n v="47"/>
    <n v="558454"/>
    <n v="1134075.630252101"/>
    <n v="50"/>
    <n v="77"/>
    <n v="30"/>
    <m/>
    <n v="60"/>
    <n v="0"/>
    <n v="914914"/>
    <n v="341550"/>
    <n v="0"/>
    <n v="0"/>
    <n v="77"/>
    <n v="558454"/>
    <n v="756050.4201680672"/>
    <n v="35"/>
    <n v="119"/>
    <n v="72"/>
    <n v="150"/>
    <n v="150"/>
    <n v="0"/>
    <n v="1413958"/>
    <n v="819720"/>
    <n v="1650825"/>
    <n v="0"/>
    <n v="119"/>
    <n v="558454"/>
    <n v="1814521.008403361"/>
    <n v="25"/>
    <n v="47"/>
    <n v="37.5"/>
    <n v="0"/>
    <n v="0"/>
    <n v="0"/>
    <n v="558454"/>
    <n v="426937.5"/>
    <n v="0"/>
    <n v="0"/>
    <n v="47"/>
    <n v="558454"/>
    <n v="945063.025210084"/>
    <n v="60"/>
    <n v="9.5"/>
    <n v="90"/>
    <n v="0"/>
    <n v="0"/>
    <n v="0"/>
    <n v="108157.5"/>
    <n v="1024650"/>
    <n v="0"/>
    <n v="0"/>
    <n v="9.5"/>
    <n v="108157.5"/>
    <n v="2268151.260504202"/>
    <n v="140"/>
    <n v="0"/>
    <n v="0"/>
    <n v="250"/>
    <n v="250"/>
    <n v="250"/>
    <n v="0"/>
    <n v="0"/>
    <n v="0"/>
    <n v="2846250"/>
    <n v="2846250"/>
    <n v="250"/>
    <n v="2846250"/>
    <n v="0"/>
    <n v="100"/>
    <n v="250"/>
    <n v="150"/>
    <n v="0"/>
    <n v="0"/>
    <n v="2846250"/>
    <n v="1707750"/>
    <n v="0"/>
    <n v="0"/>
    <n v="250"/>
    <n v="2846250"/>
    <n v="3572205.882352942"/>
    <n v="80"/>
    <n v="100"/>
    <n v="120"/>
    <n v="150"/>
    <n v="150"/>
    <n v="1138500"/>
    <n v="1366200"/>
    <n v="1707750"/>
    <n v="250"/>
    <n v="2846250"/>
    <n v="3024201.680672269"/>
    <n v="60"/>
    <n v="130"/>
    <n v="90"/>
    <n v="0"/>
    <m/>
    <n v="1480050"/>
    <n v="1069380"/>
    <n v="0"/>
    <n v="130"/>
    <n v="1480050"/>
    <n v="2268151.260504202"/>
  </r>
  <r>
    <s v="Dynamo-Herramientas Eléctricas"/>
    <x v="1"/>
    <x v="4"/>
    <x v="10"/>
    <s v="DYNTALIMPA"/>
    <x v="35"/>
    <x v="34"/>
    <x v="0"/>
    <x v="0"/>
    <n v="0.8"/>
    <x v="20"/>
    <n v="103"/>
    <m/>
    <n v="0"/>
    <n v="34834"/>
    <n v="3587902"/>
    <n v="36.5"/>
    <n v="39876.25"/>
    <n v="75621.84873949581"/>
    <n v="58815.12605042017"/>
    <s v="Shenzhen"/>
    <s v="30/70"/>
    <n v="30"/>
    <n v="10"/>
    <n v="0"/>
    <s v=""/>
    <n v="0"/>
    <s v=""/>
    <n v="8"/>
    <n v="0.5055387063027932"/>
    <n v="10"/>
    <n v="0.551463985485395"/>
    <n v="13"/>
    <n v="0.5626803370731269"/>
    <n v="8"/>
    <n v="0.5000116739767881"/>
    <n v="6"/>
    <n v="0.533610514703996"/>
    <n v="18"/>
    <n v="0.4829458565690321"/>
    <n v="35"/>
    <n v="0.4773184841140812"/>
    <n v="56"/>
    <n v="0.4027733515342427"/>
    <n v="17"/>
    <n v="0.474533618327625"/>
    <n v="2"/>
    <n v="0.45505703003536"/>
    <n v="2"/>
    <n v="0.5001529051916831"/>
    <n v="0"/>
    <s v=""/>
    <n v="5"/>
    <n v="0.4863507503428505"/>
    <n v="4"/>
    <n v="0.4156419434749357"/>
    <n v="0.2666666666666667"/>
    <n v="3"/>
    <n v="0.6419216118265895"/>
    <n v="0.2"/>
    <n v="27"/>
    <n v="0.3122740374181924"/>
    <n v="0.9"/>
    <n v="20"/>
    <n v="0.474286552123284"/>
    <n v="1"/>
    <n v="7"/>
    <n v="0.4419071813827949"/>
    <n v="0.28"/>
    <m/>
    <m/>
    <m/>
    <m/>
    <m/>
    <m/>
    <m/>
    <m/>
    <m/>
    <m/>
    <m/>
    <m/>
    <n v="0"/>
    <n v="2"/>
    <n v="2"/>
    <n v="0"/>
    <m/>
    <n v="0"/>
    <n v="243838"/>
    <n v="75555"/>
    <n v="69668"/>
    <n v="0"/>
    <n v="103"/>
    <n v="3587902"/>
    <n v="127095.544099993"/>
    <n v="0"/>
    <n v="0"/>
    <n v="0"/>
    <n v="100"/>
    <n v="100"/>
    <n v="0"/>
    <n v="313506"/>
    <n v="0"/>
    <n v="0"/>
    <n v="0"/>
    <n v="103"/>
    <n v="3587902"/>
    <n v="0"/>
    <n v="20"/>
    <n v="108"/>
    <n v="5"/>
    <n v="0"/>
    <n v="0"/>
    <n v="766836"/>
    <n v="3762072"/>
    <n v="174170"/>
    <n v="0"/>
    <n v="103"/>
    <n v="3587902"/>
    <n v="378109.243697479"/>
    <n v="15"/>
    <n v="103"/>
    <n v="4"/>
    <n v="0"/>
    <n v="0"/>
    <n v="3891082.5"/>
    <n v="139336"/>
    <n v="0"/>
    <n v="0"/>
    <n v="103"/>
    <n v="3587902"/>
    <n v="302487.3949579832"/>
    <n v="15"/>
    <n v="106"/>
    <n v="12"/>
    <n v="0"/>
    <n v="0"/>
    <n v="0"/>
    <n v="3692404"/>
    <n v="453330"/>
    <n v="0"/>
    <n v="0"/>
    <n v="103"/>
    <n v="3587902"/>
    <n v="907462.1848739497"/>
    <n v="30"/>
    <n v="130"/>
    <n v="27"/>
    <m/>
    <n v="0"/>
    <n v="0"/>
    <n v="4528420"/>
    <n v="1019992.5"/>
    <n v="0"/>
    <n v="0"/>
    <n v="130"/>
    <n v="3587902"/>
    <n v="2041789.915966387"/>
    <n v="20"/>
    <n v="123"/>
    <n v="20"/>
    <n v="60"/>
    <n v="60"/>
    <n v="0"/>
    <n v="4284582"/>
    <n v="755550"/>
    <n v="2191095"/>
    <n v="0"/>
    <n v="123"/>
    <n v="3587902"/>
    <n v="1512436.974789916"/>
    <n v="25"/>
    <n v="103"/>
    <n v="20"/>
    <n v="0"/>
    <n v="0"/>
    <n v="0"/>
    <n v="3587902"/>
    <n v="755550"/>
    <n v="0"/>
    <n v="0"/>
    <n v="103"/>
    <n v="3587902"/>
    <n v="1512436.974789916"/>
    <n v="30"/>
    <n v="83"/>
    <n v="24"/>
    <n v="0"/>
    <n v="0"/>
    <n v="0"/>
    <n v="3135532.5"/>
    <n v="906660"/>
    <n v="0"/>
    <n v="0"/>
    <n v="83"/>
    <n v="3135532.5"/>
    <n v="1814924.369747899"/>
    <n v="55"/>
    <n v="59"/>
    <n v="44"/>
    <n v="0"/>
    <n v="0"/>
    <n v="0"/>
    <m/>
    <n v="2228872.5"/>
    <n v="1662210"/>
    <n v="0"/>
    <n v="0"/>
    <n v="59"/>
    <n v="2228872.5"/>
    <n v="2587865.546218487"/>
    <n v="35"/>
    <n v="15"/>
    <n v="28"/>
    <n v="0"/>
    <n v="0"/>
    <n v="566662.5"/>
    <n v="1057770"/>
    <n v="0"/>
    <n v="0"/>
    <n v="15"/>
    <n v="566662.5"/>
    <n v="1729164.705882353"/>
    <n v="45"/>
    <n v="0"/>
    <n v="36"/>
    <n v="0"/>
    <n v="0"/>
    <n v="0"/>
    <n v="1359990"/>
    <n v="0"/>
    <n v="0"/>
    <n v="0"/>
    <n v="2722386.554621849"/>
    <n v="21"/>
    <n v="0"/>
    <n v="16.8"/>
    <n v="0"/>
    <m/>
    <n v="0"/>
    <n v="585211.2000000001"/>
    <n v="0"/>
    <n v="0"/>
    <n v="0"/>
    <n v="1270447.05882353"/>
  </r>
  <r>
    <s v="Dynamo-Herramientas Eléctricas"/>
    <x v="1"/>
    <x v="4"/>
    <x v="10"/>
    <s v="DYNTALPOW"/>
    <x v="36"/>
    <x v="35"/>
    <x v="0"/>
    <x v="1"/>
    <n v="0.8"/>
    <x v="21"/>
    <n v="110"/>
    <m/>
    <n v="0"/>
    <n v="23760"/>
    <n v="2613600"/>
    <n v="23.5"/>
    <n v="25673.75"/>
    <n v="50411.76470588236"/>
    <n v="42008.40336134454"/>
    <s v="Shenzhen"/>
    <s v="30/70"/>
    <n v="30"/>
    <n v="10"/>
    <n v="0"/>
    <s v=""/>
    <n v="0"/>
    <s v=""/>
    <n v="19"/>
    <n v="0.4315235175383361"/>
    <n v="15"/>
    <n v="0.4636705594931163"/>
    <n v="7"/>
    <n v="0.5172668903517514"/>
    <n v="32"/>
    <n v="0.4581521502161229"/>
    <n v="7"/>
    <n v="0.5067112767352419"/>
    <n v="26"/>
    <n v="0.4917060607259834"/>
    <n v="16"/>
    <n v="0.3826190002312939"/>
    <n v="34"/>
    <n v="0.4392897816632065"/>
    <n v="27"/>
    <n v="0.4864530870333247"/>
    <n v="25"/>
    <n v="0.4991833859268914"/>
    <n v="22"/>
    <n v="0.4253084247498533"/>
    <n v="35"/>
    <n v="0.3154882357898446"/>
    <n v="23"/>
    <n v="0.3080205054398362"/>
    <n v="12"/>
    <n v="0.3585509446693657"/>
    <n v="0.8"/>
    <n v="4"/>
    <n v="0.4718575949367088"/>
    <n v="0.2666666666666667"/>
    <n v="33"/>
    <n v="0.4996285459570357"/>
    <n v="0.825"/>
    <n v="31"/>
    <n v="0.5244720627640418"/>
    <n v="1.24"/>
    <n v="6"/>
    <n v="0.4904610518280894"/>
    <n v="0.2"/>
    <m/>
    <m/>
    <m/>
    <m/>
    <m/>
    <m/>
    <m/>
    <m/>
    <m/>
    <m/>
    <m/>
    <m/>
    <n v="20"/>
    <n v="88"/>
    <n v="16"/>
    <n v="0"/>
    <m/>
    <n v="0"/>
    <n v="2174040"/>
    <n v="2140380"/>
    <n v="380160"/>
    <n v="0"/>
    <n v="110"/>
    <n v="2613600"/>
    <n v="677805.2397429561"/>
    <n v="15"/>
    <n v="75"/>
    <n v="52.5"/>
    <n v="50"/>
    <n v="0"/>
    <n v="0"/>
    <n v="2079000"/>
    <n v="1824187.5"/>
    <n v="1247400"/>
    <n v="0"/>
    <n v="110"/>
    <n v="2613600"/>
    <n v="2224048.442906575"/>
    <n v="50"/>
    <n v="30"/>
    <n v="23"/>
    <n v="0"/>
    <n v="0"/>
    <n v="1123470"/>
    <n v="712800"/>
    <n v="546480"/>
    <n v="0"/>
    <n v="110"/>
    <n v="2613600"/>
    <n v="1159470.588235294"/>
    <n v="15"/>
    <n v="25"/>
    <n v="12"/>
    <n v="0"/>
    <n v="0"/>
    <n v="608062.4999999999"/>
    <n v="285120"/>
    <n v="0"/>
    <n v="0"/>
    <n v="110"/>
    <n v="2613600"/>
    <n v="604941.1764705883"/>
    <n v="15"/>
    <n v="114"/>
    <n v="12"/>
    <n v="30"/>
    <n v="30"/>
    <n v="0"/>
    <n v="2708640"/>
    <n v="291869.9999999999"/>
    <n v="729674.9999999999"/>
    <n v="0"/>
    <n v="110"/>
    <n v="2613600"/>
    <n v="604941.1764705883"/>
    <n v="40"/>
    <n v="143"/>
    <n v="33"/>
    <m/>
    <n v="80"/>
    <n v="0"/>
    <n v="3397680"/>
    <n v="802642.4999999999"/>
    <n v="0"/>
    <n v="0"/>
    <n v="143"/>
    <n v="2613600"/>
    <n v="1663588.235294118"/>
    <n v="25"/>
    <n v="141"/>
    <n v="31"/>
    <n v="100"/>
    <n v="100"/>
    <n v="0"/>
    <n v="3350160"/>
    <n v="753997.4999999999"/>
    <n v="2351175"/>
    <n v="0"/>
    <n v="141"/>
    <n v="2613600"/>
    <n v="1562764.705882353"/>
    <n v="30"/>
    <n v="110"/>
    <n v="24"/>
    <n v="0"/>
    <n v="0"/>
    <n v="0"/>
    <n v="2613600"/>
    <n v="583739.9999999999"/>
    <n v="0"/>
    <n v="0"/>
    <n v="110"/>
    <n v="2613600"/>
    <n v="1209882.352941177"/>
    <n v="16"/>
    <n v="86"/>
    <n v="12.8"/>
    <n v="0"/>
    <n v="0"/>
    <n v="0"/>
    <n v="2091735"/>
    <n v="311327.9999999999"/>
    <n v="0"/>
    <n v="0"/>
    <n v="86"/>
    <n v="2091735"/>
    <n v="645270.5882352942"/>
    <n v="35"/>
    <n v="73.2"/>
    <n v="28"/>
    <n v="0"/>
    <n v="0"/>
    <n v="0"/>
    <m/>
    <n v="1780407"/>
    <n v="681029.9999999999"/>
    <n v="0"/>
    <n v="0"/>
    <n v="73.2"/>
    <n v="1780407"/>
    <n v="1176235.294117647"/>
    <n v="25"/>
    <n v="45.2"/>
    <n v="20"/>
    <n v="0"/>
    <n v="0"/>
    <n v="1099377"/>
    <n v="486449.9999999999"/>
    <n v="0"/>
    <n v="0"/>
    <n v="45.2"/>
    <n v="1099377"/>
    <n v="882176.4705882354"/>
    <n v="30"/>
    <n v="25.2"/>
    <n v="24"/>
    <n v="0"/>
    <n v="0"/>
    <n v="612927"/>
    <n v="583739.9999999999"/>
    <n v="0"/>
    <n v="25.2"/>
    <n v="612927"/>
    <n v="1209882.352941177"/>
    <n v="15"/>
    <n v="1.200000000000003"/>
    <n v="12"/>
    <n v="0"/>
    <m/>
    <n v="29187.00000000007"/>
    <n v="285120"/>
    <n v="0"/>
    <n v="1.200000000000003"/>
    <n v="29187.00000000007"/>
    <n v="604941.1764705883"/>
  </r>
  <r>
    <s v="Dynamo-Herramientas Eléctricas"/>
    <x v="1"/>
    <x v="4"/>
    <x v="10"/>
    <s v="DYNTALSCA"/>
    <x v="37"/>
    <x v="36"/>
    <x v="0"/>
    <x v="1"/>
    <n v="0.6"/>
    <x v="22"/>
    <n v="205"/>
    <m/>
    <n v="0"/>
    <n v="8705"/>
    <n v="1784525"/>
    <n v="8"/>
    <n v="8740"/>
    <n v="16798.31932773109"/>
    <n v="16798.31932773109"/>
    <s v="Shenzhen"/>
    <s v="30/70"/>
    <n v="30"/>
    <n v="10"/>
    <n v="0"/>
    <s v=""/>
    <n v="0"/>
    <s v=""/>
    <n v="27"/>
    <n v="0.5173063776091851"/>
    <n v="96"/>
    <n v="0.540041383660377"/>
    <n v="19"/>
    <n v="0.5398095238095239"/>
    <n v="0"/>
    <n v="0.588147619047619"/>
    <n v="7"/>
    <n v="0.5973554798240521"/>
    <n v="26"/>
    <n v="0.5316814131417665"/>
    <n v="46"/>
    <n v="0.4935942388139592"/>
    <n v="218"/>
    <n v="0.4539929246998791"/>
    <n v="98"/>
    <n v="0.4715067341361987"/>
    <n v="48"/>
    <n v="0.4878499956629858"/>
    <n v="97"/>
    <n v="0.2346731823386098"/>
    <n v="186"/>
    <n v="0.1772595205817243"/>
    <n v="15"/>
    <n v="0.1691596101720755"/>
    <n v="3"/>
    <n v="0.5257894490331211"/>
    <n v="0.15"/>
    <n v="1"/>
    <n v="0.6"/>
    <n v="0.01428571428571429"/>
    <n v="212"/>
    <n v="0.555442800318373"/>
    <n v="1.413333333333333"/>
    <n v="87"/>
    <n v="0.5913656853088591"/>
    <n v="0.725"/>
    <n v="8"/>
    <n v="0.526213303990369"/>
    <n v="0.16"/>
    <m/>
    <m/>
    <m/>
    <m/>
    <m/>
    <m/>
    <m/>
    <m/>
    <m/>
    <m/>
    <m/>
    <m/>
    <n v="50"/>
    <n v="308"/>
    <n v="60"/>
    <n v="0"/>
    <m/>
    <n v="0"/>
    <n v="3081570"/>
    <n v="2550240"/>
    <n v="522300"/>
    <n v="0"/>
    <n v="205"/>
    <n v="1784525"/>
    <n v="846974.0837511476"/>
    <n v="50"/>
    <n v="211"/>
    <n v="279"/>
    <n v="150"/>
    <n v="0"/>
    <n v="0"/>
    <n v="2585385"/>
    <n v="1747080"/>
    <n v="2428695"/>
    <n v="0"/>
    <n v="205"/>
    <n v="1784525"/>
    <n v="3938429.489442836"/>
    <n v="280"/>
    <n v="6"/>
    <n v="15"/>
    <n v="0"/>
    <n v="0"/>
    <n v="504450"/>
    <n v="52230"/>
    <n v="130575"/>
    <n v="0"/>
    <n v="205"/>
    <n v="1784525"/>
    <n v="251974.7899159664"/>
    <n v="20"/>
    <n v="5"/>
    <n v="3"/>
    <n v="0"/>
    <n v="0"/>
    <n v="41400"/>
    <n v="26115"/>
    <n v="0"/>
    <n v="0"/>
    <n v="205"/>
    <n v="1784525"/>
    <n v="50394.95798319328"/>
    <n v="70"/>
    <n v="206"/>
    <n v="42"/>
    <n v="100"/>
    <n v="100"/>
    <n v="0"/>
    <n v="1793230"/>
    <n v="347760"/>
    <n v="828000"/>
    <n v="0"/>
    <n v="205"/>
    <n v="1784525"/>
    <n v="705529.4117647059"/>
    <n v="150"/>
    <n v="417"/>
    <n v="212"/>
    <m/>
    <n v="250"/>
    <n v="0"/>
    <n v="3629985"/>
    <n v="1755360"/>
    <n v="0"/>
    <n v="0"/>
    <n v="417"/>
    <n v="1784525"/>
    <n v="3561243.697478992"/>
    <n v="120"/>
    <n v="292"/>
    <n v="87"/>
    <n v="250"/>
    <n v="250"/>
    <n v="0"/>
    <n v="2541860"/>
    <n v="720360"/>
    <n v="2001000"/>
    <n v="0"/>
    <n v="292"/>
    <n v="1784525"/>
    <n v="1461453.781512605"/>
    <n v="50"/>
    <n v="205"/>
    <n v="30"/>
    <n v="100"/>
    <n v="100"/>
    <n v="0"/>
    <n v="1784525"/>
    <n v="248400"/>
    <n v="828000"/>
    <n v="0"/>
    <n v="205"/>
    <n v="1784525"/>
    <n v="503949.5798319328"/>
    <n v="50"/>
    <n v="175"/>
    <n v="30"/>
    <n v="0"/>
    <n v="0"/>
    <n v="100"/>
    <n v="1449000"/>
    <n v="248400"/>
    <n v="0"/>
    <n v="828000"/>
    <n v="275"/>
    <n v="2277000"/>
    <n v="503949.5798319328"/>
    <n v="210"/>
    <n v="245"/>
    <n v="126"/>
    <n v="0"/>
    <n v="0"/>
    <n v="0"/>
    <m/>
    <n v="2028600"/>
    <n v="1043280"/>
    <n v="0"/>
    <n v="0"/>
    <n v="245"/>
    <n v="2028600"/>
    <n v="2116588.235294118"/>
    <n v="210"/>
    <n v="119"/>
    <n v="126"/>
    <n v="0"/>
    <n v="0"/>
    <n v="985320"/>
    <n v="1043280"/>
    <n v="0"/>
    <n v="0"/>
    <n v="119"/>
    <n v="985320"/>
    <n v="2222417.647058824"/>
    <n v="210"/>
    <n v="0"/>
    <n v="126"/>
    <n v="0"/>
    <n v="0"/>
    <n v="0"/>
    <n v="1043280"/>
    <n v="0"/>
    <n v="0"/>
    <n v="0"/>
    <n v="2116588.235294118"/>
    <n v="126"/>
    <n v="0"/>
    <n v="75.59999999999999"/>
    <n v="0"/>
    <m/>
    <n v="0"/>
    <n v="658098"/>
    <n v="0"/>
    <n v="0"/>
    <n v="0"/>
    <n v="1269952.941176471"/>
  </r>
  <r>
    <s v="Dynamo-Herramientas Eléctricas"/>
    <x v="1"/>
    <x v="4"/>
    <x v="10"/>
    <s v="DYNTALSPER"/>
    <x v="38"/>
    <x v="36"/>
    <x v="0"/>
    <x v="1"/>
    <n v="1.3"/>
    <x v="23"/>
    <n v="8"/>
    <m/>
    <n v="0"/>
    <n v="11392"/>
    <n v="91136"/>
    <n v="10.5"/>
    <n v="11471.25"/>
    <n v="25201.68067226891"/>
    <n v="21000"/>
    <s v="Shenzhen"/>
    <s v="30/70"/>
    <n v="30"/>
    <n v="10"/>
    <n v="0"/>
    <s v=""/>
    <n v="0"/>
    <s v=""/>
    <n v="17"/>
    <n v="0.6068542975616895"/>
    <n v="34"/>
    <n v="0.5735096429220393"/>
    <n v="50"/>
    <n v="0.577164970481176"/>
    <n v="200"/>
    <n v="0.5837700790744156"/>
    <n v="167"/>
    <n v="0.5384877634465565"/>
    <n v="202"/>
    <n v="0.5102385653788655"/>
    <n v="76"/>
    <n v="0.559472083426159"/>
    <n v="107"/>
    <n v="0.585493914239592"/>
    <n v="62"/>
    <n v="0.5359748838693587"/>
    <n v="139"/>
    <n v="0.5695755182893515"/>
    <n v="99"/>
    <n v="0.4273568753481458"/>
    <n v="33"/>
    <n v="0.387754822511923"/>
    <n v="26"/>
    <n v="0.4469255759142053"/>
    <n v="55"/>
    <n v="0.6169616163412304"/>
    <n v="1.833333333333333"/>
    <n v="176"/>
    <n v="0.7460058550331748"/>
    <n v="2.514285714285714"/>
    <n v="199"/>
    <n v="0.2390265502318023"/>
    <n v="0.995"/>
    <n v="319"/>
    <n v="0.6746861598028401"/>
    <n v="1.99375"/>
    <n v="39"/>
    <n v="0.4716175032552834"/>
    <n v="0.195"/>
    <m/>
    <m/>
    <m/>
    <m/>
    <m/>
    <m/>
    <m/>
    <m/>
    <m/>
    <m/>
    <m/>
    <m/>
    <n v="75"/>
    <n v="126"/>
    <n v="120"/>
    <n v="0"/>
    <m/>
    <n v="0"/>
    <n v="2227136"/>
    <n v="1369305"/>
    <n v="1367040"/>
    <n v="0"/>
    <n v="8"/>
    <n v="91136"/>
    <n v="2541345.950144764"/>
    <n v="6"/>
    <n v="48"/>
    <n v="49.5"/>
    <n v="300"/>
    <n v="300"/>
    <n v="0"/>
    <n v="1486656"/>
    <n v="521640"/>
    <n v="563904"/>
    <n v="0"/>
    <n v="8"/>
    <n v="91136"/>
    <n v="1048305.204434715"/>
    <n v="120"/>
    <n v="34"/>
    <n v="26"/>
    <n v="0"/>
    <n v="0"/>
    <n v="1911694.5"/>
    <n v="387328"/>
    <n v="296192"/>
    <n v="0"/>
    <n v="8"/>
    <n v="91136"/>
    <n v="655243.6974789916"/>
    <n v="30"/>
    <n v="286"/>
    <n v="55"/>
    <n v="0"/>
    <n v="0"/>
    <n v="3108105"/>
    <n v="626560"/>
    <n v="0"/>
    <n v="0"/>
    <n v="8"/>
    <n v="91136"/>
    <n v="1386092.43697479"/>
    <n v="70"/>
    <n v="184"/>
    <n v="91"/>
    <n v="70"/>
    <n v="70"/>
    <n v="0"/>
    <n v="2096128"/>
    <n v="988942.5"/>
    <n v="760725"/>
    <n v="0"/>
    <n v="8"/>
    <n v="91136"/>
    <n v="2293352.94117647"/>
    <n v="200"/>
    <n v="207"/>
    <n v="199"/>
    <m/>
    <n v="70"/>
    <n v="0"/>
    <n v="2358144"/>
    <n v="2162632.5"/>
    <n v="0"/>
    <n v="0"/>
    <n v="207"/>
    <n v="91136"/>
    <n v="5015134.453781513"/>
    <n v="160"/>
    <n v="327"/>
    <n v="319"/>
    <n v="400"/>
    <n v="400"/>
    <n v="0"/>
    <n v="3725184"/>
    <n v="3466732.5"/>
    <n v="4202100"/>
    <n v="0"/>
    <n v="327"/>
    <n v="91136"/>
    <n v="8039336.134453781"/>
    <n v="200"/>
    <n v="8"/>
    <n v="260"/>
    <n v="150"/>
    <n v="150"/>
    <n v="0"/>
    <n v="91136"/>
    <n v="2825550"/>
    <n v="1630125"/>
    <n v="0"/>
    <n v="8"/>
    <n v="91136"/>
    <n v="6552436.974789916"/>
    <n v="120"/>
    <n v="0"/>
    <n v="156"/>
    <n v="0"/>
    <n v="0"/>
    <n v="150"/>
    <n v="0"/>
    <n v="1695330"/>
    <n v="0"/>
    <n v="1630125"/>
    <n v="150"/>
    <n v="1630125"/>
    <n v="3931462.18487395"/>
    <n v="150"/>
    <n v="0"/>
    <n v="0"/>
    <n v="300"/>
    <n v="300"/>
    <n v="300"/>
    <n v="0"/>
    <n v="0"/>
    <n v="0"/>
    <n v="3260250"/>
    <n v="3260250"/>
    <n v="300"/>
    <n v="3260250"/>
    <n v="0"/>
    <n v="100"/>
    <n v="300"/>
    <n v="130"/>
    <n v="0"/>
    <n v="0"/>
    <n v="3260250"/>
    <n v="1412775"/>
    <n v="0"/>
    <n v="0"/>
    <n v="300"/>
    <n v="3260250"/>
    <n v="2866500"/>
    <n v="150"/>
    <n v="170"/>
    <n v="195"/>
    <n v="200"/>
    <n v="200"/>
    <n v="1847475"/>
    <n v="2119162.5"/>
    <n v="2173500"/>
    <n v="370"/>
    <n v="4020975"/>
    <n v="4914327.731092437"/>
    <n v="60"/>
    <n v="175"/>
    <n v="78"/>
    <n v="0"/>
    <m/>
    <n v="1901812.5"/>
    <n v="888576"/>
    <n v="0"/>
    <n v="175"/>
    <n v="1901812.5"/>
    <n v="1965731.092436975"/>
  </r>
  <r>
    <s v="Innovate-K-Gasfiteria"/>
    <x v="2"/>
    <x v="5"/>
    <x v="11"/>
    <n v="1661877043628"/>
    <x v="39"/>
    <x v="37"/>
    <x v="0"/>
    <x v="6"/>
    <n v="1"/>
    <x v="3"/>
    <n v="4"/>
    <m/>
    <n v="0"/>
    <n v="237256"/>
    <n v="949024"/>
    <n v="220"/>
    <n v="246620"/>
    <n v="462176.4705882353"/>
    <n v="462176.4705882353"/>
    <s v="Shenzhen"/>
    <s v="30/70"/>
    <n v="30"/>
    <n v="1"/>
    <n v="2"/>
    <n v="0.5553196890873138"/>
    <n v="0"/>
    <s v=""/>
    <n v="2"/>
    <n v="0.5279187970640614"/>
    <n v="6"/>
    <n v="0.5373867054144744"/>
    <n v="1"/>
    <n v="0.5107931394100949"/>
    <n v="5"/>
    <n v="0.5212392024566118"/>
    <n v="3"/>
    <n v="0.5104969369028692"/>
    <n v="0"/>
    <s v=""/>
    <n v="1"/>
    <n v="0.3960646557210131"/>
    <n v="0"/>
    <s v=""/>
    <n v="0"/>
    <s v=""/>
    <n v="0"/>
    <s v=""/>
    <n v="0"/>
    <s v=""/>
    <n v="0"/>
    <s v=""/>
    <n v="1"/>
    <n v="0.4866544368863447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2"/>
    <n v="5"/>
    <n v="2"/>
    <n v="0"/>
    <n v="0"/>
    <n v="0"/>
    <n v="711768"/>
    <n v="1138500"/>
    <n v="474512"/>
    <n v="0"/>
    <n v="4"/>
    <n v="949024"/>
    <n v="776767.177459219"/>
    <n v="3"/>
    <n v="5"/>
    <n v="0"/>
    <n v="3.133503028745246"/>
    <n v="3.133503028745246"/>
    <n v="0"/>
    <n v="237256"/>
    <n v="1138500"/>
    <n v="0"/>
    <n v="0"/>
    <n v="4"/>
    <n v="949024"/>
    <n v="0"/>
    <n v="3"/>
    <n v="5"/>
    <n v="1"/>
    <n v="0"/>
    <n v="0"/>
    <n v="920355.9999999999"/>
    <n v="1186280"/>
    <n v="237256"/>
    <n v="0"/>
    <n v="4"/>
    <n v="949024"/>
    <n v="462176.4705882353"/>
    <n v="3"/>
    <n v="4"/>
    <n v="0"/>
    <n v="0"/>
    <n v="0"/>
    <n v="910799.9999999999"/>
    <n v="0"/>
    <n v="0"/>
    <n v="0"/>
    <n v="4"/>
    <n v="949024"/>
    <n v="0"/>
    <n v="3"/>
    <n v="4"/>
    <n v="3"/>
    <m/>
    <n v="0"/>
    <n v="0"/>
    <n v="949024"/>
    <n v="683099.9999999999"/>
    <n v="0"/>
    <n v="0"/>
    <n v="4"/>
    <n v="949024"/>
    <n v="1386529.411764706"/>
    <n v="3"/>
    <n v="4"/>
    <n v="0"/>
    <m/>
    <n v="0"/>
    <n v="0"/>
    <n v="949024"/>
    <n v="0"/>
    <n v="0"/>
    <n v="0"/>
    <n v="4"/>
    <n v="949024"/>
    <n v="0"/>
    <n v="0"/>
    <n v="4"/>
    <n v="0"/>
    <n v="0"/>
    <n v="0"/>
    <n v="0"/>
    <n v="949024"/>
    <n v="0"/>
    <n v="0"/>
    <n v="0"/>
    <n v="4"/>
    <n v="949024"/>
    <n v="0"/>
    <n v="0"/>
    <n v="4"/>
    <n v="0"/>
    <n v="0"/>
    <n v="0"/>
    <n v="0"/>
    <n v="949024"/>
    <n v="0"/>
    <n v="0"/>
    <n v="0"/>
    <n v="4"/>
    <n v="949024"/>
    <n v="0"/>
    <n v="0"/>
    <n v="4"/>
    <n v="0"/>
    <n v="0"/>
    <n v="0"/>
    <n v="0"/>
    <n v="910799.9999999999"/>
    <n v="0"/>
    <n v="0"/>
    <n v="0"/>
    <n v="4"/>
    <n v="910799.9999999999"/>
    <n v="0"/>
    <n v="3"/>
    <n v="4"/>
    <n v="3"/>
    <n v="0"/>
    <n v="0"/>
    <n v="0"/>
    <m/>
    <n v="910799.9999999999"/>
    <n v="683099.9999999999"/>
    <n v="0"/>
    <n v="0"/>
    <n v="4"/>
    <n v="910799.9999999999"/>
    <n v="1386529.411764706"/>
    <n v="3"/>
    <n v="1"/>
    <n v="3"/>
    <m/>
    <n v="0"/>
    <n v="227700"/>
    <n v="683099.9999999999"/>
    <n v="0"/>
    <n v="0"/>
    <n v="1"/>
    <n v="227700"/>
    <n v="1455855.882352941"/>
    <n v="3"/>
    <n v="0"/>
    <n v="3"/>
    <n v="0"/>
    <n v="0"/>
    <n v="0"/>
    <n v="683099.9999999999"/>
    <n v="0"/>
    <n v="0"/>
    <n v="0"/>
    <n v="1386529.411764706"/>
    <n v="1.8"/>
    <n v="0"/>
    <n v="1.8"/>
    <n v="0"/>
    <m/>
    <n v="0"/>
    <n v="427060.7999999999"/>
    <n v="0"/>
    <n v="0"/>
    <n v="0"/>
    <n v="831917.6470588235"/>
  </r>
  <r>
    <s v="Innovate-K-Gasfiteria"/>
    <x v="2"/>
    <x v="5"/>
    <x v="11"/>
    <n v="1661877072053"/>
    <x v="40"/>
    <x v="38"/>
    <x v="0"/>
    <x v="6"/>
    <n v="1"/>
    <x v="3"/>
    <n v="0"/>
    <m/>
    <n v="0"/>
    <n v="275044.23"/>
    <n v="0"/>
    <n v="251.7567322654462"/>
    <n v="282220.0869565217"/>
    <n v="546210.0840336134"/>
    <n v="546210.0840336134"/>
    <s v="Shenzhen"/>
    <s v="30/70"/>
    <n v="30"/>
    <n v="1"/>
    <n v="0"/>
    <s v=""/>
    <n v="2"/>
    <n v="0.6167048935926212"/>
    <n v="2"/>
    <n v="0.5903597881830464"/>
    <n v="0"/>
    <s v=""/>
    <n v="0"/>
    <s v=""/>
    <n v="2"/>
    <n v="0.5642126330678323"/>
    <n v="1"/>
    <n v="0.3451327857142857"/>
    <n v="1"/>
    <n v="0.5798426725652361"/>
    <n v="1"/>
    <n v="0.5903599189192007"/>
    <n v="1"/>
    <n v="0.4999195818181819"/>
    <n v="1"/>
    <n v="0.5903599189192007"/>
    <n v="0"/>
    <s v=""/>
    <n v="1"/>
    <n v="0.5798426841681601"/>
    <n v="0"/>
    <s v=""/>
    <n v="0"/>
    <s v=""/>
    <n v="2"/>
    <n v="0.3304834950062854"/>
    <n v="2"/>
    <n v="1"/>
    <n v="0.4964481761257866"/>
    <n v="1"/>
    <n v="0"/>
    <s v=""/>
    <n v="0"/>
    <n v="0"/>
    <s v=""/>
    <n v="0"/>
    <n v="0"/>
    <s v=""/>
    <n v="0"/>
    <m/>
    <m/>
    <m/>
    <m/>
    <m/>
    <m/>
    <m/>
    <m/>
    <m/>
    <m/>
    <m/>
    <m/>
    <n v="1.333333333333333"/>
    <n v="5"/>
    <n v="1.333333333333333"/>
    <n v="0"/>
    <m/>
    <n v="0"/>
    <n v="366725.64"/>
    <n v="1302841.089473684"/>
    <n v="366725.64"/>
    <n v="0"/>
    <n v="0"/>
    <n v="0"/>
    <n v="612000.0941553091"/>
    <n v="1"/>
    <n v="4"/>
    <n v="0"/>
    <n v="0"/>
    <m/>
    <n v="0"/>
    <n v="550088.46"/>
    <n v="1042272.871578947"/>
    <n v="0"/>
    <n v="0"/>
    <n v="0"/>
    <n v="0"/>
    <n v="0"/>
    <n v="1"/>
    <n v="4"/>
    <n v="0"/>
    <n v="0"/>
    <n v="0"/>
    <n v="810656.6778947368"/>
    <n v="1100176.92"/>
    <n v="0"/>
    <n v="0"/>
    <n v="0"/>
    <n v="0"/>
    <n v="0"/>
    <n v="1"/>
    <n v="4"/>
    <n v="2"/>
    <n v="0"/>
    <n v="0"/>
    <n v="1042272.871578947"/>
    <n v="550088.46"/>
    <n v="0"/>
    <n v="0"/>
    <n v="0"/>
    <n v="0"/>
    <n v="1092420.168067227"/>
    <n v="1"/>
    <n v="1"/>
    <n v="1"/>
    <m/>
    <n v="0"/>
    <n v="0"/>
    <n v="275044.23"/>
    <n v="260568.2178947368"/>
    <n v="0"/>
    <n v="0"/>
    <n v="0"/>
    <n v="0"/>
    <n v="546210.0840336134"/>
    <n v="1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m/>
    <n v="0"/>
    <n v="0"/>
    <n v="0"/>
    <n v="0"/>
    <n v="0"/>
    <n v="0"/>
    <n v="0"/>
    <n v="1"/>
    <n v="0"/>
    <n v="1"/>
    <m/>
    <n v="0"/>
    <n v="0"/>
    <n v="260568.2178947368"/>
    <n v="0"/>
    <n v="0"/>
    <n v="0"/>
    <n v="0"/>
    <n v="573520.5882352941"/>
    <n v="1"/>
    <n v="0"/>
    <n v="1"/>
    <n v="0"/>
    <n v="0"/>
    <n v="0"/>
    <n v="260568.2178947368"/>
    <n v="0"/>
    <n v="0"/>
    <n v="0"/>
    <n v="546210.0840336134"/>
    <n v="0.6"/>
    <n v="0"/>
    <n v="0.6"/>
    <n v="0"/>
    <m/>
    <n v="0"/>
    <n v="165026.538"/>
    <n v="0"/>
    <n v="0"/>
    <n v="0"/>
    <n v="327726.050420168"/>
  </r>
  <r>
    <m/>
    <x v="2"/>
    <x v="5"/>
    <x v="11"/>
    <s v="INCAMINS92-40"/>
    <x v="41"/>
    <x v="39"/>
    <x v="0"/>
    <x v="6"/>
    <n v="1"/>
    <x v="3"/>
    <n v="0"/>
    <m/>
    <n v="0"/>
    <n v="293682"/>
    <n v="0"/>
    <n v="268.81647597254"/>
    <n v="301343.2695652174"/>
    <n v="672260.5042016807"/>
    <n v="672260.5042016807"/>
    <s v="Shenzhen"/>
    <s v="30/70"/>
    <n v="30"/>
    <n v="1"/>
    <n v="0"/>
    <s v=""/>
    <n v="0"/>
    <s v=""/>
    <n v="0"/>
    <s v=""/>
    <n v="0"/>
    <s v=""/>
    <n v="0"/>
    <s v=""/>
    <n v="2"/>
    <n v="0.5558983176179448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2"/>
    <x v="5"/>
    <x v="11"/>
    <s v="INNCAMINS-7F"/>
    <x v="42"/>
    <x v="40"/>
    <x v="0"/>
    <x v="6"/>
    <n v="1"/>
    <x v="3"/>
    <n v="0"/>
    <m/>
    <n v="0"/>
    <n v="553437"/>
    <n v="0"/>
    <n v="506.5784897025172"/>
    <n v="567874.4869565218"/>
    <n v="1344529.411764706"/>
    <n v="1344529.411764706"/>
    <s v="Shenzhen"/>
    <s v="30/70"/>
    <n v="30"/>
    <n v="1"/>
    <n v="0"/>
    <s v=""/>
    <n v="0"/>
    <s v=""/>
    <n v="0"/>
    <s v=""/>
    <n v="1"/>
    <n v="0.5883785325567541"/>
    <n v="0"/>
    <s v=""/>
    <n v="0"/>
    <s v=""/>
    <n v="0"/>
    <s v=""/>
    <n v="0"/>
    <s v=""/>
    <n v="1"/>
    <n v="0.5883785325567541"/>
    <n v="1"/>
    <n v="0.5737254016949714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1"/>
    <n v="0"/>
    <n v="0"/>
    <n v="1.048908359666763"/>
    <n v="1.048908359666763"/>
    <n v="0"/>
    <n v="0"/>
    <n v="0"/>
    <n v="0"/>
    <n v="0"/>
    <n v="0"/>
    <n v="0"/>
    <n v="0"/>
    <n v="1"/>
    <n v="0"/>
    <n v="0"/>
    <n v="0"/>
    <n v="0"/>
    <n v="524308.7368421053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1"/>
    <m/>
    <n v="0"/>
    <n v="0"/>
    <n v="0"/>
    <n v="524308.7368421053"/>
    <n v="0"/>
    <n v="0"/>
    <n v="0"/>
    <n v="0"/>
    <n v="1344529.411764706"/>
    <n v="1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m/>
    <n v="0"/>
    <n v="0"/>
    <n v="0"/>
    <n v="0"/>
    <n v="0"/>
    <n v="0"/>
    <n v="0"/>
    <n v="1"/>
    <n v="0"/>
    <n v="1"/>
    <m/>
    <n v="0"/>
    <n v="0"/>
    <n v="524308.7368421053"/>
    <n v="0"/>
    <n v="0"/>
    <n v="0"/>
    <n v="0"/>
    <n v="1411755.882352941"/>
    <n v="1"/>
    <n v="0"/>
    <n v="1"/>
    <n v="0"/>
    <n v="0"/>
    <n v="0"/>
    <n v="524308.7368421053"/>
    <n v="0"/>
    <n v="0"/>
    <n v="0"/>
    <n v="1344529.411764706"/>
    <n v="0.6"/>
    <n v="0"/>
    <n v="0.6"/>
    <n v="0"/>
    <m/>
    <n v="0"/>
    <n v="332062.2"/>
    <n v="0"/>
    <n v="0"/>
    <n v="0"/>
    <n v="806717.6470588236"/>
  </r>
  <r>
    <m/>
    <x v="2"/>
    <x v="5"/>
    <x v="11"/>
    <s v="INNCAMINS-96"/>
    <x v="43"/>
    <x v="41"/>
    <x v="0"/>
    <x v="6"/>
    <n v="1"/>
    <x v="3"/>
    <n v="0"/>
    <m/>
    <n v="0"/>
    <n v="432031"/>
    <n v="0"/>
    <n v="395.4517162471396"/>
    <n v="443301.3739130435"/>
    <n v="1117566.488856412"/>
    <n v="949931.5155279504"/>
    <s v="Shenzhen"/>
    <s v="30/70"/>
    <n v="30"/>
    <n v="1"/>
    <n v="0"/>
    <s v=""/>
    <n v="1"/>
    <n v="0.6045225822456196"/>
    <n v="0"/>
    <s v=""/>
    <n v="0"/>
    <s v=""/>
    <n v="0"/>
    <s v=""/>
    <n v="0"/>
    <s v=""/>
    <n v="1"/>
    <n v="0.5715652810310256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1"/>
    <n v="0"/>
    <n v="0"/>
    <n v="1.048908359666763"/>
    <n v="1.048908359666763"/>
    <n v="0"/>
    <n v="0"/>
    <n v="0"/>
    <n v="0"/>
    <n v="0"/>
    <n v="0"/>
    <n v="0"/>
    <n v="0"/>
    <n v="1"/>
    <n v="0"/>
    <n v="0"/>
    <n v="0"/>
    <n v="0"/>
    <n v="409292.5263157895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1"/>
    <m/>
    <n v="0"/>
    <n v="0"/>
    <n v="0"/>
    <n v="409292.5263157895"/>
    <n v="0"/>
    <n v="0"/>
    <n v="0"/>
    <n v="0"/>
    <n v="1117566.488856412"/>
    <n v="1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m/>
    <n v="0"/>
    <n v="0"/>
    <n v="0"/>
    <n v="0"/>
    <n v="0"/>
    <n v="0"/>
    <n v="0"/>
    <n v="1"/>
    <n v="0"/>
    <n v="1"/>
    <m/>
    <n v="0"/>
    <n v="0"/>
    <n v="409292.5263157895"/>
    <n v="0"/>
    <n v="0"/>
    <n v="0"/>
    <n v="0"/>
    <n v="997428.091304348"/>
    <n v="1"/>
    <n v="0"/>
    <n v="1"/>
    <n v="0"/>
    <n v="0"/>
    <n v="0"/>
    <n v="409292.5263157895"/>
    <n v="0"/>
    <n v="0"/>
    <n v="0"/>
    <n v="1117566.488856412"/>
    <n v="0.6"/>
    <n v="0"/>
    <n v="0.6"/>
    <n v="0"/>
    <m/>
    <n v="0"/>
    <n v="259218.6"/>
    <n v="0"/>
    <n v="0"/>
    <n v="0"/>
    <n v="670539.8933138474"/>
  </r>
  <r>
    <m/>
    <x v="2"/>
    <x v="5"/>
    <x v="11"/>
    <s v="INNCAMINSH3-70"/>
    <x v="44"/>
    <x v="42"/>
    <x v="0"/>
    <x v="6"/>
    <n v="1"/>
    <x v="3"/>
    <n v="0"/>
    <m/>
    <n v="0"/>
    <n v="1867612"/>
    <n v="0"/>
    <n v="1709.48466819222"/>
    <n v="1916332.313043478"/>
    <n v="5042008.403361345"/>
    <n v="5042008.403361345"/>
    <s v="Shenzhen"/>
    <s v="30/70"/>
    <n v="30"/>
    <n v="1"/>
    <n v="0"/>
    <s v=""/>
    <n v="0"/>
    <s v=""/>
    <n v="0"/>
    <s v=""/>
    <n v="1"/>
    <n v="0.4579111536675952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1"/>
    <n v="0"/>
    <n v="0"/>
    <n v="1.024130996839989"/>
    <n v="1.024130996839989"/>
    <n v="0"/>
    <n v="0"/>
    <n v="0"/>
    <n v="0"/>
    <n v="0"/>
    <n v="0"/>
    <n v="0"/>
    <n v="0"/>
    <n v="1"/>
    <n v="0"/>
    <n v="0"/>
    <n v="0"/>
    <n v="0"/>
    <n v="1769316.631578947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1"/>
    <m/>
    <n v="0"/>
    <n v="0"/>
    <n v="0"/>
    <n v="1769316.631578947"/>
    <n v="0"/>
    <n v="0"/>
    <n v="0"/>
    <n v="0"/>
    <n v="5042008.403361345"/>
    <n v="1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m/>
    <n v="0"/>
    <n v="0"/>
    <n v="0"/>
    <n v="0"/>
    <n v="0"/>
    <n v="0"/>
    <n v="0"/>
    <n v="1"/>
    <n v="0"/>
    <n v="1"/>
    <m/>
    <n v="0"/>
    <n v="0"/>
    <n v="1769316.631578947"/>
    <n v="0"/>
    <n v="0"/>
    <n v="0"/>
    <n v="0"/>
    <n v="5294108.823529412"/>
    <n v="1"/>
    <n v="0"/>
    <n v="1"/>
    <n v="0"/>
    <n v="0"/>
    <n v="0"/>
    <n v="1769316.631578947"/>
    <n v="0"/>
    <n v="0"/>
    <n v="0"/>
    <n v="5042008.403361345"/>
    <n v="0.6"/>
    <n v="0"/>
    <n v="0.6"/>
    <n v="0"/>
    <m/>
    <n v="0"/>
    <n v="1120567.2"/>
    <n v="0"/>
    <n v="0"/>
    <n v="0"/>
    <n v="3025205.042016807"/>
  </r>
  <r>
    <m/>
    <x v="2"/>
    <x v="5"/>
    <x v="11"/>
    <s v="INNCAMINSH5-20"/>
    <x v="45"/>
    <x v="43"/>
    <x v="0"/>
    <x v="6"/>
    <n v="1"/>
    <x v="3"/>
    <n v="1"/>
    <m/>
    <n v="0"/>
    <n v="282666"/>
    <n v="282666"/>
    <n v="258.7331807780321"/>
    <n v="290039.8956521739"/>
    <n v="798310.924369748"/>
    <n v="798310.924369748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1"/>
    <n v="0"/>
    <n v="0"/>
    <m/>
    <n v="0"/>
    <n v="0"/>
    <n v="267788.8421052632"/>
    <n v="0"/>
    <n v="0"/>
    <n v="1"/>
    <n v="282666"/>
    <n v="0"/>
    <n v="0"/>
    <n v="1"/>
    <n v="0"/>
    <n v="0"/>
    <m/>
    <n v="0"/>
    <n v="0"/>
    <n v="267788.8421052632"/>
    <n v="0"/>
    <n v="0"/>
    <n v="1"/>
    <n v="282666"/>
    <n v="0"/>
    <n v="0"/>
    <n v="1"/>
    <n v="0"/>
    <n v="0"/>
    <n v="0"/>
    <n v="0"/>
    <n v="282666"/>
    <n v="0"/>
    <n v="0"/>
    <n v="1"/>
    <n v="282666"/>
    <n v="0"/>
    <n v="0"/>
    <n v="1"/>
    <n v="0"/>
    <n v="0"/>
    <n v="0"/>
    <n v="267788.8421052632"/>
    <n v="0"/>
    <n v="0"/>
    <n v="0"/>
    <n v="1"/>
    <n v="282666"/>
    <n v="0"/>
    <n v="0"/>
    <n v="1"/>
    <n v="0"/>
    <m/>
    <n v="0"/>
    <n v="0"/>
    <n v="282666"/>
    <n v="0"/>
    <n v="0"/>
    <n v="0"/>
    <n v="1"/>
    <n v="282666"/>
    <n v="0"/>
    <n v="0"/>
    <n v="1"/>
    <n v="0"/>
    <m/>
    <n v="0"/>
    <n v="0"/>
    <n v="282666"/>
    <n v="0"/>
    <n v="0"/>
    <n v="0"/>
    <n v="1"/>
    <n v="282666"/>
    <n v="0"/>
    <n v="0"/>
    <n v="1"/>
    <n v="0"/>
    <n v="0"/>
    <n v="0"/>
    <n v="0"/>
    <n v="282666"/>
    <n v="0"/>
    <n v="0"/>
    <n v="0"/>
    <n v="1"/>
    <n v="282666"/>
    <n v="0"/>
    <n v="0"/>
    <n v="1"/>
    <n v="0"/>
    <n v="0"/>
    <n v="0"/>
    <n v="0"/>
    <n v="282666"/>
    <n v="0"/>
    <n v="0"/>
    <n v="0"/>
    <n v="1"/>
    <n v="282666"/>
    <n v="0"/>
    <n v="0"/>
    <n v="1"/>
    <n v="0"/>
    <n v="0"/>
    <n v="0"/>
    <n v="0"/>
    <n v="267788.8421052632"/>
    <n v="0"/>
    <n v="0"/>
    <n v="0"/>
    <n v="1"/>
    <n v="267788.8421052632"/>
    <n v="0"/>
    <n v="0"/>
    <n v="1"/>
    <n v="0"/>
    <n v="0"/>
    <n v="0"/>
    <n v="0"/>
    <m/>
    <n v="267788.8421052632"/>
    <n v="0"/>
    <n v="0"/>
    <n v="0"/>
    <n v="1"/>
    <n v="267788.8421052632"/>
    <n v="0"/>
    <n v="0"/>
    <n v="1"/>
    <n v="0"/>
    <n v="0"/>
    <n v="0"/>
    <n v="267788.8421052632"/>
    <n v="0"/>
    <n v="0"/>
    <n v="0"/>
    <n v="1"/>
    <n v="267788.8421052632"/>
    <n v="0"/>
    <n v="0"/>
    <n v="1"/>
    <n v="0"/>
    <n v="0"/>
    <n v="0"/>
    <n v="267788.8421052632"/>
    <n v="0"/>
    <n v="0"/>
    <n v="1"/>
    <n v="267788.8421052632"/>
    <n v="0"/>
    <n v="0"/>
    <n v="1"/>
    <n v="0"/>
    <n v="0"/>
    <m/>
    <n v="267788.8421052632"/>
    <n v="0"/>
    <n v="0"/>
    <n v="1"/>
    <n v="267788.8421052632"/>
    <n v="0"/>
  </r>
  <r>
    <s v="Innovate-K-Gasfiteria"/>
    <x v="2"/>
    <x v="5"/>
    <x v="11"/>
    <s v="INNCAMINSH5512-20"/>
    <x v="46"/>
    <x v="44"/>
    <x v="0"/>
    <x v="6"/>
    <n v="1"/>
    <x v="3"/>
    <n v="1"/>
    <m/>
    <n v="0"/>
    <n v="423998"/>
    <n v="423998"/>
    <n v="388.0988558352403"/>
    <n v="435058.8173913044"/>
    <n v="1176462.18487395"/>
    <n v="1176462.1848739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1"/>
    <n v="0"/>
    <n v="0"/>
    <m/>
    <n v="0"/>
    <n v="0"/>
    <n v="401682.3157894738"/>
    <n v="0"/>
    <n v="0"/>
    <n v="1"/>
    <n v="423998"/>
    <n v="0"/>
    <n v="0"/>
    <n v="1"/>
    <n v="0"/>
    <n v="0"/>
    <m/>
    <n v="0"/>
    <n v="0"/>
    <n v="401682.3157894738"/>
    <n v="0"/>
    <n v="0"/>
    <n v="1"/>
    <n v="423998"/>
    <n v="0"/>
    <n v="0"/>
    <n v="1"/>
    <n v="0"/>
    <n v="0"/>
    <n v="0"/>
    <n v="0"/>
    <n v="423998"/>
    <n v="0"/>
    <n v="0"/>
    <n v="1"/>
    <n v="423998"/>
    <n v="0"/>
    <n v="0"/>
    <n v="1"/>
    <n v="0"/>
    <n v="0"/>
    <n v="0"/>
    <n v="401682.3157894738"/>
    <n v="0"/>
    <n v="0"/>
    <n v="0"/>
    <n v="1"/>
    <n v="423998"/>
    <n v="0"/>
    <n v="0"/>
    <n v="1"/>
    <n v="0"/>
    <m/>
    <n v="0"/>
    <n v="0"/>
    <n v="423998"/>
    <n v="0"/>
    <n v="0"/>
    <n v="0"/>
    <n v="1"/>
    <n v="423998"/>
    <n v="0"/>
    <n v="0"/>
    <n v="1"/>
    <n v="0"/>
    <m/>
    <n v="0"/>
    <n v="0"/>
    <n v="423998"/>
    <n v="0"/>
    <n v="0"/>
    <n v="0"/>
    <n v="1"/>
    <n v="423998"/>
    <n v="0"/>
    <n v="0"/>
    <n v="1"/>
    <n v="0"/>
    <n v="0"/>
    <n v="0"/>
    <n v="0"/>
    <n v="423998"/>
    <n v="0"/>
    <n v="0"/>
    <n v="0"/>
    <n v="1"/>
    <n v="423998"/>
    <n v="0"/>
    <n v="0"/>
    <n v="1"/>
    <n v="0"/>
    <n v="0"/>
    <n v="0"/>
    <n v="0"/>
    <n v="423998"/>
    <n v="0"/>
    <n v="0"/>
    <n v="0"/>
    <n v="1"/>
    <n v="423998"/>
    <n v="0"/>
    <n v="0"/>
    <n v="1"/>
    <n v="0"/>
    <n v="0"/>
    <n v="0"/>
    <n v="0"/>
    <n v="401682.3157894738"/>
    <n v="0"/>
    <n v="0"/>
    <n v="0"/>
    <n v="1"/>
    <n v="401682.3157894738"/>
    <n v="0"/>
    <n v="0"/>
    <n v="1"/>
    <n v="0"/>
    <n v="0"/>
    <n v="0"/>
    <n v="0"/>
    <m/>
    <n v="401682.3157894738"/>
    <n v="0"/>
    <n v="0"/>
    <n v="0"/>
    <n v="1"/>
    <n v="401682.3157894738"/>
    <n v="0"/>
    <n v="0"/>
    <n v="1"/>
    <n v="0"/>
    <n v="0"/>
    <n v="0"/>
    <n v="401682.3157894738"/>
    <n v="0"/>
    <n v="0"/>
    <n v="0"/>
    <n v="1"/>
    <n v="401682.3157894738"/>
    <n v="0"/>
    <n v="0"/>
    <n v="1"/>
    <n v="0"/>
    <n v="0"/>
    <n v="0"/>
    <n v="401682.3157894738"/>
    <n v="0"/>
    <n v="0"/>
    <n v="1"/>
    <n v="401682.3157894738"/>
    <n v="0"/>
    <n v="0"/>
    <n v="1"/>
    <n v="0"/>
    <n v="0"/>
    <m/>
    <n v="401682.3157894738"/>
    <n v="0"/>
    <n v="0"/>
    <n v="1"/>
    <n v="401682.3157894738"/>
    <n v="0"/>
  </r>
  <r>
    <s v="Innovate-K-Gasfiteria"/>
    <x v="2"/>
    <x v="5"/>
    <x v="11"/>
    <s v="INNCAMINSH6-40"/>
    <x v="47"/>
    <x v="45"/>
    <x v="0"/>
    <x v="6"/>
    <n v="1"/>
    <x v="3"/>
    <n v="4"/>
    <m/>
    <n v="0"/>
    <n v="302856"/>
    <n v="1211424"/>
    <n v="277.2137299771168"/>
    <n v="310756.5913043479"/>
    <n v="840327.7310924371"/>
    <n v="840327.7310924371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4"/>
    <n v="0"/>
    <n v="0"/>
    <m/>
    <n v="0"/>
    <n v="0"/>
    <n v="1147664.842105263"/>
    <n v="0"/>
    <n v="0"/>
    <n v="4"/>
    <n v="1211424"/>
    <n v="0"/>
    <n v="0"/>
    <n v="4"/>
    <n v="0"/>
    <n v="0"/>
    <m/>
    <n v="0"/>
    <n v="0"/>
    <n v="1147664.842105263"/>
    <n v="0"/>
    <n v="0"/>
    <n v="4"/>
    <n v="1211424"/>
    <n v="0"/>
    <n v="0"/>
    <n v="4"/>
    <n v="0"/>
    <n v="0"/>
    <n v="0"/>
    <n v="0"/>
    <n v="1211424"/>
    <n v="0"/>
    <n v="0"/>
    <n v="4"/>
    <n v="1211424"/>
    <n v="0"/>
    <n v="0"/>
    <n v="4"/>
    <n v="0"/>
    <n v="0"/>
    <n v="0"/>
    <n v="1147664.842105263"/>
    <n v="0"/>
    <n v="0"/>
    <n v="0"/>
    <n v="4"/>
    <n v="1211424"/>
    <n v="0"/>
    <n v="0"/>
    <n v="4"/>
    <n v="0"/>
    <m/>
    <n v="0"/>
    <n v="0"/>
    <n v="1211424"/>
    <n v="0"/>
    <n v="0"/>
    <n v="0"/>
    <n v="4"/>
    <n v="1211424"/>
    <n v="0"/>
    <n v="0"/>
    <n v="4"/>
    <n v="0"/>
    <m/>
    <n v="0"/>
    <n v="0"/>
    <n v="1211424"/>
    <n v="0"/>
    <n v="0"/>
    <n v="0"/>
    <n v="4"/>
    <n v="1211424"/>
    <n v="0"/>
    <n v="0"/>
    <n v="4"/>
    <n v="0"/>
    <n v="0"/>
    <n v="0"/>
    <n v="0"/>
    <n v="1211424"/>
    <n v="0"/>
    <n v="0"/>
    <n v="0"/>
    <n v="4"/>
    <n v="1211424"/>
    <n v="0"/>
    <n v="0"/>
    <n v="4"/>
    <n v="0"/>
    <n v="0"/>
    <n v="0"/>
    <n v="0"/>
    <n v="1211424"/>
    <n v="0"/>
    <n v="0"/>
    <n v="0"/>
    <n v="4"/>
    <n v="1211424"/>
    <n v="0"/>
    <n v="0"/>
    <n v="4"/>
    <n v="0"/>
    <n v="0"/>
    <n v="0"/>
    <n v="0"/>
    <n v="1147664.842105263"/>
    <n v="0"/>
    <n v="0"/>
    <n v="0"/>
    <n v="4"/>
    <n v="1147664.842105263"/>
    <n v="0"/>
    <n v="0"/>
    <n v="4"/>
    <n v="0"/>
    <n v="0"/>
    <n v="0"/>
    <n v="0"/>
    <m/>
    <n v="1147664.842105263"/>
    <n v="0"/>
    <n v="0"/>
    <n v="0"/>
    <n v="4"/>
    <n v="1147664.842105263"/>
    <n v="0"/>
    <n v="0"/>
    <n v="4"/>
    <n v="0"/>
    <n v="0"/>
    <n v="0"/>
    <n v="1147664.842105263"/>
    <n v="0"/>
    <n v="0"/>
    <n v="0"/>
    <n v="4"/>
    <n v="1147664.842105263"/>
    <n v="0"/>
    <n v="0"/>
    <n v="4"/>
    <n v="0"/>
    <n v="0"/>
    <n v="0"/>
    <n v="1147664.842105263"/>
    <n v="0"/>
    <n v="0"/>
    <n v="4"/>
    <n v="1147664.842105263"/>
    <n v="0"/>
    <n v="0"/>
    <n v="4"/>
    <n v="0"/>
    <n v="0"/>
    <m/>
    <n v="1147664.842105263"/>
    <n v="0"/>
    <n v="0"/>
    <n v="4"/>
    <n v="1147664.842105263"/>
    <n v="0"/>
  </r>
  <r>
    <s v="Innovate-K-Gasfiteria"/>
    <x v="2"/>
    <x v="5"/>
    <x v="11"/>
    <s v="INNCAMINS-U9"/>
    <x v="48"/>
    <x v="46"/>
    <x v="0"/>
    <x v="6"/>
    <n v="1"/>
    <x v="3"/>
    <n v="2"/>
    <m/>
    <n v="0"/>
    <n v="50149"/>
    <n v="100298"/>
    <n v="46.5"/>
    <n v="52126.5"/>
    <n v="126042.0168067227"/>
    <n v="126042.0168067227"/>
    <s v="Shenzhen"/>
    <s v="30/70"/>
    <n v="30"/>
    <n v="1"/>
    <n v="1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.3333333333333333"/>
    <n v="2"/>
    <n v="0.3333333333333333"/>
    <n v="0"/>
    <n v="0"/>
    <n v="0"/>
    <n v="16716.33333333333"/>
    <n v="96254.99999999999"/>
    <n v="16716.33333333333"/>
    <n v="0"/>
    <n v="2"/>
    <n v="100298"/>
    <n v="35305.88706070663"/>
    <n v="1"/>
    <n v="2"/>
    <n v="0"/>
    <n v="0.03270474515467339"/>
    <m/>
    <n v="0"/>
    <n v="0"/>
    <n v="96254.99999999999"/>
    <n v="0"/>
    <n v="0"/>
    <n v="2"/>
    <n v="100298"/>
    <n v="0"/>
    <n v="0"/>
    <n v="2"/>
    <n v="0"/>
    <n v="0"/>
    <n v="0"/>
    <n v="0"/>
    <n v="100298"/>
    <n v="0"/>
    <n v="0"/>
    <n v="2"/>
    <n v="100298"/>
    <n v="0"/>
    <n v="0"/>
    <n v="2"/>
    <n v="0"/>
    <n v="0"/>
    <n v="0"/>
    <n v="96254.99999999999"/>
    <n v="0"/>
    <n v="0"/>
    <n v="0"/>
    <n v="2"/>
    <n v="100298"/>
    <n v="0"/>
    <n v="0"/>
    <n v="2"/>
    <n v="0"/>
    <m/>
    <n v="0"/>
    <n v="0"/>
    <n v="100298"/>
    <n v="0"/>
    <n v="0"/>
    <n v="0"/>
    <n v="2"/>
    <n v="100298"/>
    <n v="0"/>
    <n v="0"/>
    <n v="2"/>
    <n v="0"/>
    <m/>
    <n v="0"/>
    <n v="0"/>
    <n v="100298"/>
    <n v="0"/>
    <n v="0"/>
    <n v="0"/>
    <n v="2"/>
    <n v="100298"/>
    <n v="0"/>
    <n v="0"/>
    <n v="2"/>
    <n v="0"/>
    <n v="0"/>
    <n v="0"/>
    <n v="0"/>
    <n v="100298"/>
    <n v="0"/>
    <n v="0"/>
    <n v="0"/>
    <n v="2"/>
    <n v="100298"/>
    <n v="0"/>
    <n v="0"/>
    <n v="2"/>
    <n v="0"/>
    <n v="0"/>
    <n v="0"/>
    <n v="0"/>
    <n v="100298"/>
    <n v="0"/>
    <n v="0"/>
    <n v="0"/>
    <n v="2"/>
    <n v="100298"/>
    <n v="0"/>
    <n v="0"/>
    <n v="2"/>
    <n v="0"/>
    <n v="0"/>
    <n v="0"/>
    <n v="0"/>
    <n v="96254.99999999999"/>
    <n v="0"/>
    <n v="0"/>
    <n v="0"/>
    <n v="2"/>
    <n v="96254.99999999999"/>
    <n v="0"/>
    <n v="0"/>
    <n v="2"/>
    <n v="0"/>
    <n v="0"/>
    <n v="0"/>
    <n v="0"/>
    <m/>
    <n v="96254.99999999999"/>
    <n v="0"/>
    <n v="0"/>
    <n v="0"/>
    <n v="2"/>
    <n v="96254.99999999999"/>
    <n v="0"/>
    <n v="0"/>
    <n v="2"/>
    <n v="0"/>
    <n v="0"/>
    <n v="0"/>
    <n v="96254.99999999999"/>
    <n v="0"/>
    <n v="0"/>
    <n v="0"/>
    <n v="2"/>
    <n v="96254.99999999999"/>
    <n v="0"/>
    <n v="0"/>
    <n v="2"/>
    <n v="0"/>
    <n v="0"/>
    <n v="0"/>
    <n v="96254.99999999999"/>
    <n v="0"/>
    <n v="0"/>
    <n v="2"/>
    <n v="96254.99999999999"/>
    <n v="0"/>
    <n v="0"/>
    <n v="2"/>
    <n v="0"/>
    <n v="0"/>
    <m/>
    <n v="96254.99999999999"/>
    <n v="0"/>
    <n v="0"/>
    <n v="2"/>
    <n v="96254.99999999999"/>
    <n v="0"/>
  </r>
  <r>
    <s v="Innovate-K-Hogar"/>
    <x v="2"/>
    <x v="6"/>
    <x v="12"/>
    <n v="1571055493973"/>
    <x v="49"/>
    <x v="47"/>
    <x v="0"/>
    <x v="7"/>
    <n v="1"/>
    <x v="3"/>
    <n v="2"/>
    <m/>
    <n v="0"/>
    <n v="19691"/>
    <n v="39382"/>
    <n v="21"/>
    <n v="22942.5"/>
    <n v="42008.40336134454"/>
    <n v="42008.40336134454"/>
    <s v="Shenzhen"/>
    <s v="30/70"/>
    <n v="30"/>
    <n v="100"/>
    <n v="3"/>
    <n v="0.6203026233429624"/>
    <n v="9"/>
    <n v="0.529728029909285"/>
    <n v="8"/>
    <n v="0.5737185355012252"/>
    <n v="2"/>
    <n v="0.5339848336061103"/>
    <n v="2"/>
    <n v="0.5339848336061103"/>
    <n v="41"/>
    <n v="0.6098885510030124"/>
    <n v="17"/>
    <n v="0.6115657781093872"/>
    <n v="21"/>
    <n v="0.516149526347576"/>
    <n v="15"/>
    <n v="0.4685555896536366"/>
    <n v="18"/>
    <n v="0.3815454989792795"/>
    <n v="17"/>
    <n v="0.3456199306991332"/>
    <n v="10"/>
    <n v="0.4530527854844293"/>
    <n v="6"/>
    <n v="0.3433880858157089"/>
    <n v="13"/>
    <n v="0.3108762657298864"/>
    <n v="19"/>
    <n v="0.3357982837557397"/>
    <n v="12"/>
    <n v="0.4050004688221252"/>
    <n v="1.714285714285714"/>
    <n v="2"/>
    <n v="0.5738790689216221"/>
    <n v="0.2857142857142857"/>
    <n v="1"/>
    <n v="0.5312508501700339"/>
    <n v="0.1428571428571428"/>
    <n v="0"/>
    <s v=""/>
    <n v="0"/>
    <n v="0"/>
    <s v=""/>
    <n v="0"/>
    <m/>
    <m/>
    <m/>
    <m/>
    <m/>
    <m/>
    <m/>
    <m/>
    <m/>
    <m/>
    <m/>
    <m/>
    <n v="6.666666666666667"/>
    <n v="54"/>
    <n v="6.666666666666667"/>
    <n v="0"/>
    <m/>
    <n v="0"/>
    <n v="889376.8333333334"/>
    <n v="1173690"/>
    <n v="131273.3333333333"/>
    <n v="0"/>
    <n v="2"/>
    <n v="39382"/>
    <n v="235341.1953016501"/>
    <n v="7"/>
    <n v="48"/>
    <n v="19.5"/>
    <n v="0"/>
    <m/>
    <n v="0"/>
    <n v="994395.5"/>
    <n v="1043280"/>
    <n v="383974.5"/>
    <n v="0"/>
    <n v="2"/>
    <n v="39382"/>
    <n v="688372.9962573266"/>
    <n v="7"/>
    <n v="31"/>
    <n v="19"/>
    <n v="0"/>
    <n v="0"/>
    <n v="762566"/>
    <n v="610421"/>
    <n v="374129"/>
    <n v="0"/>
    <n v="2"/>
    <n v="39382"/>
    <n v="798159.6638655463"/>
    <n v="7"/>
    <n v="12"/>
    <n v="12"/>
    <n v="0"/>
    <n v="0"/>
    <n v="260820"/>
    <n v="236292"/>
    <n v="0"/>
    <n v="0"/>
    <n v="2"/>
    <n v="39382"/>
    <n v="504100.8403361345"/>
    <n v="7"/>
    <n v="4"/>
    <n v="7"/>
    <m/>
    <n v="0"/>
    <n v="0"/>
    <n v="78764"/>
    <n v="152145"/>
    <n v="0"/>
    <n v="0"/>
    <n v="2"/>
    <n v="39382"/>
    <n v="294058.8235294118"/>
    <n v="7"/>
    <n v="3"/>
    <n v="1"/>
    <m/>
    <n v="0"/>
    <n v="0"/>
    <n v="59073"/>
    <n v="21735"/>
    <n v="0"/>
    <n v="0"/>
    <n v="3"/>
    <n v="39382"/>
    <n v="42008.40336134454"/>
    <n v="0"/>
    <n v="2"/>
    <n v="0"/>
    <n v="0"/>
    <n v="0"/>
    <n v="0"/>
    <n v="39382"/>
    <n v="0"/>
    <n v="0"/>
    <n v="0"/>
    <n v="2"/>
    <n v="39382"/>
    <n v="0"/>
    <n v="0"/>
    <n v="2"/>
    <n v="0"/>
    <n v="0"/>
    <n v="0"/>
    <n v="0"/>
    <n v="39382"/>
    <n v="0"/>
    <n v="0"/>
    <n v="0"/>
    <n v="2"/>
    <n v="39382"/>
    <n v="0"/>
    <n v="0"/>
    <n v="2"/>
    <n v="0"/>
    <n v="0"/>
    <n v="0"/>
    <n v="0"/>
    <n v="43470"/>
    <n v="0"/>
    <n v="0"/>
    <n v="0"/>
    <n v="2"/>
    <n v="43470"/>
    <n v="0"/>
    <n v="7"/>
    <n v="2"/>
    <n v="2"/>
    <n v="0"/>
    <n v="0"/>
    <n v="0"/>
    <m/>
    <n v="43470"/>
    <n v="43470"/>
    <n v="0"/>
    <n v="0"/>
    <n v="2"/>
    <n v="43470"/>
    <n v="84016.80672268909"/>
    <n v="7"/>
    <n v="0"/>
    <n v="7"/>
    <m/>
    <n v="0"/>
    <n v="0"/>
    <n v="152145"/>
    <n v="0"/>
    <n v="0"/>
    <n v="0"/>
    <n v="0"/>
    <n v="308761.7647058824"/>
    <n v="7"/>
    <n v="0"/>
    <n v="7"/>
    <n v="0"/>
    <n v="0"/>
    <n v="0"/>
    <n v="152145"/>
    <n v="0"/>
    <n v="0"/>
    <n v="0"/>
    <n v="294058.8235294118"/>
    <n v="4.2"/>
    <n v="0"/>
    <n v="4.2"/>
    <n v="0"/>
    <m/>
    <n v="0"/>
    <n v="82702.2"/>
    <n v="0"/>
    <n v="0"/>
    <n v="0"/>
    <n v="176435.2941176471"/>
  </r>
  <r>
    <s v="Levo-Accesorios"/>
    <x v="3"/>
    <x v="7"/>
    <x v="13"/>
    <s v="LVCABTC"/>
    <x v="50"/>
    <x v="48"/>
    <x v="0"/>
    <x v="5"/>
    <n v="1"/>
    <x v="24"/>
    <n v="100"/>
    <m/>
    <n v="0"/>
    <n v="1348"/>
    <n v="134800"/>
    <n v="0.8"/>
    <n v="873.9999999999999"/>
    <n v="5873.949579831933"/>
    <n v="4193.27731092437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7"/>
    <n v="0.6910112359550562"/>
    <n v="10"/>
    <n v="0.6910085836909872"/>
    <n v="16"/>
    <n v="0.6437548023986015"/>
    <n v="28"/>
    <n v="0.6662804284886059"/>
    <n v="18"/>
    <n v="0.6043901569983053"/>
    <n v="17"/>
    <n v="0.5037401058989222"/>
    <n v="27"/>
    <n v="0.4493555890223602"/>
    <n v="21"/>
    <n v="0.4587114339344132"/>
    <n v="0.84"/>
    <n v="39"/>
    <n v="0.6519058508280613"/>
    <n v="1.56"/>
    <n v="32"/>
    <n v="0.5546038392908537"/>
    <n v="1.066666666666667"/>
    <n v="10"/>
    <n v="0.5963661362665528"/>
    <n v="0.4"/>
    <n v="4"/>
    <n v="0.7117445274959957"/>
    <n v="0.16"/>
    <m/>
    <m/>
    <m/>
    <m/>
    <m/>
    <m/>
    <m/>
    <m/>
    <m/>
    <m/>
    <m/>
    <m/>
    <n v="15"/>
    <n v="186"/>
    <n v="10"/>
    <n v="0"/>
    <m/>
    <n v="0"/>
    <n v="84250"/>
    <n v="154008"/>
    <n v="13480"/>
    <n v="0"/>
    <n v="100"/>
    <n v="134800"/>
    <n v="49360.92083892381"/>
    <n v="15"/>
    <n v="166"/>
    <n v="25.5"/>
    <n v="0"/>
    <m/>
    <n v="0"/>
    <n v="99078"/>
    <n v="137448"/>
    <n v="34374"/>
    <n v="0"/>
    <n v="100"/>
    <n v="134800"/>
    <n v="125870.3481392557"/>
    <n v="25"/>
    <n v="156"/>
    <n v="27"/>
    <n v="0"/>
    <n v="0"/>
    <n v="85404"/>
    <n v="210288"/>
    <n v="36396"/>
    <n v="0"/>
    <n v="100"/>
    <n v="134800"/>
    <n v="158596.6386554622"/>
    <n v="25"/>
    <n v="123"/>
    <n v="21"/>
    <n v="0"/>
    <n v="0"/>
    <n v="101844"/>
    <n v="28308"/>
    <n v="0"/>
    <n v="0"/>
    <n v="100"/>
    <n v="134800"/>
    <n v="123352.9411764706"/>
    <n v="25"/>
    <n v="139"/>
    <n v="25"/>
    <m/>
    <n v="0"/>
    <n v="0"/>
    <n v="187372"/>
    <n v="20700"/>
    <n v="0"/>
    <n v="0"/>
    <n v="100"/>
    <n v="134800"/>
    <n v="146848.7394957983"/>
    <n v="30"/>
    <n v="132"/>
    <n v="32"/>
    <m/>
    <n v="0"/>
    <n v="0"/>
    <n v="177936"/>
    <n v="26496"/>
    <n v="0"/>
    <n v="0"/>
    <n v="132"/>
    <n v="134800"/>
    <n v="187966.3865546219"/>
    <n v="25"/>
    <n v="110"/>
    <n v="10"/>
    <n v="100"/>
    <n v="100"/>
    <n v="0"/>
    <n v="148280"/>
    <n v="8279.999999999998"/>
    <n v="80040"/>
    <n v="0"/>
    <n v="110"/>
    <n v="134800"/>
    <n v="58739.49579831933"/>
    <n v="25"/>
    <n v="100"/>
    <n v="25"/>
    <n v="0"/>
    <n v="0"/>
    <n v="0"/>
    <n v="134800"/>
    <n v="20700"/>
    <n v="0"/>
    <n v="0"/>
    <n v="100"/>
    <n v="134800"/>
    <n v="146848.7394957983"/>
    <n v="15"/>
    <n v="75"/>
    <n v="15"/>
    <n v="0"/>
    <n v="0"/>
    <n v="0"/>
    <n v="62099.99999999999"/>
    <n v="12420"/>
    <n v="0"/>
    <n v="0"/>
    <n v="75"/>
    <n v="62099.99999999999"/>
    <n v="88109.24369747899"/>
    <n v="25"/>
    <n v="60"/>
    <n v="25"/>
    <n v="0"/>
    <n v="0"/>
    <n v="0"/>
    <m/>
    <n v="49679.99999999999"/>
    <n v="20700"/>
    <n v="0"/>
    <n v="0"/>
    <n v="60"/>
    <n v="49679.99999999999"/>
    <n v="104831.9327731092"/>
    <n v="25"/>
    <n v="35"/>
    <n v="25"/>
    <m/>
    <n v="0"/>
    <n v="28980"/>
    <n v="20700"/>
    <n v="0"/>
    <n v="0"/>
    <n v="35"/>
    <n v="28980"/>
    <n v="110073.5294117647"/>
    <n v="25"/>
    <n v="10"/>
    <n v="25"/>
    <n v="0"/>
    <n v="0"/>
    <n v="8279.999999999998"/>
    <n v="20700"/>
    <n v="0"/>
    <n v="10"/>
    <n v="8279.999999999998"/>
    <n v="146848.7394957983"/>
    <n v="15"/>
    <n v="0"/>
    <n v="15"/>
    <n v="0"/>
    <m/>
    <n v="0"/>
    <n v="20220"/>
    <n v="0"/>
    <n v="0"/>
    <n v="0"/>
    <n v="88109.24369747899"/>
  </r>
  <r>
    <s v="Levo-Accesorios"/>
    <x v="3"/>
    <x v="7"/>
    <x v="13"/>
    <s v="LVCABTC"/>
    <x v="51"/>
    <x v="49"/>
    <x v="0"/>
    <x v="5"/>
    <n v="1"/>
    <x v="25"/>
    <n v="98"/>
    <m/>
    <n v="0"/>
    <n v="1815"/>
    <n v="177870"/>
    <n v="0.8"/>
    <n v="873.9999999999999"/>
    <n v="5873.949579831933"/>
    <n v="4193.27731092437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23"/>
    <n v="0.6394159133803516"/>
    <n v="10"/>
    <n v="0.615468925706241"/>
    <n v="14"/>
    <n v="0.6335965187743933"/>
    <n v="8"/>
    <n v="0.6650678884698173"/>
    <n v="10"/>
    <n v="0.5714041987942857"/>
    <n v="19"/>
    <n v="0.5417251897641284"/>
    <n v="14"/>
    <n v="0.5814865059541212"/>
    <n v="0.9333333333333333"/>
    <n v="15"/>
    <n v="0.5585333696726058"/>
    <n v="1"/>
    <n v="24"/>
    <n v="0.6387660022937912"/>
    <n v="0.48"/>
    <n v="3"/>
    <n v="0.6774352080065725"/>
    <n v="0.2"/>
    <n v="2"/>
    <n v="0.7297535035035035"/>
    <n v="0.1333333333333333"/>
    <m/>
    <m/>
    <m/>
    <m/>
    <m/>
    <m/>
    <m/>
    <m/>
    <m/>
    <m/>
    <m/>
    <m/>
    <n v="15"/>
    <n v="200"/>
    <n v="3"/>
    <n v="0"/>
    <m/>
    <n v="0"/>
    <n v="67155"/>
    <n v="165600"/>
    <n v="5445"/>
    <n v="0"/>
    <n v="98"/>
    <n v="177870"/>
    <n v="14808.27625167714"/>
    <n v="15"/>
    <n v="192"/>
    <n v="15"/>
    <n v="0"/>
    <m/>
    <n v="0"/>
    <n v="87120"/>
    <n v="158976"/>
    <n v="27225"/>
    <n v="0"/>
    <n v="98"/>
    <n v="177870"/>
    <n v="74041.38125838572"/>
    <n v="20"/>
    <n v="186"/>
    <n v="19"/>
    <n v="0"/>
    <n v="0"/>
    <n v="72315"/>
    <n v="337590"/>
    <n v="34485"/>
    <n v="0"/>
    <n v="98"/>
    <n v="177870"/>
    <n v="111605.0420168067"/>
    <n v="15"/>
    <n v="158"/>
    <n v="14"/>
    <n v="0"/>
    <n v="0"/>
    <n v="130824"/>
    <n v="25410"/>
    <n v="0"/>
    <n v="0"/>
    <n v="98"/>
    <n v="177870"/>
    <n v="82235.29411764706"/>
    <n v="15"/>
    <n v="113"/>
    <n v="15"/>
    <m/>
    <n v="0"/>
    <n v="0"/>
    <n v="205095"/>
    <n v="12420"/>
    <n v="0"/>
    <n v="0"/>
    <n v="98"/>
    <n v="177870"/>
    <n v="88109.24369747899"/>
    <n v="50"/>
    <n v="122"/>
    <n v="24"/>
    <m/>
    <n v="0"/>
    <n v="0"/>
    <n v="221430"/>
    <n v="19872"/>
    <n v="0"/>
    <n v="0"/>
    <n v="122"/>
    <n v="177870"/>
    <n v="140974.7899159664"/>
    <n v="15"/>
    <n v="101"/>
    <n v="3"/>
    <n v="0"/>
    <n v="0"/>
    <n v="0"/>
    <n v="183315"/>
    <n v="2484"/>
    <n v="0"/>
    <n v="0"/>
    <n v="101"/>
    <n v="177870"/>
    <n v="17621.8487394958"/>
    <n v="15"/>
    <n v="98"/>
    <n v="15"/>
    <n v="0"/>
    <n v="0"/>
    <n v="0"/>
    <n v="177870"/>
    <n v="12420"/>
    <n v="0"/>
    <n v="0"/>
    <n v="98"/>
    <n v="177870"/>
    <n v="88109.24369747899"/>
    <n v="15"/>
    <n v="83"/>
    <n v="15"/>
    <n v="0"/>
    <n v="0"/>
    <n v="0"/>
    <n v="68723.99999999999"/>
    <n v="12420"/>
    <n v="0"/>
    <n v="0"/>
    <n v="83"/>
    <n v="68723.99999999999"/>
    <n v="88109.24369747899"/>
    <n v="35"/>
    <n v="68"/>
    <n v="35"/>
    <n v="0"/>
    <n v="0"/>
    <n v="0"/>
    <m/>
    <n v="56303.99999999999"/>
    <n v="28980"/>
    <n v="0"/>
    <n v="0"/>
    <n v="68"/>
    <n v="56303.99999999999"/>
    <n v="146764.705882353"/>
    <n v="50"/>
    <n v="33"/>
    <n v="50"/>
    <m/>
    <n v="0"/>
    <n v="27324"/>
    <n v="41399.99999999999"/>
    <n v="0"/>
    <n v="0"/>
    <n v="33"/>
    <n v="27324"/>
    <n v="220147.0588235294"/>
    <n v="50"/>
    <n v="0"/>
    <n v="50"/>
    <n v="0"/>
    <n v="0"/>
    <n v="0"/>
    <n v="41399.99999999999"/>
    <n v="0"/>
    <n v="0"/>
    <n v="0"/>
    <n v="293697.4789915967"/>
    <n v="30"/>
    <n v="0"/>
    <n v="30"/>
    <n v="0"/>
    <m/>
    <n v="0"/>
    <n v="54450"/>
    <n v="0"/>
    <n v="0"/>
    <n v="0"/>
    <n v="176218.487394958"/>
  </r>
  <r>
    <s v="Levo-Accesorios"/>
    <x v="3"/>
    <x v="7"/>
    <x v="13"/>
    <s v="LVCABTCLIGH-WH"/>
    <x v="52"/>
    <x v="50"/>
    <x v="0"/>
    <x v="5"/>
    <n v="1"/>
    <x v="26"/>
    <n v="3"/>
    <m/>
    <n v="0"/>
    <n v="840"/>
    <n v="2520"/>
    <n v="0.8"/>
    <n v="873.9999999999999"/>
    <n v="5033.613445378151"/>
    <n v="4193.27731092437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3"/>
    <n v="0.8888153540701522"/>
    <n v="38"/>
    <n v="0.8130662851692895"/>
    <n v="26"/>
    <n v="0.8364697356129849"/>
    <n v="47"/>
    <n v="0.8415720505211387"/>
    <n v="18"/>
    <n v="0.8046423126292849"/>
    <n v="16"/>
    <n v="0.7050577785535461"/>
    <n v="19"/>
    <n v="0.7992262109652654"/>
    <n v="16"/>
    <n v="0.8116883950242123"/>
    <n v="0.64"/>
    <n v="31"/>
    <n v="0.8249199857153445"/>
    <n v="1.24"/>
    <n v="120"/>
    <n v="0.8162947130088032"/>
    <n v="4"/>
    <n v="1"/>
    <n v="0.7996132264529058"/>
    <n v="0.04"/>
    <n v="0"/>
    <s v=""/>
    <n v="0"/>
    <m/>
    <m/>
    <m/>
    <m/>
    <m/>
    <m/>
    <m/>
    <m/>
    <m/>
    <m/>
    <m/>
    <m/>
    <n v="15"/>
    <n v="239"/>
    <n v="10"/>
    <n v="0"/>
    <m/>
    <n v="0"/>
    <n v="44520"/>
    <n v="197892"/>
    <n v="8400"/>
    <n v="0"/>
    <n v="3"/>
    <n v="2520"/>
    <n v="42299.27265023657"/>
    <n v="15"/>
    <n v="220"/>
    <n v="24"/>
    <n v="0"/>
    <m/>
    <n v="0"/>
    <n v="49560"/>
    <n v="182160"/>
    <n v="20160"/>
    <n v="0"/>
    <n v="3"/>
    <n v="2520"/>
    <n v="101518.2543605678"/>
    <n v="25"/>
    <n v="202"/>
    <n v="19"/>
    <n v="0"/>
    <n v="0"/>
    <n v="50100"/>
    <n v="169680"/>
    <n v="15960"/>
    <n v="0"/>
    <n v="3"/>
    <n v="2520"/>
    <n v="95638.65546218488"/>
    <n v="25"/>
    <n v="180"/>
    <n v="16"/>
    <n v="0"/>
    <n v="0"/>
    <n v="149040"/>
    <n v="13440"/>
    <n v="0"/>
    <n v="0"/>
    <n v="3"/>
    <n v="2520"/>
    <n v="80537.81512605042"/>
    <n v="25"/>
    <n v="34"/>
    <n v="25"/>
    <m/>
    <n v="0"/>
    <n v="0"/>
    <n v="28560"/>
    <n v="20700"/>
    <n v="0"/>
    <n v="0"/>
    <n v="3"/>
    <n v="2520"/>
    <n v="125840.3361344538"/>
    <n v="30"/>
    <n v="123"/>
    <n v="120"/>
    <m/>
    <n v="0"/>
    <n v="0"/>
    <n v="103320"/>
    <n v="99359.99999999999"/>
    <n v="0"/>
    <n v="0"/>
    <n v="123"/>
    <n v="2520"/>
    <n v="604033.6134453781"/>
    <n v="25"/>
    <n v="4"/>
    <n v="1"/>
    <n v="0"/>
    <n v="0"/>
    <n v="0"/>
    <n v="3360"/>
    <n v="827.9999999999999"/>
    <n v="0"/>
    <n v="0"/>
    <n v="4"/>
    <n v="2520"/>
    <n v="5033.613445378151"/>
    <n v="25"/>
    <n v="3"/>
    <n v="25"/>
    <n v="0"/>
    <n v="0"/>
    <n v="0"/>
    <n v="2520"/>
    <n v="20700"/>
    <n v="0"/>
    <n v="0"/>
    <n v="3"/>
    <n v="2520"/>
    <n v="125840.3361344538"/>
    <n v="15"/>
    <n v="0"/>
    <n v="15"/>
    <n v="0"/>
    <n v="0"/>
    <n v="0"/>
    <n v="0"/>
    <n v="12420"/>
    <n v="0"/>
    <n v="0"/>
    <n v="0"/>
    <n v="0"/>
    <n v="75504.20168067227"/>
    <n v="25"/>
    <n v="0"/>
    <n v="0"/>
    <n v="100"/>
    <n v="100"/>
    <n v="100"/>
    <n v="0"/>
    <n v="0"/>
    <n v="0"/>
    <n v="82799.99999999999"/>
    <n v="82799.99999999999"/>
    <n v="100"/>
    <n v="82799.99999999999"/>
    <n v="0"/>
    <n v="25"/>
    <n v="100"/>
    <n v="25"/>
    <m/>
    <n v="0"/>
    <n v="82799.99999999999"/>
    <n v="20700"/>
    <n v="0"/>
    <n v="0"/>
    <n v="100"/>
    <n v="82799.99999999999"/>
    <n v="110073.5294117647"/>
    <n v="25"/>
    <n v="75"/>
    <n v="25"/>
    <n v="0"/>
    <n v="0"/>
    <n v="62099.99999999999"/>
    <n v="20700"/>
    <n v="0"/>
    <n v="75"/>
    <n v="62099.99999999999"/>
    <n v="125840.3361344538"/>
    <n v="15"/>
    <n v="50"/>
    <n v="15"/>
    <n v="0"/>
    <m/>
    <n v="41399.99999999999"/>
    <n v="12600"/>
    <n v="0"/>
    <n v="50"/>
    <n v="41399.99999999999"/>
    <n v="75504.20168067227"/>
  </r>
  <r>
    <m/>
    <x v="3"/>
    <x v="7"/>
    <x v="14"/>
    <n v="1650299083874"/>
    <x v="53"/>
    <x v="51"/>
    <x v="0"/>
    <x v="5"/>
    <n v="1"/>
    <x v="27"/>
    <n v="64"/>
    <m/>
    <n v="0"/>
    <n v="5651"/>
    <n v="361664"/>
    <n v="5.5"/>
    <n v="6008.749999999999"/>
    <n v="12596.63865546219"/>
    <n v="10915.96638655462"/>
    <s v="Shenzhen"/>
    <s v="30/70"/>
    <n v="30"/>
    <n v="200"/>
    <n v="6"/>
    <n v="0.5069000318720646"/>
    <n v="12"/>
    <n v="0.5201163196118722"/>
    <n v="11"/>
    <n v="0.5559466769175853"/>
    <n v="13"/>
    <n v="0.4564305709607563"/>
    <n v="11"/>
    <n v="0.5880321403302299"/>
    <n v="42"/>
    <n v="0.6074160116156815"/>
    <n v="8"/>
    <n v="0.5434560257741462"/>
    <n v="7"/>
    <n v="0.4867452153855745"/>
    <n v="14"/>
    <n v="0.4620573230449336"/>
    <n v="10"/>
    <n v="0.4896140527498849"/>
    <n v="4"/>
    <n v="0.4921216831832804"/>
    <n v="6"/>
    <n v="0.5157111681466944"/>
    <n v="4"/>
    <n v="0.428092420886218"/>
    <n v="15"/>
    <n v="0.259869988802494"/>
    <n v="4"/>
    <n v="0.3022607859414975"/>
    <n v="8"/>
    <n v="0.4696368969187178"/>
    <n v="0.8"/>
    <n v="16"/>
    <n v="0.4895717600506922"/>
    <n v="1.6"/>
    <n v="11"/>
    <n v="0.4341434958019845"/>
    <n v="1.1"/>
    <n v="0"/>
    <s v=""/>
    <n v="0"/>
    <n v="0"/>
    <s v=""/>
    <n v="0"/>
    <m/>
    <m/>
    <m/>
    <m/>
    <m/>
    <m/>
    <m/>
    <m/>
    <m/>
    <m/>
    <m/>
    <m/>
    <n v="5"/>
    <n v="95"/>
    <n v="10"/>
    <n v="0"/>
    <m/>
    <n v="0"/>
    <n v="206261.5"/>
    <n v="540787.5"/>
    <n v="56510"/>
    <n v="0"/>
    <n v="64"/>
    <n v="361664"/>
    <n v="105854.1063484217"/>
    <n v="10"/>
    <n v="84"/>
    <n v="22.5"/>
    <n v="0"/>
    <m/>
    <n v="0"/>
    <n v="194959.5"/>
    <n v="478170"/>
    <n v="127147.5"/>
    <n v="0"/>
    <n v="64"/>
    <n v="361664"/>
    <n v="238171.7392839489"/>
    <n v="20"/>
    <n v="59"/>
    <n v="4"/>
    <n v="0"/>
    <n v="0"/>
    <n v="124737"/>
    <n v="333409"/>
    <n v="22604"/>
    <n v="0"/>
    <n v="64"/>
    <n v="361664"/>
    <n v="50386.55462184874"/>
    <n v="10"/>
    <n v="66"/>
    <n v="8"/>
    <n v="0"/>
    <n v="0"/>
    <n v="375705"/>
    <n v="45208"/>
    <n v="0"/>
    <n v="0"/>
    <n v="64"/>
    <n v="361664"/>
    <n v="100773.1092436975"/>
    <n v="10"/>
    <n v="80"/>
    <n v="10"/>
    <m/>
    <n v="0"/>
    <n v="0"/>
    <n v="452080"/>
    <n v="56925"/>
    <n v="0"/>
    <n v="0"/>
    <n v="64"/>
    <n v="361664"/>
    <n v="125966.3865546219"/>
    <n v="10"/>
    <n v="75"/>
    <n v="11"/>
    <m/>
    <n v="0"/>
    <n v="0"/>
    <n v="423825"/>
    <n v="62617.5"/>
    <n v="0"/>
    <n v="0"/>
    <n v="75"/>
    <n v="361664"/>
    <n v="138563.025210084"/>
    <n v="10"/>
    <n v="64"/>
    <n v="0"/>
    <n v="50"/>
    <n v="50"/>
    <n v="0"/>
    <n v="361664"/>
    <n v="0"/>
    <n v="275137.5"/>
    <n v="0"/>
    <n v="64"/>
    <n v="361664"/>
    <n v="0"/>
    <n v="10"/>
    <n v="64"/>
    <n v="10"/>
    <n v="0"/>
    <n v="0"/>
    <n v="0"/>
    <n v="361664"/>
    <n v="56925"/>
    <n v="0"/>
    <n v="0"/>
    <n v="64"/>
    <n v="361664"/>
    <n v="125966.3865546219"/>
    <n v="10"/>
    <n v="54"/>
    <n v="10"/>
    <n v="0"/>
    <n v="0"/>
    <n v="0"/>
    <n v="307395"/>
    <n v="56925"/>
    <n v="0"/>
    <n v="0"/>
    <n v="54"/>
    <n v="307395"/>
    <n v="125966.3865546219"/>
    <n v="5"/>
    <n v="44"/>
    <n v="5"/>
    <n v="0"/>
    <n v="0"/>
    <n v="0"/>
    <m/>
    <n v="250470"/>
    <n v="28462.5"/>
    <n v="0"/>
    <n v="0"/>
    <n v="44"/>
    <n v="250470"/>
    <n v="54579.83193277312"/>
    <n v="10"/>
    <n v="39"/>
    <n v="10"/>
    <m/>
    <n v="0"/>
    <n v="222007.5"/>
    <n v="56925"/>
    <n v="0"/>
    <n v="0"/>
    <n v="39"/>
    <n v="222007.5"/>
    <n v="114617.6470588236"/>
    <n v="10"/>
    <n v="29"/>
    <n v="10"/>
    <n v="0"/>
    <n v="0"/>
    <n v="165082.5"/>
    <n v="56925"/>
    <n v="0"/>
    <n v="29"/>
    <n v="165082.5"/>
    <n v="125966.3865546219"/>
    <n v="6"/>
    <n v="19"/>
    <n v="6"/>
    <n v="0"/>
    <m/>
    <n v="108157.5"/>
    <n v="33906"/>
    <n v="0"/>
    <n v="19"/>
    <n v="108157.5"/>
    <n v="75579.83193277312"/>
  </r>
  <r>
    <m/>
    <x v="3"/>
    <x v="7"/>
    <x v="14"/>
    <n v="1652825203439"/>
    <x v="54"/>
    <x v="52"/>
    <x v="0"/>
    <x v="0"/>
    <n v="1"/>
    <x v="28"/>
    <n v="105"/>
    <m/>
    <n v="0"/>
    <n v="5808"/>
    <n v="609840"/>
    <n v="6.05"/>
    <n v="6609.624999999999"/>
    <n v="12596.63865546219"/>
    <n v="12596.63865546219"/>
    <s v="Shenzhen"/>
    <s v="30/70"/>
    <n v="30"/>
    <n v="50"/>
    <n v="32"/>
    <n v="0.4821385064298824"/>
    <n v="22"/>
    <n v="0.5165761917465724"/>
    <n v="105"/>
    <n v="0.6177213989745119"/>
    <n v="36"/>
    <n v="0.3269539625910188"/>
    <n v="3"/>
    <n v="0.4894639685356858"/>
    <n v="12"/>
    <n v="0.4383922419021394"/>
    <n v="23"/>
    <n v="0.4874655644662774"/>
    <n v="19"/>
    <n v="0.5101482510570055"/>
    <n v="7"/>
    <n v="0.5006593258930665"/>
    <n v="24"/>
    <n v="0.4525355021396007"/>
    <n v="13"/>
    <n v="0.4921019190711673"/>
    <n v="28"/>
    <n v="0.4921070044549253"/>
    <n v="21"/>
    <n v="0.204983449768322"/>
    <n v="20"/>
    <n v="0.1406020360688156"/>
    <n v="24"/>
    <n v="0.2588903416279381"/>
    <n v="21"/>
    <n v="0.255593217996"/>
    <n v="1.05"/>
    <n v="28"/>
    <n v="0.4909027447739914"/>
    <n v="1.4"/>
    <n v="17"/>
    <n v="0.369319050885383"/>
    <n v="0.85"/>
    <n v="0"/>
    <s v=""/>
    <n v="0"/>
    <n v="0"/>
    <s v=""/>
    <n v="0"/>
    <m/>
    <m/>
    <m/>
    <m/>
    <m/>
    <m/>
    <m/>
    <m/>
    <m/>
    <m/>
    <m/>
    <m/>
    <n v="20"/>
    <n v="180"/>
    <n v="20"/>
    <n v="0"/>
    <m/>
    <n v="0"/>
    <n v="429792"/>
    <n v="1127115"/>
    <n v="116160"/>
    <n v="0"/>
    <n v="105"/>
    <n v="609840"/>
    <n v="211708.2126968435"/>
    <n v="20"/>
    <n v="158"/>
    <n v="30"/>
    <n v="0"/>
    <m/>
    <n v="0"/>
    <n v="435600"/>
    <n v="989356.4999999999"/>
    <n v="174240"/>
    <n v="0"/>
    <n v="105"/>
    <n v="609840"/>
    <n v="317562.3190452652"/>
    <n v="30"/>
    <n v="119"/>
    <n v="24"/>
    <n v="0"/>
    <n v="0"/>
    <n v="386595"/>
    <n v="691152"/>
    <n v="139392"/>
    <n v="0"/>
    <n v="105"/>
    <n v="609840"/>
    <n v="302319.3277310925"/>
    <n v="20"/>
    <n v="116"/>
    <n v="21"/>
    <n v="0"/>
    <n v="0"/>
    <n v="726362.9999999999"/>
    <n v="121968"/>
    <n v="0"/>
    <n v="0"/>
    <n v="105"/>
    <n v="609840"/>
    <n v="264529.4117647059"/>
    <n v="20"/>
    <n v="133"/>
    <n v="20"/>
    <m/>
    <n v="0"/>
    <n v="0"/>
    <n v="772464"/>
    <n v="125235"/>
    <n v="0"/>
    <n v="0"/>
    <n v="105"/>
    <n v="609840"/>
    <n v="251932.7731092437"/>
    <n v="20"/>
    <n v="122"/>
    <n v="17"/>
    <m/>
    <n v="0"/>
    <n v="0"/>
    <n v="708576"/>
    <n v="106449.75"/>
    <n v="0"/>
    <n v="0"/>
    <n v="122"/>
    <n v="609840"/>
    <n v="214142.8571428572"/>
    <n v="20"/>
    <n v="105"/>
    <n v="0"/>
    <n v="100"/>
    <n v="100"/>
    <n v="0"/>
    <n v="609840"/>
    <n v="0"/>
    <n v="605302.5"/>
    <n v="0"/>
    <n v="105"/>
    <n v="609840"/>
    <n v="0"/>
    <n v="20"/>
    <n v="105"/>
    <n v="20"/>
    <n v="0"/>
    <n v="0"/>
    <n v="0"/>
    <n v="609840"/>
    <n v="125235"/>
    <n v="0"/>
    <n v="0"/>
    <n v="105"/>
    <n v="609840"/>
    <n v="251932.7731092437"/>
    <n v="20"/>
    <n v="85"/>
    <n v="20"/>
    <n v="0"/>
    <n v="0"/>
    <n v="0"/>
    <n v="532248.7499999999"/>
    <n v="125235"/>
    <n v="0"/>
    <n v="0"/>
    <n v="85"/>
    <n v="532248.7499999999"/>
    <n v="251932.7731092437"/>
    <n v="15"/>
    <n v="65"/>
    <n v="15"/>
    <n v="0"/>
    <n v="0"/>
    <n v="0"/>
    <m/>
    <n v="407013.7499999999"/>
    <n v="93926.24999999999"/>
    <n v="0"/>
    <n v="0"/>
    <n v="65"/>
    <n v="407013.7499999999"/>
    <n v="188949.5798319328"/>
    <n v="20"/>
    <n v="50"/>
    <n v="20"/>
    <m/>
    <n v="0"/>
    <n v="313087.4999999999"/>
    <n v="125235"/>
    <n v="0"/>
    <n v="0"/>
    <n v="50"/>
    <n v="313087.4999999999"/>
    <n v="264529.4117647059"/>
    <n v="20"/>
    <n v="30"/>
    <n v="20"/>
    <n v="0"/>
    <n v="0"/>
    <n v="187852.5"/>
    <n v="125235"/>
    <n v="0"/>
    <n v="30"/>
    <n v="187852.5"/>
    <n v="251932.7731092437"/>
    <n v="12"/>
    <n v="10"/>
    <n v="12"/>
    <n v="0"/>
    <m/>
    <n v="62617.49999999999"/>
    <n v="69696"/>
    <n v="0"/>
    <n v="10"/>
    <n v="62617.49999999999"/>
    <n v="151159.6638655462"/>
  </r>
  <r>
    <s v="Levo-Accesorios"/>
    <x v="3"/>
    <x v="7"/>
    <x v="15"/>
    <s v="LVCAR25W"/>
    <x v="55"/>
    <x v="53"/>
    <x v="0"/>
    <x v="5"/>
    <n v="0.8"/>
    <x v="29"/>
    <n v="165"/>
    <m/>
    <n v="0"/>
    <n v="2126"/>
    <n v="350790"/>
    <n v="1.5"/>
    <n v="1638.75"/>
    <n v="5873.949579831933"/>
    <n v="5873.949579831933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8"/>
    <n v="0.6578417960891607"/>
    <n v="3"/>
    <n v="0.7165207342548557"/>
    <n v="8"/>
    <n v="0.7786454266229371"/>
    <n v="1"/>
    <n v="0.7588748668564649"/>
    <n v="5"/>
    <n v="0.5476595744680851"/>
    <n v="7"/>
    <n v="0.6048405432890421"/>
    <n v="8"/>
    <n v="0.7334336427881093"/>
    <n v="0.5333333333333333"/>
    <n v="17"/>
    <n v="0.4828597710547833"/>
    <n v="1.133333333333333"/>
    <n v="17"/>
    <n v="0.6681979540089183"/>
    <n v="0.85"/>
    <n v="6"/>
    <n v="0.6549895449793173"/>
    <n v="0.4"/>
    <n v="2"/>
    <n v="0.638071530758226"/>
    <n v="0.1333333333333333"/>
    <m/>
    <m/>
    <m/>
    <m/>
    <m/>
    <m/>
    <m/>
    <m/>
    <m/>
    <m/>
    <m/>
    <m/>
    <n v="15"/>
    <n v="220"/>
    <n v="3"/>
    <n v="0"/>
    <m/>
    <n v="0"/>
    <n v="37205"/>
    <n v="341549.9999999999"/>
    <n v="6378"/>
    <n v="0"/>
    <n v="165"/>
    <n v="350790"/>
    <n v="14808.27625167714"/>
    <n v="15"/>
    <n v="218"/>
    <n v="7.5"/>
    <n v="0"/>
    <m/>
    <n v="0"/>
    <n v="47835"/>
    <n v="338444.9999999999"/>
    <n v="15945"/>
    <n v="0"/>
    <n v="165"/>
    <n v="350790"/>
    <n v="37020.69062919286"/>
    <n v="15"/>
    <n v="217"/>
    <n v="7"/>
    <n v="0"/>
    <n v="0"/>
    <n v="50520"/>
    <n v="461342"/>
    <n v="14882"/>
    <n v="0"/>
    <n v="165"/>
    <n v="350790"/>
    <n v="41117.64705882353"/>
    <n v="15"/>
    <n v="211"/>
    <n v="8"/>
    <n v="0"/>
    <n v="0"/>
    <n v="327577.4999999999"/>
    <n v="17008"/>
    <n v="0"/>
    <n v="0"/>
    <n v="165"/>
    <n v="350790"/>
    <n v="46991.59663865546"/>
    <n v="15"/>
    <n v="182"/>
    <n v="12"/>
    <m/>
    <n v="0"/>
    <n v="0"/>
    <n v="386932"/>
    <n v="18630"/>
    <n v="0"/>
    <n v="0"/>
    <n v="165"/>
    <n v="350790"/>
    <n v="70487.3949579832"/>
    <n v="20"/>
    <n v="182"/>
    <n v="17"/>
    <m/>
    <n v="0"/>
    <n v="0"/>
    <n v="386932"/>
    <n v="26392.5"/>
    <n v="0"/>
    <n v="0"/>
    <n v="182"/>
    <n v="350790"/>
    <n v="99857.14285714287"/>
    <n v="15"/>
    <n v="171"/>
    <n v="6"/>
    <n v="0"/>
    <n v="0"/>
    <n v="0"/>
    <n v="363546"/>
    <n v="9314.999999999998"/>
    <n v="0"/>
    <n v="0"/>
    <n v="171"/>
    <n v="350790"/>
    <n v="35243.6974789916"/>
    <n v="15"/>
    <n v="165"/>
    <n v="12"/>
    <n v="0"/>
    <n v="0"/>
    <n v="0"/>
    <n v="350790"/>
    <n v="18630"/>
    <n v="0"/>
    <n v="0"/>
    <n v="165"/>
    <n v="350790"/>
    <n v="70487.3949579832"/>
    <n v="15"/>
    <n v="153"/>
    <n v="12"/>
    <n v="0"/>
    <n v="0"/>
    <n v="0"/>
    <n v="237532.5"/>
    <n v="18630"/>
    <n v="0"/>
    <n v="0"/>
    <n v="153"/>
    <n v="237532.5"/>
    <n v="70487.3949579832"/>
    <n v="20"/>
    <n v="141"/>
    <n v="16"/>
    <n v="0"/>
    <n v="0"/>
    <n v="0"/>
    <m/>
    <n v="218902.5"/>
    <n v="24840"/>
    <n v="0"/>
    <n v="0"/>
    <n v="141"/>
    <n v="218902.5"/>
    <n v="93983.19327731093"/>
    <n v="20"/>
    <n v="125"/>
    <n v="16"/>
    <m/>
    <n v="0"/>
    <n v="194062.5"/>
    <n v="24840"/>
    <n v="0"/>
    <n v="0"/>
    <n v="125"/>
    <n v="194062.5"/>
    <n v="98682.35294117648"/>
    <n v="20"/>
    <n v="109"/>
    <n v="16"/>
    <n v="0"/>
    <n v="0"/>
    <n v="169222.5"/>
    <n v="24840"/>
    <n v="0"/>
    <n v="109"/>
    <n v="169222.5"/>
    <n v="93983.19327731093"/>
    <n v="12"/>
    <n v="93"/>
    <n v="9.600000000000001"/>
    <n v="0"/>
    <m/>
    <n v="144382.5"/>
    <n v="20409.6"/>
    <n v="0"/>
    <n v="93"/>
    <n v="144382.5"/>
    <n v="56389.91596638656"/>
  </r>
  <r>
    <s v="Levo-Accesorios"/>
    <x v="3"/>
    <x v="7"/>
    <x v="15"/>
    <s v="LVCAR25W"/>
    <x v="56"/>
    <x v="54"/>
    <x v="0"/>
    <x v="5"/>
    <n v="1"/>
    <x v="30"/>
    <n v="139"/>
    <m/>
    <n v="0"/>
    <n v="1880"/>
    <n v="261320"/>
    <n v="1.5"/>
    <n v="1638.75"/>
    <n v="5873.949579831933"/>
    <n v="5873.949579831933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2"/>
    <s v=""/>
    <n v="44"/>
    <n v="0.7262249694160067"/>
    <n v="12"/>
    <n v="0.6742636074616003"/>
    <n v="31"/>
    <n v="0.6078937661379564"/>
    <n v="4"/>
    <n v="0.7588748668564648"/>
    <n v="12"/>
    <n v="0.6481249064968068"/>
    <n v="14"/>
    <n v="0.6528072511651771"/>
    <n v="10"/>
    <n v="0.604496640619189"/>
    <n v="0.6666666666666666"/>
    <n v="13"/>
    <n v="0.6652136351764156"/>
    <n v="0.8666666666666667"/>
    <n v="68"/>
    <n v="0.6571624790619766"/>
    <n v="2.72"/>
    <n v="6"/>
    <n v="0.4547918790349983"/>
    <n v="0.3"/>
    <n v="0"/>
    <s v=""/>
    <n v="0"/>
    <m/>
    <m/>
    <m/>
    <m/>
    <m/>
    <m/>
    <m/>
    <m/>
    <m/>
    <m/>
    <m/>
    <m/>
    <n v="15"/>
    <n v="168"/>
    <n v="3"/>
    <n v="0"/>
    <m/>
    <n v="0"/>
    <n v="65800"/>
    <n v="260820"/>
    <n v="5640"/>
    <n v="0"/>
    <n v="139"/>
    <n v="261320"/>
    <n v="14808.27625167714"/>
    <n v="15"/>
    <n v="165"/>
    <n v="18"/>
    <n v="0"/>
    <m/>
    <n v="0"/>
    <n v="78960"/>
    <n v="256162.5"/>
    <n v="33840"/>
    <n v="0"/>
    <n v="139"/>
    <n v="261320"/>
    <n v="88849.65751006285"/>
    <n v="20"/>
    <n v="153"/>
    <n v="14"/>
    <n v="0"/>
    <n v="0"/>
    <n v="68407.5"/>
    <n v="287640"/>
    <n v="26320"/>
    <n v="0"/>
    <n v="139"/>
    <n v="261320"/>
    <n v="82235.29411764706"/>
    <n v="15"/>
    <n v="139"/>
    <n v="10"/>
    <n v="0"/>
    <n v="0"/>
    <n v="215797.5"/>
    <n v="18800"/>
    <n v="0"/>
    <n v="0"/>
    <n v="139"/>
    <n v="261320"/>
    <n v="58739.49579831933"/>
    <n v="15"/>
    <n v="152"/>
    <n v="15"/>
    <m/>
    <n v="0"/>
    <n v="0"/>
    <n v="285760"/>
    <n v="23287.5"/>
    <n v="0"/>
    <n v="0"/>
    <n v="139"/>
    <n v="261320"/>
    <n v="88109.24369747899"/>
    <n v="25"/>
    <n v="207"/>
    <n v="68"/>
    <m/>
    <n v="0"/>
    <n v="0"/>
    <n v="389160"/>
    <n v="105570"/>
    <n v="0"/>
    <n v="0"/>
    <n v="207"/>
    <n v="261320"/>
    <n v="399428.5714285715"/>
    <n v="20"/>
    <n v="145"/>
    <n v="6"/>
    <n v="100"/>
    <n v="100"/>
    <n v="0"/>
    <n v="272600"/>
    <n v="9314.999999999998"/>
    <n v="150075"/>
    <n v="0"/>
    <n v="145"/>
    <n v="261320"/>
    <n v="35243.6974789916"/>
    <n v="20"/>
    <n v="139"/>
    <n v="20"/>
    <n v="0"/>
    <n v="0"/>
    <n v="0"/>
    <n v="261320"/>
    <n v="31050"/>
    <n v="0"/>
    <n v="0"/>
    <n v="139"/>
    <n v="261320"/>
    <n v="117478.9915966387"/>
    <n v="20"/>
    <n v="119"/>
    <n v="20"/>
    <n v="0"/>
    <n v="0"/>
    <n v="0"/>
    <n v="184747.5"/>
    <n v="31050"/>
    <n v="0"/>
    <n v="0"/>
    <n v="119"/>
    <n v="184747.5"/>
    <n v="117478.9915966387"/>
    <n v="30"/>
    <n v="99"/>
    <n v="30"/>
    <n v="0"/>
    <n v="0"/>
    <n v="0"/>
    <m/>
    <n v="153697.5"/>
    <n v="46574.99999999999"/>
    <n v="0"/>
    <n v="0"/>
    <n v="99"/>
    <n v="153697.5"/>
    <n v="176218.487394958"/>
    <n v="50"/>
    <n v="69"/>
    <n v="50"/>
    <m/>
    <n v="0"/>
    <n v="107122.5"/>
    <n v="77624.99999999999"/>
    <n v="0"/>
    <n v="0"/>
    <n v="69"/>
    <n v="107122.5"/>
    <n v="308382.3529411765"/>
    <n v="50"/>
    <n v="19"/>
    <n v="50"/>
    <n v="0"/>
    <n v="0"/>
    <n v="29497.5"/>
    <n v="77624.99999999999"/>
    <n v="0"/>
    <n v="19"/>
    <n v="29497.5"/>
    <n v="293697.4789915967"/>
    <n v="30"/>
    <n v="0"/>
    <n v="30"/>
    <n v="0"/>
    <m/>
    <n v="0"/>
    <n v="56400"/>
    <n v="0"/>
    <n v="0"/>
    <n v="0"/>
    <n v="176218.487394958"/>
  </r>
  <r>
    <s v="Levo-Accesorios"/>
    <x v="3"/>
    <x v="7"/>
    <x v="15"/>
    <s v="LVCAR45W"/>
    <x v="57"/>
    <x v="55"/>
    <x v="0"/>
    <x v="5"/>
    <n v="1"/>
    <x v="31"/>
    <n v="171"/>
    <m/>
    <n v="0"/>
    <n v="2814"/>
    <n v="481194"/>
    <n v="2.5"/>
    <n v="2731.25"/>
    <n v="7554.621848739496"/>
    <n v="7554.621848739496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2"/>
    <n v="0.7149138878710151"/>
    <n v="8"/>
    <n v="0.5563148764053559"/>
    <n v="28"/>
    <n v="0.6407508201396798"/>
    <n v="28"/>
    <n v="0.6300360871783603"/>
    <n v="10"/>
    <n v="0.7124787073311998"/>
    <n v="10"/>
    <n v="0.595027452629618"/>
    <n v="17"/>
    <n v="0.4001572964518877"/>
    <n v="14"/>
    <n v="0.4861978657732036"/>
    <n v="19"/>
    <n v="0.5134535654832888"/>
    <n v="1.266666666666667"/>
    <n v="14"/>
    <n v="0.5881167964404894"/>
    <n v="0.9333333333333333"/>
    <n v="32"/>
    <n v="0.4371095291191354"/>
    <n v="1.28"/>
    <n v="5"/>
    <n v="0.7621907053311383"/>
    <n v="0.3333333333333333"/>
    <n v="3"/>
    <n v="0.7043250323796068"/>
    <n v="0.2"/>
    <m/>
    <m/>
    <m/>
    <m/>
    <m/>
    <m/>
    <m/>
    <m/>
    <m/>
    <m/>
    <m/>
    <m/>
    <n v="15"/>
    <n v="161"/>
    <n v="12"/>
    <n v="0"/>
    <m/>
    <n v="0"/>
    <n v="144921"/>
    <n v="416587.5"/>
    <n v="33768"/>
    <n v="0"/>
    <n v="171"/>
    <n v="481194"/>
    <n v="76181.06065955796"/>
    <n v="15"/>
    <n v="151"/>
    <n v="25.5"/>
    <n v="0"/>
    <m/>
    <n v="0"/>
    <n v="164619"/>
    <n v="390712.5"/>
    <n v="71757"/>
    <n v="0"/>
    <n v="171"/>
    <n v="481194"/>
    <n v="161884.7539015606"/>
    <n v="25"/>
    <n v="137"/>
    <n v="14"/>
    <n v="0"/>
    <n v="0"/>
    <n v="131674.5"/>
    <n v="385518"/>
    <n v="39396"/>
    <n v="0"/>
    <n v="171"/>
    <n v="481194"/>
    <n v="105764.705882353"/>
    <n v="15"/>
    <n v="117"/>
    <n v="19"/>
    <n v="0"/>
    <n v="0"/>
    <n v="302737.5"/>
    <n v="53466"/>
    <n v="0"/>
    <n v="0"/>
    <n v="171"/>
    <n v="481194"/>
    <n v="143537.8151260504"/>
    <n v="15"/>
    <n v="185"/>
    <n v="15"/>
    <m/>
    <n v="0"/>
    <n v="0"/>
    <n v="520590"/>
    <n v="38812.5"/>
    <n v="0"/>
    <n v="0"/>
    <n v="171"/>
    <n v="481194"/>
    <n v="113319.3277310924"/>
    <n v="25"/>
    <n v="203"/>
    <n v="32"/>
    <m/>
    <n v="0"/>
    <n v="0"/>
    <n v="571242"/>
    <n v="82800"/>
    <n v="0"/>
    <n v="0"/>
    <n v="203"/>
    <n v="481194"/>
    <n v="241747.8991596639"/>
    <n v="15"/>
    <n v="176"/>
    <n v="5"/>
    <n v="100"/>
    <n v="100"/>
    <n v="0"/>
    <n v="495264"/>
    <n v="12937.5"/>
    <n v="250125"/>
    <n v="0"/>
    <n v="176"/>
    <n v="481194"/>
    <n v="37773.10924369748"/>
    <n v="15"/>
    <n v="171"/>
    <n v="15"/>
    <n v="0"/>
    <n v="0"/>
    <n v="0"/>
    <n v="481194"/>
    <n v="38812.5"/>
    <n v="0"/>
    <n v="0"/>
    <n v="171"/>
    <n v="481194"/>
    <n v="113319.3277310924"/>
    <n v="10"/>
    <n v="156"/>
    <n v="10"/>
    <n v="0"/>
    <n v="0"/>
    <n v="0"/>
    <n v="403650"/>
    <n v="25875"/>
    <n v="0"/>
    <n v="0"/>
    <n v="156"/>
    <n v="403650"/>
    <n v="75546.21848739496"/>
    <n v="15"/>
    <n v="146"/>
    <n v="15"/>
    <n v="0"/>
    <n v="0"/>
    <n v="0"/>
    <m/>
    <n v="377775"/>
    <n v="38812.5"/>
    <n v="0"/>
    <n v="0"/>
    <n v="146"/>
    <n v="377775"/>
    <n v="113319.3277310924"/>
    <n v="18"/>
    <n v="131"/>
    <n v="18"/>
    <m/>
    <n v="0"/>
    <n v="338962.5"/>
    <n v="46575"/>
    <n v="0"/>
    <n v="0"/>
    <n v="131"/>
    <n v="338962.5"/>
    <n v="142782.3529411765"/>
    <n v="20"/>
    <n v="113"/>
    <n v="20"/>
    <n v="0"/>
    <n v="0"/>
    <n v="292387.5"/>
    <n v="51750"/>
    <n v="0"/>
    <n v="113"/>
    <n v="292387.5"/>
    <n v="151092.4369747899"/>
    <n v="10.8"/>
    <n v="93"/>
    <n v="10.8"/>
    <n v="0"/>
    <m/>
    <n v="240637.5"/>
    <n v="30391.2"/>
    <n v="0"/>
    <n v="93"/>
    <n v="240637.5"/>
    <n v="81589.91596638656"/>
  </r>
  <r>
    <m/>
    <x v="3"/>
    <x v="7"/>
    <x v="15"/>
    <s v="LVCAR45W"/>
    <x v="58"/>
    <x v="56"/>
    <x v="0"/>
    <x v="5"/>
    <n v="1"/>
    <x v="32"/>
    <n v="65"/>
    <m/>
    <n v="0"/>
    <n v="3112"/>
    <n v="202280"/>
    <n v="2.5"/>
    <n v="2731.25"/>
    <n v="7554.621848739496"/>
    <n v="7554.621848739496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6293022289734009"/>
    <n v="6"/>
    <n v="0.6237110180931222"/>
    <n v="20"/>
    <n v="0.7083170083842182"/>
    <n v="7"/>
    <n v="0.698382967724994"/>
    <n v="19"/>
    <n v="0.4588659519697743"/>
    <n v="22"/>
    <n v="0.6973828301345674"/>
    <n v="13"/>
    <n v="0.57003497693733"/>
    <n v="0.65"/>
    <n v="23"/>
    <n v="0.5725418013323659"/>
    <n v="1.15"/>
    <n v="28"/>
    <n v="0.5168025791769391"/>
    <n v="1.4"/>
    <n v="8"/>
    <n v="0.6456109531361076"/>
    <n v="0.4"/>
    <n v="2"/>
    <n v="0.7035585621647585"/>
    <n v="0.1"/>
    <m/>
    <m/>
    <m/>
    <m/>
    <m/>
    <m/>
    <m/>
    <m/>
    <m/>
    <m/>
    <m/>
    <m/>
    <n v="15"/>
    <n v="218"/>
    <n v="2"/>
    <n v="0"/>
    <m/>
    <n v="0"/>
    <n v="163380"/>
    <n v="564075"/>
    <n v="6224"/>
    <n v="0"/>
    <n v="65"/>
    <n v="202280"/>
    <n v="12696.84344325966"/>
    <n v="15"/>
    <n v="210"/>
    <n v="28.5"/>
    <n v="0"/>
    <m/>
    <n v="0"/>
    <n v="197612"/>
    <n v="543375"/>
    <n v="88692"/>
    <n v="0"/>
    <n v="65"/>
    <n v="202280"/>
    <n v="180930.0190664501"/>
    <n v="25"/>
    <n v="198"/>
    <n v="22"/>
    <n v="0"/>
    <n v="0"/>
    <n v="160670"/>
    <n v="616176"/>
    <n v="68464"/>
    <n v="0"/>
    <n v="65"/>
    <n v="202280"/>
    <n v="166201.6806722689"/>
    <n v="20"/>
    <n v="169"/>
    <n v="13"/>
    <n v="0"/>
    <n v="0"/>
    <n v="437287.5"/>
    <n v="40456"/>
    <n v="0"/>
    <n v="0"/>
    <n v="65"/>
    <n v="202280"/>
    <n v="98210.08403361346"/>
    <n v="20"/>
    <n v="88"/>
    <n v="20"/>
    <m/>
    <n v="0"/>
    <n v="0"/>
    <n v="273856"/>
    <n v="51750"/>
    <n v="0"/>
    <n v="0"/>
    <n v="65"/>
    <n v="202280"/>
    <n v="151092.4369747899"/>
    <n v="20"/>
    <n v="93"/>
    <n v="28"/>
    <m/>
    <n v="0"/>
    <n v="0"/>
    <n v="289416"/>
    <n v="72450"/>
    <n v="0"/>
    <n v="0"/>
    <n v="93"/>
    <n v="202280"/>
    <n v="211529.4117647059"/>
    <n v="20"/>
    <n v="73"/>
    <n v="8"/>
    <n v="0"/>
    <n v="0"/>
    <n v="0"/>
    <n v="227176"/>
    <n v="20700"/>
    <n v="0"/>
    <n v="0"/>
    <n v="73"/>
    <n v="202280"/>
    <n v="60436.97478991597"/>
    <n v="20"/>
    <n v="65"/>
    <n v="20"/>
    <n v="0"/>
    <n v="0"/>
    <n v="0"/>
    <n v="202280"/>
    <n v="51750"/>
    <n v="0"/>
    <n v="0"/>
    <n v="65"/>
    <n v="202280"/>
    <n v="151092.4369747899"/>
    <n v="20"/>
    <n v="45"/>
    <n v="20"/>
    <n v="0"/>
    <n v="0"/>
    <n v="0"/>
    <n v="116437.5"/>
    <n v="51750"/>
    <n v="0"/>
    <n v="0"/>
    <n v="45"/>
    <n v="116437.5"/>
    <n v="151092.4369747899"/>
    <n v="40"/>
    <n v="25"/>
    <n v="25"/>
    <n v="0"/>
    <n v="0"/>
    <n v="0"/>
    <m/>
    <n v="64687.5"/>
    <n v="64687.5"/>
    <n v="0"/>
    <n v="0"/>
    <n v="25"/>
    <n v="64687.5"/>
    <n v="188865.5462184874"/>
    <n v="53"/>
    <n v="0"/>
    <n v="53"/>
    <m/>
    <n v="0"/>
    <n v="0"/>
    <n v="137137.5"/>
    <n v="0"/>
    <n v="0"/>
    <n v="0"/>
    <n v="0"/>
    <n v="420414.705882353"/>
    <n v="53"/>
    <n v="0"/>
    <n v="53"/>
    <n v="0"/>
    <n v="0"/>
    <n v="0"/>
    <n v="137137.5"/>
    <n v="0"/>
    <n v="0"/>
    <n v="0"/>
    <n v="400394.9579831933"/>
    <n v="31.8"/>
    <n v="0"/>
    <n v="31.8"/>
    <n v="0"/>
    <m/>
    <n v="0"/>
    <n v="98961.59999999999"/>
    <n v="0"/>
    <n v="0"/>
    <n v="0"/>
    <n v="240236.974789916"/>
  </r>
  <r>
    <m/>
    <x v="3"/>
    <x v="7"/>
    <x v="16"/>
    <s v="LVHUBMP-5"/>
    <x v="59"/>
    <x v="57"/>
    <x v="0"/>
    <x v="5"/>
    <n v="1"/>
    <x v="33"/>
    <n v="72"/>
    <m/>
    <n v="0"/>
    <n v="3180"/>
    <n v="228960"/>
    <n v="3"/>
    <n v="3277.5"/>
    <n v="10915.96638655462"/>
    <n v="10915.96638655462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40"/>
    <n v="0.6779599426340192"/>
    <n v="2"/>
    <n v="0.590044427459036"/>
    <n v="15"/>
    <n v="0.6101613109497727"/>
    <n v="24"/>
    <n v="0.5060877671347592"/>
    <n v="72"/>
    <n v="0.4764098689840244"/>
    <n v="5"/>
    <n v="0.3643897219823707"/>
    <n v="4"/>
    <n v="0.4399001128211887"/>
    <n v="3"/>
    <n v="0.4444743668050573"/>
    <n v="1"/>
    <n v="0.6242929504295354"/>
    <n v="0.1"/>
    <n v="5"/>
    <n v="0.6387050936617911"/>
    <n v="0.5"/>
    <n v="3"/>
    <n v="0.6124457152105305"/>
    <n v="0.1"/>
    <n v="4"/>
    <n v="0.6618318291484228"/>
    <n v="0.2"/>
    <n v="2"/>
    <n v="0.6777106369202085"/>
    <n v="0.2"/>
    <m/>
    <m/>
    <m/>
    <m/>
    <m/>
    <m/>
    <m/>
    <m/>
    <m/>
    <m/>
    <m/>
    <m/>
    <n v="15"/>
    <n v="46"/>
    <n v="5"/>
    <n v="0"/>
    <m/>
    <n v="0"/>
    <n v="44520"/>
    <n v="142830"/>
    <n v="15900"/>
    <n v="0"/>
    <n v="72"/>
    <n v="228960"/>
    <n v="45865.40498552363"/>
    <n v="20"/>
    <n v="38"/>
    <n v="6"/>
    <n v="0"/>
    <m/>
    <n v="0"/>
    <n v="31800"/>
    <n v="117990"/>
    <n v="19080"/>
    <n v="0"/>
    <n v="72"/>
    <n v="228960"/>
    <n v="55038.48598262835"/>
    <n v="10"/>
    <n v="34"/>
    <n v="3"/>
    <n v="0"/>
    <n v="0"/>
    <n v="43770"/>
    <n v="108120"/>
    <n v="9540"/>
    <n v="0"/>
    <n v="72"/>
    <n v="228960"/>
    <n v="32747.89915966387"/>
    <n v="10"/>
    <n v="34"/>
    <n v="1"/>
    <n v="0"/>
    <n v="0"/>
    <n v="105570"/>
    <n v="3180"/>
    <n v="0"/>
    <n v="0"/>
    <n v="72"/>
    <n v="228960"/>
    <n v="10915.96638655462"/>
    <n v="10"/>
    <n v="77"/>
    <n v="10"/>
    <m/>
    <n v="0"/>
    <n v="0"/>
    <n v="244860"/>
    <n v="31050"/>
    <n v="0"/>
    <n v="0"/>
    <n v="72"/>
    <n v="228960"/>
    <n v="109159.6638655462"/>
    <n v="30"/>
    <n v="75"/>
    <n v="3"/>
    <m/>
    <n v="0"/>
    <n v="0"/>
    <n v="238500"/>
    <n v="9314.999999999998"/>
    <n v="0"/>
    <n v="0"/>
    <n v="75"/>
    <n v="228960"/>
    <n v="32747.89915966387"/>
    <n v="20"/>
    <n v="76"/>
    <n v="4"/>
    <n v="50"/>
    <n v="50"/>
    <n v="0"/>
    <n v="241680"/>
    <n v="12420"/>
    <n v="150075"/>
    <n v="0"/>
    <n v="76"/>
    <n v="228960"/>
    <n v="43663.86554621849"/>
    <n v="10"/>
    <n v="72"/>
    <n v="10"/>
    <n v="40"/>
    <n v="40"/>
    <n v="0"/>
    <n v="228960"/>
    <n v="31050"/>
    <n v="124200"/>
    <n v="0"/>
    <n v="72"/>
    <n v="228960"/>
    <n v="109159.6638655462"/>
    <n v="10"/>
    <n v="62"/>
    <n v="10"/>
    <n v="0"/>
    <n v="0"/>
    <n v="40"/>
    <n v="192510"/>
    <n v="31050"/>
    <n v="0"/>
    <n v="124200"/>
    <n v="102"/>
    <n v="316709.9999999999"/>
    <n v="109159.6638655462"/>
    <n v="30"/>
    <n v="92"/>
    <n v="30"/>
    <n v="0"/>
    <n v="0"/>
    <n v="0"/>
    <m/>
    <n v="285659.9999999999"/>
    <n v="93149.99999999999"/>
    <n v="0"/>
    <n v="0"/>
    <n v="92"/>
    <n v="285659.9999999999"/>
    <n v="327478.9915966387"/>
    <n v="20"/>
    <n v="62"/>
    <n v="20"/>
    <m/>
    <n v="0"/>
    <n v="192510"/>
    <n v="62099.99999999999"/>
    <n v="0"/>
    <n v="0"/>
    <n v="62"/>
    <n v="192510"/>
    <n v="229235.2941176471"/>
    <n v="10"/>
    <n v="42"/>
    <n v="10"/>
    <n v="0"/>
    <n v="0"/>
    <n v="130410"/>
    <n v="31050"/>
    <n v="0"/>
    <n v="42"/>
    <n v="130410"/>
    <n v="109159.6638655462"/>
    <n v="12"/>
    <n v="32"/>
    <n v="12"/>
    <n v="0"/>
    <m/>
    <n v="99359.99999999999"/>
    <n v="38160"/>
    <n v="0"/>
    <n v="32"/>
    <n v="99359.99999999999"/>
    <n v="130991.5966386555"/>
  </r>
  <r>
    <m/>
    <x v="3"/>
    <x v="7"/>
    <x v="16"/>
    <s v="LVHUBMP-6"/>
    <x v="60"/>
    <x v="58"/>
    <x v="0"/>
    <x v="0"/>
    <n v="1"/>
    <x v="34"/>
    <n v="46"/>
    <m/>
    <n v="0"/>
    <n v="3134"/>
    <n v="144164"/>
    <n v="3"/>
    <n v="3277.5"/>
    <n v="10075.63025210084"/>
    <n v="10915.96638655462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8"/>
    <n v="0.6203676132210822"/>
    <n v="2"/>
    <n v="0.6203573362208987"/>
    <n v="19"/>
    <n v="0.6091424695639551"/>
    <n v="51"/>
    <n v="0.5410378092070197"/>
    <n v="52"/>
    <n v="0.5986154637091686"/>
    <n v="16"/>
    <n v="0.5969986381077392"/>
    <n v="116"/>
    <n v="0.4855203554832095"/>
    <n v="18"/>
    <n v="0.6081658992012986"/>
    <n v="7"/>
    <n v="0.5040860657536376"/>
    <n v="0.35"/>
    <n v="3"/>
    <n v="0.7245583722481654"/>
    <n v="0.15"/>
    <n v="4"/>
    <n v="0.5368782214494193"/>
    <n v="0.1333333333333333"/>
    <n v="13"/>
    <n v="0.6912462654716176"/>
    <n v="0.65"/>
    <n v="7"/>
    <n v="0.7097975094454081"/>
    <n v="0.35"/>
    <m/>
    <m/>
    <m/>
    <m/>
    <m/>
    <m/>
    <m/>
    <m/>
    <m/>
    <m/>
    <m/>
    <m/>
    <n v="20"/>
    <n v="154"/>
    <n v="5"/>
    <n v="0"/>
    <m/>
    <n v="0"/>
    <n v="617398"/>
    <n v="478169.9999999999"/>
    <n v="15670"/>
    <n v="0"/>
    <n v="46"/>
    <n v="144164"/>
    <n v="42334.58089118"/>
    <n v="20"/>
    <n v="165"/>
    <n v="174"/>
    <n v="30"/>
    <n v="30"/>
    <n v="0"/>
    <n v="623666"/>
    <n v="512324.9999999999"/>
    <n v="545316"/>
    <n v="0"/>
    <n v="46"/>
    <n v="144164"/>
    <n v="1473243.415013064"/>
    <n v="20"/>
    <n v="49"/>
    <n v="18"/>
    <n v="0"/>
    <n v="0"/>
    <n v="140450"/>
    <n v="153566"/>
    <n v="56412"/>
    <n v="0"/>
    <n v="46"/>
    <n v="144164"/>
    <n v="181361.3445378151"/>
    <n v="20"/>
    <n v="28"/>
    <n v="7"/>
    <n v="0"/>
    <n v="0"/>
    <n v="86939.99999999999"/>
    <n v="21938"/>
    <n v="0"/>
    <n v="0"/>
    <n v="46"/>
    <n v="144164"/>
    <n v="70529.41176470587"/>
    <n v="20"/>
    <n v="49"/>
    <n v="20"/>
    <m/>
    <n v="0"/>
    <n v="0"/>
    <n v="153566"/>
    <n v="62099.99999999999"/>
    <n v="0"/>
    <n v="0"/>
    <n v="46"/>
    <n v="144164"/>
    <n v="201512.6050420168"/>
    <n v="30"/>
    <n v="50"/>
    <n v="4"/>
    <m/>
    <n v="0"/>
    <n v="0"/>
    <n v="156700"/>
    <n v="12420"/>
    <n v="0"/>
    <n v="0"/>
    <n v="50"/>
    <n v="144164"/>
    <n v="40302.52100840336"/>
    <n v="20"/>
    <n v="59"/>
    <n v="13"/>
    <n v="50"/>
    <n v="50"/>
    <n v="0"/>
    <n v="184906"/>
    <n v="40364.99999999999"/>
    <n v="150075"/>
    <n v="0"/>
    <n v="59"/>
    <n v="144164"/>
    <n v="130983.1932773109"/>
    <n v="20"/>
    <n v="46"/>
    <n v="20"/>
    <n v="50"/>
    <n v="50"/>
    <n v="0"/>
    <n v="144164"/>
    <n v="62099.99999999999"/>
    <n v="155250"/>
    <n v="0"/>
    <n v="46"/>
    <n v="144164"/>
    <n v="201512.6050420168"/>
    <n v="15"/>
    <n v="26"/>
    <n v="15"/>
    <n v="0"/>
    <n v="0"/>
    <n v="50"/>
    <n v="80729.99999999999"/>
    <n v="46574.99999999999"/>
    <n v="0"/>
    <n v="155250"/>
    <n v="76"/>
    <n v="235979.9999999999"/>
    <n v="151134.4537815126"/>
    <n v="40"/>
    <n v="61"/>
    <n v="40"/>
    <n v="0"/>
    <n v="0"/>
    <n v="0"/>
    <m/>
    <n v="189405"/>
    <n v="124200"/>
    <n v="0"/>
    <n v="0"/>
    <n v="61"/>
    <n v="189405"/>
    <n v="436638.6554621849"/>
    <n v="30"/>
    <n v="21"/>
    <n v="30"/>
    <m/>
    <n v="0"/>
    <n v="65204.99999999999"/>
    <n v="93149.99999999999"/>
    <n v="0"/>
    <n v="0"/>
    <n v="21"/>
    <n v="65204.99999999999"/>
    <n v="343852.9411764707"/>
    <n v="20"/>
    <n v="0"/>
    <n v="20"/>
    <n v="0"/>
    <n v="0"/>
    <n v="0"/>
    <n v="62099.99999999999"/>
    <n v="0"/>
    <n v="0"/>
    <n v="0"/>
    <n v="201512.6050420168"/>
    <n v="18"/>
    <n v="0"/>
    <n v="18"/>
    <n v="0"/>
    <m/>
    <n v="0"/>
    <n v="56412"/>
    <n v="0"/>
    <n v="0"/>
    <n v="0"/>
    <n v="181361.3445378151"/>
  </r>
  <r>
    <s v="Levo-Mochilas y Fundas"/>
    <x v="3"/>
    <x v="8"/>
    <x v="17"/>
    <s v="LVFNOTHS13-BK"/>
    <x v="61"/>
    <x v="59"/>
    <x v="0"/>
    <x v="3"/>
    <n v="1"/>
    <x v="35"/>
    <n v="193"/>
    <m/>
    <n v="0"/>
    <n v="8143"/>
    <n v="1571599"/>
    <n v="8.75"/>
    <n v="9559.375"/>
    <n v="19319.32773109244"/>
    <n v="16798.31932773109"/>
    <s v="Shenzhen"/>
    <s v="30/70"/>
    <n v="30"/>
    <n v="200"/>
    <n v="0"/>
    <s v=""/>
    <n v="0"/>
    <s v=""/>
    <n v="7"/>
    <n v="0.598565019143063"/>
    <n v="32"/>
    <n v="0.6012017887627732"/>
    <n v="9"/>
    <n v="0.5758128702420261"/>
    <n v="13"/>
    <n v="0.4869320599858142"/>
    <n v="20"/>
    <n v="0.6096336194111215"/>
    <n v="157"/>
    <n v="0.4753753538158288"/>
    <n v="15"/>
    <n v="0.5736285181080133"/>
    <n v="55"/>
    <n v="0.560642519642949"/>
    <n v="22"/>
    <n v="0.5601349356274955"/>
    <n v="24"/>
    <n v="0.6167072659370835"/>
    <n v="23"/>
    <n v="0.4061755782547735"/>
    <n v="31"/>
    <n v="0.3726992186480076"/>
    <n v="68"/>
    <n v="0.3381129681140582"/>
    <n v="71"/>
    <n v="0.3330484011982477"/>
    <n v="1.183333333333333"/>
    <n v="65"/>
    <n v="0.5825772074815136"/>
    <n v="1.083333333333333"/>
    <n v="117"/>
    <n v="0.2844055467363256"/>
    <n v="1.4625"/>
    <n v="66"/>
    <n v="0.577658270361736"/>
    <n v="1.1"/>
    <n v="22"/>
    <n v="0.5768195051268996"/>
    <n v="0.3666666666666666"/>
    <m/>
    <m/>
    <m/>
    <m/>
    <m/>
    <m/>
    <m/>
    <m/>
    <m/>
    <m/>
    <m/>
    <m/>
    <n v="35"/>
    <n v="27"/>
    <n v="25"/>
    <n v="0"/>
    <n v="200"/>
    <n v="0"/>
    <n v="1135948.5"/>
    <n v="244518.75"/>
    <n v="203575"/>
    <n v="0"/>
    <n v="193"/>
    <n v="1571599"/>
    <n v="405868.2296447991"/>
    <n v="60"/>
    <n v="425"/>
    <n v="46.5"/>
    <n v="200"/>
    <n v="200"/>
    <n v="0"/>
    <n v="1510526.5"/>
    <n v="3848906.25"/>
    <n v="378649.5"/>
    <n v="0"/>
    <n v="193"/>
    <n v="1571599"/>
    <n v="754914.9071393264"/>
    <n v="85"/>
    <n v="365"/>
    <n v="68"/>
    <n v="0"/>
    <n v="0"/>
    <n v="1675252"/>
    <n v="2972195"/>
    <n v="553724"/>
    <n v="0"/>
    <n v="193"/>
    <n v="1571599"/>
    <n v="1313714.285714286"/>
    <n v="60"/>
    <n v="430"/>
    <n v="71"/>
    <n v="100"/>
    <n v="0"/>
    <n v="3894187.5"/>
    <n v="578153"/>
    <n v="905625"/>
    <n v="0"/>
    <n v="193"/>
    <n v="1571599"/>
    <n v="1371672.268907563"/>
    <n v="60"/>
    <n v="258"/>
    <n v="60"/>
    <m/>
    <n v="0"/>
    <n v="0"/>
    <n v="2100894"/>
    <n v="543375"/>
    <n v="0"/>
    <n v="0"/>
    <n v="193"/>
    <n v="1571599"/>
    <n v="1159159.663865546"/>
    <n v="80"/>
    <n v="310"/>
    <n v="117"/>
    <m/>
    <n v="0"/>
    <n v="0"/>
    <n v="2524330"/>
    <n v="1059581.25"/>
    <n v="0"/>
    <n v="0"/>
    <n v="310"/>
    <n v="1571599"/>
    <n v="2260361.344537816"/>
    <n v="60"/>
    <n v="259"/>
    <n v="66"/>
    <n v="100"/>
    <n v="100"/>
    <n v="0"/>
    <n v="2109037"/>
    <n v="597712.5"/>
    <n v="875437.5"/>
    <n v="0"/>
    <n v="259"/>
    <n v="1571599"/>
    <n v="1275075.630252101"/>
    <n v="60"/>
    <n v="193"/>
    <n v="60"/>
    <n v="50"/>
    <n v="50"/>
    <n v="0"/>
    <n v="1571599"/>
    <n v="543375"/>
    <n v="452812.5"/>
    <n v="0"/>
    <n v="193"/>
    <n v="1571599"/>
    <n v="1159159.663865546"/>
    <n v="35"/>
    <n v="133"/>
    <n v="35"/>
    <n v="0"/>
    <n v="0"/>
    <n v="100"/>
    <n v="1204481.25"/>
    <n v="316968.75"/>
    <n v="0"/>
    <n v="905625"/>
    <n v="233"/>
    <n v="2110106.25"/>
    <n v="676176.4705882353"/>
    <n v="80"/>
    <n v="198"/>
    <n v="80"/>
    <n v="0"/>
    <n v="0"/>
    <n v="0"/>
    <m/>
    <n v="1793137.5"/>
    <n v="724500"/>
    <n v="0"/>
    <n v="0"/>
    <n v="198"/>
    <n v="1793137.5"/>
    <n v="1343865.546218487"/>
    <n v="80"/>
    <n v="118"/>
    <n v="80"/>
    <m/>
    <n v="0"/>
    <n v="1068637.5"/>
    <n v="724500"/>
    <n v="0"/>
    <n v="0"/>
    <n v="118"/>
    <n v="1068637.5"/>
    <n v="1411058.823529412"/>
    <n v="60"/>
    <n v="38"/>
    <n v="60"/>
    <n v="0"/>
    <n v="0"/>
    <n v="344137.5"/>
    <n v="543375"/>
    <n v="0"/>
    <n v="38"/>
    <n v="344137.5"/>
    <n v="1159159.663865546"/>
    <n v="48"/>
    <n v="0"/>
    <n v="48"/>
    <n v="0"/>
    <m/>
    <n v="0"/>
    <n v="390864"/>
    <n v="0"/>
    <n v="0"/>
    <n v="0"/>
    <n v="927327.7310924371"/>
  </r>
  <r>
    <s v="Levo-Mochilas y Fundas"/>
    <x v="3"/>
    <x v="8"/>
    <x v="17"/>
    <s v="LVFNOTHS15-BK"/>
    <x v="62"/>
    <x v="60"/>
    <x v="0"/>
    <x v="3"/>
    <n v="1"/>
    <x v="36"/>
    <n v="24"/>
    <m/>
    <n v="0"/>
    <n v="9746"/>
    <n v="233904"/>
    <n v="10.13"/>
    <n v="11067.025"/>
    <n v="21000"/>
    <n v="19319.32773109244"/>
    <s v="Shenzhen"/>
    <s v="30/70"/>
    <n v="30"/>
    <n v="200"/>
    <n v="0"/>
    <s v=""/>
    <n v="0"/>
    <s v=""/>
    <n v="16"/>
    <n v="0.5928860309446931"/>
    <n v="68"/>
    <n v="0.5646020362371645"/>
    <n v="6"/>
    <n v="0.5152576831546355"/>
    <n v="27"/>
    <n v="0.5712652300348821"/>
    <n v="10"/>
    <n v="0.5813399295507902"/>
    <n v="37"/>
    <n v="0.5443750600566892"/>
    <n v="45"/>
    <n v="0.5499489972144892"/>
    <n v="95"/>
    <n v="0.5261181143420748"/>
    <n v="47"/>
    <n v="0.5401607995137645"/>
    <n v="56"/>
    <n v="0.5737613159658965"/>
    <n v="40"/>
    <n v="0.3420025256434194"/>
    <n v="47"/>
    <n v="0.330931128427612"/>
    <n v="80"/>
    <n v="0.3315173691780484"/>
    <n v="125"/>
    <n v="0.3222333889863518"/>
    <n v="1.25"/>
    <n v="105"/>
    <n v="0.5411655795772601"/>
    <n v="1.05"/>
    <n v="39"/>
    <n v="0.1475178584575993"/>
    <n v="1.444444444444444"/>
    <n v="118"/>
    <n v="0.5373690140729439"/>
    <n v="1.18"/>
    <n v="46"/>
    <n v="0.5340198676764967"/>
    <n v="0.46"/>
    <m/>
    <m/>
    <m/>
    <m/>
    <m/>
    <m/>
    <m/>
    <m/>
    <m/>
    <m/>
    <m/>
    <m/>
    <n v="30"/>
    <n v="169"/>
    <n v="35"/>
    <n v="0"/>
    <m/>
    <n v="0"/>
    <n v="1807883"/>
    <n v="1771888.95"/>
    <n v="341110"/>
    <n v="0"/>
    <n v="24"/>
    <n v="233904"/>
    <n v="617647.0588235294"/>
    <n v="60"/>
    <n v="284"/>
    <n v="70.5"/>
    <n v="150"/>
    <n v="150"/>
    <n v="0"/>
    <n v="2685023"/>
    <n v="2977612.2"/>
    <n v="687093"/>
    <n v="0"/>
    <n v="24"/>
    <n v="233904"/>
    <n v="1244117.647058824"/>
    <n v="100"/>
    <n v="189"/>
    <n v="80"/>
    <n v="0"/>
    <n v="0"/>
    <n v="3046385"/>
    <n v="1841994"/>
    <n v="779680"/>
    <n v="0"/>
    <n v="24"/>
    <n v="233904"/>
    <n v="1680000"/>
    <n v="100"/>
    <n v="267"/>
    <n v="125"/>
    <n v="100"/>
    <n v="0"/>
    <n v="2799374.85"/>
    <n v="1218250"/>
    <n v="1048455"/>
    <n v="0"/>
    <n v="24"/>
    <n v="233904"/>
    <n v="2625000"/>
    <n v="100"/>
    <n v="129"/>
    <n v="100"/>
    <m/>
    <n v="0"/>
    <n v="0"/>
    <n v="1257234"/>
    <n v="1048455"/>
    <n v="0"/>
    <n v="0"/>
    <n v="24"/>
    <n v="233904"/>
    <n v="2100000"/>
    <n v="27"/>
    <n v="63"/>
    <n v="39"/>
    <m/>
    <n v="0"/>
    <n v="0"/>
    <n v="613998"/>
    <n v="408897.45"/>
    <n v="0"/>
    <n v="0"/>
    <n v="63"/>
    <n v="233904"/>
    <n v="819000"/>
    <n v="100"/>
    <n v="142"/>
    <n v="118"/>
    <n v="200"/>
    <n v="200"/>
    <n v="0"/>
    <n v="1383932"/>
    <n v="1237176.9"/>
    <n v="2027012.999999999"/>
    <n v="0"/>
    <n v="142"/>
    <n v="233904"/>
    <n v="2478000"/>
    <n v="100"/>
    <n v="24"/>
    <n v="100"/>
    <n v="140"/>
    <n v="140"/>
    <n v="0"/>
    <n v="233904"/>
    <n v="1048455"/>
    <n v="1467837"/>
    <n v="0"/>
    <n v="24"/>
    <n v="233904"/>
    <n v="2100000"/>
    <n v="75"/>
    <n v="0"/>
    <n v="75"/>
    <n v="0"/>
    <n v="0"/>
    <n v="140"/>
    <n v="0"/>
    <n v="786341.25"/>
    <n v="0"/>
    <n v="1467837"/>
    <n v="140"/>
    <n v="1467837"/>
    <n v="1575000"/>
    <n v="140"/>
    <n v="65"/>
    <n v="65"/>
    <n v="150"/>
    <n v="150"/>
    <n v="150"/>
    <n v="0"/>
    <n v="681495.75"/>
    <n v="681495.75"/>
    <n v="1572682.5"/>
    <n v="1572682.5"/>
    <n v="215"/>
    <n v="2254178.25"/>
    <n v="1255756.302521009"/>
    <n v="140"/>
    <n v="150"/>
    <n v="140"/>
    <n v="200"/>
    <n v="200"/>
    <n v="1572682.5"/>
    <n v="1467837"/>
    <n v="2096910"/>
    <n v="2096910"/>
    <n v="350"/>
    <n v="3669592.5"/>
    <n v="2839941.176470588"/>
    <n v="120"/>
    <n v="210"/>
    <n v="120"/>
    <n v="0"/>
    <n v="0"/>
    <n v="2201755.5"/>
    <n v="1258146"/>
    <n v="0"/>
    <n v="210"/>
    <n v="2201755.5"/>
    <n v="2520000"/>
    <n v="84"/>
    <n v="90"/>
    <n v="84"/>
    <n v="0"/>
    <m/>
    <n v="943609.4999999999"/>
    <n v="818664"/>
    <n v="0"/>
    <n v="90"/>
    <n v="943609.4999999999"/>
    <n v="1764000"/>
  </r>
  <r>
    <s v="Levo-Mochilas y Fundas"/>
    <x v="3"/>
    <x v="8"/>
    <x v="17"/>
    <s v="LVFUEX"/>
    <x v="63"/>
    <x v="61"/>
    <x v="0"/>
    <x v="2"/>
    <n v="1"/>
    <x v="3"/>
    <n v="0"/>
    <m/>
    <n v="0"/>
    <n v="11441"/>
    <n v="0"/>
    <n v="4.8"/>
    <n v="5244"/>
    <n v="12596.63865546219"/>
    <n v="8394.957983193277"/>
    <s v="Shenzhen"/>
    <s v="30/70"/>
    <n v="30"/>
    <n v="50"/>
    <n v="9"/>
    <n v="-0.1008019242333132"/>
    <n v="6"/>
    <n v="0.1486375474365653"/>
    <n v="7"/>
    <n v="0.1693919330952174"/>
    <n v="7"/>
    <n v="0.1891585049537228"/>
    <n v="3"/>
    <n v="0.1696601774407171"/>
    <n v="11"/>
    <n v="0.06182167046591345"/>
    <n v="5"/>
    <n v="0.1693876766662226"/>
    <n v="3"/>
    <n v="0.1486375474365653"/>
    <n v="4"/>
    <n v="0.1986554106487612"/>
    <n v="3"/>
    <n v="0.1986650791427371"/>
    <n v="0"/>
    <s v=""/>
    <n v="3"/>
    <n v="0.06909362117596014"/>
    <n v="2"/>
    <n v="0.09176788315461687"/>
    <n v="2"/>
    <n v="-0.02047391929056747"/>
    <n v="99"/>
    <n v="0.1369202878758712"/>
    <n v="4"/>
    <n v="-0.1107424699566471"/>
    <n v="1"/>
    <n v="5"/>
    <n v="-0.03215338427947598"/>
    <n v="0.5555555555555556"/>
    <n v="8"/>
    <n v="-0.2978651350675039"/>
    <n v="0.8888888888888888"/>
    <n v="7"/>
    <n v="-0.03667054626144843"/>
    <n v="0.4666666666666667"/>
    <n v="0"/>
    <s v=""/>
    <n v="0"/>
    <m/>
    <m/>
    <m/>
    <m/>
    <m/>
    <m/>
    <m/>
    <m/>
    <m/>
    <m/>
    <m/>
    <m/>
    <n v="7.333333333333333"/>
    <n v="123"/>
    <n v="5"/>
    <n v="0"/>
    <m/>
    <n v="0"/>
    <n v="1224187"/>
    <n v="611064"/>
    <n v="57205"/>
    <n v="0"/>
    <n v="0"/>
    <n v="0"/>
    <n v="52927.05317421087"/>
    <n v="9"/>
    <n v="126"/>
    <n v="3"/>
    <n v="0"/>
    <m/>
    <n v="0"/>
    <n v="1212746"/>
    <n v="625968"/>
    <n v="34323"/>
    <n v="0"/>
    <n v="0"/>
    <n v="0"/>
    <n v="31756.23190452652"/>
    <n v="9"/>
    <n v="124"/>
    <n v="99"/>
    <n v="0"/>
    <n v="0"/>
    <n v="1223135"/>
    <n v="1418684"/>
    <n v="1132659"/>
    <n v="0"/>
    <n v="0"/>
    <n v="0"/>
    <n v="1247067.226890756"/>
    <n v="4"/>
    <n v="25"/>
    <n v="4"/>
    <n v="0"/>
    <n v="0"/>
    <n v="124200"/>
    <n v="45764"/>
    <n v="0"/>
    <n v="0"/>
    <n v="0"/>
    <n v="0"/>
    <n v="50386.55462184874"/>
    <n v="9"/>
    <n v="5"/>
    <n v="9"/>
    <m/>
    <n v="0"/>
    <n v="0"/>
    <n v="57205"/>
    <n v="44712"/>
    <n v="0"/>
    <n v="0"/>
    <n v="0"/>
    <n v="0"/>
    <n v="113369.7478991597"/>
    <n v="9"/>
    <n v="8"/>
    <n v="8"/>
    <m/>
    <n v="0"/>
    <n v="0"/>
    <n v="91528"/>
    <n v="39744"/>
    <n v="0"/>
    <n v="0"/>
    <n v="8"/>
    <n v="0"/>
    <n v="100773.1092436975"/>
    <n v="15"/>
    <n v="7"/>
    <n v="7"/>
    <n v="0"/>
    <n v="0"/>
    <n v="0"/>
    <n v="80087"/>
    <n v="34776"/>
    <n v="0"/>
    <n v="0"/>
    <n v="7"/>
    <n v="0"/>
    <n v="88176.4705882353"/>
    <n v="10"/>
    <n v="0"/>
    <n v="10"/>
    <n v="0"/>
    <n v="0"/>
    <n v="0"/>
    <n v="0"/>
    <n v="49680"/>
    <n v="0"/>
    <n v="0"/>
    <n v="0"/>
    <n v="0"/>
    <n v="125966.3865546219"/>
    <n v="9"/>
    <n v="0"/>
    <n v="9"/>
    <n v="0"/>
    <n v="0"/>
    <n v="0"/>
    <n v="0"/>
    <n v="44712"/>
    <n v="0"/>
    <n v="0"/>
    <n v="0"/>
    <n v="0"/>
    <n v="113369.7478991597"/>
    <n v="9"/>
    <n v="0"/>
    <n v="0"/>
    <n v="0"/>
    <n v="0"/>
    <n v="0"/>
    <m/>
    <n v="0"/>
    <n v="0"/>
    <n v="0"/>
    <n v="0"/>
    <n v="0"/>
    <n v="0"/>
    <n v="0"/>
    <n v="9"/>
    <n v="0"/>
    <n v="9"/>
    <m/>
    <n v="0"/>
    <n v="0"/>
    <n v="44712"/>
    <n v="0"/>
    <n v="0"/>
    <n v="0"/>
    <n v="0"/>
    <n v="79332.35294117648"/>
    <n v="9"/>
    <n v="0"/>
    <n v="9"/>
    <n v="0"/>
    <n v="0"/>
    <n v="0"/>
    <n v="44712"/>
    <n v="0"/>
    <n v="0"/>
    <n v="0"/>
    <n v="113369.7478991597"/>
    <n v="5.399999999999999"/>
    <n v="0"/>
    <n v="5.399999999999999"/>
    <n v="0"/>
    <m/>
    <n v="0"/>
    <n v="61781.39999999999"/>
    <n v="0"/>
    <n v="0"/>
    <n v="0"/>
    <n v="68021.84873949579"/>
  </r>
  <r>
    <m/>
    <x v="3"/>
    <x v="8"/>
    <x v="17"/>
    <s v="LVFUEX"/>
    <x v="64"/>
    <x v="61"/>
    <x v="0"/>
    <x v="2"/>
    <n v="1"/>
    <x v="3"/>
    <n v="4"/>
    <m/>
    <n v="0"/>
    <n v="7961"/>
    <n v="31844"/>
    <n v="4.8"/>
    <n v="5244"/>
    <n v="12596.63865546219"/>
    <n v="8394.957983193277"/>
    <s v="Shenzhen"/>
    <s v="30/70"/>
    <n v="30"/>
    <n v="50"/>
    <n v="4"/>
    <n v="0.3590003093574266"/>
    <n v="2"/>
    <s v=""/>
    <n v="1"/>
    <s v=""/>
    <n v="1"/>
    <s v=""/>
    <n v="3"/>
    <n v="0.4057196177963572"/>
    <n v="1"/>
    <s v=""/>
    <n v="2"/>
    <n v="0.4734043571475819"/>
    <n v="0"/>
    <s v=""/>
    <n v="0"/>
    <s v=""/>
    <n v="2"/>
    <n v="0.3229883493494345"/>
    <n v="1"/>
    <n v="0.3681260417493452"/>
    <n v="1"/>
    <n v="0.4734091811086122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4"/>
    <n v="4"/>
    <n v="0"/>
    <m/>
    <n v="0"/>
    <n v="31844"/>
    <n v="19872"/>
    <n v="31844"/>
    <n v="0"/>
    <n v="4"/>
    <n v="31844"/>
    <n v="42341.64253936869"/>
    <n v="0"/>
    <n v="4"/>
    <n v="0"/>
    <n v="0"/>
    <m/>
    <n v="0"/>
    <n v="0"/>
    <n v="19872"/>
    <n v="0"/>
    <n v="0"/>
    <n v="4"/>
    <n v="31844"/>
    <n v="0"/>
    <n v="0"/>
    <n v="4"/>
    <n v="0"/>
    <n v="0"/>
    <n v="0"/>
    <n v="0"/>
    <n v="31844"/>
    <n v="0"/>
    <n v="0"/>
    <n v="4"/>
    <n v="31844"/>
    <n v="0"/>
    <n v="0"/>
    <n v="2"/>
    <n v="0"/>
    <n v="0"/>
    <n v="0"/>
    <n v="9936"/>
    <n v="0"/>
    <n v="0"/>
    <n v="0"/>
    <n v="4"/>
    <n v="31844"/>
    <n v="0"/>
    <n v="0"/>
    <n v="4"/>
    <n v="0"/>
    <m/>
    <n v="0"/>
    <n v="0"/>
    <n v="31844"/>
    <n v="0"/>
    <n v="0"/>
    <n v="0"/>
    <n v="4"/>
    <n v="31844"/>
    <n v="0"/>
    <n v="0"/>
    <n v="4"/>
    <n v="0"/>
    <m/>
    <n v="0"/>
    <n v="0"/>
    <n v="31844"/>
    <n v="0"/>
    <n v="0"/>
    <n v="0"/>
    <n v="4"/>
    <n v="31844"/>
    <n v="0"/>
    <n v="4"/>
    <n v="4"/>
    <n v="0"/>
    <n v="0"/>
    <n v="0"/>
    <n v="0"/>
    <n v="31844"/>
    <n v="0"/>
    <n v="0"/>
    <n v="0"/>
    <n v="4"/>
    <n v="31844"/>
    <n v="0"/>
    <n v="0"/>
    <n v="4"/>
    <n v="0"/>
    <n v="0"/>
    <n v="0"/>
    <n v="0"/>
    <n v="31844"/>
    <n v="0"/>
    <n v="0"/>
    <n v="0"/>
    <n v="4"/>
    <n v="31844"/>
    <n v="0"/>
    <n v="0"/>
    <n v="4"/>
    <n v="0"/>
    <n v="0"/>
    <n v="0"/>
    <n v="0"/>
    <n v="19872"/>
    <n v="0"/>
    <n v="0"/>
    <n v="0"/>
    <n v="4"/>
    <n v="19872"/>
    <n v="0"/>
    <n v="0"/>
    <n v="4"/>
    <n v="0"/>
    <n v="0"/>
    <n v="0"/>
    <n v="0"/>
    <m/>
    <n v="19872"/>
    <n v="0"/>
    <n v="0"/>
    <n v="0"/>
    <n v="4"/>
    <n v="19872"/>
    <n v="0"/>
    <n v="0"/>
    <n v="4"/>
    <n v="0"/>
    <m/>
    <n v="0"/>
    <n v="19872"/>
    <n v="0"/>
    <n v="0"/>
    <n v="0"/>
    <n v="4"/>
    <n v="19872"/>
    <n v="0"/>
    <n v="0"/>
    <n v="4"/>
    <n v="0"/>
    <n v="0"/>
    <n v="0"/>
    <n v="19872"/>
    <n v="0"/>
    <n v="0"/>
    <n v="4"/>
    <n v="19872"/>
    <n v="0"/>
    <n v="0"/>
    <n v="4"/>
    <n v="0"/>
    <n v="0"/>
    <m/>
    <n v="19872"/>
    <n v="0"/>
    <n v="0"/>
    <n v="4"/>
    <n v="19872"/>
    <n v="0"/>
  </r>
  <r>
    <s v="Levo-Mochilas y Fundas"/>
    <x v="3"/>
    <x v="8"/>
    <x v="18"/>
    <n v="1659999392257"/>
    <x v="65"/>
    <x v="62"/>
    <x v="0"/>
    <x v="3"/>
    <n v="0.8"/>
    <x v="37"/>
    <n v="256"/>
    <m/>
    <n v="0"/>
    <n v="3833"/>
    <n v="981248"/>
    <n v="3.4"/>
    <n v="3714.5"/>
    <n v="10915.96638655462"/>
    <n v="8394.957983193277"/>
    <s v="Shenzhen"/>
    <s v="30/70"/>
    <n v="30"/>
    <n v="500"/>
    <n v="161"/>
    <n v="0.5384383220804425"/>
    <n v="7"/>
    <n v="0.6629303709925188"/>
    <n v="51"/>
    <n v="0.5322851712632511"/>
    <n v="27"/>
    <n v="0.5669524111523507"/>
    <n v="86"/>
    <n v="0.5488471201961231"/>
    <n v="131"/>
    <n v="0.6773213484942238"/>
    <n v="103"/>
    <n v="0.4202743921173202"/>
    <n v="11"/>
    <n v="0.6620630206975963"/>
    <n v="18"/>
    <n v="0.6334714556019572"/>
    <n v="221"/>
    <n v="0.583284447578076"/>
    <n v="30"/>
    <n v="0.5868195174151675"/>
    <n v="80"/>
    <n v="0.5934304671284107"/>
    <n v="14"/>
    <n v="0.491560467673595"/>
    <n v="158"/>
    <n v="0.4669183286156768"/>
    <n v="102"/>
    <n v="0.5409266914203407"/>
    <n v="6"/>
    <n v="0.5104538077630753"/>
    <n v="0.12"/>
    <n v="6"/>
    <n v="0.605097911227154"/>
    <n v="0.075"/>
    <n v="28"/>
    <n v="0.5668460101691397"/>
    <n v="0.28"/>
    <n v="0"/>
    <s v=""/>
    <n v="0"/>
    <n v="0"/>
    <s v=""/>
    <n v="0"/>
    <m/>
    <m/>
    <m/>
    <m/>
    <m/>
    <m/>
    <m/>
    <m/>
    <m/>
    <m/>
    <m/>
    <m/>
    <n v="50"/>
    <n v="411"/>
    <n v="30"/>
    <n v="0"/>
    <m/>
    <n v="0"/>
    <n v="1414377"/>
    <n v="1446309"/>
    <n v="114990"/>
    <n v="0"/>
    <n v="256"/>
    <n v="981248"/>
    <n v="275192.4299131418"/>
    <n v="50"/>
    <n v="403"/>
    <n v="237"/>
    <n v="0"/>
    <m/>
    <n v="0"/>
    <n v="1322385"/>
    <n v="1418157"/>
    <n v="908421"/>
    <n v="0"/>
    <n v="256"/>
    <n v="981248"/>
    <n v="2174020.19631382"/>
    <n v="100"/>
    <n v="240"/>
    <n v="102"/>
    <n v="0"/>
    <n v="0"/>
    <n v="639180"/>
    <n v="919920"/>
    <n v="390966"/>
    <n v="0"/>
    <n v="256"/>
    <n v="981248"/>
    <n v="1113428.571428572"/>
    <n v="50"/>
    <n v="134"/>
    <n v="6"/>
    <n v="50"/>
    <n v="0"/>
    <n v="471545.9999999999"/>
    <n v="22998"/>
    <n v="175950"/>
    <n v="0"/>
    <n v="256"/>
    <n v="981248"/>
    <n v="65495.79831932773"/>
    <n v="80"/>
    <n v="262"/>
    <n v="64"/>
    <m/>
    <n v="0"/>
    <n v="0"/>
    <n v="1004246"/>
    <n v="225216"/>
    <n v="0"/>
    <n v="0"/>
    <n v="256"/>
    <n v="981248"/>
    <n v="698621.8487394959"/>
    <n v="100"/>
    <n v="284"/>
    <n v="28"/>
    <m/>
    <n v="50"/>
    <n v="0"/>
    <n v="1088572"/>
    <n v="98531.99999999999"/>
    <n v="0"/>
    <n v="0"/>
    <n v="284"/>
    <n v="981248"/>
    <n v="305647.0588235295"/>
    <n v="80"/>
    <n v="256"/>
    <n v="0"/>
    <n v="0"/>
    <n v="150"/>
    <n v="0"/>
    <n v="981248"/>
    <n v="0"/>
    <n v="0"/>
    <n v="0"/>
    <n v="256"/>
    <n v="981248"/>
    <n v="0"/>
    <n v="0"/>
    <n v="256"/>
    <n v="0"/>
    <n v="110"/>
    <n v="110"/>
    <n v="0"/>
    <n v="981248"/>
    <n v="0"/>
    <n v="387089.9999999999"/>
    <n v="0"/>
    <n v="256"/>
    <n v="981248"/>
    <n v="0"/>
    <n v="80"/>
    <n v="256"/>
    <n v="64"/>
    <n v="0"/>
    <n v="0"/>
    <n v="110"/>
    <n v="900863.9999999999"/>
    <n v="225216"/>
    <n v="0"/>
    <n v="387089.9999999999"/>
    <n v="366"/>
    <n v="1287954"/>
    <n v="698621.8487394959"/>
    <n v="100"/>
    <n v="302"/>
    <n v="80"/>
    <n v="0"/>
    <n v="0"/>
    <n v="0"/>
    <m/>
    <n v="1062738"/>
    <n v="281519.9999999999"/>
    <n v="0"/>
    <n v="0"/>
    <n v="302"/>
    <n v="1062738"/>
    <n v="671596.6386554622"/>
    <n v="100"/>
    <n v="222"/>
    <n v="80"/>
    <m/>
    <n v="0"/>
    <n v="781217.9999999999"/>
    <n v="281519.9999999999"/>
    <n v="0"/>
    <n v="0"/>
    <n v="222"/>
    <n v="781217.9999999999"/>
    <n v="705176.4705882353"/>
    <n v="100"/>
    <n v="142"/>
    <n v="80"/>
    <n v="0"/>
    <n v="0"/>
    <n v="499697.9999999999"/>
    <n v="281519.9999999999"/>
    <n v="0"/>
    <n v="142"/>
    <n v="499697.9999999999"/>
    <n v="873277.3109243698"/>
    <n v="60"/>
    <n v="62"/>
    <n v="48"/>
    <n v="0"/>
    <m/>
    <n v="218178"/>
    <n v="183984"/>
    <n v="0"/>
    <n v="62"/>
    <n v="218178"/>
    <n v="523966.3865546219"/>
  </r>
  <r>
    <m/>
    <x v="3"/>
    <x v="8"/>
    <x v="18"/>
    <n v="1659999410637"/>
    <x v="66"/>
    <x v="63"/>
    <x v="0"/>
    <x v="3"/>
    <n v="0.8"/>
    <x v="38"/>
    <n v="507"/>
    <m/>
    <n v="0"/>
    <n v="3702"/>
    <n v="1876914"/>
    <n v="3.4"/>
    <n v="3714.5"/>
    <n v="10915.96638655462"/>
    <n v="8394.957983193277"/>
    <s v="Shenzhen"/>
    <s v="30/70"/>
    <n v="30"/>
    <n v="500"/>
    <n v="220"/>
    <n v="0.5732265190709577"/>
    <n v="79"/>
    <n v="0.6621420821927873"/>
    <n v="174"/>
    <n v="0.5612544694641508"/>
    <n v="71"/>
    <n v="0.624698335925045"/>
    <n v="144"/>
    <n v="0.586794374711869"/>
    <n v="301"/>
    <n v="0.6054140558017876"/>
    <n v="125"/>
    <n v="0.5441024546500683"/>
    <n v="30"/>
    <n v="0.6391419083130349"/>
    <n v="176"/>
    <n v="0.5761324805378417"/>
    <n v="21"/>
    <n v="0.6417094137102992"/>
    <n v="59"/>
    <n v="0.5838135513282408"/>
    <n v="57"/>
    <n v="0.6194960558779004"/>
    <n v="40"/>
    <n v="0.5525655118831985"/>
    <n v="35"/>
    <n v="0.428449833537313"/>
    <n v="84"/>
    <n v="0.498612697429706"/>
    <n v="42"/>
    <n v="0.5995101325600615"/>
    <n v="0.525"/>
    <n v="180"/>
    <n v="0.5515976504175285"/>
    <n v="1.5"/>
    <n v="322"/>
    <n v="0.4641456486002508"/>
    <n v="2.476923076923077"/>
    <n v="0"/>
    <s v=""/>
    <n v="0"/>
    <n v="0"/>
    <s v=""/>
    <n v="0"/>
    <m/>
    <m/>
    <m/>
    <m/>
    <m/>
    <m/>
    <m/>
    <m/>
    <m/>
    <m/>
    <m/>
    <m/>
    <n v="100"/>
    <n v="147"/>
    <n v="30"/>
    <n v="200"/>
    <n v="200"/>
    <n v="0"/>
    <n v="616383"/>
    <n v="517292.9999999999"/>
    <n v="111060"/>
    <n v="0"/>
    <n v="507"/>
    <n v="1876914"/>
    <n v="275192.4299131418"/>
    <n v="100"/>
    <n v="304"/>
    <n v="52.5"/>
    <n v="300"/>
    <n v="300"/>
    <n v="0"/>
    <n v="660807"/>
    <n v="1069776"/>
    <n v="194355"/>
    <n v="0"/>
    <n v="507"/>
    <n v="1876914"/>
    <n v="481586.7523479981"/>
    <n v="150"/>
    <n v="572"/>
    <n v="84"/>
    <n v="0"/>
    <n v="0"/>
    <n v="804276"/>
    <n v="2117544"/>
    <n v="310968"/>
    <n v="0"/>
    <n v="507"/>
    <n v="1876914"/>
    <n v="916941.1764705883"/>
    <n v="80"/>
    <n v="477"/>
    <n v="42"/>
    <n v="50"/>
    <n v="0"/>
    <n v="1678563"/>
    <n v="155484"/>
    <n v="175950"/>
    <n v="0"/>
    <n v="507"/>
    <n v="1876914"/>
    <n v="458470.5882352942"/>
    <n v="120"/>
    <n v="687"/>
    <n v="96"/>
    <m/>
    <n v="0"/>
    <n v="0"/>
    <n v="2543274"/>
    <n v="337823.9999999999"/>
    <n v="0"/>
    <n v="0"/>
    <n v="507"/>
    <n v="1876914"/>
    <n v="1047932.773109244"/>
    <n v="130"/>
    <n v="829"/>
    <n v="322"/>
    <m/>
    <n v="50"/>
    <n v="0"/>
    <n v="3068958"/>
    <n v="1133118"/>
    <n v="0"/>
    <n v="0"/>
    <n v="829"/>
    <n v="1876914"/>
    <n v="3514941.176470588"/>
    <n v="120"/>
    <n v="507"/>
    <n v="0"/>
    <n v="500"/>
    <n v="350"/>
    <n v="0"/>
    <n v="1876914"/>
    <n v="0"/>
    <n v="1700850"/>
    <n v="0"/>
    <n v="507"/>
    <n v="1876914"/>
    <n v="0"/>
    <n v="0"/>
    <n v="507"/>
    <n v="0"/>
    <n v="0"/>
    <n v="0"/>
    <n v="0"/>
    <n v="1876914"/>
    <n v="0"/>
    <n v="0"/>
    <n v="0"/>
    <n v="507"/>
    <n v="1876914"/>
    <n v="0"/>
    <n v="120"/>
    <n v="507"/>
    <n v="96"/>
    <n v="0"/>
    <n v="0"/>
    <n v="0"/>
    <n v="1784133"/>
    <n v="337823.9999999999"/>
    <n v="0"/>
    <n v="0"/>
    <n v="507"/>
    <n v="1784133"/>
    <n v="1047932.773109244"/>
    <n v="100"/>
    <n v="411"/>
    <n v="80"/>
    <n v="0"/>
    <n v="0"/>
    <n v="0"/>
    <m/>
    <n v="1446309"/>
    <n v="281519.9999999999"/>
    <n v="0"/>
    <n v="0"/>
    <n v="411"/>
    <n v="1446309"/>
    <n v="671596.6386554622"/>
    <n v="100"/>
    <n v="331"/>
    <n v="80"/>
    <m/>
    <n v="0"/>
    <n v="1164789"/>
    <n v="281519.9999999999"/>
    <n v="0"/>
    <n v="0"/>
    <n v="331"/>
    <n v="1164789"/>
    <n v="705176.4705882353"/>
    <n v="100"/>
    <n v="251"/>
    <n v="80"/>
    <n v="0"/>
    <n v="0"/>
    <n v="883268.9999999999"/>
    <n v="281519.9999999999"/>
    <n v="0"/>
    <n v="251"/>
    <n v="883268.9999999999"/>
    <n v="873277.3109243698"/>
    <n v="60"/>
    <n v="171"/>
    <n v="48"/>
    <n v="0"/>
    <m/>
    <n v="601748.9999999999"/>
    <n v="177696"/>
    <n v="0"/>
    <n v="171"/>
    <n v="601748.9999999999"/>
    <n v="523966.3865546219"/>
  </r>
  <r>
    <m/>
    <x v="3"/>
    <x v="8"/>
    <x v="18"/>
    <s v="LVMOMA"/>
    <x v="67"/>
    <x v="64"/>
    <x v="0"/>
    <x v="2"/>
    <n v="1"/>
    <x v="3"/>
    <n v="2"/>
    <m/>
    <n v="0"/>
    <n v="8666"/>
    <n v="17332"/>
    <n v="7"/>
    <n v="8666"/>
    <n v="21000"/>
    <n v="21000"/>
    <s v="Shenzhen"/>
    <s v="30/70"/>
    <n v="30"/>
    <n v="50"/>
    <n v="9"/>
    <n v="0.2593048882239549"/>
    <n v="4"/>
    <s v=""/>
    <n v="5"/>
    <n v="0.511403174275997"/>
    <n v="5"/>
    <n v="0.5294670239690339"/>
    <n v="33"/>
    <n v="0.3672456123848517"/>
    <n v="17"/>
    <n v="0.4131663444114405"/>
    <n v="2"/>
    <n v="0.4346956748646357"/>
    <n v="2"/>
    <n v="0.3592465246968353"/>
    <n v="2"/>
    <n v="0.5832267218160831"/>
    <n v="43"/>
    <n v="0.4052094618874517"/>
    <n v="6"/>
    <n v="0.5491897515931851"/>
    <n v="3"/>
    <n v="0.5701540433513964"/>
    <n v="22"/>
    <n v="0.3572336732281934"/>
    <n v="22"/>
    <n v="0.3434506900066453"/>
    <n v="2"/>
    <n v="0.5445419694972827"/>
    <n v="0"/>
    <s v=""/>
    <n v="0"/>
    <n v="13"/>
    <n v="0.4307704196885032"/>
    <n v="1.3"/>
    <n v="-1"/>
    <n v="0.5536465595635041"/>
    <n v="-0.05"/>
    <n v="0"/>
    <s v=""/>
    <n v="0"/>
    <n v="0"/>
    <s v=""/>
    <n v="0"/>
    <m/>
    <m/>
    <m/>
    <m/>
    <m/>
    <m/>
    <m/>
    <m/>
    <m/>
    <m/>
    <m/>
    <m/>
    <n v="0"/>
    <n v="35"/>
    <n v="2"/>
    <n v="0"/>
    <m/>
    <n v="0"/>
    <n v="320642"/>
    <n v="253575"/>
    <n v="17332"/>
    <n v="0"/>
    <n v="2"/>
    <n v="17332"/>
    <n v="35294.11764705883"/>
    <n v="10"/>
    <n v="36"/>
    <n v="33"/>
    <n v="0"/>
    <n v="0"/>
    <n v="0"/>
    <n v="303310"/>
    <n v="260820"/>
    <n v="285978"/>
    <n v="0"/>
    <n v="2"/>
    <n v="17332"/>
    <n v="582352.9411764706"/>
    <n v="10"/>
    <n v="13"/>
    <n v="2"/>
    <n v="0"/>
    <n v="0"/>
    <n v="89781.99999999999"/>
    <n v="112658"/>
    <n v="17332"/>
    <n v="0"/>
    <n v="2"/>
    <n v="17332"/>
    <n v="42000"/>
    <n v="10"/>
    <n v="9"/>
    <n v="0"/>
    <n v="0"/>
    <n v="0"/>
    <n v="65204.99999999999"/>
    <n v="0"/>
    <n v="0"/>
    <n v="0"/>
    <n v="2"/>
    <n v="17332"/>
    <n v="0"/>
    <n v="10"/>
    <n v="15"/>
    <n v="10"/>
    <m/>
    <n v="0"/>
    <n v="0"/>
    <n v="129990"/>
    <n v="72449.99999999999"/>
    <n v="0"/>
    <n v="0"/>
    <n v="2"/>
    <n v="17332"/>
    <n v="210000"/>
    <n v="20"/>
    <n v="1"/>
    <n v="-1"/>
    <m/>
    <n v="0"/>
    <n v="0"/>
    <n v="8666"/>
    <n v="-7244.999999999999"/>
    <n v="0"/>
    <n v="0"/>
    <n v="1"/>
    <n v="17332"/>
    <n v="-21000"/>
    <n v="0"/>
    <n v="2"/>
    <n v="0"/>
    <n v="0"/>
    <n v="0"/>
    <n v="0"/>
    <n v="17332"/>
    <n v="0"/>
    <n v="0"/>
    <n v="0"/>
    <n v="2"/>
    <n v="17332"/>
    <n v="0"/>
    <n v="0"/>
    <n v="2"/>
    <n v="0"/>
    <n v="0"/>
    <n v="0"/>
    <n v="0"/>
    <n v="17332"/>
    <n v="0"/>
    <n v="0"/>
    <n v="0"/>
    <n v="2"/>
    <n v="17332"/>
    <n v="0"/>
    <n v="10"/>
    <n v="2"/>
    <n v="10"/>
    <n v="0"/>
    <n v="0"/>
    <n v="0"/>
    <n v="14490"/>
    <n v="72449.99999999999"/>
    <n v="0"/>
    <n v="0"/>
    <n v="2"/>
    <n v="14490"/>
    <n v="21000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evo-Mochilas y Fundas"/>
    <x v="3"/>
    <x v="8"/>
    <x v="18"/>
    <s v="LVMOMA"/>
    <x v="68"/>
    <x v="65"/>
    <x v="0"/>
    <x v="2"/>
    <n v="1"/>
    <x v="3"/>
    <n v="1"/>
    <m/>
    <n v="0"/>
    <n v="8609"/>
    <n v="8609"/>
    <n v="7"/>
    <n v="8609"/>
    <n v="21000"/>
    <n v="21000"/>
    <s v="Shenzhen"/>
    <s v="30/70"/>
    <n v="30"/>
    <n v="50"/>
    <n v="2"/>
    <n v="0.3979574912891986"/>
    <n v="1"/>
    <n v="0.5548124291456251"/>
    <n v="0"/>
    <s v=""/>
    <n v="4"/>
    <n v="0.5967298114963928"/>
    <n v="0"/>
    <s v=""/>
    <n v="21"/>
    <n v="0.4240418864390189"/>
    <n v="3"/>
    <n v="0.5717790231123785"/>
    <n v="1"/>
    <n v="0.4143374149659864"/>
    <n v="2"/>
    <n v="0.4827265899600445"/>
    <n v="2"/>
    <n v="0.5992906679078427"/>
    <n v="4"/>
    <n v="0.5330645008203279"/>
    <n v="121"/>
    <n v="0.330993505926356"/>
    <n v="0"/>
    <s v=""/>
    <n v="3"/>
    <n v="0.4746133484006017"/>
    <n v="0"/>
    <s v=""/>
    <n v="0"/>
    <s v=""/>
    <n v="0"/>
    <n v="0"/>
    <s v=""/>
    <n v="0"/>
    <n v="1"/>
    <n v="0.3019047619047619"/>
    <n v="0.05"/>
    <n v="0"/>
    <s v=""/>
    <n v="0"/>
    <n v="0"/>
    <s v=""/>
    <n v="0"/>
    <m/>
    <m/>
    <m/>
    <m/>
    <m/>
    <m/>
    <m/>
    <m/>
    <m/>
    <m/>
    <m/>
    <m/>
    <n v="15"/>
    <n v="5"/>
    <n v="5"/>
    <n v="0"/>
    <m/>
    <n v="0"/>
    <n v="81785.5"/>
    <n v="36224.99999999999"/>
    <n v="43045"/>
    <n v="0"/>
    <n v="1"/>
    <n v="8609"/>
    <n v="88235.29411764706"/>
    <n v="0"/>
    <n v="5"/>
    <n v="4.5"/>
    <n v="0"/>
    <m/>
    <n v="0"/>
    <n v="38740.5"/>
    <n v="36224.99999999999"/>
    <n v="38740.5"/>
    <n v="0"/>
    <n v="1"/>
    <n v="8609"/>
    <n v="79411.76470588235"/>
    <n v="0"/>
    <n v="2"/>
    <n v="0"/>
    <n v="0"/>
    <n v="0"/>
    <n v="0"/>
    <n v="17218"/>
    <n v="0"/>
    <n v="0"/>
    <n v="1"/>
    <n v="8609"/>
    <n v="0"/>
    <n v="1"/>
    <n v="2"/>
    <n v="0"/>
    <n v="0"/>
    <n v="0"/>
    <n v="14490"/>
    <n v="0"/>
    <n v="0"/>
    <n v="0"/>
    <n v="1"/>
    <n v="8609"/>
    <n v="0"/>
    <n v="0"/>
    <n v="1"/>
    <n v="0"/>
    <m/>
    <n v="0"/>
    <n v="0"/>
    <n v="8609"/>
    <n v="0"/>
    <n v="0"/>
    <n v="0"/>
    <n v="1"/>
    <n v="8609"/>
    <n v="0"/>
    <n v="20"/>
    <n v="2"/>
    <n v="1"/>
    <m/>
    <n v="0"/>
    <n v="0"/>
    <n v="17218"/>
    <n v="7244.999999999999"/>
    <n v="0"/>
    <n v="0"/>
    <n v="2"/>
    <n v="8609"/>
    <n v="21000"/>
    <n v="0"/>
    <n v="1"/>
    <n v="0"/>
    <n v="0"/>
    <n v="0"/>
    <n v="0"/>
    <n v="8609"/>
    <n v="0"/>
    <n v="0"/>
    <n v="0"/>
    <n v="1"/>
    <n v="8609"/>
    <n v="0"/>
    <n v="0"/>
    <n v="1"/>
    <n v="0"/>
    <n v="0"/>
    <n v="0"/>
    <n v="0"/>
    <n v="8609"/>
    <n v="0"/>
    <n v="0"/>
    <n v="0"/>
    <n v="1"/>
    <n v="8609"/>
    <n v="0"/>
    <n v="0"/>
    <n v="1"/>
    <n v="0"/>
    <n v="0"/>
    <n v="0"/>
    <n v="0"/>
    <n v="7244.999999999999"/>
    <n v="0"/>
    <n v="0"/>
    <n v="0"/>
    <n v="1"/>
    <n v="7244.999999999999"/>
    <n v="0"/>
    <n v="0"/>
    <n v="1"/>
    <n v="0"/>
    <n v="0"/>
    <n v="0"/>
    <n v="0"/>
    <m/>
    <n v="7244.999999999999"/>
    <n v="0"/>
    <n v="0"/>
    <n v="0"/>
    <n v="1"/>
    <n v="7244.999999999999"/>
    <n v="0"/>
    <n v="0"/>
    <n v="1"/>
    <n v="0"/>
    <m/>
    <n v="0"/>
    <n v="7244.999999999999"/>
    <n v="0"/>
    <n v="0"/>
    <n v="0"/>
    <n v="1"/>
    <n v="7244.999999999999"/>
    <n v="0"/>
    <n v="0"/>
    <n v="1"/>
    <n v="0"/>
    <n v="0"/>
    <n v="0"/>
    <n v="7244.999999999999"/>
    <n v="0"/>
    <n v="0"/>
    <n v="1"/>
    <n v="7244.999999999999"/>
    <n v="0"/>
    <n v="0"/>
    <n v="1"/>
    <n v="0"/>
    <n v="0"/>
    <m/>
    <n v="7244.999999999999"/>
    <n v="0"/>
    <n v="0"/>
    <n v="1"/>
    <n v="7244.999999999999"/>
    <n v="0"/>
  </r>
  <r>
    <s v="Levo-Mochilas y Fundas"/>
    <x v="3"/>
    <x v="8"/>
    <x v="18"/>
    <s v="LVMOPRL-BK"/>
    <x v="69"/>
    <x v="66"/>
    <x v="0"/>
    <x v="4"/>
    <n v="1"/>
    <x v="3"/>
    <n v="99"/>
    <m/>
    <n v="0"/>
    <n v="8014"/>
    <n v="793386"/>
    <n v="7"/>
    <n v="7003.499999999999"/>
    <n v="17655.88235294117"/>
    <n v="15007.5"/>
    <s v="Shenzhen"/>
    <s v="30/70"/>
    <n v="45"/>
    <n v="200"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n v="0"/>
    <s v=""/>
    <n v="0"/>
    <n v="0"/>
    <s v=""/>
    <n v="0"/>
    <n v="0"/>
    <s v=""/>
    <n v="0"/>
    <n v="-39"/>
    <s v=""/>
    <n v="-1.95"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99"/>
    <n v="793386"/>
    <n v="0"/>
    <n v="0"/>
    <n v="0"/>
    <n v="0"/>
    <n v="0"/>
    <n v="0"/>
    <n v="0"/>
    <n v="0"/>
    <n v="0"/>
    <n v="0"/>
    <n v="99"/>
    <n v="793386"/>
    <n v="0"/>
    <n v="0"/>
    <n v="0"/>
    <n v="0"/>
    <n v="0"/>
    <n v="0"/>
    <n v="0"/>
    <n v="0"/>
    <n v="0"/>
    <n v="0"/>
    <n v="99"/>
    <n v="793386"/>
    <n v="0"/>
    <n v="0"/>
    <n v="99"/>
    <n v="0"/>
    <m/>
    <n v="0"/>
    <n v="0"/>
    <n v="793386"/>
    <n v="0"/>
    <n v="0"/>
    <n v="0"/>
    <n v="99"/>
    <n v="793386"/>
    <n v="0"/>
    <n v="0"/>
    <n v="99"/>
    <n v="0"/>
    <m/>
    <n v="0"/>
    <n v="0"/>
    <n v="793386"/>
    <n v="0"/>
    <n v="0"/>
    <n v="0"/>
    <n v="99"/>
    <n v="793386"/>
    <n v="0"/>
    <n v="10"/>
    <n v="99"/>
    <n v="0"/>
    <n v="100"/>
    <n v="100"/>
    <n v="0"/>
    <n v="793386"/>
    <n v="0"/>
    <n v="700349.9999999999"/>
    <n v="0"/>
    <n v="99"/>
    <n v="793386"/>
    <n v="0"/>
    <n v="20"/>
    <n v="99"/>
    <n v="20"/>
    <n v="0"/>
    <n v="0"/>
    <n v="0"/>
    <n v="793386"/>
    <n v="144900"/>
    <n v="0"/>
    <n v="0"/>
    <n v="99"/>
    <n v="793386"/>
    <n v="353117.6470588235"/>
    <n v="25"/>
    <n v="79"/>
    <n v="25"/>
    <n v="0"/>
    <n v="0"/>
    <n v="0"/>
    <n v="572354.9999999999"/>
    <n v="181125"/>
    <n v="0"/>
    <n v="0"/>
    <n v="79"/>
    <n v="572354.9999999999"/>
    <n v="441397.0588235294"/>
    <n v="50"/>
    <n v="54"/>
    <n v="50"/>
    <n v="0"/>
    <n v="0"/>
    <n v="0"/>
    <n v="0"/>
    <n v="391229.9999999999"/>
    <n v="362249.9999999999"/>
    <n v="0"/>
    <n v="0"/>
    <n v="54"/>
    <n v="391229.9999999999"/>
    <n v="750374.9999999999"/>
    <n v="50"/>
    <n v="4"/>
    <n v="50"/>
    <n v="100"/>
    <n v="100"/>
    <n v="28980"/>
    <n v="362249.9999999999"/>
    <n v="724499.9999999999"/>
    <n v="724499.9999999999"/>
    <n v="104"/>
    <n v="753479.9999999999"/>
    <n v="787893.7499999999"/>
    <n v="50"/>
    <n v="54"/>
    <n v="50"/>
    <n v="0"/>
    <n v="0"/>
    <n v="391229.9999999999"/>
    <n v="362249.9999999999"/>
    <n v="0"/>
    <n v="54"/>
    <n v="391229.9999999999"/>
    <n v="882794.1176470588"/>
    <n v="30"/>
    <n v="4"/>
    <n v="30"/>
    <n v="0"/>
    <m/>
    <n v="28980"/>
    <n v="240420"/>
    <n v="0"/>
    <n v="4"/>
    <n v="28980"/>
    <n v="529676.4705882352"/>
  </r>
  <r>
    <s v="Levo-Mochilas y Fundas"/>
    <x v="3"/>
    <x v="8"/>
    <x v="18"/>
    <s v="LVMOVEL-BK"/>
    <x v="70"/>
    <x v="67"/>
    <x v="0"/>
    <x v="4"/>
    <n v="1"/>
    <x v="3"/>
    <n v="99"/>
    <m/>
    <n v="0"/>
    <n v="6360"/>
    <n v="629640"/>
    <n v="6.5"/>
    <n v="6503.249999999999"/>
    <n v="16394.74789915966"/>
    <n v="13935.53571428571"/>
    <s v="Shenzhen"/>
    <s v="30/70"/>
    <n v="45"/>
    <n v="200"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n v="0"/>
    <s v=""/>
    <n v="0"/>
    <n v="0"/>
    <s v=""/>
    <n v="0"/>
    <n v="0"/>
    <s v=""/>
    <n v="0"/>
    <n v="-39"/>
    <s v=""/>
    <n v="-1.95"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99"/>
    <n v="629640"/>
    <n v="0"/>
    <n v="0"/>
    <n v="0"/>
    <n v="0"/>
    <n v="0"/>
    <n v="0"/>
    <n v="0"/>
    <n v="0"/>
    <n v="0"/>
    <n v="0"/>
    <n v="99"/>
    <n v="629640"/>
    <n v="0"/>
    <n v="0"/>
    <n v="0"/>
    <n v="0"/>
    <n v="0"/>
    <n v="0"/>
    <n v="0"/>
    <n v="0"/>
    <n v="0"/>
    <n v="0"/>
    <n v="99"/>
    <n v="629640"/>
    <n v="0"/>
    <n v="0"/>
    <n v="99"/>
    <n v="0"/>
    <m/>
    <n v="0"/>
    <n v="0"/>
    <n v="629640"/>
    <n v="0"/>
    <n v="0"/>
    <n v="0"/>
    <n v="99"/>
    <n v="629640"/>
    <n v="0"/>
    <n v="0"/>
    <n v="99"/>
    <n v="0"/>
    <m/>
    <n v="0"/>
    <n v="0"/>
    <n v="629640"/>
    <n v="0"/>
    <n v="0"/>
    <n v="0"/>
    <n v="99"/>
    <n v="629640"/>
    <n v="0"/>
    <n v="10"/>
    <n v="99"/>
    <n v="0"/>
    <n v="100"/>
    <n v="100"/>
    <n v="0"/>
    <n v="629640"/>
    <n v="0"/>
    <n v="650324.9999999999"/>
    <n v="0"/>
    <n v="99"/>
    <n v="629640"/>
    <n v="0"/>
    <n v="20"/>
    <n v="99"/>
    <n v="20"/>
    <n v="0"/>
    <n v="0"/>
    <n v="0"/>
    <n v="629640"/>
    <n v="134550"/>
    <n v="0"/>
    <n v="0"/>
    <n v="99"/>
    <n v="629640"/>
    <n v="327894.9579831932"/>
    <n v="25"/>
    <n v="79"/>
    <n v="25"/>
    <n v="0"/>
    <n v="0"/>
    <n v="0"/>
    <n v="531472.4999999999"/>
    <n v="168187.5"/>
    <n v="0"/>
    <n v="0"/>
    <n v="79"/>
    <n v="531472.4999999999"/>
    <n v="409868.6974789915"/>
    <n v="50"/>
    <n v="54"/>
    <n v="50"/>
    <n v="0"/>
    <n v="0"/>
    <n v="0"/>
    <n v="0"/>
    <n v="363284.9999999999"/>
    <n v="336374.9999999999"/>
    <n v="0"/>
    <n v="0"/>
    <n v="54"/>
    <n v="363284.9999999999"/>
    <n v="696776.7857142856"/>
    <n v="50"/>
    <n v="4"/>
    <n v="50"/>
    <n v="100"/>
    <n v="100"/>
    <n v="26910"/>
    <n v="336374.9999999999"/>
    <n v="672749.9999999999"/>
    <n v="672749.9999999999"/>
    <n v="104"/>
    <n v="699659.9999999999"/>
    <n v="731615.6249999999"/>
    <n v="50"/>
    <n v="54"/>
    <n v="50"/>
    <n v="0"/>
    <n v="0"/>
    <n v="363284.9999999999"/>
    <n v="336374.9999999999"/>
    <n v="0"/>
    <n v="54"/>
    <n v="363284.9999999999"/>
    <n v="819737.3949579831"/>
    <n v="30"/>
    <n v="4"/>
    <n v="30"/>
    <n v="0"/>
    <m/>
    <n v="26910"/>
    <n v="190800"/>
    <n v="0"/>
    <n v="4"/>
    <n v="26910"/>
    <n v="491842.4369747898"/>
  </r>
  <r>
    <s v="Levo-Mochilas y Fundas"/>
    <x v="3"/>
    <x v="8"/>
    <x v="18"/>
    <s v="LVMOVITR-BK"/>
    <x v="71"/>
    <x v="68"/>
    <x v="0"/>
    <x v="5"/>
    <n v="1"/>
    <x v="39"/>
    <n v="47"/>
    <m/>
    <n v="0"/>
    <n v="18057"/>
    <n v="848679"/>
    <n v="18.7"/>
    <n v="20429.75"/>
    <n v="42008.40336134454"/>
    <n v="31084.03361344538"/>
    <s v="Shenzhen"/>
    <s v="30/70"/>
    <n v="45"/>
    <n v="300"/>
    <n v="0"/>
    <s v=""/>
    <n v="0"/>
    <s v=""/>
    <n v="0"/>
    <s v=""/>
    <n v="0"/>
    <s v=""/>
    <n v="0"/>
    <s v=""/>
    <n v="0"/>
    <s v=""/>
    <n v="0"/>
    <n v="0.6126299293818932"/>
    <n v="1"/>
    <n v="0.5216562629035001"/>
    <n v="1"/>
    <n v="0.3989718314157537"/>
    <n v="21"/>
    <n v="0.3740259928239009"/>
    <n v="8"/>
    <n v="0.367422860882588"/>
    <n v="81"/>
    <n v="0.2733496105989533"/>
    <n v="4"/>
    <n v="0.4735676309496824"/>
    <n v="11"/>
    <n v="0.4081980643651575"/>
    <n v="25"/>
    <n v="0.329429132369174"/>
    <n v="17"/>
    <n v="0.3525415041284246"/>
    <n v="1.133333333333333"/>
    <n v="38"/>
    <n v="0.4489204435394333"/>
    <n v="1.266666666666667"/>
    <n v="205"/>
    <n v="0.2438420387174436"/>
    <n v="5.125"/>
    <n v="21"/>
    <n v="0.4445038994934044"/>
    <n v="0.7"/>
    <n v="8"/>
    <n v="0.4844077868308441"/>
    <n v="0.2666666666666667"/>
    <m/>
    <m/>
    <m/>
    <m/>
    <m/>
    <m/>
    <m/>
    <m/>
    <m/>
    <m/>
    <m/>
    <m/>
    <n v="25"/>
    <n v="89"/>
    <n v="10"/>
    <n v="0"/>
    <n v="300"/>
    <n v="0"/>
    <n v="929935.5"/>
    <n v="1722550.5"/>
    <n v="180570"/>
    <n v="0"/>
    <n v="47"/>
    <n v="848679"/>
    <n v="353011.7929524751"/>
    <n v="35"/>
    <n v="379"/>
    <n v="16.5"/>
    <n v="0"/>
    <n v="0"/>
    <n v="0"/>
    <n v="1056334.5"/>
    <n v="7335355.5"/>
    <n v="297940.5"/>
    <n v="0"/>
    <n v="47"/>
    <n v="848679"/>
    <n v="582469.458371584"/>
    <n v="40"/>
    <n v="359"/>
    <n v="25"/>
    <n v="0"/>
    <n v="0"/>
    <n v="1339029"/>
    <n v="6482463"/>
    <n v="451425"/>
    <n v="0"/>
    <n v="47"/>
    <n v="848679"/>
    <n v="1050210.084033614"/>
    <n v="15"/>
    <n v="338"/>
    <n v="17"/>
    <n v="0"/>
    <n v="0"/>
    <n v="6541821"/>
    <n v="306969"/>
    <n v="0"/>
    <n v="0"/>
    <n v="47"/>
    <n v="848679"/>
    <n v="714142.8571428573"/>
    <n v="30"/>
    <n v="85"/>
    <n v="30"/>
    <m/>
    <n v="0"/>
    <n v="0"/>
    <n v="1534845"/>
    <n v="580635"/>
    <n v="0"/>
    <n v="0"/>
    <n v="47"/>
    <n v="848679"/>
    <n v="1260252.100840336"/>
    <n v="40"/>
    <n v="252"/>
    <n v="205"/>
    <m/>
    <n v="0"/>
    <n v="0"/>
    <n v="4550364"/>
    <n v="3967672.5"/>
    <n v="0"/>
    <n v="0"/>
    <n v="252"/>
    <n v="848679"/>
    <n v="8611722.689075632"/>
    <n v="30"/>
    <n v="68"/>
    <n v="21"/>
    <n v="0"/>
    <n v="0"/>
    <n v="0"/>
    <n v="1227876"/>
    <n v="406444.5"/>
    <n v="0"/>
    <n v="0"/>
    <n v="68"/>
    <n v="848679"/>
    <n v="882176.4705882354"/>
    <n v="30"/>
    <n v="47"/>
    <n v="30"/>
    <n v="0"/>
    <n v="0"/>
    <n v="0"/>
    <n v="848679"/>
    <n v="580635"/>
    <n v="0"/>
    <n v="0"/>
    <n v="47"/>
    <n v="848679"/>
    <n v="1260252.100840336"/>
    <n v="30"/>
    <n v="17"/>
    <n v="30"/>
    <n v="0"/>
    <n v="0"/>
    <n v="0"/>
    <n v="329026.5"/>
    <n v="580635"/>
    <n v="0"/>
    <n v="0"/>
    <n v="17"/>
    <n v="329026.5"/>
    <n v="1260252.100840336"/>
    <n v="40"/>
    <n v="0"/>
    <n v="0"/>
    <n v="0"/>
    <n v="0"/>
    <n v="0"/>
    <m/>
    <n v="0"/>
    <n v="0"/>
    <n v="0"/>
    <n v="0"/>
    <n v="0"/>
    <n v="0"/>
    <n v="0"/>
    <n v="40"/>
    <n v="0"/>
    <n v="40"/>
    <m/>
    <n v="0"/>
    <n v="0"/>
    <n v="774180"/>
    <n v="0"/>
    <n v="0"/>
    <n v="0"/>
    <n v="0"/>
    <n v="1305529.411764706"/>
    <n v="40"/>
    <n v="0"/>
    <n v="40"/>
    <n v="0"/>
    <n v="0"/>
    <n v="0"/>
    <n v="774180"/>
    <n v="0"/>
    <n v="0"/>
    <n v="0"/>
    <n v="1680336.134453782"/>
    <n v="24"/>
    <n v="0"/>
    <n v="24"/>
    <n v="0"/>
    <m/>
    <n v="0"/>
    <n v="433368"/>
    <n v="0"/>
    <n v="0"/>
    <n v="0"/>
    <n v="1008201.680672269"/>
  </r>
  <r>
    <m/>
    <x v="3"/>
    <x v="8"/>
    <x v="18"/>
    <s v="LVMOWO-BK"/>
    <x v="72"/>
    <x v="69"/>
    <x v="0"/>
    <x v="2"/>
    <n v="1"/>
    <x v="3"/>
    <n v="1"/>
    <m/>
    <n v="0"/>
    <n v="8775"/>
    <n v="8775"/>
    <n v="4.5"/>
    <n v="4916.25"/>
    <n v="21000"/>
    <n v="21000"/>
    <s v="Shenzhen"/>
    <s v="30/70"/>
    <n v="30"/>
    <n v="50"/>
    <n v="0"/>
    <s v=""/>
    <n v="0"/>
    <s v=""/>
    <n v="3"/>
    <n v="0.6442013963192809"/>
    <n v="14"/>
    <n v="0.5691588233660947"/>
    <n v="4"/>
    <n v="0.6296278506390444"/>
    <n v="10"/>
    <n v="0.5415941281336321"/>
    <n v="23"/>
    <n v="0.5814470794404638"/>
    <n v="12"/>
    <n v="0.4676653925016288"/>
    <n v="18"/>
    <n v="0.4706239336407329"/>
    <n v="24"/>
    <n v="0.543559044160285"/>
    <n v="11"/>
    <n v="0.4997695219747615"/>
    <n v="64"/>
    <n v="0.4163169744031298"/>
    <n v="5"/>
    <n v="0.5614140189726358"/>
    <n v="9"/>
    <n v="0.2213948716853181"/>
    <n v="78"/>
    <n v="0.4225748257750019"/>
    <n v="5"/>
    <n v="0.4755953898129576"/>
    <n v="0.625"/>
    <n v="18"/>
    <n v="0.4030687830687831"/>
    <n v="0.4736842105263158"/>
    <n v="-7"/>
    <n v="0.4428674948240165"/>
    <n v="-0.175"/>
    <n v="0"/>
    <s v=""/>
    <n v="0"/>
    <n v="0"/>
    <s v=""/>
    <n v="0"/>
    <m/>
    <m/>
    <m/>
    <m/>
    <m/>
    <m/>
    <m/>
    <m/>
    <m/>
    <m/>
    <m/>
    <m/>
    <n v="0"/>
    <n v="124"/>
    <n v="15"/>
    <n v="0"/>
    <m/>
    <n v="0"/>
    <n v="934537.5"/>
    <n v="577530"/>
    <n v="131625"/>
    <n v="0"/>
    <n v="1"/>
    <n v="8775"/>
    <n v="264705.8823529412"/>
    <n v="20"/>
    <n v="45"/>
    <n v="13.5"/>
    <n v="0"/>
    <n v="0"/>
    <n v="0"/>
    <n v="846787.5"/>
    <n v="209587.5"/>
    <n v="118462.5"/>
    <n v="0"/>
    <n v="1"/>
    <n v="8775"/>
    <n v="238235.2941176471"/>
    <n v="40"/>
    <n v="32"/>
    <n v="78"/>
    <n v="0"/>
    <n v="0"/>
    <n v="905310"/>
    <n v="280800"/>
    <n v="684450"/>
    <n v="0"/>
    <n v="1"/>
    <n v="8775"/>
    <n v="1638000"/>
    <n v="8"/>
    <n v="19"/>
    <n v="5"/>
    <n v="0"/>
    <n v="0"/>
    <n v="88492.5"/>
    <n v="43875"/>
    <n v="0"/>
    <n v="0"/>
    <n v="1"/>
    <n v="8775"/>
    <n v="105000"/>
    <n v="38"/>
    <n v="19"/>
    <n v="38"/>
    <m/>
    <n v="0"/>
    <n v="0"/>
    <n v="166725"/>
    <n v="176985"/>
    <n v="0"/>
    <n v="0"/>
    <n v="1"/>
    <n v="8775"/>
    <n v="798000"/>
    <n v="40"/>
    <n v="-6"/>
    <n v="-7"/>
    <m/>
    <n v="0"/>
    <n v="0"/>
    <n v="-52650"/>
    <n v="-32602.5"/>
    <n v="0"/>
    <n v="0"/>
    <n v="-6"/>
    <n v="8775"/>
    <n v="-147000"/>
    <n v="0"/>
    <n v="1"/>
    <n v="0"/>
    <n v="0"/>
    <n v="0"/>
    <n v="0"/>
    <n v="8775"/>
    <n v="0"/>
    <n v="0"/>
    <n v="0"/>
    <n v="1"/>
    <n v="8775"/>
    <n v="0"/>
    <n v="0"/>
    <n v="1"/>
    <n v="0"/>
    <n v="0"/>
    <n v="0"/>
    <n v="0"/>
    <n v="8775"/>
    <n v="0"/>
    <n v="0"/>
    <n v="0"/>
    <n v="1"/>
    <n v="8775"/>
    <n v="0"/>
    <n v="38"/>
    <n v="1"/>
    <n v="38"/>
    <n v="0"/>
    <n v="0"/>
    <n v="0"/>
    <n v="4657.5"/>
    <n v="176985"/>
    <n v="0"/>
    <n v="0"/>
    <n v="1"/>
    <n v="4657.5"/>
    <n v="79800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evo-Pantallas"/>
    <x v="3"/>
    <x v="9"/>
    <x v="19"/>
    <s v="LVMONEXV-15"/>
    <x v="73"/>
    <x v="70"/>
    <x v="0"/>
    <x v="1"/>
    <n v="1"/>
    <x v="40"/>
    <n v="28"/>
    <m/>
    <n v="0"/>
    <n v="37116"/>
    <n v="1039248"/>
    <n v="35"/>
    <n v="38237.5"/>
    <n v="84025.21008403362"/>
    <n v="58815.12605042017"/>
    <s v="Shenzhen"/>
    <s v="30/7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6"/>
    <n v="0.3197409082621416"/>
    <n v="46"/>
    <n v="0.2831458080308226"/>
    <n v="49"/>
    <n v="0.3983158685141456"/>
    <n v="1.225"/>
    <n v="34"/>
    <n v="0.4678147681802605"/>
    <n v="0.68"/>
    <n v="116"/>
    <n v="0.2927829472149592"/>
    <n v="1.364705882352941"/>
    <n v="3"/>
    <n v="2.809079118028534"/>
    <n v="0.08571428571428572"/>
    <n v="1"/>
    <n v="0.5091914657184131"/>
    <n v="0"/>
    <m/>
    <m/>
    <m/>
    <m/>
    <m/>
    <m/>
    <m/>
    <m/>
    <m/>
    <m/>
    <m/>
    <m/>
    <n v="5"/>
    <n v="0"/>
    <n v="2"/>
    <n v="0"/>
    <n v="300"/>
    <n v="0"/>
    <n v="2115612"/>
    <n v="0"/>
    <n v="74232"/>
    <n v="0"/>
    <n v="28"/>
    <n v="1039248"/>
    <n v="141218.8404773674"/>
    <n v="30"/>
    <n v="300"/>
    <n v="9"/>
    <n v="0"/>
    <n v="0"/>
    <n v="0"/>
    <n v="3860064"/>
    <n v="10867500"/>
    <n v="334044"/>
    <n v="0"/>
    <n v="28"/>
    <n v="1039248"/>
    <n v="635484.7821481534"/>
    <n v="70"/>
    <n v="288"/>
    <n v="46"/>
    <n v="0"/>
    <n v="0"/>
    <n v="5337270"/>
    <n v="10689408"/>
    <n v="1707336"/>
    <n v="0"/>
    <n v="28"/>
    <n v="1039248"/>
    <n v="3865159.663865547"/>
    <n v="40"/>
    <n v="239"/>
    <n v="49"/>
    <n v="0"/>
    <n v="0"/>
    <n v="8657775"/>
    <n v="1818684"/>
    <n v="0"/>
    <n v="0"/>
    <n v="28"/>
    <n v="1039248"/>
    <n v="4117235.294117647"/>
    <n v="50"/>
    <n v="62"/>
    <n v="50"/>
    <m/>
    <n v="0"/>
    <n v="0"/>
    <n v="2301192"/>
    <n v="1811250"/>
    <n v="0"/>
    <n v="0"/>
    <n v="28"/>
    <n v="1039248"/>
    <n v="4201260.504201681"/>
    <n v="85"/>
    <n v="144"/>
    <n v="116"/>
    <m/>
    <n v="0"/>
    <n v="0"/>
    <n v="5344704"/>
    <n v="4202100"/>
    <n v="0"/>
    <n v="0"/>
    <n v="144"/>
    <n v="1039248"/>
    <n v="9746924.369747899"/>
    <n v="35"/>
    <n v="31"/>
    <n v="3"/>
    <n v="0"/>
    <n v="0"/>
    <n v="0"/>
    <n v="1150596"/>
    <n v="108675"/>
    <n v="0"/>
    <n v="0"/>
    <n v="31"/>
    <n v="1039248"/>
    <n v="252075.6302521009"/>
    <n v="0"/>
    <n v="28"/>
    <n v="0"/>
    <n v="0"/>
    <n v="0"/>
    <n v="0"/>
    <n v="1039248"/>
    <n v="0"/>
    <n v="0"/>
    <n v="0"/>
    <n v="28"/>
    <n v="1039248"/>
    <n v="0"/>
    <n v="0"/>
    <n v="28"/>
    <n v="0"/>
    <n v="0"/>
    <n v="0"/>
    <n v="0"/>
    <n v="1014300"/>
    <n v="0"/>
    <n v="0"/>
    <n v="0"/>
    <n v="28"/>
    <n v="1014300"/>
    <n v="0"/>
    <n v="16"/>
    <n v="28"/>
    <n v="16"/>
    <n v="0"/>
    <n v="0"/>
    <n v="0"/>
    <n v="0"/>
    <n v="1014300"/>
    <n v="579600"/>
    <n v="0"/>
    <n v="0"/>
    <n v="28"/>
    <n v="1014300"/>
    <n v="941042.0168067227"/>
    <n v="0"/>
    <n v="12"/>
    <n v="0"/>
    <m/>
    <n v="0"/>
    <n v="434700"/>
    <n v="0"/>
    <n v="0"/>
    <n v="0"/>
    <n v="12"/>
    <n v="434700"/>
    <n v="0"/>
    <n v="0"/>
    <n v="12"/>
    <n v="0"/>
    <n v="0"/>
    <n v="0"/>
    <n v="434700"/>
    <n v="0"/>
    <n v="0"/>
    <n v="12"/>
    <n v="434700"/>
    <n v="0"/>
    <n v="0"/>
    <n v="12"/>
    <n v="0"/>
    <n v="0"/>
    <m/>
    <n v="434700"/>
    <n v="0"/>
    <n v="0"/>
    <n v="12"/>
    <n v="434700"/>
    <n v="0"/>
  </r>
  <r>
    <s v="Levo-Pantallas"/>
    <x v="3"/>
    <x v="9"/>
    <x v="19"/>
    <s v="LVMONEXV-15"/>
    <x v="74"/>
    <x v="71"/>
    <x v="0"/>
    <x v="4"/>
    <n v="1"/>
    <x v="40"/>
    <n v="0"/>
    <m/>
    <n v="0"/>
    <n v="40422.5"/>
    <n v="0"/>
    <n v="37"/>
    <n v="40422.5"/>
    <n v="84025.21008403362"/>
    <n v="0"/>
    <s v="Shenzhen"/>
    <s v="30/7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5"/>
    <n v="0"/>
    <n v="2"/>
    <n v="0"/>
    <n v="300"/>
    <n v="0"/>
    <n v="80845"/>
    <n v="0"/>
    <n v="80845"/>
    <n v="0"/>
    <n v="0"/>
    <n v="0"/>
    <n v="141218.8404773674"/>
    <n v="30"/>
    <n v="300"/>
    <n v="0"/>
    <n v="0"/>
    <n v="0"/>
    <n v="0"/>
    <n v="0"/>
    <n v="11488500"/>
    <n v="0"/>
    <n v="0"/>
    <n v="0"/>
    <n v="0"/>
    <n v="0"/>
    <n v="70"/>
    <n v="288"/>
    <n v="0"/>
    <n v="0"/>
    <n v="0"/>
    <n v="1914750"/>
    <n v="11641680"/>
    <n v="0"/>
    <n v="0"/>
    <n v="0"/>
    <n v="0"/>
    <n v="0"/>
    <n v="40"/>
    <n v="239"/>
    <n v="0"/>
    <n v="0"/>
    <n v="0"/>
    <n v="9152505"/>
    <n v="0"/>
    <n v="0"/>
    <n v="0"/>
    <n v="0"/>
    <n v="0"/>
    <n v="0"/>
    <n v="50"/>
    <n v="0"/>
    <n v="50"/>
    <m/>
    <n v="0"/>
    <n v="0"/>
    <n v="0"/>
    <n v="1914750"/>
    <n v="0"/>
    <n v="0"/>
    <n v="0"/>
    <n v="0"/>
    <n v="4201260.504201681"/>
    <n v="85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0"/>
    <n v="50"/>
    <n v="300"/>
    <n v="300"/>
    <n v="300"/>
    <n v="0"/>
    <n v="0"/>
    <n v="1914750"/>
    <n v="11488500"/>
    <n v="11488500"/>
    <n v="300"/>
    <n v="11488500"/>
    <n v="0"/>
    <n v="50"/>
    <n v="250"/>
    <n v="50"/>
    <m/>
    <n v="0"/>
    <n v="9573750"/>
    <n v="1914750"/>
    <n v="0"/>
    <n v="0"/>
    <n v="250"/>
    <n v="9573750"/>
    <n v="0"/>
    <n v="100"/>
    <n v="200"/>
    <n v="100"/>
    <n v="300"/>
    <n v="300"/>
    <n v="7659000"/>
    <n v="3829500"/>
    <n v="11488500"/>
    <n v="500"/>
    <n v="19147500"/>
    <n v="8402521.008403363"/>
    <n v="30"/>
    <n v="400"/>
    <n v="30"/>
    <n v="0"/>
    <m/>
    <n v="15318000"/>
    <n v="1212675"/>
    <n v="0"/>
    <n v="400"/>
    <n v="15318000"/>
    <n v="2520756.302521009"/>
  </r>
  <r>
    <s v="Levo-Pantallas"/>
    <x v="3"/>
    <x v="9"/>
    <x v="19"/>
    <s v="LVMONPOR-15"/>
    <x v="75"/>
    <x v="72"/>
    <x v="0"/>
    <x v="2"/>
    <n v="1"/>
    <x v="3"/>
    <n v="5"/>
    <m/>
    <n v="0"/>
    <n v="48233"/>
    <n v="241165"/>
    <n v="44.1"/>
    <n v="48179.24999999999"/>
    <n v="84025.21008403362"/>
    <n v="84025.21008403362"/>
    <s v="Shenzhen"/>
    <s v="30/70"/>
    <n v="30"/>
    <n v="300"/>
    <n v="25"/>
    <n v="0.3908643070827426"/>
    <n v="43"/>
    <n v="0.3386587103307567"/>
    <n v="95"/>
    <n v="0.4616788771707397"/>
    <n v="58"/>
    <n v="0.4335944251100549"/>
    <n v="50"/>
    <n v="0.5219078716489056"/>
    <n v="64"/>
    <n v="0.3945522907240213"/>
    <n v="4"/>
    <n v="0.4577506708131715"/>
    <n v="20"/>
    <n v="0.3471127216611323"/>
    <n v="26"/>
    <n v="0.5062993414490223"/>
    <n v="67"/>
    <n v="0.4838470902985678"/>
    <n v="66"/>
    <n v="0.3658495479170409"/>
    <n v="126"/>
    <n v="0.3833852911976865"/>
    <n v="13"/>
    <n v="0.3824764250045269"/>
    <n v="18"/>
    <n v="0.3278669925453119"/>
    <n v="63"/>
    <n v="0.474968133020484"/>
    <n v="13"/>
    <n v="0.3542992273522578"/>
    <n v="0.8666666666666667"/>
    <n v="1"/>
    <n v="0.4259673967396739"/>
    <n v="1"/>
    <n v="0"/>
    <s v=""/>
    <n v="0"/>
    <n v="1"/>
    <n v="0.4259673967396739"/>
    <n v="0"/>
    <n v="0"/>
    <s v=""/>
    <n v="0"/>
    <m/>
    <m/>
    <m/>
    <m/>
    <m/>
    <m/>
    <m/>
    <m/>
    <m/>
    <m/>
    <m/>
    <m/>
    <n v="40"/>
    <n v="106"/>
    <n v="15"/>
    <n v="0"/>
    <m/>
    <n v="0"/>
    <n v="5064465"/>
    <n v="4838211"/>
    <n v="723495"/>
    <n v="0"/>
    <n v="5"/>
    <n v="241165"/>
    <n v="1059141.303580256"/>
    <n v="30"/>
    <n v="100"/>
    <n v="27"/>
    <n v="0"/>
    <m/>
    <n v="0"/>
    <n v="4967999"/>
    <n v="4564350"/>
    <n v="1302291"/>
    <n v="0"/>
    <n v="5"/>
    <n v="241165"/>
    <n v="1906454.34644446"/>
    <n v="25"/>
    <n v="81"/>
    <n v="63"/>
    <n v="0"/>
    <n v="0"/>
    <n v="3711351.5"/>
    <n v="3906873"/>
    <n v="3038679"/>
    <n v="0"/>
    <n v="5"/>
    <n v="241165"/>
    <n v="5293588.235294119"/>
    <n v="15"/>
    <n v="14"/>
    <n v="13"/>
    <n v="0"/>
    <n v="0"/>
    <n v="639009"/>
    <n v="627029"/>
    <n v="0"/>
    <n v="0"/>
    <n v="5"/>
    <n v="241165"/>
    <n v="1092327.731092437"/>
    <n v="1"/>
    <n v="6"/>
    <n v="1"/>
    <m/>
    <n v="0"/>
    <n v="0"/>
    <n v="289398"/>
    <n v="45643.5"/>
    <n v="0"/>
    <n v="0"/>
    <n v="5"/>
    <n v="241165"/>
    <n v="84025.21008403362"/>
    <n v="0"/>
    <n v="5"/>
    <n v="0"/>
    <m/>
    <n v="0"/>
    <n v="0"/>
    <n v="241165"/>
    <n v="0"/>
    <n v="0"/>
    <n v="0"/>
    <n v="5"/>
    <n v="241165"/>
    <n v="0"/>
    <n v="0"/>
    <n v="6"/>
    <n v="1"/>
    <n v="0"/>
    <n v="0"/>
    <n v="0"/>
    <n v="289398"/>
    <n v="45643.5"/>
    <n v="0"/>
    <n v="0"/>
    <n v="6"/>
    <n v="241165"/>
    <n v="84025.21008403362"/>
    <n v="0"/>
    <n v="5"/>
    <n v="0"/>
    <n v="0"/>
    <n v="0"/>
    <n v="0"/>
    <n v="241165"/>
    <n v="0"/>
    <n v="0"/>
    <n v="0"/>
    <n v="5"/>
    <n v="241165"/>
    <n v="0"/>
    <n v="0"/>
    <n v="5"/>
    <n v="0"/>
    <n v="0"/>
    <n v="0"/>
    <n v="0"/>
    <n v="228217.5"/>
    <n v="0"/>
    <n v="0"/>
    <n v="0"/>
    <n v="5"/>
    <n v="228217.5"/>
    <n v="0"/>
    <n v="0"/>
    <n v="5"/>
    <n v="0"/>
    <n v="0"/>
    <n v="0"/>
    <n v="0"/>
    <m/>
    <n v="228217.5"/>
    <n v="0"/>
    <n v="0"/>
    <n v="0"/>
    <n v="5"/>
    <n v="228217.5"/>
    <n v="0"/>
    <n v="0"/>
    <n v="5"/>
    <n v="0"/>
    <m/>
    <n v="0"/>
    <n v="228217.5"/>
    <n v="0"/>
    <n v="0"/>
    <n v="0"/>
    <n v="5"/>
    <n v="228217.5"/>
    <n v="0"/>
    <n v="0"/>
    <n v="5"/>
    <n v="0"/>
    <n v="0"/>
    <n v="0"/>
    <n v="228217.5"/>
    <n v="0"/>
    <n v="0"/>
    <n v="5"/>
    <n v="228217.5"/>
    <n v="0"/>
    <n v="0"/>
    <n v="5"/>
    <n v="0"/>
    <n v="0"/>
    <m/>
    <n v="228217.5"/>
    <n v="0"/>
    <n v="0"/>
    <n v="5"/>
    <n v="228217.5"/>
    <n v="0"/>
  </r>
  <r>
    <s v="Levo-Pantallas"/>
    <x v="3"/>
    <x v="9"/>
    <x v="20"/>
    <s v="LVPANTOTPUB-43"/>
    <x v="76"/>
    <x v="73"/>
    <x v="0"/>
    <x v="1"/>
    <n v="1"/>
    <x v="41"/>
    <n v="1"/>
    <m/>
    <n v="0"/>
    <n v="367414"/>
    <n v="367414"/>
    <n v="380"/>
    <n v="355062.5"/>
    <n v="756294.1176470589"/>
    <n v="697470.5882352941"/>
    <s v="Shenzhen"/>
    <s v="30/70"/>
    <n v="30"/>
    <n v="1"/>
    <n v="0"/>
    <s v=""/>
    <n v="0"/>
    <s v=""/>
    <n v="0"/>
    <s v=""/>
    <n v="0"/>
    <s v=""/>
    <n v="1"/>
    <n v="0.6095679306175684"/>
    <n v="1"/>
    <n v="0.6095679306175684"/>
    <n v="0"/>
    <s v=""/>
    <n v="0"/>
    <s v=""/>
    <n v="0"/>
    <s v=""/>
    <n v="4"/>
    <n v="0.4521550383660931"/>
    <n v="1"/>
    <n v="0.3478048983200039"/>
    <n v="0"/>
    <s v=""/>
    <n v="0"/>
    <s v=""/>
    <n v="2"/>
    <n v="0.5493353815042389"/>
    <n v="7"/>
    <n v="0.4994280636481816"/>
    <n v="9"/>
    <n v="0.4650292101755684"/>
    <n v="1.285714285714286"/>
    <n v="4"/>
    <n v="0.5493352019809363"/>
    <n v="0.6666666666666666"/>
    <n v="1"/>
    <n v="0.2015567519066846"/>
    <n v="0.1"/>
    <n v="10"/>
    <n v="0.4040035756462337"/>
    <n v="1.428571428571429"/>
    <n v="8"/>
    <n v="0.3374590021627128"/>
    <n v="1.142857142857143"/>
    <m/>
    <m/>
    <m/>
    <m/>
    <m/>
    <m/>
    <m/>
    <m/>
    <m/>
    <m/>
    <m/>
    <m/>
    <n v="1"/>
    <n v="0"/>
    <n v="1"/>
    <n v="3"/>
    <n v="3"/>
    <n v="0"/>
    <n v="4041554"/>
    <n v="0"/>
    <n v="367414"/>
    <n v="0"/>
    <n v="1"/>
    <n v="367414"/>
    <n v="635541.275333663"/>
    <n v="3"/>
    <n v="9"/>
    <n v="3"/>
    <n v="6"/>
    <n v="6"/>
    <n v="0"/>
    <n v="6980866"/>
    <n v="3539700"/>
    <n v="1102242"/>
    <n v="0"/>
    <n v="1"/>
    <n v="367414"/>
    <n v="1906623.826000989"/>
    <n v="5"/>
    <n v="7"/>
    <n v="7"/>
    <n v="0"/>
    <n v="0"/>
    <n v="8238424"/>
    <n v="2571898"/>
    <n v="2571898"/>
    <n v="0"/>
    <n v="1"/>
    <n v="367414"/>
    <n v="5294058.823529412"/>
    <n v="7"/>
    <n v="13"/>
    <n v="9"/>
    <n v="7"/>
    <n v="0"/>
    <n v="5112899.999999999"/>
    <n v="3306726"/>
    <n v="2753100"/>
    <n v="0"/>
    <n v="1"/>
    <n v="367414"/>
    <n v="6806647.058823531"/>
    <n v="6"/>
    <n v="5"/>
    <n v="6"/>
    <n v="7"/>
    <n v="7"/>
    <n v="0"/>
    <n v="1837070"/>
    <n v="2359800"/>
    <n v="2753100"/>
    <n v="0"/>
    <n v="1"/>
    <n v="367414"/>
    <n v="4537764.705882354"/>
    <n v="10"/>
    <n v="2"/>
    <n v="1"/>
    <m/>
    <n v="0"/>
    <n v="0"/>
    <n v="734828"/>
    <n v="393299.9999999999"/>
    <n v="0"/>
    <n v="0"/>
    <n v="2"/>
    <n v="367414"/>
    <n v="756294.1176470589"/>
    <n v="7"/>
    <n v="11"/>
    <n v="10"/>
    <n v="11"/>
    <n v="11"/>
    <n v="0"/>
    <n v="4041554"/>
    <n v="3933000"/>
    <n v="4182090"/>
    <n v="0"/>
    <n v="11"/>
    <n v="367414"/>
    <n v="7562941.176470589"/>
    <n v="7"/>
    <n v="1"/>
    <n v="7"/>
    <n v="10"/>
    <n v="10"/>
    <n v="0"/>
    <n v="367414"/>
    <n v="2753100"/>
    <n v="3933000"/>
    <n v="0"/>
    <n v="1"/>
    <n v="367414"/>
    <n v="5294058.823529412"/>
    <n v="5"/>
    <n v="0"/>
    <n v="5"/>
    <n v="8"/>
    <n v="8"/>
    <n v="0"/>
    <n v="0"/>
    <n v="1966500"/>
    <n v="3146400"/>
    <n v="0"/>
    <n v="0"/>
    <n v="0"/>
    <n v="3781470.588235294"/>
    <n v="10"/>
    <n v="8"/>
    <n v="8"/>
    <n v="10"/>
    <n v="10"/>
    <n v="10"/>
    <n v="8"/>
    <n v="3146400"/>
    <n v="3146400"/>
    <n v="3933000"/>
    <n v="7079399.999999999"/>
    <n v="18"/>
    <n v="10225800"/>
    <n v="5579764.705882353"/>
    <n v="10"/>
    <n v="10"/>
    <n v="10"/>
    <m/>
    <n v="0"/>
    <n v="3933000"/>
    <n v="3933000"/>
    <n v="0"/>
    <n v="0"/>
    <n v="10"/>
    <n v="3933000"/>
    <n v="7323441.176470588"/>
    <n v="10"/>
    <n v="0"/>
    <n v="10"/>
    <n v="0"/>
    <n v="0"/>
    <n v="0"/>
    <n v="3933000"/>
    <n v="0"/>
    <n v="0"/>
    <n v="0"/>
    <n v="7562941.176470589"/>
    <n v="6"/>
    <n v="0"/>
    <n v="6"/>
    <n v="0"/>
    <m/>
    <n v="0"/>
    <n v="2204484"/>
    <n v="0"/>
    <n v="0"/>
    <n v="0"/>
    <n v="4537764.705882354"/>
  </r>
  <r>
    <s v="Levo-Pantallas"/>
    <x v="3"/>
    <x v="9"/>
    <x v="20"/>
    <s v="LVPANTOTPUB-50"/>
    <x v="77"/>
    <x v="74"/>
    <x v="0"/>
    <x v="1"/>
    <n v="1"/>
    <x v="42"/>
    <n v="9"/>
    <m/>
    <n v="0"/>
    <n v="430970"/>
    <n v="3878730"/>
    <n v="435"/>
    <n v="415149.9999999999"/>
    <n v="840327.7310924371"/>
    <n v="714277.3109243697"/>
    <s v="Shenzhen"/>
    <s v="30/70"/>
    <n v="30"/>
    <n v="1"/>
    <n v="0"/>
    <s v=""/>
    <n v="0"/>
    <s v=""/>
    <n v="0"/>
    <s v=""/>
    <n v="0"/>
    <s v=""/>
    <n v="1"/>
    <n v="0.5770710793726693"/>
    <n v="0"/>
    <s v=""/>
    <n v="0"/>
    <s v=""/>
    <n v="0"/>
    <s v=""/>
    <n v="0"/>
    <s v=""/>
    <n v="3"/>
    <n v="0.4507268337445491"/>
    <n v="3"/>
    <n v="0.5530335064552191"/>
    <n v="0"/>
    <s v=""/>
    <n v="0"/>
    <s v=""/>
    <n v="0"/>
    <s v=""/>
    <n v="3"/>
    <n v="0.4204445735132876"/>
    <n v="8"/>
    <n v="0.4623781683929527"/>
    <n v="1.6"/>
    <n v="6"/>
    <n v="0.5606260514546717"/>
    <n v="1.2"/>
    <n v="0"/>
    <n v="-7.868636999999999"/>
    <n v="0"/>
    <n v="10"/>
    <n v="0.3512119082996126"/>
    <n v="2"/>
    <n v="0"/>
    <s v=""/>
    <n v="0"/>
    <m/>
    <m/>
    <m/>
    <m/>
    <m/>
    <m/>
    <m/>
    <m/>
    <m/>
    <m/>
    <m/>
    <m/>
    <n v="0"/>
    <n v="0"/>
    <n v="0"/>
    <n v="0"/>
    <m/>
    <n v="0"/>
    <n v="1292910"/>
    <n v="0"/>
    <n v="0"/>
    <n v="0"/>
    <n v="9"/>
    <n v="3878730"/>
    <n v="0"/>
    <n v="1"/>
    <n v="4"/>
    <n v="0"/>
    <n v="4"/>
    <n v="4"/>
    <n v="0"/>
    <n v="4740670"/>
    <n v="1800900"/>
    <n v="0"/>
    <n v="0"/>
    <n v="9"/>
    <n v="3878730"/>
    <n v="0"/>
    <n v="3"/>
    <n v="4"/>
    <n v="3"/>
    <n v="0"/>
    <n v="0"/>
    <n v="6991795"/>
    <n v="1723880"/>
    <n v="1292910"/>
    <n v="0"/>
    <n v="9"/>
    <n v="3878730"/>
    <n v="2520983.193277311"/>
    <n v="5"/>
    <n v="15"/>
    <n v="8"/>
    <n v="7"/>
    <n v="0"/>
    <n v="6753374.999999999"/>
    <n v="3447760"/>
    <n v="3151575"/>
    <n v="0"/>
    <n v="9"/>
    <n v="3878730"/>
    <n v="6722621.848739496"/>
    <n v="5"/>
    <n v="15"/>
    <n v="5"/>
    <n v="7"/>
    <n v="7"/>
    <n v="0"/>
    <n v="6464550"/>
    <n v="2251125"/>
    <n v="3151575"/>
    <n v="0"/>
    <n v="9"/>
    <n v="3878730"/>
    <n v="4201638.655462185"/>
    <n v="7"/>
    <n v="9"/>
    <n v="0"/>
    <m/>
    <n v="0"/>
    <n v="0"/>
    <n v="3878730"/>
    <n v="0"/>
    <n v="0"/>
    <n v="0"/>
    <n v="9"/>
    <n v="3878730"/>
    <n v="0"/>
    <n v="5"/>
    <n v="19"/>
    <n v="10"/>
    <n v="12"/>
    <n v="12"/>
    <n v="0"/>
    <n v="8188430"/>
    <n v="4502249.999999999"/>
    <n v="5222609.999999999"/>
    <n v="0"/>
    <n v="19"/>
    <n v="3878730"/>
    <n v="8403277.31092437"/>
    <n v="5"/>
    <n v="9"/>
    <n v="5"/>
    <n v="10"/>
    <n v="10"/>
    <n v="0"/>
    <n v="3878730"/>
    <n v="2251125"/>
    <n v="4502249.999999999"/>
    <n v="0"/>
    <n v="9"/>
    <n v="3878730"/>
    <n v="4201638.655462185"/>
    <n v="5"/>
    <n v="4"/>
    <n v="5"/>
    <n v="0"/>
    <n v="0"/>
    <n v="0"/>
    <n v="1800900"/>
    <n v="2251125"/>
    <n v="0"/>
    <n v="0"/>
    <n v="4"/>
    <n v="1800900"/>
    <n v="4201638.655462185"/>
    <n v="10"/>
    <n v="0"/>
    <n v="0"/>
    <n v="10"/>
    <n v="10"/>
    <n v="10"/>
    <n v="0"/>
    <n v="0"/>
    <n v="0"/>
    <n v="4502249.999999999"/>
    <n v="4502249.999999999"/>
    <n v="10"/>
    <n v="4502249.999999999"/>
    <n v="0"/>
    <n v="5"/>
    <n v="10"/>
    <n v="5"/>
    <m/>
    <n v="0"/>
    <n v="4502249.999999999"/>
    <n v="2251125"/>
    <n v="0"/>
    <n v="0"/>
    <n v="10"/>
    <n v="4502249.999999999"/>
    <n v="3749955.882352941"/>
    <n v="10"/>
    <n v="5"/>
    <n v="10"/>
    <n v="0"/>
    <n v="0"/>
    <n v="2251125"/>
    <n v="4502249.999999999"/>
    <n v="0"/>
    <n v="5"/>
    <n v="2251125"/>
    <n v="8403277.31092437"/>
    <n v="3"/>
    <n v="0"/>
    <n v="3"/>
    <n v="0"/>
    <m/>
    <n v="0"/>
    <n v="1292910"/>
    <n v="0"/>
    <n v="0"/>
    <n v="0"/>
    <n v="2520983.193277311"/>
  </r>
  <r>
    <s v="Levo-Perifericos de Computacion"/>
    <x v="3"/>
    <x v="10"/>
    <x v="21"/>
    <n v="1479750635184"/>
    <x v="78"/>
    <x v="75"/>
    <x v="0"/>
    <x v="0"/>
    <n v="1"/>
    <x v="43"/>
    <n v="14"/>
    <m/>
    <n v="0"/>
    <n v="2806"/>
    <n v="39284"/>
    <n v="2.6"/>
    <n v="2840.5"/>
    <n v="7554.621848739496"/>
    <n v="6714.285714285715"/>
    <s v="Shenzhen"/>
    <s v="20/80"/>
    <n v="30"/>
    <n v="200"/>
    <n v="139"/>
    <n v="0.5980328219153641"/>
    <n v="55"/>
    <n v="0.6184483600242093"/>
    <n v="62"/>
    <n v="0.6045599182893461"/>
    <n v="66"/>
    <n v="0.5937518198581843"/>
    <n v="281"/>
    <n v="0.5522208533755211"/>
    <n v="88"/>
    <n v="0.59428018950521"/>
    <n v="108"/>
    <n v="0.6115277270360991"/>
    <n v="103"/>
    <n v="0.6006396747198111"/>
    <n v="78"/>
    <n v="0.6216772335059544"/>
    <n v="96"/>
    <n v="0.6027551859998445"/>
    <n v="296"/>
    <n v="0.5977738929201796"/>
    <n v="41"/>
    <n v="0.7254953417654663"/>
    <n v="17"/>
    <n v="0.5439261831982122"/>
    <n v="21"/>
    <n v="0.4357998380178036"/>
    <n v="95"/>
    <n v="0.4503019744435435"/>
    <n v="79"/>
    <n v="0.4111696077771775"/>
    <n v="1.215384615384615"/>
    <n v="193"/>
    <n v="0.5335368405579352"/>
    <n v="3.216666666666667"/>
    <n v="201"/>
    <n v="0.3993275628394269"/>
    <n v="1.005"/>
    <n v="0"/>
    <s v=""/>
    <n v="0"/>
    <n v="0"/>
    <s v=""/>
    <n v="0"/>
    <m/>
    <m/>
    <m/>
    <m/>
    <m/>
    <m/>
    <m/>
    <m/>
    <m/>
    <m/>
    <m/>
    <m/>
    <n v="3"/>
    <n v="18"/>
    <n v="18"/>
    <n v="0"/>
    <m/>
    <n v="0"/>
    <n v="405467"/>
    <n v="48438"/>
    <n v="50508"/>
    <n v="0"/>
    <n v="14"/>
    <n v="39284"/>
    <n v="114271.5909893369"/>
    <n v="10"/>
    <n v="200"/>
    <n v="31.5"/>
    <n v="200"/>
    <n v="200"/>
    <n v="0"/>
    <n v="576633"/>
    <n v="538200"/>
    <n v="88389"/>
    <n v="0"/>
    <n v="14"/>
    <n v="39284"/>
    <n v="199975.2842313396"/>
    <n v="80"/>
    <n v="169"/>
    <n v="95"/>
    <n v="0"/>
    <n v="0"/>
    <n v="649704"/>
    <n v="474214"/>
    <n v="266570"/>
    <n v="0"/>
    <n v="14"/>
    <n v="39284"/>
    <n v="717689.0756302521"/>
    <n v="65"/>
    <n v="332"/>
    <n v="79"/>
    <n v="250"/>
    <n v="0"/>
    <n v="893412"/>
    <n v="221674"/>
    <n v="672750"/>
    <n v="0"/>
    <n v="14"/>
    <n v="39284"/>
    <n v="596815.1260504202"/>
    <n v="60"/>
    <n v="207"/>
    <n v="60"/>
    <n v="200"/>
    <n v="200"/>
    <n v="0"/>
    <n v="580842"/>
    <n v="161460"/>
    <n v="538200"/>
    <n v="0"/>
    <n v="14"/>
    <n v="39284"/>
    <n v="453277.3109243698"/>
    <n v="200"/>
    <n v="215"/>
    <n v="201"/>
    <m/>
    <n v="200"/>
    <n v="0"/>
    <n v="603290"/>
    <n v="540891"/>
    <n v="0"/>
    <n v="0"/>
    <n v="215"/>
    <n v="39284"/>
    <n v="1518478.991596639"/>
    <n v="80"/>
    <n v="14"/>
    <n v="0"/>
    <n v="150"/>
    <n v="150"/>
    <n v="0"/>
    <n v="39284"/>
    <n v="0"/>
    <n v="390194.9999999999"/>
    <n v="0"/>
    <n v="14"/>
    <n v="39284"/>
    <n v="0"/>
    <n v="150"/>
    <n v="14"/>
    <n v="150"/>
    <n v="200"/>
    <n v="200"/>
    <n v="0"/>
    <n v="39284"/>
    <n v="403650"/>
    <n v="538200"/>
    <n v="0"/>
    <n v="14"/>
    <n v="39284"/>
    <n v="1133193.277310924"/>
    <n v="50"/>
    <n v="0"/>
    <n v="50"/>
    <n v="0"/>
    <n v="0"/>
    <n v="200"/>
    <n v="0"/>
    <n v="134550"/>
    <n v="0"/>
    <n v="538200"/>
    <n v="200"/>
    <n v="538200"/>
    <n v="377731.0924369748"/>
    <n v="150"/>
    <n v="150"/>
    <n v="150"/>
    <n v="0"/>
    <n v="0"/>
    <n v="0"/>
    <m/>
    <n v="403650"/>
    <n v="403650"/>
    <n v="0"/>
    <n v="0"/>
    <n v="150"/>
    <n v="403650"/>
    <n v="1007142.857142857"/>
    <n v="150"/>
    <n v="0"/>
    <n v="150"/>
    <n v="150"/>
    <n v="150"/>
    <n v="0"/>
    <n v="403650"/>
    <n v="403650"/>
    <n v="403650"/>
    <n v="150"/>
    <n v="403650"/>
    <n v="1057500"/>
    <n v="300"/>
    <n v="0"/>
    <n v="300"/>
    <n v="200"/>
    <n v="200"/>
    <n v="0"/>
    <n v="807300"/>
    <n v="538200"/>
    <n v="200"/>
    <n v="538200"/>
    <n v="2266386.554621849"/>
    <n v="90"/>
    <n v="0"/>
    <n v="90"/>
    <n v="0"/>
    <m/>
    <n v="0"/>
    <n v="252540"/>
    <n v="0"/>
    <n v="0"/>
    <n v="0"/>
    <n v="679915.9663865546"/>
  </r>
  <r>
    <s v="Levo-Perifericos de Computacion"/>
    <x v="3"/>
    <x v="10"/>
    <x v="21"/>
    <n v="1658329968514"/>
    <x v="79"/>
    <x v="76"/>
    <x v="0"/>
    <x v="5"/>
    <n v="1"/>
    <x v="44"/>
    <n v="246"/>
    <m/>
    <n v="0"/>
    <n v="6148"/>
    <n v="1512408"/>
    <n v="6.35"/>
    <n v="6937.374999999999"/>
    <n v="16798.31932773109"/>
    <n v="15117.64705882353"/>
    <s v="Shenzhen"/>
    <s v="30/70"/>
    <n v="30"/>
    <n v="200"/>
    <n v="46"/>
    <n v="0.6301044373336188"/>
    <n v="45"/>
    <n v="0.5852230230915288"/>
    <n v="31"/>
    <n v="0.5978331492812183"/>
    <n v="26"/>
    <n v="0.5834393546373281"/>
    <n v="133"/>
    <n v="0.4745375640833926"/>
    <n v="26"/>
    <n v="0.5815235953766241"/>
    <n v="22"/>
    <n v="0.5934264278136969"/>
    <n v="47"/>
    <n v="0.5988655803104633"/>
    <n v="24"/>
    <n v="0.6074884723597075"/>
    <n v="101"/>
    <n v="0.5126679962610955"/>
    <n v="151"/>
    <n v="0.5771364767252402"/>
    <n v="163"/>
    <n v="0.5979231408204939"/>
    <n v="15"/>
    <n v="0.4330940326329428"/>
    <n v="2"/>
    <n v="0.2964029772206256"/>
    <n v="0"/>
    <s v=""/>
    <n v="15"/>
    <n v="0.4270125089454441"/>
    <n v="1"/>
    <n v="35"/>
    <n v="0.614002498506253"/>
    <n v="1.75"/>
    <n v="182"/>
    <n v="0.4227678259105341"/>
    <n v="1.82"/>
    <n v="0"/>
    <s v=""/>
    <n v="0"/>
    <n v="0"/>
    <s v=""/>
    <n v="0"/>
    <m/>
    <m/>
    <m/>
    <m/>
    <m/>
    <m/>
    <m/>
    <m/>
    <m/>
    <m/>
    <m/>
    <m/>
    <n v="5"/>
    <n v="2"/>
    <n v="2"/>
    <n v="0"/>
    <m/>
    <n v="0"/>
    <n v="30740"/>
    <n v="13144.5"/>
    <n v="12296"/>
    <n v="0"/>
    <n v="246"/>
    <n v="1512408"/>
    <n v="28232.46945837159"/>
    <n v="0"/>
    <n v="3"/>
    <n v="3"/>
    <n v="0"/>
    <m/>
    <n v="0"/>
    <n v="110664"/>
    <n v="19716.75"/>
    <n v="18444"/>
    <n v="0"/>
    <n v="246"/>
    <n v="1512408"/>
    <n v="42348.70418755738"/>
    <n v="0"/>
    <n v="0"/>
    <n v="0"/>
    <n v="0"/>
    <n v="0"/>
    <n v="223665"/>
    <n v="0"/>
    <n v="0"/>
    <n v="0"/>
    <n v="246"/>
    <n v="1512408"/>
    <n v="0"/>
    <n v="15"/>
    <n v="383"/>
    <n v="15"/>
    <n v="200"/>
    <n v="0"/>
    <n v="2517171.75"/>
    <n v="92220"/>
    <n v="1314450"/>
    <n v="0"/>
    <n v="246"/>
    <n v="1512408"/>
    <n v="251974.7899159664"/>
    <n v="20"/>
    <n v="281"/>
    <n v="20"/>
    <n v="200"/>
    <n v="200"/>
    <n v="0"/>
    <n v="1727588"/>
    <n v="131445"/>
    <n v="1314450"/>
    <n v="0"/>
    <n v="246"/>
    <n v="1512408"/>
    <n v="335966.3865546219"/>
    <n v="100"/>
    <n v="428"/>
    <n v="182"/>
    <m/>
    <n v="0"/>
    <n v="0"/>
    <n v="2631344"/>
    <n v="1196149.5"/>
    <n v="0"/>
    <n v="0"/>
    <n v="428"/>
    <n v="1512408"/>
    <n v="3057294.117647059"/>
    <n v="30"/>
    <n v="246"/>
    <n v="0"/>
    <n v="130"/>
    <n v="130"/>
    <n v="0"/>
    <n v="1512408"/>
    <n v="0"/>
    <n v="825912.7499999999"/>
    <n v="0"/>
    <n v="246"/>
    <n v="1512408"/>
    <n v="0"/>
    <n v="80"/>
    <n v="246"/>
    <n v="80"/>
    <n v="170"/>
    <n v="170"/>
    <n v="0"/>
    <n v="1512408"/>
    <n v="525779.9999999999"/>
    <n v="1117282.5"/>
    <n v="0"/>
    <n v="246"/>
    <n v="1512408"/>
    <n v="1343865.546218487"/>
    <n v="30"/>
    <n v="166"/>
    <n v="30"/>
    <n v="0"/>
    <n v="0"/>
    <n v="170"/>
    <n v="1090993.5"/>
    <n v="197167.5"/>
    <n v="0"/>
    <n v="1117282.5"/>
    <n v="336"/>
    <n v="2208276"/>
    <n v="503949.5798319328"/>
    <n v="120"/>
    <n v="306"/>
    <n v="120"/>
    <n v="0"/>
    <n v="0"/>
    <n v="0"/>
    <m/>
    <n v="2011108.5"/>
    <n v="788669.9999999999"/>
    <n v="0"/>
    <n v="0"/>
    <n v="306"/>
    <n v="2011108.5"/>
    <n v="1814117.647058824"/>
    <n v="150"/>
    <n v="186"/>
    <n v="150"/>
    <m/>
    <n v="0"/>
    <n v="1222438.5"/>
    <n v="985837.4999999999"/>
    <n v="0"/>
    <n v="0"/>
    <n v="186"/>
    <n v="1222438.5"/>
    <n v="2381029.411764706"/>
    <n v="250"/>
    <n v="36"/>
    <n v="250"/>
    <n v="0"/>
    <n v="0"/>
    <n v="236601"/>
    <n v="1643062.5"/>
    <n v="0"/>
    <n v="36"/>
    <n v="236601"/>
    <n v="4199579.831932773"/>
    <n v="90"/>
    <n v="0"/>
    <n v="90"/>
    <n v="0"/>
    <m/>
    <n v="0"/>
    <n v="553320"/>
    <n v="0"/>
    <n v="0"/>
    <n v="0"/>
    <n v="1511848.739495798"/>
  </r>
  <r>
    <s v="Levo-Perifericos de Computacion"/>
    <x v="3"/>
    <x v="10"/>
    <x v="21"/>
    <n v="1659990788079"/>
    <x v="80"/>
    <x v="77"/>
    <x v="0"/>
    <x v="0"/>
    <n v="1"/>
    <x v="45"/>
    <n v="9"/>
    <m/>
    <n v="0"/>
    <n v="5953"/>
    <n v="53577"/>
    <n v="7"/>
    <n v="7647.499999999999"/>
    <n v="16798.31932773109"/>
    <n v="14277.31092436975"/>
    <s v="Shenzhen"/>
    <s v="30/70"/>
    <n v="30"/>
    <n v="200"/>
    <n v="87"/>
    <n v="0.4405718227909105"/>
    <n v="47"/>
    <n v="0.440819143560115"/>
    <n v="4"/>
    <n v="0.4861485256643611"/>
    <n v="0"/>
    <n v="0.4347383516424049"/>
    <n v="0"/>
    <s v=""/>
    <n v="32"/>
    <n v="0.6317323203362343"/>
    <n v="23"/>
    <n v="0.629238060096282"/>
    <n v="55"/>
    <n v="0.5882501569724475"/>
    <n v="34"/>
    <n v="0.5885431189539196"/>
    <n v="55"/>
    <n v="0.4966561891325935"/>
    <n v="109"/>
    <n v="0.4737728120947"/>
    <n v="201"/>
    <n v="0.5346946993791415"/>
    <n v="3"/>
    <n v="0.4600351702550932"/>
    <n v="7"/>
    <n v="0.4534633923830538"/>
    <n v="38"/>
    <n v="0.4343804630981954"/>
    <n v="29"/>
    <n v="0.4165364222702979"/>
    <n v="0.725"/>
    <n v="51"/>
    <n v="0.6330258312815844"/>
    <n v="1.275"/>
    <n v="85"/>
    <n v="0.4542906456005735"/>
    <n v="1.214285714285714"/>
    <n v="0"/>
    <s v=""/>
    <n v="0"/>
    <n v="0"/>
    <s v=""/>
    <n v="0"/>
    <m/>
    <m/>
    <m/>
    <m/>
    <m/>
    <m/>
    <m/>
    <m/>
    <m/>
    <m/>
    <m/>
    <m/>
    <n v="50"/>
    <n v="1"/>
    <n v="1"/>
    <n v="0"/>
    <m/>
    <n v="0"/>
    <n v="294673.5"/>
    <n v="7244.999999999999"/>
    <n v="5953"/>
    <n v="0"/>
    <n v="9"/>
    <n v="53577"/>
    <n v="14116.23472918579"/>
    <n v="40"/>
    <n v="52"/>
    <n v="10.5"/>
    <n v="50"/>
    <n v="50"/>
    <n v="0"/>
    <n v="461357.5"/>
    <n v="376739.9999999999"/>
    <n v="62506.5"/>
    <n v="0"/>
    <n v="9"/>
    <n v="53577"/>
    <n v="148220.4646564508"/>
    <n v="20"/>
    <n v="41"/>
    <n v="38"/>
    <n v="0"/>
    <n v="0"/>
    <n v="688651"/>
    <n v="244073"/>
    <n v="226214"/>
    <n v="0"/>
    <n v="9"/>
    <n v="53577"/>
    <n v="638336.1344537815"/>
    <n v="40"/>
    <n v="153"/>
    <n v="29"/>
    <n v="150"/>
    <n v="0"/>
    <n v="1108485"/>
    <n v="172637"/>
    <n v="1086750"/>
    <n v="0"/>
    <n v="9"/>
    <n v="53577"/>
    <n v="487151.2605042017"/>
    <n v="40"/>
    <n v="60"/>
    <n v="40"/>
    <m/>
    <n v="0"/>
    <n v="0"/>
    <n v="357180"/>
    <n v="289799.9999999999"/>
    <n v="0"/>
    <n v="0"/>
    <n v="9"/>
    <n v="53577"/>
    <n v="671932.7731092437"/>
    <n v="70"/>
    <n v="94"/>
    <n v="85"/>
    <m/>
    <n v="0"/>
    <n v="0"/>
    <n v="559582"/>
    <n v="615824.9999999999"/>
    <n v="0"/>
    <n v="0"/>
    <n v="94"/>
    <n v="53577"/>
    <n v="1427857.142857143"/>
    <n v="40"/>
    <n v="9"/>
    <n v="0"/>
    <n v="52"/>
    <n v="52"/>
    <n v="0"/>
    <n v="53577"/>
    <n v="0"/>
    <n v="364181.9999999999"/>
    <n v="0"/>
    <n v="9"/>
    <n v="53577"/>
    <n v="0"/>
    <n v="70"/>
    <n v="9"/>
    <n v="70"/>
    <n v="85"/>
    <n v="85"/>
    <n v="0"/>
    <n v="53577"/>
    <n v="507149.9999999999"/>
    <n v="615824.9999999999"/>
    <n v="0"/>
    <n v="9"/>
    <n v="53577"/>
    <n v="1175882.352941176"/>
    <n v="35"/>
    <n v="0"/>
    <n v="35"/>
    <n v="0"/>
    <n v="0"/>
    <n v="86"/>
    <n v="0"/>
    <n v="253575"/>
    <n v="0"/>
    <n v="623069.9999999999"/>
    <n v="86"/>
    <n v="623069.9999999999"/>
    <n v="587941.1764705882"/>
    <n v="70"/>
    <n v="51"/>
    <n v="51"/>
    <n v="150"/>
    <n v="150"/>
    <n v="150"/>
    <n v="0"/>
    <n v="369494.9999999999"/>
    <n v="369494.9999999999"/>
    <n v="1086750"/>
    <n v="1086750"/>
    <n v="201"/>
    <n v="1456245"/>
    <n v="728142.8571428572"/>
    <n v="80"/>
    <n v="150"/>
    <n v="80"/>
    <n v="150"/>
    <n v="150"/>
    <n v="1086750"/>
    <n v="579599.9999999999"/>
    <n v="1086750"/>
    <n v="1086750"/>
    <n v="300"/>
    <n v="2173500"/>
    <n v="1199294.117647059"/>
    <n v="150"/>
    <n v="220"/>
    <n v="150"/>
    <n v="0"/>
    <n v="0"/>
    <n v="1593900"/>
    <n v="1086750"/>
    <n v="0"/>
    <n v="220"/>
    <n v="1593900"/>
    <n v="2519747.899159664"/>
    <n v="48"/>
    <n v="70"/>
    <n v="48"/>
    <n v="0"/>
    <m/>
    <n v="507149.9999999999"/>
    <n v="285744"/>
    <n v="0"/>
    <n v="70"/>
    <n v="507149.9999999999"/>
    <n v="806319.3277310925"/>
  </r>
  <r>
    <s v="Levo-Perifericos de Computacion"/>
    <x v="3"/>
    <x v="10"/>
    <x v="21"/>
    <n v="1659990828178"/>
    <x v="81"/>
    <x v="78"/>
    <x v="0"/>
    <x v="0"/>
    <n v="1"/>
    <x v="46"/>
    <n v="14"/>
    <m/>
    <n v="0"/>
    <n v="7237"/>
    <n v="101318"/>
    <n v="4.5"/>
    <n v="4812.75"/>
    <n v="16798.31932773109"/>
    <n v="14277.31092436975"/>
    <s v="Shenzhen"/>
    <s v="30/70"/>
    <n v="30"/>
    <n v="50"/>
    <n v="34"/>
    <n v="0.5144113695628398"/>
    <n v="61"/>
    <n v="0.4976827495574455"/>
    <n v="72"/>
    <n v="0.5031547599861013"/>
    <n v="50"/>
    <n v="0.5194002293473358"/>
    <n v="36"/>
    <n v="0.5567762602688"/>
    <n v="100"/>
    <n v="0.5283132931406807"/>
    <n v="60"/>
    <n v="0.5211399335051679"/>
    <n v="58"/>
    <n v="0.5236013819471556"/>
    <n v="2"/>
    <n v="0.4215657146967844"/>
    <n v="91"/>
    <n v="0.4016860027865646"/>
    <n v="169"/>
    <n v="0.3889407918876907"/>
    <n v="76"/>
    <n v="0.4279658224799365"/>
    <n v="1"/>
    <n v="0.3569621479453781"/>
    <n v="7"/>
    <n v="0.4252793234198888"/>
    <n v="54"/>
    <n v="0.4031147198926913"/>
    <n v="83"/>
    <n v="0.3940172504374007"/>
    <n v="1.66"/>
    <n v="33"/>
    <n v="0.5796748127767887"/>
    <n v="0.825"/>
    <n v="38"/>
    <n v="0.428320947920865"/>
    <n v="0.6333333333333333"/>
    <n v="0"/>
    <s v=""/>
    <n v="0"/>
    <n v="0"/>
    <s v=""/>
    <n v="0"/>
    <m/>
    <m/>
    <m/>
    <m/>
    <m/>
    <m/>
    <m/>
    <m/>
    <m/>
    <m/>
    <m/>
    <m/>
    <n v="0"/>
    <n v="0"/>
    <n v="0"/>
    <n v="0"/>
    <m/>
    <n v="0"/>
    <n v="466786.5"/>
    <n v="0"/>
    <n v="0"/>
    <n v="0"/>
    <n v="14"/>
    <n v="101318"/>
    <n v="0"/>
    <n v="40"/>
    <n v="99"/>
    <n v="10.5"/>
    <n v="100"/>
    <n v="100"/>
    <n v="0"/>
    <n v="1067457.5"/>
    <n v="461092.5"/>
    <n v="75988.5"/>
    <n v="0"/>
    <n v="14"/>
    <n v="101318"/>
    <n v="148220.4646564508"/>
    <n v="40"/>
    <n v="93"/>
    <n v="54"/>
    <n v="0"/>
    <n v="0"/>
    <n v="1177769"/>
    <n v="673041"/>
    <n v="390798"/>
    <n v="0"/>
    <n v="14"/>
    <n v="101318"/>
    <n v="907109.243697479"/>
    <n v="50"/>
    <n v="127"/>
    <n v="83"/>
    <n v="95"/>
    <n v="0"/>
    <n v="591502.5"/>
    <n v="600671"/>
    <n v="442462.5"/>
    <n v="0"/>
    <n v="14"/>
    <n v="101318"/>
    <n v="1394260.504201681"/>
    <n v="40"/>
    <n v="47"/>
    <n v="40"/>
    <m/>
    <n v="0"/>
    <n v="0"/>
    <n v="340139"/>
    <n v="186300"/>
    <n v="0"/>
    <n v="0"/>
    <n v="14"/>
    <n v="101318"/>
    <n v="671932.7731092437"/>
    <n v="60"/>
    <n v="52"/>
    <n v="38"/>
    <m/>
    <n v="0"/>
    <n v="0"/>
    <n v="376324"/>
    <n v="176985"/>
    <n v="0"/>
    <n v="0"/>
    <n v="52"/>
    <n v="101318"/>
    <n v="638336.1344537815"/>
    <n v="50"/>
    <n v="14"/>
    <n v="0"/>
    <n v="75"/>
    <n v="75"/>
    <n v="0"/>
    <n v="101318"/>
    <n v="0"/>
    <n v="337668.75"/>
    <n v="0"/>
    <n v="14"/>
    <n v="101318"/>
    <n v="0"/>
    <n v="60"/>
    <n v="14"/>
    <n v="60"/>
    <n v="50"/>
    <n v="50"/>
    <n v="0"/>
    <n v="101318"/>
    <n v="279450"/>
    <n v="232875"/>
    <n v="0"/>
    <n v="14"/>
    <n v="101318"/>
    <n v="1007899.159663866"/>
    <n v="30"/>
    <n v="0"/>
    <n v="30"/>
    <n v="50"/>
    <n v="50"/>
    <n v="50"/>
    <n v="0"/>
    <n v="139725"/>
    <n v="232875"/>
    <n v="232875"/>
    <n v="50"/>
    <n v="232875"/>
    <n v="503949.5798319328"/>
    <n v="150"/>
    <n v="20"/>
    <n v="20"/>
    <n v="250"/>
    <n v="250"/>
    <n v="250"/>
    <n v="0"/>
    <n v="93150"/>
    <n v="93150"/>
    <n v="1164375"/>
    <n v="1164375"/>
    <n v="270"/>
    <n v="1257525"/>
    <n v="285546.218487395"/>
    <n v="150"/>
    <n v="250"/>
    <n v="150"/>
    <m/>
    <n v="0"/>
    <n v="1164375"/>
    <n v="698625"/>
    <n v="0"/>
    <n v="0"/>
    <n v="250"/>
    <n v="1164375"/>
    <n v="2248676.470588236"/>
    <n v="250"/>
    <n v="100"/>
    <n v="250"/>
    <n v="0"/>
    <n v="0"/>
    <n v="465750"/>
    <n v="1164375"/>
    <n v="0"/>
    <n v="100"/>
    <n v="465750"/>
    <n v="4199579.831932773"/>
    <n v="90"/>
    <n v="0"/>
    <n v="90"/>
    <n v="0"/>
    <m/>
    <n v="0"/>
    <n v="651330"/>
    <n v="0"/>
    <n v="0"/>
    <n v="0"/>
    <n v="1511848.739495798"/>
  </r>
  <r>
    <s v="Levo-Perifericos de Computacion"/>
    <x v="3"/>
    <x v="10"/>
    <x v="21"/>
    <n v="66436804863605"/>
    <x v="82"/>
    <x v="79"/>
    <x v="0"/>
    <x v="5"/>
    <n v="1"/>
    <x v="47"/>
    <n v="19"/>
    <m/>
    <n v="0"/>
    <n v="7297"/>
    <n v="138643"/>
    <n v="4.5"/>
    <n v="4812.75"/>
    <n v="16798.31932773109"/>
    <n v="14277.31092436975"/>
    <s v="Shenzhen"/>
    <s v="30/70"/>
    <n v="30"/>
    <n v="50"/>
    <n v="13"/>
    <n v="0.5173578344605304"/>
    <n v="29"/>
    <n v="0.4914599972805918"/>
    <n v="39"/>
    <n v="0.4866759704352972"/>
    <n v="34"/>
    <n v="0.4791251453044748"/>
    <n v="9"/>
    <n v="0.4729828296983632"/>
    <n v="36"/>
    <n v="0.5074868520161679"/>
    <n v="25"/>
    <n v="0.5354757155181089"/>
    <n v="29"/>
    <n v="0.523202485517109"/>
    <n v="41"/>
    <n v="0.5189823374777317"/>
    <n v="58"/>
    <n v="0.4138427356674869"/>
    <n v="28"/>
    <n v="0.4214367077159352"/>
    <n v="16"/>
    <n v="0.4143362066522681"/>
    <n v="0"/>
    <s v=""/>
    <n v="9"/>
    <n v="0.4382252450428155"/>
    <n v="25"/>
    <n v="0.3924563524367251"/>
    <n v="31"/>
    <n v="0.4004119301786926"/>
    <n v="1.033333333333333"/>
    <n v="66"/>
    <n v="0.5551062982591768"/>
    <n v="2.64"/>
    <n v="39"/>
    <n v="0.3246510499963639"/>
    <n v="1.114285714285714"/>
    <n v="0"/>
    <s v=""/>
    <n v="0"/>
    <n v="0"/>
    <s v=""/>
    <n v="0"/>
    <m/>
    <m/>
    <m/>
    <m/>
    <m/>
    <m/>
    <m/>
    <m/>
    <m/>
    <m/>
    <m/>
    <m/>
    <n v="30"/>
    <n v="9"/>
    <n v="30"/>
    <n v="60"/>
    <n v="60"/>
    <n v="0"/>
    <n v="499844.5"/>
    <n v="41917.5"/>
    <n v="218910"/>
    <n v="0"/>
    <n v="19"/>
    <n v="138643"/>
    <n v="423487.0418755738"/>
    <n v="25"/>
    <n v="146"/>
    <n v="13.5"/>
    <n v="75"/>
    <n v="75"/>
    <n v="0"/>
    <n v="507141.5"/>
    <n v="679995"/>
    <n v="98509.5"/>
    <n v="0"/>
    <n v="19"/>
    <n v="138643"/>
    <n v="190569.1688440082"/>
    <n v="20"/>
    <n v="129"/>
    <n v="25"/>
    <n v="0"/>
    <n v="0"/>
    <n v="525069.5"/>
    <n v="941313"/>
    <n v="182425"/>
    <n v="0"/>
    <n v="19"/>
    <n v="138643"/>
    <n v="419957.9831932773"/>
    <n v="30"/>
    <n v="142"/>
    <n v="31"/>
    <n v="30"/>
    <n v="0"/>
    <n v="661365"/>
    <n v="226207"/>
    <n v="139725"/>
    <n v="0"/>
    <n v="19"/>
    <n v="138643"/>
    <n v="520747.8991596639"/>
    <n v="25"/>
    <n v="85"/>
    <n v="25"/>
    <m/>
    <n v="0"/>
    <n v="0"/>
    <n v="620245"/>
    <n v="116437.5"/>
    <n v="0"/>
    <n v="0"/>
    <n v="19"/>
    <n v="138643"/>
    <n v="419957.9831932773"/>
    <n v="35"/>
    <n v="58"/>
    <n v="39"/>
    <m/>
    <n v="0"/>
    <n v="0"/>
    <n v="423226"/>
    <n v="181642.5"/>
    <n v="0"/>
    <n v="0"/>
    <n v="58"/>
    <n v="138643"/>
    <n v="655134.4537815126"/>
    <n v="25"/>
    <n v="19"/>
    <n v="0"/>
    <n v="0"/>
    <n v="0"/>
    <n v="0"/>
    <n v="138643"/>
    <n v="0"/>
    <n v="0"/>
    <n v="0"/>
    <n v="19"/>
    <n v="138643"/>
    <n v="0"/>
    <n v="40"/>
    <n v="19"/>
    <n v="40"/>
    <n v="50"/>
    <n v="50"/>
    <n v="0"/>
    <n v="138643"/>
    <n v="186300"/>
    <n v="232875"/>
    <n v="0"/>
    <n v="19"/>
    <n v="138643"/>
    <n v="671932.7731092437"/>
    <n v="15"/>
    <n v="0"/>
    <n v="15"/>
    <n v="50"/>
    <n v="50"/>
    <n v="50"/>
    <n v="0"/>
    <n v="69862.5"/>
    <n v="232875"/>
    <n v="232875"/>
    <n v="50"/>
    <n v="232875"/>
    <n v="251974.7899159664"/>
    <n v="75"/>
    <n v="35"/>
    <n v="35"/>
    <n v="105"/>
    <n v="105"/>
    <n v="105"/>
    <n v="0"/>
    <n v="163012.5"/>
    <n v="163012.5"/>
    <n v="489037.5"/>
    <n v="489037.5"/>
    <n v="140"/>
    <n v="652050"/>
    <n v="499705.8823529412"/>
    <n v="75"/>
    <n v="105"/>
    <n v="75"/>
    <m/>
    <n v="0"/>
    <n v="489037.5"/>
    <n v="349312.5"/>
    <n v="0"/>
    <n v="0"/>
    <n v="105"/>
    <n v="489037.5"/>
    <n v="1124338.235294118"/>
    <n v="100"/>
    <n v="30"/>
    <n v="100"/>
    <n v="0"/>
    <n v="0"/>
    <n v="139725"/>
    <n v="465750"/>
    <n v="0"/>
    <n v="30"/>
    <n v="139725"/>
    <n v="1679831.932773109"/>
    <n v="45"/>
    <n v="0"/>
    <n v="45"/>
    <n v="0"/>
    <m/>
    <n v="0"/>
    <n v="328365"/>
    <n v="0"/>
    <n v="0"/>
    <n v="0"/>
    <n v="755924.3697478992"/>
  </r>
  <r>
    <s v="Levo-Perifericos de Computacion"/>
    <x v="3"/>
    <x v="10"/>
    <x v="21"/>
    <s v="LVAUDGM-BK"/>
    <x v="83"/>
    <x v="80"/>
    <x v="0"/>
    <x v="1"/>
    <n v="1"/>
    <x v="48"/>
    <n v="33"/>
    <m/>
    <n v="0"/>
    <n v="17170"/>
    <n v="566610"/>
    <n v="17"/>
    <n v="18572.5"/>
    <n v="37806.72268907564"/>
    <n v="31924.36974789916"/>
    <s v="Shenzhen"/>
    <s v="30/70"/>
    <n v="45"/>
    <n v="1000"/>
    <n v="0"/>
    <s v=""/>
    <n v="0"/>
    <s v=""/>
    <n v="16"/>
    <n v="0.3054299203448591"/>
    <n v="23"/>
    <n v="0.3176203432876443"/>
    <n v="34"/>
    <n v="0.5633782119198817"/>
    <n v="85"/>
    <n v="0.5317657607606142"/>
    <n v="87"/>
    <n v="0.5479819790534847"/>
    <n v="128"/>
    <n v="0.5253133092496862"/>
    <n v="42"/>
    <n v="0.5613707928201176"/>
    <n v="96"/>
    <n v="0.4707646171061727"/>
    <n v="134"/>
    <n v="0.4837456992608719"/>
    <n v="309"/>
    <n v="0.4952119736585291"/>
    <n v="53"/>
    <n v="0.366440515153017"/>
    <n v="107"/>
    <n v="0.3039044451040603"/>
    <n v="143"/>
    <n v="0.3063307870602582"/>
    <n v="110"/>
    <n v="0.3242516364581048"/>
    <n v="1.1"/>
    <n v="91"/>
    <n v="0.5414328869892749"/>
    <n v="0.91"/>
    <n v="337"/>
    <n v="0.1365853879277451"/>
    <n v="1.685"/>
    <n v="171"/>
    <n v="0.4900145326773246"/>
    <n v="1.14"/>
    <n v="9"/>
    <n v="0.5641380152165153"/>
    <n v="0.08181818181818182"/>
    <m/>
    <m/>
    <m/>
    <m/>
    <m/>
    <m/>
    <m/>
    <m/>
    <m/>
    <m/>
    <m/>
    <m/>
    <n v="100"/>
    <n v="993"/>
    <n v="50"/>
    <n v="0"/>
    <n v="633"/>
    <n v="0"/>
    <n v="6069595"/>
    <n v="17471835"/>
    <n v="858500"/>
    <n v="0"/>
    <n v="33"/>
    <n v="566610"/>
    <n v="1588517.760045195"/>
    <n v="100"/>
    <n v="1005"/>
    <n v="160.5"/>
    <n v="0"/>
    <m/>
    <n v="0"/>
    <n v="7099795"/>
    <n v="17682975"/>
    <n v="2755785"/>
    <n v="0"/>
    <n v="33"/>
    <n v="566610"/>
    <n v="5099142.009745075"/>
    <n v="150"/>
    <n v="822"/>
    <n v="143"/>
    <n v="0"/>
    <n v="0"/>
    <n v="6103510"/>
    <n v="14113740"/>
    <n v="2455310"/>
    <n v="0"/>
    <n v="33"/>
    <n v="566610"/>
    <n v="5406361.344537816"/>
    <n v="100"/>
    <n v="714"/>
    <n v="110"/>
    <n v="0"/>
    <n v="0"/>
    <n v="12562830"/>
    <n v="1888700"/>
    <n v="0"/>
    <n v="0"/>
    <n v="33"/>
    <n v="566610"/>
    <n v="4158739.49579832"/>
    <n v="100"/>
    <n v="124"/>
    <n v="100"/>
    <m/>
    <n v="0"/>
    <n v="0"/>
    <n v="2129080"/>
    <n v="1759500"/>
    <n v="0"/>
    <n v="0"/>
    <n v="33"/>
    <n v="566610"/>
    <n v="3780672.268907564"/>
    <n v="200"/>
    <n v="370"/>
    <n v="337"/>
    <m/>
    <n v="0"/>
    <n v="0"/>
    <n v="6352900"/>
    <n v="5929515"/>
    <n v="0"/>
    <n v="0"/>
    <n v="370"/>
    <n v="566610"/>
    <n v="12740865.54621849"/>
    <n v="150"/>
    <n v="204"/>
    <n v="171"/>
    <n v="0"/>
    <n v="0"/>
    <n v="0"/>
    <n v="3502680"/>
    <n v="3008745"/>
    <n v="0"/>
    <n v="0"/>
    <n v="204"/>
    <n v="566610"/>
    <n v="6464949.579831934"/>
    <n v="110"/>
    <n v="33"/>
    <n v="110"/>
    <n v="1000"/>
    <n v="1000"/>
    <n v="0"/>
    <n v="566610"/>
    <n v="1935450"/>
    <n v="17595000"/>
    <n v="0"/>
    <n v="33"/>
    <n v="566610"/>
    <n v="4158739.49579832"/>
    <n v="70"/>
    <n v="0"/>
    <n v="70"/>
    <n v="0"/>
    <n v="0"/>
    <n v="0"/>
    <n v="0"/>
    <n v="1231650"/>
    <n v="0"/>
    <n v="0"/>
    <n v="0"/>
    <n v="0"/>
    <n v="2646470.588235294"/>
    <n v="300"/>
    <n v="0"/>
    <n v="0"/>
    <n v="0"/>
    <n v="0"/>
    <n v="0"/>
    <m/>
    <n v="0"/>
    <n v="0"/>
    <n v="0"/>
    <n v="0"/>
    <n v="0"/>
    <n v="0"/>
    <n v="0"/>
    <n v="200"/>
    <n v="0"/>
    <n v="200"/>
    <m/>
    <n v="0"/>
    <n v="0"/>
    <n v="3519000"/>
    <n v="0"/>
    <n v="0"/>
    <n v="0"/>
    <n v="0"/>
    <n v="6704117.647058824"/>
    <n v="400"/>
    <n v="0"/>
    <n v="400"/>
    <n v="0"/>
    <n v="0"/>
    <n v="0"/>
    <n v="7038000"/>
    <n v="0"/>
    <n v="0"/>
    <n v="0"/>
    <n v="15122689.07563026"/>
    <n v="120"/>
    <n v="0"/>
    <n v="120"/>
    <n v="0"/>
    <m/>
    <n v="0"/>
    <n v="2060400"/>
    <n v="0"/>
    <n v="0"/>
    <n v="0"/>
    <n v="4536806.722689076"/>
  </r>
  <r>
    <s v="Levo-Perifericos de Computacion"/>
    <x v="3"/>
    <x v="10"/>
    <x v="21"/>
    <s v="LVAUDGM-WH"/>
    <x v="84"/>
    <x v="81"/>
    <x v="0"/>
    <x v="1"/>
    <n v="1"/>
    <x v="49"/>
    <n v="83"/>
    <m/>
    <n v="0"/>
    <n v="17185"/>
    <n v="1426355"/>
    <n v="17.2"/>
    <n v="18791"/>
    <n v="42008.40336134454"/>
    <n v="37806.72268907564"/>
    <s v="Shenzhen"/>
    <s v="30/70"/>
    <n v="45"/>
    <n v="1000"/>
    <m/>
    <m/>
    <m/>
    <m/>
    <m/>
    <m/>
    <m/>
    <m/>
    <m/>
    <m/>
    <m/>
    <m/>
    <m/>
    <m/>
    <m/>
    <m/>
    <m/>
    <m/>
    <m/>
    <m/>
    <n v="0"/>
    <s v=""/>
    <n v="0"/>
    <s v=""/>
    <n v="2"/>
    <n v="0.3498374077182029"/>
    <n v="34"/>
    <n v="0.2745666456515469"/>
    <n v="68"/>
    <n v="0.2659173022403639"/>
    <n v="59"/>
    <n v="0.3418085547300628"/>
    <n v="0.9833333333333333"/>
    <n v="43"/>
    <n v="0.5433322081253863"/>
    <n v="0.6615384615384615"/>
    <n v="66"/>
    <n v="0.3716295917068883"/>
    <n v="0.7764705882352941"/>
    <n v="95"/>
    <n v="0.5401941646696843"/>
    <n v="1.583333333333333"/>
    <n v="56"/>
    <n v="0.5435541427473075"/>
    <n v="0.8"/>
    <m/>
    <m/>
    <m/>
    <m/>
    <m/>
    <m/>
    <m/>
    <m/>
    <m/>
    <m/>
    <m/>
    <m/>
    <n v="30"/>
    <n v="500"/>
    <n v="10"/>
    <n v="0"/>
    <m/>
    <n v="0"/>
    <n v="2216865"/>
    <n v="8901000"/>
    <n v="171850"/>
    <n v="0"/>
    <n v="83"/>
    <n v="1426355"/>
    <n v="353011.7929524751"/>
    <n v="50"/>
    <n v="498"/>
    <n v="51"/>
    <n v="0"/>
    <m/>
    <n v="0"/>
    <n v="3058930"/>
    <n v="8865396"/>
    <n v="876435"/>
    <n v="0"/>
    <n v="83"/>
    <n v="1426355"/>
    <n v="1800360.144057623"/>
    <n v="75"/>
    <n v="439"/>
    <n v="68"/>
    <n v="0"/>
    <n v="0"/>
    <n v="3339625"/>
    <n v="7544215"/>
    <n v="1168580"/>
    <n v="0"/>
    <n v="83"/>
    <n v="1426355"/>
    <n v="2856571.428571429"/>
    <n v="60"/>
    <n v="393"/>
    <n v="59"/>
    <n v="0"/>
    <n v="0"/>
    <n v="6996186"/>
    <n v="1013915"/>
    <n v="0"/>
    <n v="0"/>
    <n v="83"/>
    <n v="1426355"/>
    <n v="2478495.798319328"/>
    <n v="65"/>
    <n v="126"/>
    <n v="65"/>
    <m/>
    <n v="0"/>
    <n v="0"/>
    <n v="2165310"/>
    <n v="1157130"/>
    <n v="0"/>
    <n v="0"/>
    <n v="83"/>
    <n v="1426355"/>
    <n v="2730546.218487395"/>
    <n v="85"/>
    <n v="149"/>
    <n v="66"/>
    <m/>
    <n v="0"/>
    <n v="0"/>
    <n v="2560565"/>
    <n v="1174932"/>
    <n v="0"/>
    <n v="0"/>
    <n v="149"/>
    <n v="1426355"/>
    <n v="2772554.62184874"/>
    <n v="60"/>
    <n v="178"/>
    <n v="95"/>
    <n v="0"/>
    <n v="0"/>
    <n v="0"/>
    <n v="3058930"/>
    <n v="1691190"/>
    <n v="0"/>
    <n v="0"/>
    <n v="178"/>
    <n v="1426355"/>
    <n v="3990798.319327732"/>
    <n v="70"/>
    <n v="83"/>
    <n v="70"/>
    <n v="0"/>
    <n v="0"/>
    <n v="0"/>
    <n v="1426355"/>
    <n v="1246140"/>
    <n v="0"/>
    <n v="0"/>
    <n v="83"/>
    <n v="1426355"/>
    <n v="2940588.235294118"/>
    <n v="35"/>
    <n v="13"/>
    <n v="35"/>
    <n v="0"/>
    <n v="0"/>
    <n v="0"/>
    <n v="231426"/>
    <n v="623070"/>
    <n v="0"/>
    <n v="0"/>
    <n v="13"/>
    <n v="231426"/>
    <n v="1470294.117647059"/>
    <n v="100"/>
    <n v="0"/>
    <n v="0"/>
    <n v="1000"/>
    <n v="1000"/>
    <n v="1000"/>
    <n v="0"/>
    <n v="0"/>
    <n v="0"/>
    <n v="17802000"/>
    <n v="17802000"/>
    <n v="1000"/>
    <n v="17802000"/>
    <n v="0"/>
    <n v="75"/>
    <n v="1000"/>
    <n v="75"/>
    <m/>
    <n v="0"/>
    <n v="17802000"/>
    <n v="1335150"/>
    <n v="0"/>
    <n v="0"/>
    <n v="1000"/>
    <n v="17802000"/>
    <n v="2977279.411764706"/>
    <n v="150"/>
    <n v="925"/>
    <n v="150"/>
    <n v="0"/>
    <n v="0"/>
    <n v="16466850"/>
    <n v="2670300"/>
    <n v="0"/>
    <n v="925"/>
    <n v="16466850"/>
    <n v="6301260.504201681"/>
    <n v="45"/>
    <n v="775"/>
    <n v="45"/>
    <n v="0"/>
    <m/>
    <n v="13796550"/>
    <n v="773325"/>
    <n v="0"/>
    <n v="775"/>
    <n v="13796550"/>
    <n v="1890378.151260504"/>
  </r>
  <r>
    <s v="Levo-Perifericos de Computacion"/>
    <x v="3"/>
    <x v="10"/>
    <x v="21"/>
    <s v="LVCONJOY-RB"/>
    <x v="85"/>
    <x v="82"/>
    <x v="0"/>
    <x v="4"/>
    <n v="1"/>
    <x v="3"/>
    <n v="26"/>
    <m/>
    <n v="0"/>
    <n v="9244"/>
    <n v="240344"/>
    <n v="9.5"/>
    <n v="10160.25"/>
    <n v="25614.0756302521"/>
    <n v="21771.96428571429"/>
    <s v="Shenzhen"/>
    <s v="30/70"/>
    <n v="30"/>
    <n v="200"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n v="0"/>
    <s v=""/>
    <n v="0"/>
    <n v="0"/>
    <s v=""/>
    <n v="0"/>
    <n v="42"/>
    <n v="0.6188348330708414"/>
    <n v="4.2"/>
    <n v="133"/>
    <n v="0.6274075718102106"/>
    <n v="1.108333333333333"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26"/>
    <n v="240344"/>
    <n v="0"/>
    <n v="0"/>
    <n v="0"/>
    <n v="0"/>
    <n v="0"/>
    <n v="0"/>
    <n v="0"/>
    <n v="0"/>
    <n v="0"/>
    <n v="0"/>
    <n v="26"/>
    <n v="240344"/>
    <n v="0"/>
    <n v="0"/>
    <n v="0"/>
    <n v="0"/>
    <n v="0"/>
    <n v="0"/>
    <n v="0"/>
    <n v="0"/>
    <n v="0"/>
    <n v="0"/>
    <n v="26"/>
    <n v="240344"/>
    <n v="0"/>
    <n v="0"/>
    <n v="26"/>
    <n v="0"/>
    <m/>
    <n v="0"/>
    <n v="0"/>
    <n v="240344"/>
    <n v="0"/>
    <n v="0"/>
    <n v="0"/>
    <n v="26"/>
    <n v="240344"/>
    <n v="0"/>
    <n v="0"/>
    <n v="26"/>
    <n v="0"/>
    <m/>
    <n v="0"/>
    <n v="0"/>
    <n v="240344"/>
    <n v="0"/>
    <n v="0"/>
    <n v="0"/>
    <n v="26"/>
    <n v="240344"/>
    <n v="0"/>
    <n v="10"/>
    <n v="68"/>
    <n v="42"/>
    <n v="200"/>
    <n v="200"/>
    <n v="0"/>
    <n v="628592"/>
    <n v="412965"/>
    <n v="1900950"/>
    <n v="0"/>
    <n v="68"/>
    <n v="240344"/>
    <n v="1075791.176470588"/>
    <n v="120"/>
    <n v="26"/>
    <n v="120"/>
    <n v="0"/>
    <n v="0"/>
    <n v="0"/>
    <n v="240344"/>
    <n v="1179900"/>
    <n v="0"/>
    <n v="0"/>
    <n v="26"/>
    <n v="240344"/>
    <n v="3073689.075630252"/>
    <n v="20"/>
    <n v="0"/>
    <n v="20"/>
    <n v="0"/>
    <n v="0"/>
    <n v="0"/>
    <n v="0"/>
    <n v="196650"/>
    <n v="0"/>
    <n v="0"/>
    <n v="0"/>
    <n v="0"/>
    <n v="512281.512605042"/>
    <n v="0"/>
    <n v="0"/>
    <n v="0"/>
    <n v="0"/>
    <n v="0"/>
    <n v="0"/>
    <m/>
    <n v="0"/>
    <n v="0"/>
    <n v="0"/>
    <n v="0"/>
    <n v="0"/>
    <n v="0"/>
    <n v="0"/>
    <n v="60"/>
    <n v="0"/>
    <n v="60"/>
    <n v="200"/>
    <n v="200"/>
    <n v="0"/>
    <n v="589950"/>
    <n v="1966500"/>
    <n v="1966500"/>
    <n v="200"/>
    <n v="1966500"/>
    <n v="1371633.75"/>
    <n v="100"/>
    <n v="140"/>
    <n v="100"/>
    <n v="200"/>
    <n v="200"/>
    <n v="1376550"/>
    <n v="983250"/>
    <n v="1966500"/>
    <n v="340"/>
    <n v="3343050"/>
    <n v="2561407.56302521"/>
    <n v="36"/>
    <n v="240"/>
    <n v="36"/>
    <n v="0"/>
    <m/>
    <n v="2359800"/>
    <n v="332784"/>
    <n v="0"/>
    <n v="240"/>
    <n v="2359800"/>
    <n v="922106.7226890756"/>
  </r>
  <r>
    <s v="Levo-Perifericos de Computacion"/>
    <x v="3"/>
    <x v="10"/>
    <x v="21"/>
    <s v="LVMSGMNEXP"/>
    <x v="86"/>
    <x v="83"/>
    <x v="1"/>
    <x v="6"/>
    <n v="1"/>
    <x v="50"/>
    <n v="0"/>
    <m/>
    <m/>
    <n v="4812.75"/>
    <m/>
    <n v="4.5"/>
    <n v="4812.75"/>
    <n v="12132.98319327731"/>
    <n v="10313.03571428572"/>
    <s v="Shenzhen"/>
    <s v="30/70"/>
    <n v="30"/>
    <n v="1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n v="0"/>
    <m/>
    <m/>
    <m/>
    <m/>
    <m/>
    <n v="0"/>
    <m/>
    <m/>
    <m/>
    <m/>
    <m/>
    <n v="0"/>
    <n v="0"/>
    <m/>
    <m/>
    <m/>
    <m/>
    <m/>
    <m/>
    <m/>
    <m/>
    <n v="0"/>
    <m/>
    <m/>
    <n v="0"/>
    <m/>
    <m/>
    <m/>
    <n v="0"/>
    <n v="0"/>
    <m/>
    <m/>
    <n v="0"/>
    <n v="0"/>
    <n v="0"/>
    <m/>
    <m/>
    <n v="0"/>
    <m/>
    <m/>
    <m/>
    <n v="0"/>
    <m/>
    <m/>
    <m/>
    <n v="0"/>
    <n v="0"/>
    <m/>
    <m/>
    <n v="40"/>
    <n v="0"/>
    <n v="0"/>
    <n v="1000"/>
    <n v="1000"/>
    <n v="1000"/>
    <n v="0"/>
    <n v="0"/>
    <n v="0"/>
    <n v="4657500"/>
    <n v="4657500"/>
    <n v="1000"/>
    <n v="4657500"/>
    <n v="0"/>
    <n v="75"/>
    <n v="1000"/>
    <n v="75"/>
    <m/>
    <n v="0"/>
    <n v="4657500"/>
    <n v="349312.5"/>
    <n v="0"/>
    <n v="0"/>
    <n v="1000"/>
    <n v="4657500"/>
    <n v="812151.5625000001"/>
    <n v="150"/>
    <n v="925"/>
    <n v="150"/>
    <n v="0"/>
    <n v="0"/>
    <n v="4308187.5"/>
    <n v="698625"/>
    <n v="0"/>
    <n v="925"/>
    <n v="4308187.5"/>
    <n v="1819947.478991597"/>
    <n v="45"/>
    <n v="775"/>
    <n v="45"/>
    <n v="0"/>
    <m/>
    <n v="3609562.5"/>
    <n v="216573.75"/>
    <n v="0"/>
    <n v="775"/>
    <n v="3609562.5"/>
    <n v="545984.243697479"/>
  </r>
  <r>
    <s v="Levo-Perifericos de Computacion"/>
    <x v="3"/>
    <x v="10"/>
    <x v="21"/>
    <s v="LVMPADBML-BK"/>
    <x v="87"/>
    <x v="84"/>
    <x v="0"/>
    <x v="3"/>
    <n v="1"/>
    <x v="3"/>
    <n v="827"/>
    <m/>
    <n v="0"/>
    <n v="2210"/>
    <n v="1827670"/>
    <n v="2.2"/>
    <n v="2403.5"/>
    <n v="8394.957983193277"/>
    <n v="8394.957983193277"/>
    <s v="Shenzhen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0"/>
    <s v=""/>
    <n v="0"/>
    <s v=""/>
    <n v="0"/>
    <n v="26"/>
    <n v="0.7391341341341341"/>
    <n v="0.52"/>
    <n v="44"/>
    <n v="0.4995912579245912"/>
    <n v="0.44"/>
    <n v="69"/>
    <n v="0.7367522708203529"/>
    <n v="1.725"/>
    <n v="41"/>
    <n v="0.7367574910468512"/>
    <n v="0.5125"/>
    <m/>
    <m/>
    <m/>
    <m/>
    <m/>
    <m/>
    <m/>
    <m/>
    <m/>
    <m/>
    <m/>
    <m/>
    <n v="0"/>
    <n v="0"/>
    <n v="0"/>
    <n v="0"/>
    <n v="0"/>
    <n v="0"/>
    <n v="0"/>
    <n v="0"/>
    <n v="0"/>
    <n v="0"/>
    <n v="827"/>
    <n v="1827670"/>
    <n v="0"/>
    <n v="0"/>
    <n v="0"/>
    <n v="0"/>
    <n v="0"/>
    <n v="0"/>
    <n v="0"/>
    <n v="0"/>
    <n v="0"/>
    <n v="0"/>
    <n v="0"/>
    <n v="827"/>
    <n v="1827670"/>
    <n v="0"/>
    <n v="0"/>
    <n v="0"/>
    <n v="0"/>
    <n v="0"/>
    <n v="0"/>
    <n v="113850"/>
    <n v="0"/>
    <n v="0"/>
    <n v="0"/>
    <n v="827"/>
    <n v="1827670"/>
    <n v="0"/>
    <n v="5"/>
    <n v="500"/>
    <n v="0"/>
    <n v="500"/>
    <n v="0"/>
    <n v="1138500"/>
    <n v="0"/>
    <n v="1138500"/>
    <n v="0"/>
    <n v="827"/>
    <n v="1827670"/>
    <n v="0"/>
    <n v="50"/>
    <n v="853"/>
    <n v="50"/>
    <m/>
    <n v="500"/>
    <n v="0"/>
    <n v="1885130"/>
    <n v="113850"/>
    <n v="0"/>
    <n v="0"/>
    <n v="827"/>
    <n v="1827670"/>
    <n v="419747.8991596638"/>
    <n v="100"/>
    <n v="871"/>
    <n v="44"/>
    <m/>
    <n v="0"/>
    <n v="0"/>
    <n v="1924910"/>
    <n v="100188"/>
    <n v="0"/>
    <n v="0"/>
    <n v="871"/>
    <n v="1827670"/>
    <n v="369378.1512605042"/>
    <n v="40"/>
    <n v="896"/>
    <n v="69"/>
    <n v="500"/>
    <n v="250"/>
    <n v="0"/>
    <n v="1980160"/>
    <n v="157113"/>
    <n v="1100550"/>
    <n v="0"/>
    <n v="896"/>
    <n v="1827670"/>
    <n v="579252.1008403361"/>
    <n v="80"/>
    <n v="827"/>
    <n v="80"/>
    <n v="0"/>
    <n v="0"/>
    <n v="0"/>
    <n v="1827670"/>
    <n v="182160"/>
    <n v="0"/>
    <n v="0"/>
    <n v="827"/>
    <n v="1827670"/>
    <n v="671596.6386554622"/>
    <n v="60"/>
    <n v="747"/>
    <n v="60"/>
    <n v="0"/>
    <n v="0"/>
    <n v="0"/>
    <n v="1700919"/>
    <n v="136620"/>
    <n v="0"/>
    <n v="0"/>
    <n v="747"/>
    <n v="1700919"/>
    <n v="503697.4789915966"/>
    <n v="100"/>
    <n v="687"/>
    <n v="100"/>
    <n v="0"/>
    <n v="0"/>
    <n v="0"/>
    <m/>
    <n v="1564299"/>
    <n v="227700"/>
    <n v="0"/>
    <n v="0"/>
    <n v="687"/>
    <n v="1564299"/>
    <n v="839495.7983193276"/>
    <n v="125"/>
    <n v="587"/>
    <n v="125"/>
    <m/>
    <n v="0"/>
    <n v="1336599"/>
    <n v="284625"/>
    <n v="0"/>
    <n v="0"/>
    <n v="587"/>
    <n v="1336599"/>
    <n v="1101838.235294118"/>
    <n v="150"/>
    <n v="462"/>
    <n v="150"/>
    <n v="0"/>
    <n v="0"/>
    <n v="1051974"/>
    <n v="341550"/>
    <n v="0"/>
    <n v="462"/>
    <n v="1051974"/>
    <n v="1259243.697478991"/>
    <n v="75"/>
    <n v="312"/>
    <n v="75"/>
    <n v="0"/>
    <m/>
    <n v="710424"/>
    <n v="165750"/>
    <n v="0"/>
    <n v="312"/>
    <n v="710424"/>
    <n v="629621.8487394957"/>
  </r>
  <r>
    <s v="Levo-Perifericos de Computacion"/>
    <x v="3"/>
    <x v="10"/>
    <x v="21"/>
    <s v="LVMPADOFS-BK"/>
    <x v="88"/>
    <x v="85"/>
    <x v="0"/>
    <x v="3"/>
    <n v="1"/>
    <x v="3"/>
    <n v="948"/>
    <m/>
    <n v="0"/>
    <n v="1187"/>
    <n v="1125276"/>
    <n v="1.2"/>
    <n v="1311"/>
    <n v="6714.285714285715"/>
    <n v="5873.949579831933"/>
    <s v="Shenzhen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0"/>
    <s v=""/>
    <n v="2"/>
    <n v="0.8450059321380693"/>
    <n v="0.4"/>
    <n v="6"/>
    <n v="0.8230212765957446"/>
    <n v="0.15"/>
    <n v="17"/>
    <n v="0.3261770491803279"/>
    <n v="0.1133333333333333"/>
    <n v="15"/>
    <n v="0.8213107082630691"/>
    <n v="0.75"/>
    <n v="10"/>
    <n v="0.813894117438571"/>
    <n v="0.25"/>
    <m/>
    <m/>
    <m/>
    <m/>
    <m/>
    <m/>
    <m/>
    <m/>
    <m/>
    <m/>
    <m/>
    <m/>
    <n v="0"/>
    <n v="0"/>
    <n v="0"/>
    <n v="0"/>
    <n v="0"/>
    <n v="0"/>
    <n v="0"/>
    <n v="0"/>
    <n v="0"/>
    <n v="0"/>
    <n v="948"/>
    <n v="1125276"/>
    <n v="0"/>
    <n v="0"/>
    <n v="0"/>
    <n v="0"/>
    <n v="0"/>
    <n v="0"/>
    <n v="0"/>
    <n v="2374"/>
    <n v="0"/>
    <n v="0"/>
    <n v="0"/>
    <n v="948"/>
    <n v="1125276"/>
    <n v="0"/>
    <n v="0"/>
    <n v="0"/>
    <n v="0"/>
    <n v="0"/>
    <n v="0"/>
    <n v="52054"/>
    <n v="0"/>
    <n v="0"/>
    <n v="0"/>
    <n v="948"/>
    <n v="1125276"/>
    <n v="0"/>
    <n v="5"/>
    <n v="500"/>
    <n v="2"/>
    <n v="500"/>
    <n v="0"/>
    <n v="621000"/>
    <n v="2374"/>
    <n v="621000"/>
    <n v="0"/>
    <n v="948"/>
    <n v="1125276"/>
    <n v="13428.57142857143"/>
    <n v="40"/>
    <n v="954"/>
    <n v="40"/>
    <m/>
    <n v="500"/>
    <n v="0"/>
    <n v="1132398"/>
    <n v="49680"/>
    <n v="0"/>
    <n v="0"/>
    <n v="948"/>
    <n v="1125276"/>
    <n v="268571.4285714286"/>
    <n v="150"/>
    <n v="965"/>
    <n v="17"/>
    <m/>
    <n v="0"/>
    <n v="0"/>
    <n v="1145455"/>
    <n v="21114"/>
    <n v="0"/>
    <n v="0"/>
    <n v="965"/>
    <n v="1125276"/>
    <n v="114142.8571428571"/>
    <n v="20"/>
    <n v="963"/>
    <n v="15"/>
    <n v="500"/>
    <n v="250"/>
    <n v="0"/>
    <n v="1143081"/>
    <n v="18630"/>
    <n v="600300"/>
    <n v="0"/>
    <n v="963"/>
    <n v="1125276"/>
    <n v="100714.2857142857"/>
    <n v="40"/>
    <n v="948"/>
    <n v="40"/>
    <n v="0"/>
    <n v="0"/>
    <n v="0"/>
    <n v="1125276"/>
    <n v="49680"/>
    <n v="0"/>
    <n v="0"/>
    <n v="948"/>
    <n v="1125276"/>
    <n v="268571.4285714286"/>
    <n v="50"/>
    <n v="908"/>
    <n v="50"/>
    <n v="0"/>
    <n v="0"/>
    <n v="0"/>
    <n v="1127736"/>
    <n v="62100"/>
    <n v="0"/>
    <n v="0"/>
    <n v="908"/>
    <n v="1127736"/>
    <n v="335714.2857142857"/>
    <n v="80"/>
    <n v="858"/>
    <n v="80"/>
    <n v="0"/>
    <n v="0"/>
    <n v="0"/>
    <m/>
    <n v="1065636"/>
    <n v="99360"/>
    <n v="0"/>
    <n v="0"/>
    <n v="858"/>
    <n v="1065636"/>
    <n v="469915.9663865546"/>
    <n v="85"/>
    <n v="778"/>
    <n v="85"/>
    <m/>
    <n v="0"/>
    <n v="966276"/>
    <n v="105570"/>
    <n v="0"/>
    <n v="0"/>
    <n v="778"/>
    <n v="966276"/>
    <n v="524250.0000000001"/>
    <n v="100"/>
    <n v="693"/>
    <n v="100"/>
    <n v="0"/>
    <n v="0"/>
    <n v="860706"/>
    <n v="124200"/>
    <n v="0"/>
    <n v="693"/>
    <n v="860706"/>
    <n v="671428.5714285715"/>
    <n v="51"/>
    <n v="593"/>
    <n v="51"/>
    <n v="0"/>
    <m/>
    <n v="736506"/>
    <n v="60537"/>
    <n v="0"/>
    <n v="593"/>
    <n v="736506"/>
    <n v="342428.5714285714"/>
  </r>
  <r>
    <s v="Levo-Perifericos de Computacion"/>
    <x v="3"/>
    <x v="10"/>
    <x v="21"/>
    <s v="LVMPADXXL-BK"/>
    <x v="89"/>
    <x v="86"/>
    <x v="0"/>
    <x v="3"/>
    <n v="1"/>
    <x v="51"/>
    <n v="239"/>
    <m/>
    <n v="0"/>
    <n v="3299"/>
    <n v="788461"/>
    <n v="3.4"/>
    <n v="3714.5"/>
    <n v="10915.96638655462"/>
    <n v="9235.294117647059"/>
    <s v="Shenzhen"/>
    <s v="30/70"/>
    <n v="30"/>
    <n v="500"/>
    <n v="0"/>
    <s v=""/>
    <n v="0"/>
    <s v=""/>
    <n v="0"/>
    <s v=""/>
    <n v="5"/>
    <n v="0.5951677773191014"/>
    <n v="2"/>
    <n v="0.6500287962429463"/>
    <n v="41"/>
    <n v="0.5980046284596803"/>
    <n v="93"/>
    <n v="0.615588377957427"/>
    <n v="151"/>
    <n v="0.56021255948334"/>
    <n v="212"/>
    <n v="0.5683061064275258"/>
    <n v="276"/>
    <n v="0.5773820600018116"/>
    <n v="197"/>
    <n v="0.5891485567171597"/>
    <n v="9"/>
    <n v="0.6803911668087187"/>
    <n v="2"/>
    <n v="0.2033172858509912"/>
    <n v="15"/>
    <n v="0.3771431114002369"/>
    <n v="143"/>
    <n v="0.412624796402786"/>
    <n v="136"/>
    <n v="0.4698805185144235"/>
    <n v="0.9066666666666666"/>
    <n v="105"/>
    <n v="0.6920839978456728"/>
    <n v="0.7"/>
    <n v="424"/>
    <n v="0.4010062373985748"/>
    <n v="1.696"/>
    <n v="438"/>
    <n v="0.7088609398725281"/>
    <n v="1.183783783783784"/>
    <n v="146"/>
    <n v="0.7232090435998131"/>
    <n v="0.4866666666666667"/>
    <m/>
    <m/>
    <m/>
    <m/>
    <m/>
    <m/>
    <m/>
    <m/>
    <m/>
    <m/>
    <m/>
    <m/>
    <n v="250"/>
    <n v="7"/>
    <n v="30"/>
    <n v="500"/>
    <n v="500"/>
    <n v="0"/>
    <n v="644954.5"/>
    <n v="24633"/>
    <n v="98970"/>
    <n v="0"/>
    <n v="239"/>
    <n v="788461"/>
    <n v="275192.4299131418"/>
    <n v="250"/>
    <n v="513"/>
    <n v="22.5"/>
    <n v="500"/>
    <n v="500"/>
    <n v="0"/>
    <n v="994648.5"/>
    <n v="1805247"/>
    <n v="74227.5"/>
    <n v="0"/>
    <n v="239"/>
    <n v="788461"/>
    <n v="206394.3224348563"/>
    <n v="250"/>
    <n v="976"/>
    <n v="143"/>
    <n v="0"/>
    <n v="0"/>
    <n v="1448271"/>
    <n v="3219824"/>
    <n v="471757"/>
    <n v="0"/>
    <n v="239"/>
    <n v="788461"/>
    <n v="1560983.193277311"/>
    <n v="150"/>
    <n v="1488"/>
    <n v="136"/>
    <n v="650"/>
    <n v="0"/>
    <n v="5236271.999999999"/>
    <n v="448664"/>
    <n v="2287350"/>
    <n v="0"/>
    <n v="239"/>
    <n v="788461"/>
    <n v="1484571.428571429"/>
    <n v="150"/>
    <n v="344"/>
    <n v="150"/>
    <m/>
    <n v="0"/>
    <n v="0"/>
    <n v="1134856"/>
    <n v="527849.9999999999"/>
    <n v="0"/>
    <n v="0"/>
    <n v="239"/>
    <n v="788461"/>
    <n v="1637394.957983193"/>
    <n v="250"/>
    <n v="663"/>
    <n v="424"/>
    <m/>
    <n v="0"/>
    <n v="0"/>
    <n v="2187237"/>
    <n v="1492056"/>
    <n v="0"/>
    <n v="0"/>
    <n v="663"/>
    <n v="788461"/>
    <n v="4628369.74789916"/>
    <n v="370"/>
    <n v="677"/>
    <n v="438"/>
    <n v="0"/>
    <n v="0"/>
    <n v="0"/>
    <n v="2233423"/>
    <n v="1541322"/>
    <n v="0"/>
    <n v="0"/>
    <n v="677"/>
    <n v="788461"/>
    <n v="4781193.277310925"/>
    <n v="300"/>
    <n v="239"/>
    <n v="300"/>
    <n v="500"/>
    <n v="500"/>
    <n v="0"/>
    <n v="788461"/>
    <n v="1055700"/>
    <n v="1759500"/>
    <n v="0"/>
    <n v="239"/>
    <n v="788461"/>
    <n v="3274789.915966387"/>
    <n v="200"/>
    <n v="0"/>
    <n v="200"/>
    <n v="0"/>
    <n v="0"/>
    <n v="0"/>
    <n v="0"/>
    <n v="703799.9999999999"/>
    <n v="0"/>
    <n v="0"/>
    <n v="0"/>
    <n v="0"/>
    <n v="2183193.277310925"/>
    <n v="400"/>
    <n v="500"/>
    <n v="400"/>
    <n v="0"/>
    <n v="0"/>
    <n v="0"/>
    <n v="500"/>
    <n v="1759500"/>
    <n v="1407600"/>
    <n v="0"/>
    <n v="1759500"/>
    <n v="500"/>
    <n v="3519000"/>
    <n v="3694117.647058824"/>
    <n v="250"/>
    <n v="100"/>
    <n v="250"/>
    <n v="1000"/>
    <n v="1000"/>
    <n v="351899.9999999999"/>
    <n v="879749.9999999999"/>
    <n v="3519000"/>
    <n v="3519000"/>
    <n v="1100"/>
    <n v="3870900"/>
    <n v="2424264.705882353"/>
    <n v="300"/>
    <n v="850"/>
    <n v="300"/>
    <n v="0"/>
    <n v="0"/>
    <n v="2991150"/>
    <n v="1055700"/>
    <n v="0"/>
    <n v="850"/>
    <n v="2991150"/>
    <n v="3274789.915966387"/>
    <n v="150"/>
    <n v="550"/>
    <n v="150"/>
    <n v="0"/>
    <m/>
    <n v="1935450"/>
    <n v="494850"/>
    <n v="0"/>
    <n v="550"/>
    <n v="1935450"/>
    <n v="1637394.957983193"/>
  </r>
  <r>
    <s v="Levo-Perifericos de Computacion"/>
    <x v="3"/>
    <x v="10"/>
    <x v="21"/>
    <s v="LVMSGMNS-BK"/>
    <x v="90"/>
    <x v="87"/>
    <x v="0"/>
    <x v="0"/>
    <n v="1"/>
    <x v="52"/>
    <n v="139"/>
    <m/>
    <n v="0"/>
    <n v="14265"/>
    <n v="1982835"/>
    <n v="14.2"/>
    <n v="15513.5"/>
    <n v="25201.68067226891"/>
    <n v="19319.32773109244"/>
    <s v="Shenzhen"/>
    <s v="30/7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1"/>
    <s v=""/>
    <n v="9"/>
    <n v="0.3060511278770484"/>
    <n v="14"/>
    <n v="0.2061424095456388"/>
    <n v="97"/>
    <n v="0.2800819669365389"/>
    <n v="22"/>
    <n v="0.1201170479642528"/>
    <n v="17"/>
    <n v="0.2522208443131537"/>
    <n v="24"/>
    <n v="0.2427681732134856"/>
    <n v="18"/>
    <n v="0.1927386282764053"/>
    <n v="0.72"/>
    <n v="22"/>
    <n v="0.376774943379601"/>
    <n v="1.1"/>
    <n v="51"/>
    <n v="0.0391506179455404"/>
    <n v="1.02"/>
    <n v="50"/>
    <n v="0.3207227258941139"/>
    <n v="1.666666666666667"/>
    <n v="15"/>
    <n v="0.2933943276603696"/>
    <n v="0.375"/>
    <m/>
    <m/>
    <m/>
    <m/>
    <m/>
    <m/>
    <m/>
    <m/>
    <m/>
    <m/>
    <m/>
    <m/>
    <n v="20"/>
    <n v="213"/>
    <n v="25"/>
    <n v="0"/>
    <m/>
    <n v="0"/>
    <n v="1062742.5"/>
    <n v="3130461"/>
    <n v="356625"/>
    <n v="0"/>
    <n v="139"/>
    <n v="1982835"/>
    <n v="529447.0729468259"/>
    <n v="25"/>
    <n v="342"/>
    <n v="25.5"/>
    <n v="0"/>
    <m/>
    <n v="0"/>
    <n v="962887.5"/>
    <n v="5026373.999999999"/>
    <n v="363757.5"/>
    <n v="0"/>
    <n v="139"/>
    <n v="1982835"/>
    <n v="540036.0144057623"/>
    <n v="40"/>
    <n v="323"/>
    <n v="24"/>
    <n v="0"/>
    <n v="0"/>
    <n v="893070"/>
    <n v="4607595"/>
    <n v="342360"/>
    <n v="0"/>
    <n v="139"/>
    <n v="1982835"/>
    <n v="604840.3361344538"/>
    <n v="25"/>
    <n v="303"/>
    <n v="18"/>
    <n v="0"/>
    <n v="0"/>
    <n v="4453190.999999999"/>
    <n v="256770"/>
    <n v="0"/>
    <n v="0"/>
    <n v="139"/>
    <n v="1982835"/>
    <n v="453630.2521008403"/>
    <n v="20"/>
    <n v="161"/>
    <n v="20"/>
    <m/>
    <n v="0"/>
    <n v="0"/>
    <n v="2296665"/>
    <n v="293939.9999999999"/>
    <n v="0"/>
    <n v="0"/>
    <n v="139"/>
    <n v="1982835"/>
    <n v="504033.6134453781"/>
    <n v="50"/>
    <n v="190"/>
    <n v="51"/>
    <m/>
    <n v="0"/>
    <n v="0"/>
    <n v="2710350"/>
    <n v="749546.9999999999"/>
    <n v="0"/>
    <n v="0"/>
    <n v="190"/>
    <n v="1982835"/>
    <n v="1285285.714285714"/>
    <n v="30"/>
    <n v="189"/>
    <n v="50"/>
    <n v="0"/>
    <n v="0"/>
    <n v="0"/>
    <n v="2696085"/>
    <n v="734849.9999999999"/>
    <n v="0"/>
    <n v="0"/>
    <n v="189"/>
    <n v="1982835"/>
    <n v="1260084.033613445"/>
    <n v="40"/>
    <n v="139"/>
    <n v="40"/>
    <n v="0"/>
    <n v="0"/>
    <n v="0"/>
    <n v="1982835"/>
    <n v="587879.9999999999"/>
    <n v="0"/>
    <n v="0"/>
    <n v="139"/>
    <n v="1982835"/>
    <n v="1008067.226890756"/>
    <n v="20"/>
    <n v="99"/>
    <n v="20"/>
    <n v="0"/>
    <n v="0"/>
    <n v="0"/>
    <n v="1455003"/>
    <n v="293939.9999999999"/>
    <n v="0"/>
    <n v="0"/>
    <n v="99"/>
    <n v="1455003"/>
    <n v="504033.6134453781"/>
    <n v="40"/>
    <n v="79"/>
    <n v="40"/>
    <n v="0"/>
    <n v="0"/>
    <n v="0"/>
    <m/>
    <n v="1161063"/>
    <n v="587879.9999999999"/>
    <n v="0"/>
    <n v="0"/>
    <n v="79"/>
    <n v="1161063"/>
    <n v="772773.1092436975"/>
    <n v="30"/>
    <n v="39"/>
    <n v="30"/>
    <m/>
    <n v="0"/>
    <n v="573182.9999999999"/>
    <n v="440909.9999999999"/>
    <n v="0"/>
    <n v="0"/>
    <n v="39"/>
    <n v="573182.9999999999"/>
    <n v="608558.8235294118"/>
    <n v="43"/>
    <n v="9"/>
    <n v="43"/>
    <n v="0"/>
    <n v="0"/>
    <n v="132273"/>
    <n v="631970.9999999999"/>
    <n v="0"/>
    <n v="9"/>
    <n v="132273"/>
    <n v="1083672.268907563"/>
    <n v="18"/>
    <n v="0"/>
    <n v="18"/>
    <n v="0"/>
    <m/>
    <n v="0"/>
    <n v="256770"/>
    <n v="0"/>
    <n v="0"/>
    <n v="0"/>
    <n v="453630.2521008403"/>
  </r>
  <r>
    <m/>
    <x v="3"/>
    <x v="10"/>
    <x v="21"/>
    <s v="LVTECMCC-BK"/>
    <x v="91"/>
    <x v="88"/>
    <x v="0"/>
    <x v="1"/>
    <n v="1"/>
    <x v="53"/>
    <n v="595"/>
    <m/>
    <n v="0"/>
    <n v="9246"/>
    <n v="5501370"/>
    <n v="9.5"/>
    <n v="10378.75"/>
    <n v="22680.67226890757"/>
    <n v="21000"/>
    <s v="Shenzhen"/>
    <s v="30/70"/>
    <n v="45"/>
    <n v="1000"/>
    <n v="0"/>
    <s v=""/>
    <n v="0"/>
    <s v=""/>
    <n v="2"/>
    <n v="0.4728450179070794"/>
    <n v="34"/>
    <n v="0.5736427243544859"/>
    <n v="6"/>
    <n v="0.5762843431935937"/>
    <n v="6"/>
    <n v="0.5596994330564786"/>
    <n v="30"/>
    <n v="0.5428038884213851"/>
    <n v="39"/>
    <n v="0.5441640502366887"/>
    <n v="41"/>
    <n v="0.5140384703357882"/>
    <n v="128"/>
    <n v="0.4749682412280379"/>
    <n v="97"/>
    <n v="0.4969262938072903"/>
    <n v="237"/>
    <n v="0.5051307636966786"/>
    <n v="57"/>
    <n v="0.3826875899363704"/>
    <n v="90"/>
    <n v="0.3662467026884872"/>
    <n v="184"/>
    <n v="0.3404918238398641"/>
    <n v="24"/>
    <n v="0.4699357405855399"/>
    <n v="0.5333333333333333"/>
    <n v="16"/>
    <n v="0.6215725476557196"/>
    <n v="0.6666666666666666"/>
    <n v="156"/>
    <n v="0.224701453857722"/>
    <n v="1.04"/>
    <n v="200"/>
    <n v="0.5579391556258027"/>
    <n v="1"/>
    <n v="55"/>
    <n v="0.570901848302895"/>
    <n v="0.3666666666666666"/>
    <m/>
    <m/>
    <m/>
    <m/>
    <m/>
    <m/>
    <m/>
    <m/>
    <m/>
    <m/>
    <m/>
    <m/>
    <n v="70"/>
    <n v="325"/>
    <n v="40"/>
    <n v="0"/>
    <n v="364"/>
    <n v="0"/>
    <n v="3319314"/>
    <n v="3195562.5"/>
    <n v="369840"/>
    <n v="0"/>
    <n v="595"/>
    <n v="5501370"/>
    <n v="762375.5384506745"/>
    <n v="70"/>
    <n v="338"/>
    <n v="135"/>
    <n v="0"/>
    <m/>
    <n v="0"/>
    <n v="3171378"/>
    <n v="3323385"/>
    <n v="1248210"/>
    <n v="0"/>
    <n v="595"/>
    <n v="5501370"/>
    <n v="2573017.442271026"/>
    <n v="120"/>
    <n v="216"/>
    <n v="184"/>
    <n v="0"/>
    <n v="0"/>
    <n v="2159148"/>
    <n v="1997136"/>
    <n v="1701264"/>
    <n v="0"/>
    <n v="595"/>
    <n v="5501370"/>
    <n v="4173243.697478992"/>
    <n v="45"/>
    <n v="48"/>
    <n v="24"/>
    <n v="1000"/>
    <n v="0"/>
    <n v="471960"/>
    <n v="221904"/>
    <n v="9832500"/>
    <n v="0"/>
    <n v="595"/>
    <n v="5501370"/>
    <n v="544336.1344537815"/>
    <n v="24"/>
    <n v="611"/>
    <n v="24"/>
    <m/>
    <n v="0"/>
    <n v="0"/>
    <n v="5649306"/>
    <n v="235980"/>
    <n v="0"/>
    <n v="0"/>
    <n v="595"/>
    <n v="5501370"/>
    <n v="544336.1344537815"/>
    <n v="150"/>
    <n v="751"/>
    <n v="156"/>
    <m/>
    <n v="1000"/>
    <n v="0"/>
    <n v="6943746"/>
    <n v="1533870"/>
    <n v="0"/>
    <n v="0"/>
    <n v="751"/>
    <n v="5501370"/>
    <n v="3538184.87394958"/>
    <n v="200"/>
    <n v="795"/>
    <n v="200"/>
    <n v="0"/>
    <n v="0"/>
    <n v="0"/>
    <n v="7350570"/>
    <n v="1966500"/>
    <n v="0"/>
    <n v="0"/>
    <n v="795"/>
    <n v="5501370"/>
    <n v="4536134.453781513"/>
    <n v="150"/>
    <n v="595"/>
    <n v="150"/>
    <n v="0"/>
    <n v="0"/>
    <n v="0"/>
    <n v="5501370"/>
    <n v="1474875"/>
    <n v="0"/>
    <n v="0"/>
    <n v="595"/>
    <n v="5501370"/>
    <n v="3402100.840336135"/>
    <n v="100"/>
    <n v="445"/>
    <n v="100"/>
    <n v="0"/>
    <n v="0"/>
    <n v="0"/>
    <n v="4375462.5"/>
    <n v="983250"/>
    <n v="0"/>
    <n v="0"/>
    <n v="445"/>
    <n v="4375462.5"/>
    <n v="2268067.226890756"/>
    <n v="200"/>
    <n v="345"/>
    <n v="200"/>
    <n v="0"/>
    <n v="0"/>
    <n v="0"/>
    <m/>
    <n v="3392212.5"/>
    <n v="1966500"/>
    <n v="0"/>
    <n v="0"/>
    <n v="345"/>
    <n v="3392212.5"/>
    <n v="4200000"/>
    <n v="200"/>
    <n v="145"/>
    <n v="200"/>
    <n v="0"/>
    <n v="0"/>
    <n v="1425712.5"/>
    <n v="1966500"/>
    <n v="0"/>
    <n v="0"/>
    <n v="145"/>
    <n v="1425712.5"/>
    <n v="4410000"/>
    <n v="400"/>
    <n v="0"/>
    <n v="400"/>
    <n v="1000"/>
    <n v="1000"/>
    <n v="0"/>
    <n v="3933000"/>
    <n v="9832500"/>
    <n v="1000"/>
    <n v="9832500"/>
    <n v="9072268.907563025"/>
    <n v="120"/>
    <n v="600"/>
    <n v="120"/>
    <n v="0"/>
    <m/>
    <n v="5899500"/>
    <n v="1109520"/>
    <n v="0"/>
    <n v="600"/>
    <n v="5899500"/>
    <n v="2721680.672268908"/>
  </r>
  <r>
    <m/>
    <x v="3"/>
    <x v="10"/>
    <x v="21"/>
    <s v="LVTECMCL-BK"/>
    <x v="92"/>
    <x v="89"/>
    <x v="0"/>
    <x v="4"/>
    <n v="1"/>
    <x v="3"/>
    <n v="0"/>
    <m/>
    <m/>
    <n v="10378.75"/>
    <n v="0"/>
    <n v="9.5"/>
    <n v="10378.75"/>
    <n v="26164.91596638656"/>
    <n v="22240.17857142857"/>
    <s v="Shenzhen"/>
    <s v="30/70"/>
    <n v="45"/>
    <n v="1000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30"/>
    <n v="0"/>
    <n v="30"/>
    <n v="1000"/>
    <n v="1000"/>
    <n v="0"/>
    <n v="0"/>
    <n v="294975"/>
    <n v="9832500"/>
    <n v="0"/>
    <n v="0"/>
    <n v="0"/>
    <n v="784947.4789915967"/>
    <n v="45"/>
    <n v="0"/>
    <n v="45"/>
    <n v="0"/>
    <n v="0"/>
    <n v="0"/>
    <n v="0"/>
    <n v="442462.5"/>
    <n v="0"/>
    <n v="0"/>
    <n v="0"/>
    <n v="0"/>
    <n v="1177421.218487395"/>
    <n v="125"/>
    <n v="0"/>
    <n v="0"/>
    <n v="0"/>
    <n v="0"/>
    <n v="0"/>
    <m/>
    <n v="0"/>
    <n v="0"/>
    <n v="0"/>
    <n v="0"/>
    <n v="0"/>
    <n v="0"/>
    <n v="0"/>
    <n v="120"/>
    <n v="0"/>
    <n v="120"/>
    <m/>
    <n v="0"/>
    <n v="0"/>
    <n v="1179900"/>
    <n v="0"/>
    <n v="0"/>
    <n v="0"/>
    <n v="0"/>
    <n v="2802262.5"/>
    <n v="250"/>
    <n v="0"/>
    <n v="250"/>
    <n v="0"/>
    <n v="0"/>
    <n v="0"/>
    <n v="2458125"/>
    <n v="0"/>
    <n v="0"/>
    <n v="0"/>
    <n v="6541228.991596639"/>
    <n v="72"/>
    <n v="0"/>
    <n v="72"/>
    <n v="0"/>
    <m/>
    <n v="0"/>
    <n v="747270"/>
    <n v="0"/>
    <n v="0"/>
    <n v="0"/>
    <n v="1883873.949579832"/>
  </r>
  <r>
    <s v="Levo-Perifericos de Computacion"/>
    <x v="3"/>
    <x v="10"/>
    <x v="22"/>
    <n v="67898087132855"/>
    <x v="93"/>
    <x v="90"/>
    <x v="0"/>
    <x v="1"/>
    <n v="1"/>
    <x v="54"/>
    <n v="418"/>
    <m/>
    <n v="0"/>
    <n v="41213"/>
    <n v="17227034"/>
    <n v="35"/>
    <n v="38237.5"/>
    <n v="84025.21008403362"/>
    <n v="67218.48739495799"/>
    <s v="Ningbo"/>
    <s v="20/80"/>
    <n v="30"/>
    <n v="100"/>
    <n v="4"/>
    <n v="0.3668825649953905"/>
    <n v="1"/>
    <n v="0.4513075307530753"/>
    <n v="65"/>
    <n v="0.4829981834484707"/>
    <n v="42"/>
    <n v="0.4719263881969988"/>
    <n v="44"/>
    <n v="0.4852808747810992"/>
    <n v="115"/>
    <n v="0.4403519538435318"/>
    <n v="64"/>
    <n v="0.4550321188965196"/>
    <n v="182"/>
    <n v="0.3834162612938448"/>
    <n v="134"/>
    <n v="0.3271057252768337"/>
    <n v="77"/>
    <n v="0.4555237919056042"/>
    <n v="38"/>
    <n v="0.4179848265047137"/>
    <n v="39"/>
    <n v="0.4207620786602405"/>
    <n v="11"/>
    <n v="0.342270100493429"/>
    <n v="35"/>
    <n v="0.2546708626090987"/>
    <n v="42"/>
    <n v="0.2797568437996313"/>
    <n v="39"/>
    <n v="0.3470122833270555"/>
    <n v="0.78"/>
    <n v="36"/>
    <n v="0.4706483114128774"/>
    <n v="0.72"/>
    <n v="41"/>
    <n v="0.2150470079431466"/>
    <n v="0.4823529411764706"/>
    <n v="10"/>
    <s v=""/>
    <n v="0.2"/>
    <n v="0"/>
    <s v=""/>
    <n v="0"/>
    <m/>
    <m/>
    <m/>
    <m/>
    <m/>
    <m/>
    <m/>
    <m/>
    <m/>
    <m/>
    <m/>
    <m/>
    <n v="100"/>
    <n v="174"/>
    <n v="45"/>
    <n v="150"/>
    <n v="150"/>
    <n v="0"/>
    <n v="5749213.5"/>
    <n v="6303150"/>
    <n v="1854585"/>
    <n v="0"/>
    <n v="418"/>
    <n v="17227034"/>
    <n v="3177423.910740767"/>
    <n v="100"/>
    <n v="152"/>
    <n v="52.5"/>
    <n v="250"/>
    <n v="250"/>
    <n v="0"/>
    <n v="5501935.5"/>
    <n v="5506200"/>
    <n v="2163682.5"/>
    <n v="0"/>
    <n v="418"/>
    <n v="17227034"/>
    <n v="3706994.562530895"/>
    <n v="120"/>
    <n v="346"/>
    <n v="42"/>
    <n v="0"/>
    <n v="0"/>
    <n v="5149503"/>
    <n v="14259698"/>
    <n v="1730946"/>
    <n v="0"/>
    <n v="418"/>
    <n v="17227034"/>
    <n v="3529058.823529412"/>
    <n v="50"/>
    <n v="565"/>
    <n v="39"/>
    <n v="200"/>
    <n v="0"/>
    <n v="20467125"/>
    <n v="1607307"/>
    <n v="7245000"/>
    <n v="0"/>
    <n v="418"/>
    <n v="17227034"/>
    <n v="3276983.193277311"/>
    <n v="50"/>
    <n v="454"/>
    <n v="50"/>
    <n v="100"/>
    <n v="100"/>
    <n v="0"/>
    <n v="18710702"/>
    <n v="1811250"/>
    <n v="3622500"/>
    <n v="0"/>
    <n v="418"/>
    <n v="17227034"/>
    <n v="4201260.504201681"/>
    <n v="85"/>
    <n v="459"/>
    <n v="41"/>
    <m/>
    <n v="0"/>
    <n v="0"/>
    <n v="18916767"/>
    <n v="1485225"/>
    <n v="0"/>
    <n v="0"/>
    <n v="459"/>
    <n v="17227034"/>
    <n v="3445033.613445378"/>
    <n v="50"/>
    <n v="428"/>
    <n v="10"/>
    <n v="0"/>
    <n v="41"/>
    <n v="0"/>
    <n v="17639164"/>
    <n v="362250"/>
    <n v="0"/>
    <n v="0"/>
    <n v="428"/>
    <n v="17227034"/>
    <n v="840252.1008403362"/>
    <n v="70"/>
    <n v="418"/>
    <n v="70"/>
    <n v="70"/>
    <n v="70"/>
    <n v="0"/>
    <n v="17227034"/>
    <n v="2535750"/>
    <n v="2535750"/>
    <n v="0"/>
    <n v="418"/>
    <n v="17227034"/>
    <n v="5881764.705882354"/>
    <n v="45"/>
    <n v="348"/>
    <n v="45"/>
    <n v="0"/>
    <n v="0"/>
    <n v="0"/>
    <n v="12606300"/>
    <n v="1630125"/>
    <n v="0"/>
    <n v="0"/>
    <n v="348"/>
    <n v="12606300"/>
    <n v="3781134.453781513"/>
    <n v="60"/>
    <n v="303"/>
    <n v="60"/>
    <n v="0"/>
    <n v="0"/>
    <n v="0"/>
    <m/>
    <n v="10976175"/>
    <n v="2173500"/>
    <n v="0"/>
    <n v="0"/>
    <n v="303"/>
    <n v="10976175"/>
    <n v="4033109.243697479"/>
    <n v="40"/>
    <n v="243"/>
    <n v="40"/>
    <m/>
    <n v="0"/>
    <n v="8802675"/>
    <n v="1449000"/>
    <n v="0"/>
    <n v="0"/>
    <n v="243"/>
    <n v="8802675"/>
    <n v="2823176.470588236"/>
    <n v="60"/>
    <n v="203"/>
    <n v="60"/>
    <n v="0"/>
    <n v="0"/>
    <n v="7353675"/>
    <n v="2173500"/>
    <n v="0"/>
    <n v="203"/>
    <n v="7353675"/>
    <n v="5041512.605042017"/>
    <n v="24"/>
    <n v="143"/>
    <n v="24"/>
    <n v="0"/>
    <m/>
    <n v="5180175"/>
    <n v="989112"/>
    <n v="0"/>
    <n v="143"/>
    <n v="5180175"/>
    <n v="2016605.042016807"/>
  </r>
  <r>
    <s v="Levo-Perifericos de Computacion"/>
    <x v="3"/>
    <x v="10"/>
    <x v="22"/>
    <s v="LVMICPORT"/>
    <x v="94"/>
    <x v="91"/>
    <x v="0"/>
    <x v="2"/>
    <n v="1"/>
    <x v="3"/>
    <n v="0"/>
    <m/>
    <n v="0"/>
    <n v="13499"/>
    <n v="0"/>
    <n v="12.4"/>
    <n v="13547"/>
    <n v="25201.68067226891"/>
    <n v="21000"/>
    <s v="Shenzhen"/>
    <s v="20/80"/>
    <n v="30"/>
    <n v="300"/>
    <n v="3"/>
    <n v="0.446221502046007"/>
    <n v="6"/>
    <n v="0.4683167328933779"/>
    <n v="7"/>
    <n v="0.4613522734074177"/>
    <n v="6"/>
    <n v="0.4434274228876234"/>
    <n v="7"/>
    <n v="0.4728945959212815"/>
    <n v="15"/>
    <n v="0.4833602512119913"/>
    <n v="11"/>
    <n v="0.5311538600426096"/>
    <n v="16"/>
    <n v="0.349038215792646"/>
    <n v="11"/>
    <n v="0.3109971324900937"/>
    <n v="17"/>
    <n v="0.3266844662473006"/>
    <n v="7"/>
    <n v="0.3893172888015717"/>
    <n v="11"/>
    <n v="0.3629773834854829"/>
    <n v="4"/>
    <n v="0.3356717499450185"/>
    <n v="2"/>
    <n v="0.1934466018194399"/>
    <n v="4"/>
    <n v="0.2076246096130527"/>
    <n v="3"/>
    <n v="0.1764955357142857"/>
    <n v="0.75"/>
    <n v="6"/>
    <n v="0.4361725253447055"/>
    <n v="3"/>
    <n v="0"/>
    <s v=""/>
    <n v="0"/>
    <n v="0"/>
    <s v=""/>
    <n v="0"/>
    <n v="0"/>
    <s v=""/>
    <n v="0"/>
    <m/>
    <m/>
    <m/>
    <m/>
    <m/>
    <m/>
    <m/>
    <m/>
    <m/>
    <m/>
    <m/>
    <m/>
    <n v="5.333333333333333"/>
    <n v="18"/>
    <n v="5.333333333333333"/>
    <n v="0"/>
    <m/>
    <n v="0"/>
    <n v="166487.6666666667"/>
    <n v="231012"/>
    <n v="71994.66666666666"/>
    <n v="0"/>
    <n v="0"/>
    <n v="0"/>
    <n v="112948.7088953228"/>
    <n v="4"/>
    <n v="15"/>
    <n v="3"/>
    <n v="0"/>
    <m/>
    <n v="0"/>
    <n v="134990"/>
    <n v="192510"/>
    <n v="40497"/>
    <n v="0"/>
    <n v="0"/>
    <n v="0"/>
    <n v="63533.6487536191"/>
    <n v="4"/>
    <n v="13"/>
    <n v="4"/>
    <n v="0"/>
    <n v="0"/>
    <n v="120161"/>
    <n v="175487"/>
    <n v="53996"/>
    <n v="0"/>
    <n v="0"/>
    <n v="0"/>
    <n v="100806.7226890756"/>
    <n v="4"/>
    <n v="6"/>
    <n v="3"/>
    <n v="0"/>
    <n v="0"/>
    <n v="77003.99999999999"/>
    <n v="40497"/>
    <n v="0"/>
    <n v="0"/>
    <n v="0"/>
    <n v="0"/>
    <n v="75605.04201680672"/>
    <n v="2"/>
    <n v="6"/>
    <n v="2"/>
    <m/>
    <n v="0"/>
    <n v="0"/>
    <n v="80994"/>
    <n v="25668"/>
    <n v="0"/>
    <n v="0"/>
    <n v="0"/>
    <n v="0"/>
    <n v="50403.36134453781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evo-Perifericos de Computacion"/>
    <x v="3"/>
    <x v="10"/>
    <x v="22"/>
    <s v="LVMSVEL-GR"/>
    <x v="95"/>
    <x v="92"/>
    <x v="0"/>
    <x v="0"/>
    <n v="1"/>
    <x v="55"/>
    <n v="955"/>
    <m/>
    <n v="0"/>
    <n v="3074"/>
    <n v="2935670"/>
    <n v="3.2"/>
    <n v="3496"/>
    <n v="8394.957983193277"/>
    <n v="7554.621848739496"/>
    <s v="Shenzhen"/>
    <s v="30/70"/>
    <n v="30"/>
    <n v="1000"/>
    <n v="0"/>
    <s v=""/>
    <n v="0"/>
    <s v=""/>
    <n v="0"/>
    <s v=""/>
    <n v="0"/>
    <s v=""/>
    <n v="0"/>
    <s v=""/>
    <n v="0"/>
    <s v=""/>
    <n v="0"/>
    <s v=""/>
    <n v="0"/>
    <n v="0"/>
    <n v="19"/>
    <n v="0.5847499767525713"/>
    <n v="126"/>
    <n v="0.4424987889389397"/>
    <n v="89"/>
    <n v="0.5369147724662747"/>
    <n v="102"/>
    <n v="0.5172165277160078"/>
    <n v="63"/>
    <n v="0.3826665340592895"/>
    <n v="60"/>
    <n v="0.4532920418574449"/>
    <n v="85"/>
    <n v="0.4941606549561554"/>
    <n v="98"/>
    <n v="0.4982119372825483"/>
    <n v="1.306666666666667"/>
    <n v="87"/>
    <n v="0.6004219969096876"/>
    <n v="1.16"/>
    <n v="146"/>
    <n v="0.4108732389469766"/>
    <n v="1.216666666666667"/>
    <n v="100"/>
    <n v="0.6081044871855481"/>
    <n v="1.176470588235294"/>
    <n v="15"/>
    <n v="0.5892386023000983"/>
    <n v="0.1666666666666667"/>
    <m/>
    <m/>
    <m/>
    <m/>
    <m/>
    <m/>
    <m/>
    <m/>
    <m/>
    <m/>
    <m/>
    <m/>
    <n v="80"/>
    <n v="447"/>
    <n v="60"/>
    <n v="0"/>
    <m/>
    <n v="0"/>
    <n v="722390"/>
    <n v="1480464"/>
    <n v="184440"/>
    <n v="0"/>
    <n v="955"/>
    <n v="2935670"/>
    <n v="423275.1924299131"/>
    <n v="100"/>
    <n v="568"/>
    <n v="90"/>
    <n v="0"/>
    <m/>
    <n v="0"/>
    <n v="839202"/>
    <n v="1881216"/>
    <n v="276660"/>
    <n v="0"/>
    <n v="955"/>
    <n v="2935670"/>
    <n v="634912.7886448697"/>
    <n v="150"/>
    <n v="520"/>
    <n v="85"/>
    <n v="0"/>
    <n v="0"/>
    <n v="810942"/>
    <n v="1598480"/>
    <n v="261290"/>
    <n v="0"/>
    <n v="955"/>
    <n v="2935670"/>
    <n v="713571.4285714285"/>
    <n v="75"/>
    <n v="1414"/>
    <n v="98"/>
    <n v="1000"/>
    <n v="0"/>
    <n v="4683167.999999999"/>
    <n v="301252"/>
    <n v="3312000"/>
    <n v="0"/>
    <n v="955"/>
    <n v="2935670"/>
    <n v="822705.8823529411"/>
    <n v="75"/>
    <n v="1042"/>
    <n v="75"/>
    <m/>
    <n v="300"/>
    <n v="0"/>
    <n v="3203108"/>
    <n v="248400"/>
    <n v="0"/>
    <n v="0"/>
    <n v="955"/>
    <n v="2935670"/>
    <n v="629621.8487394957"/>
    <n v="120"/>
    <n v="1101"/>
    <n v="146"/>
    <m/>
    <n v="0"/>
    <n v="0"/>
    <n v="3384474"/>
    <n v="483551.9999999999"/>
    <n v="0"/>
    <n v="0"/>
    <n v="1101"/>
    <n v="2935670"/>
    <n v="1225663.865546218"/>
    <n v="85"/>
    <n v="1055"/>
    <n v="100"/>
    <n v="0"/>
    <n v="0"/>
    <n v="0"/>
    <n v="3243070"/>
    <n v="331199.9999999999"/>
    <n v="0"/>
    <n v="0"/>
    <n v="1055"/>
    <n v="2935670"/>
    <n v="839495.7983193276"/>
    <n v="90"/>
    <n v="955"/>
    <n v="90"/>
    <n v="0"/>
    <n v="0"/>
    <n v="0"/>
    <n v="2935670"/>
    <n v="298079.9999999999"/>
    <n v="0"/>
    <n v="0"/>
    <n v="955"/>
    <n v="2935670"/>
    <n v="755546.218487395"/>
    <n v="75"/>
    <n v="865"/>
    <n v="75"/>
    <n v="0"/>
    <n v="0"/>
    <n v="0"/>
    <n v="2864880"/>
    <n v="248400"/>
    <n v="0"/>
    <n v="0"/>
    <n v="865"/>
    <n v="2864880"/>
    <n v="629621.8487394957"/>
    <n v="100"/>
    <n v="790"/>
    <n v="100"/>
    <n v="0"/>
    <n v="0"/>
    <n v="0"/>
    <m/>
    <n v="2616480"/>
    <n v="331199.9999999999"/>
    <n v="0"/>
    <n v="0"/>
    <n v="790"/>
    <n v="2616480"/>
    <n v="755462.1848739496"/>
    <n v="80"/>
    <n v="690"/>
    <n v="80"/>
    <m/>
    <n v="0"/>
    <n v="2285280"/>
    <n v="264959.9999999999"/>
    <n v="0"/>
    <n v="0"/>
    <n v="690"/>
    <n v="2285280"/>
    <n v="634588.2352941177"/>
    <n v="125"/>
    <n v="610"/>
    <n v="125"/>
    <n v="0"/>
    <n v="0"/>
    <n v="2020320"/>
    <n v="413999.9999999999"/>
    <n v="0"/>
    <n v="610"/>
    <n v="2020320"/>
    <n v="1049369.74789916"/>
    <n v="48"/>
    <n v="485"/>
    <n v="48"/>
    <n v="0"/>
    <m/>
    <n v="1606320"/>
    <n v="147552"/>
    <n v="0"/>
    <n v="485"/>
    <n v="1606320"/>
    <n v="402957.9831932773"/>
  </r>
  <r>
    <s v="Levo-Perifericos de Computacion"/>
    <x v="3"/>
    <x v="10"/>
    <x v="22"/>
    <s v="LVSILLERGO-BL"/>
    <x v="96"/>
    <x v="93"/>
    <x v="0"/>
    <x v="1"/>
    <n v="1"/>
    <x v="56"/>
    <n v="316"/>
    <m/>
    <n v="0"/>
    <n v="36880"/>
    <n v="11654080"/>
    <n v="30.5"/>
    <n v="33321.25"/>
    <n v="75621.84873949581"/>
    <n v="71420.1680672269"/>
    <s v="Shenzhen"/>
    <s v="30/70"/>
    <n v="30"/>
    <n v="100"/>
    <n v="0"/>
    <s v=""/>
    <n v="0"/>
    <s v=""/>
    <n v="2"/>
    <n v="0.4289722963895172"/>
    <n v="20"/>
    <n v="0.570720102928012"/>
    <n v="57"/>
    <n v="0.5444152641161951"/>
    <n v="119"/>
    <n v="0.4953482373396436"/>
    <n v="91"/>
    <n v="0.5786538382892384"/>
    <n v="60"/>
    <n v="0.4592954917742554"/>
    <n v="18"/>
    <n v="0.4615592203868781"/>
    <n v="117"/>
    <n v="0.4679676849765289"/>
    <n v="94"/>
    <n v="0.4944207782262003"/>
    <n v="159"/>
    <n v="0.4731314885563512"/>
    <n v="36"/>
    <n v="0.3031208604165275"/>
    <n v="79"/>
    <n v="0.3137322219877193"/>
    <n v="111"/>
    <n v="0.3050790974873116"/>
    <n v="71"/>
    <n v="0.3520167029635611"/>
    <n v="0.8875"/>
    <n v="78"/>
    <n v="0.479985176664885"/>
    <n v="0.9176470588235294"/>
    <n v="77"/>
    <n v="0.2306258178038556"/>
    <n v="0.5923076923076923"/>
    <n v="90"/>
    <n v="0.4304190408579181"/>
    <n v="1.125"/>
    <n v="31"/>
    <n v="0.4824970335175262"/>
    <n v="0.3875"/>
    <m/>
    <m/>
    <m/>
    <m/>
    <m/>
    <m/>
    <m/>
    <m/>
    <m/>
    <m/>
    <m/>
    <m/>
    <n v="125"/>
    <n v="33"/>
    <n v="25"/>
    <n v="150"/>
    <n v="150"/>
    <n v="0"/>
    <n v="9385960"/>
    <n v="1041727.5"/>
    <n v="922000"/>
    <n v="0"/>
    <n v="316"/>
    <n v="11654080"/>
    <n v="1588694.301249912"/>
    <n v="125"/>
    <n v="388"/>
    <n v="118.5"/>
    <n v="325"/>
    <n v="325"/>
    <n v="0"/>
    <n v="11082440"/>
    <n v="12248190"/>
    <n v="4370280"/>
    <n v="0"/>
    <n v="316"/>
    <n v="11654080"/>
    <n v="7530410.987924582"/>
    <n v="150"/>
    <n v="427"/>
    <n v="111"/>
    <n v="0"/>
    <n v="0"/>
    <n v="9395397.5"/>
    <n v="15747760"/>
    <n v="4093680"/>
    <n v="0"/>
    <n v="316"/>
    <n v="11654080"/>
    <n v="8394025.210084034"/>
    <n v="80"/>
    <n v="469"/>
    <n v="71"/>
    <n v="200"/>
    <n v="0"/>
    <n v="14805157.5"/>
    <n v="2618480"/>
    <n v="6313499.999999999"/>
    <n v="0"/>
    <n v="316"/>
    <n v="11654080"/>
    <n v="5369151.260504202"/>
    <n v="85"/>
    <n v="394"/>
    <n v="85"/>
    <n v="100"/>
    <n v="100"/>
    <n v="0"/>
    <n v="14530720"/>
    <n v="2683237.5"/>
    <n v="3156750"/>
    <n v="0"/>
    <n v="316"/>
    <n v="11654080"/>
    <n v="6427857.142857144"/>
    <n v="130"/>
    <n v="393"/>
    <n v="77"/>
    <m/>
    <n v="100"/>
    <n v="0"/>
    <n v="14493840"/>
    <n v="2430697.5"/>
    <n v="0"/>
    <n v="0"/>
    <n v="393"/>
    <n v="11654080"/>
    <n v="5822882.352941177"/>
    <n v="80"/>
    <n v="406"/>
    <n v="90"/>
    <n v="100"/>
    <n v="100"/>
    <n v="0"/>
    <n v="14973280"/>
    <n v="2841075"/>
    <n v="3051525"/>
    <n v="0"/>
    <n v="406"/>
    <n v="11654080"/>
    <n v="6805966.386554623"/>
    <n v="80"/>
    <n v="316"/>
    <n v="80"/>
    <n v="104.7241379310345"/>
    <n v="104.7241379310345"/>
    <n v="0"/>
    <n v="11654080"/>
    <n v="2525400"/>
    <n v="3305879.224137931"/>
    <n v="0"/>
    <n v="316"/>
    <n v="11654080"/>
    <n v="6049747.899159664"/>
    <n v="60"/>
    <n v="236"/>
    <n v="60"/>
    <n v="0"/>
    <n v="0"/>
    <n v="0"/>
    <n v="7449929.999999999"/>
    <n v="1894050"/>
    <n v="0"/>
    <n v="0"/>
    <n v="236"/>
    <n v="7449929.999999999"/>
    <n v="4537310.924369749"/>
    <n v="80"/>
    <n v="176"/>
    <n v="80"/>
    <n v="0"/>
    <n v="0"/>
    <n v="0"/>
    <m/>
    <n v="5555879.999999999"/>
    <n v="2525400"/>
    <n v="0"/>
    <n v="0"/>
    <n v="176"/>
    <n v="5555879.999999999"/>
    <n v="5713613.445378152"/>
    <n v="70"/>
    <n v="96"/>
    <n v="70"/>
    <m/>
    <n v="0"/>
    <n v="3030480"/>
    <n v="2209725"/>
    <n v="0"/>
    <n v="0"/>
    <n v="96"/>
    <n v="3030480"/>
    <n v="5249382.352941178"/>
    <n v="80"/>
    <n v="26"/>
    <n v="80"/>
    <n v="0"/>
    <n v="0"/>
    <n v="820754.9999999999"/>
    <n v="2525400"/>
    <n v="0"/>
    <n v="26"/>
    <n v="820754.9999999999"/>
    <n v="6049747.899159664"/>
    <n v="42"/>
    <n v="0"/>
    <n v="42"/>
    <n v="0"/>
    <m/>
    <n v="0"/>
    <n v="1548960"/>
    <n v="0"/>
    <n v="0"/>
    <n v="0"/>
    <n v="3176117.647058824"/>
  </r>
  <r>
    <s v="Levo-Perifericos de Computacion"/>
    <x v="3"/>
    <x v="10"/>
    <x v="22"/>
    <s v="LVSILLLIT-BL"/>
    <x v="97"/>
    <x v="94"/>
    <x v="0"/>
    <x v="1"/>
    <n v="1"/>
    <x v="3"/>
    <n v="367"/>
    <m/>
    <n v="0"/>
    <n v="13053"/>
    <n v="4790451"/>
    <n v="9.199999999999999"/>
    <n v="10051"/>
    <n v="33605.04201680672"/>
    <n v="33605.04201680672"/>
    <s v="Shenzhen"/>
    <s v="30/70"/>
    <n v="30"/>
    <n v="100"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4"/>
    <n v="0.2606058904440184"/>
    <n v="0.04"/>
    <n v="33"/>
    <n v="0.6260751666428179"/>
    <n v="0.33"/>
    <n v="89"/>
    <n v="0.3186350815121325"/>
    <n v="0.89"/>
    <n v="-5"/>
    <n v="0.7525924227076684"/>
    <n v="-0.08333333333333333"/>
    <n v="1"/>
    <n v="0.6115748937234309"/>
    <n v="0.0125"/>
    <m/>
    <m/>
    <m/>
    <m/>
    <m/>
    <m/>
    <m/>
    <m/>
    <m/>
    <m/>
    <m/>
    <m/>
    <n v="0"/>
    <n v="0"/>
    <n v="0"/>
    <n v="0"/>
    <n v="0"/>
    <n v="0"/>
    <n v="0"/>
    <n v="0"/>
    <n v="0"/>
    <n v="0"/>
    <n v="367"/>
    <n v="4790451"/>
    <n v="0"/>
    <n v="0"/>
    <n v="0"/>
    <n v="0"/>
    <n v="200"/>
    <n v="200"/>
    <n v="0"/>
    <n v="52212"/>
    <n v="0"/>
    <n v="0"/>
    <n v="0"/>
    <n v="367"/>
    <n v="4790451"/>
    <n v="0"/>
    <n v="25"/>
    <n v="0"/>
    <n v="0"/>
    <n v="0"/>
    <n v="0"/>
    <n v="1004412"/>
    <n v="0"/>
    <n v="0"/>
    <n v="0"/>
    <n v="367"/>
    <n v="4790451"/>
    <n v="0"/>
    <n v="100"/>
    <n v="406"/>
    <n v="4"/>
    <n v="200"/>
    <n v="0"/>
    <n v="3865932"/>
    <n v="52212"/>
    <n v="1904400"/>
    <n v="0"/>
    <n v="367"/>
    <n v="4790451"/>
    <n v="134420.1680672269"/>
    <n v="100"/>
    <n v="400"/>
    <n v="100"/>
    <n v="100"/>
    <n v="100"/>
    <n v="0"/>
    <n v="5221200"/>
    <n v="952200"/>
    <n v="952200"/>
    <n v="0"/>
    <n v="367"/>
    <n v="4790451"/>
    <n v="3360504.201680672"/>
    <n v="100"/>
    <n v="456"/>
    <n v="89"/>
    <m/>
    <n v="0"/>
    <n v="0"/>
    <n v="5952168"/>
    <n v="847458"/>
    <n v="0"/>
    <n v="0"/>
    <n v="456"/>
    <n v="4790451"/>
    <n v="2990848.739495798"/>
    <n v="60"/>
    <n v="362"/>
    <n v="-5"/>
    <n v="0"/>
    <n v="0"/>
    <n v="0"/>
    <n v="4725186"/>
    <n v="-47610"/>
    <n v="0"/>
    <n v="0"/>
    <n v="362"/>
    <n v="4790451"/>
    <n v="-168025.2100840336"/>
    <n v="80"/>
    <n v="367"/>
    <n v="80"/>
    <n v="100"/>
    <n v="100"/>
    <n v="0"/>
    <n v="4790451"/>
    <n v="761760"/>
    <n v="952200"/>
    <n v="0"/>
    <n v="367"/>
    <n v="4790451"/>
    <n v="2688403.361344538"/>
    <n v="50"/>
    <n v="287"/>
    <n v="50"/>
    <n v="0"/>
    <n v="0"/>
    <n v="0"/>
    <n v="2732814"/>
    <n v="476100"/>
    <n v="0"/>
    <n v="0"/>
    <n v="287"/>
    <n v="2732814"/>
    <n v="1680252.100840336"/>
    <n v="60"/>
    <n v="337"/>
    <n v="60"/>
    <n v="0"/>
    <n v="0"/>
    <n v="0"/>
    <n v="100"/>
    <n v="3208914"/>
    <n v="571320"/>
    <n v="0"/>
    <n v="952200"/>
    <n v="337"/>
    <n v="4161114"/>
    <n v="2016302.521008403"/>
    <n v="60"/>
    <n v="277"/>
    <n v="60"/>
    <m/>
    <n v="0"/>
    <n v="2637594"/>
    <n v="571320"/>
    <n v="0"/>
    <n v="0"/>
    <n v="277"/>
    <n v="2637594"/>
    <n v="2117117.647058824"/>
    <n v="60"/>
    <n v="217"/>
    <n v="60"/>
    <n v="0"/>
    <n v="0"/>
    <n v="2066274"/>
    <n v="571320"/>
    <n v="0"/>
    <n v="217"/>
    <n v="2066274"/>
    <n v="2016302.521008403"/>
    <n v="36"/>
    <n v="157"/>
    <n v="36"/>
    <n v="0"/>
    <m/>
    <n v="1494954"/>
    <n v="469908"/>
    <n v="0"/>
    <n v="157"/>
    <n v="1494954"/>
    <n v="1209781.512605042"/>
  </r>
  <r>
    <s v="Levo-Perifericos de Computacion"/>
    <x v="3"/>
    <x v="10"/>
    <x v="22"/>
    <s v="LVTECOFSL-GR"/>
    <x v="98"/>
    <x v="95"/>
    <x v="0"/>
    <x v="1"/>
    <n v="1"/>
    <x v="57"/>
    <n v="25"/>
    <m/>
    <n v="0"/>
    <n v="12030"/>
    <n v="300750"/>
    <n v="13.2"/>
    <n v="14421"/>
    <n v="27722.68907563025"/>
    <n v="24361.34453781513"/>
    <s v="Shenzhen"/>
    <s v="30/70"/>
    <n v="30"/>
    <n v="1000"/>
    <n v="0"/>
    <s v=""/>
    <n v="0"/>
    <s v=""/>
    <n v="1"/>
    <n v="0.5514357982443089"/>
    <n v="36"/>
    <n v="0.5457370511329707"/>
    <n v="47"/>
    <n v="0.5646281358441624"/>
    <n v="98"/>
    <n v="0.492365833956485"/>
    <n v="77"/>
    <n v="0.531722145071567"/>
    <n v="93"/>
    <n v="0.5506143251330836"/>
    <n v="43"/>
    <n v="0.5564796386393324"/>
    <n v="161"/>
    <n v="0.4795090713811183"/>
    <n v="116"/>
    <n v="0.527180741463229"/>
    <n v="84"/>
    <n v="0.5314228142171615"/>
    <n v="77"/>
    <n v="0.4031776665040128"/>
    <n v="87"/>
    <n v="0.3650503936171378"/>
    <n v="126"/>
    <n v="0.330659023731421"/>
    <n v="188"/>
    <n v="0.3733008832002285"/>
    <n v="1.566666666666667"/>
    <n v="200"/>
    <n v="0.5213431198603685"/>
    <n v="2.222222222222222"/>
    <n v="330"/>
    <n v="0.2125581724423957"/>
    <n v="2.357142857142857"/>
    <n v="178"/>
    <n v="0.5721366399161827"/>
    <n v="0.712"/>
    <n v="14"/>
    <n v="0.6217595476555835"/>
    <n v="0.1007194244604317"/>
    <m/>
    <m/>
    <m/>
    <m/>
    <m/>
    <m/>
    <m/>
    <m/>
    <m/>
    <m/>
    <m/>
    <m/>
    <n v="75"/>
    <n v="250"/>
    <n v="75"/>
    <n v="1000"/>
    <n v="1000"/>
    <n v="0"/>
    <n v="3987945"/>
    <n v="3415500"/>
    <n v="902250"/>
    <n v="0"/>
    <n v="25"/>
    <n v="300750"/>
    <n v="1747228.30308594"/>
    <n v="80"/>
    <n v="141"/>
    <n v="130.5"/>
    <n v="0"/>
    <m/>
    <n v="0"/>
    <n v="5347335"/>
    <n v="1926342"/>
    <n v="1569915"/>
    <n v="0"/>
    <n v="25"/>
    <n v="300750"/>
    <n v="3040177.247369536"/>
    <n v="120"/>
    <n v="1027"/>
    <n v="126"/>
    <n v="0"/>
    <n v="0"/>
    <n v="5007000"/>
    <n v="12354810"/>
    <n v="1515780"/>
    <n v="0"/>
    <n v="25"/>
    <n v="300750"/>
    <n v="3493058.823529412"/>
    <n v="120"/>
    <n v="914"/>
    <n v="188"/>
    <n v="0"/>
    <n v="0"/>
    <n v="12487068"/>
    <n v="2261640"/>
    <n v="0"/>
    <n v="0"/>
    <n v="25"/>
    <n v="300750"/>
    <n v="5211865.546218487"/>
    <n v="90"/>
    <n v="225"/>
    <n v="90"/>
    <m/>
    <n v="0"/>
    <n v="0"/>
    <n v="2706750"/>
    <n v="1229580"/>
    <n v="0"/>
    <n v="0"/>
    <n v="25"/>
    <n v="300750"/>
    <n v="2495042.016806723"/>
    <n v="140"/>
    <n v="355"/>
    <n v="330"/>
    <m/>
    <n v="0"/>
    <n v="0"/>
    <n v="4270650"/>
    <n v="4508459.999999999"/>
    <n v="0"/>
    <n v="0"/>
    <n v="355"/>
    <n v="300750"/>
    <n v="9148487.394957984"/>
    <n v="250"/>
    <n v="203"/>
    <n v="178"/>
    <n v="0"/>
    <n v="0"/>
    <n v="0"/>
    <n v="2442090"/>
    <n v="2431836"/>
    <n v="0"/>
    <n v="0"/>
    <n v="203"/>
    <n v="300750"/>
    <n v="4934638.655462185"/>
    <n v="139"/>
    <n v="25"/>
    <n v="139"/>
    <n v="0"/>
    <n v="0"/>
    <n v="0"/>
    <n v="300750"/>
    <n v="1899018"/>
    <n v="0"/>
    <n v="0"/>
    <n v="25"/>
    <n v="300750"/>
    <n v="3853453.781512605"/>
    <n v="0"/>
    <n v="0"/>
    <n v="0"/>
    <n v="0"/>
    <n v="0"/>
    <n v="0"/>
    <n v="0"/>
    <n v="0"/>
    <n v="0"/>
    <n v="0"/>
    <n v="0"/>
    <n v="0"/>
    <n v="0"/>
    <n v="100"/>
    <n v="0"/>
    <n v="100"/>
    <n v="1000"/>
    <n v="1000"/>
    <n v="1000"/>
    <n v="0"/>
    <n v="0"/>
    <n v="1366200"/>
    <n v="13662000"/>
    <n v="13662000"/>
    <n v="1000"/>
    <n v="13662000"/>
    <n v="2436134.453781513"/>
    <n v="250"/>
    <n v="900"/>
    <n v="250"/>
    <m/>
    <n v="0"/>
    <n v="12295800"/>
    <n v="3415500"/>
    <n v="0"/>
    <n v="0"/>
    <n v="900"/>
    <n v="12295800"/>
    <n v="6394852.941176471"/>
    <n v="250"/>
    <n v="650"/>
    <n v="250"/>
    <n v="0"/>
    <n v="0"/>
    <n v="8880299.999999998"/>
    <n v="3415500"/>
    <n v="0"/>
    <n v="650"/>
    <n v="8880299.999999998"/>
    <n v="6930672.268907563"/>
    <n v="150"/>
    <n v="400"/>
    <n v="150"/>
    <n v="0"/>
    <m/>
    <n v="5464799.999999999"/>
    <n v="1804500"/>
    <n v="0"/>
    <n v="400"/>
    <n v="5464799.999999999"/>
    <n v="4158403.361344538"/>
  </r>
  <r>
    <s v="Levo-Smart Home"/>
    <x v="3"/>
    <x v="11"/>
    <x v="23"/>
    <n v="1652825027456"/>
    <x v="99"/>
    <x v="96"/>
    <x v="0"/>
    <x v="3"/>
    <n v="0.9"/>
    <x v="58"/>
    <n v="53"/>
    <m/>
    <n v="0"/>
    <n v="6466"/>
    <n v="342698"/>
    <n v="6.5"/>
    <n v="7101.249999999999"/>
    <n v="16798.31932773109"/>
    <n v="15117.64705882353"/>
    <s v="Shenzhen"/>
    <s v="20/80"/>
    <n v="30"/>
    <n v="300"/>
    <n v="91"/>
    <n v="0.6061961950489748"/>
    <n v="100"/>
    <n v="0.588074127736354"/>
    <n v="91"/>
    <n v="0.6316231260146341"/>
    <n v="105"/>
    <n v="0.6165755820968829"/>
    <n v="51"/>
    <n v="0.6671149096952609"/>
    <n v="79"/>
    <n v="0.6122987782072026"/>
    <n v="114"/>
    <n v="0.5775140713712331"/>
    <n v="66"/>
    <n v="0.6164749808099762"/>
    <n v="85"/>
    <n v="0.5622003956349827"/>
    <n v="82"/>
    <n v="0.5564538009784845"/>
    <n v="60"/>
    <n v="0.5663565197682298"/>
    <n v="92"/>
    <n v="0.5173942247165608"/>
    <n v="26"/>
    <n v="0.579675294737121"/>
    <n v="90"/>
    <n v="0.4361259409270177"/>
    <n v="58"/>
    <n v="0.5037743335832056"/>
    <n v="35"/>
    <n v="0.555389652562041"/>
    <n v="0.4375"/>
    <n v="53"/>
    <n v="0.5917637046936473"/>
    <n v="0.6625"/>
    <n v="201"/>
    <n v="0.5664043215394471"/>
    <n v="2.01"/>
    <n v="0"/>
    <s v=""/>
    <n v="0"/>
    <n v="0"/>
    <s v=""/>
    <n v="0"/>
    <m/>
    <m/>
    <m/>
    <m/>
    <m/>
    <m/>
    <m/>
    <m/>
    <m/>
    <m/>
    <m/>
    <m/>
    <n v="80"/>
    <n v="47"/>
    <n v="50"/>
    <n v="300"/>
    <n v="150"/>
    <n v="0"/>
    <n v="1571238"/>
    <n v="316192.4999999999"/>
    <n v="323300"/>
    <n v="0"/>
    <n v="53"/>
    <n v="342698"/>
    <n v="705811.7364592897"/>
    <n v="80"/>
    <n v="315"/>
    <n v="135"/>
    <n v="0"/>
    <m/>
    <n v="0"/>
    <n v="1474248"/>
    <n v="2119162.5"/>
    <n v="872910"/>
    <n v="0"/>
    <n v="53"/>
    <n v="342698"/>
    <n v="1905691.688440082"/>
    <n v="80"/>
    <n v="209"/>
    <n v="58"/>
    <n v="0"/>
    <n v="0"/>
    <n v="1085718"/>
    <n v="1351394"/>
    <n v="375028"/>
    <n v="0"/>
    <n v="53"/>
    <n v="342698"/>
    <n v="974302.5210084034"/>
    <n v="80"/>
    <n v="445"/>
    <n v="35"/>
    <n v="300"/>
    <n v="0"/>
    <n v="2993737.5"/>
    <n v="226310"/>
    <n v="2018250"/>
    <n v="0"/>
    <n v="53"/>
    <n v="342698"/>
    <n v="587941.1764705882"/>
    <n v="80"/>
    <n v="106"/>
    <n v="72"/>
    <m/>
    <n v="0"/>
    <n v="0"/>
    <n v="685396"/>
    <n v="484379.9999999999"/>
    <n v="0"/>
    <n v="0"/>
    <n v="53"/>
    <n v="342698"/>
    <n v="1209478.991596639"/>
    <n v="100"/>
    <n v="254"/>
    <n v="201"/>
    <m/>
    <n v="0"/>
    <n v="0"/>
    <n v="1642364"/>
    <n v="1352227.5"/>
    <n v="0"/>
    <n v="0"/>
    <n v="254"/>
    <n v="342698"/>
    <n v="3376462.18487395"/>
    <n v="70"/>
    <n v="53"/>
    <n v="0"/>
    <n v="0"/>
    <n v="0"/>
    <n v="0"/>
    <n v="342698"/>
    <n v="0"/>
    <n v="0"/>
    <n v="0"/>
    <n v="53"/>
    <n v="342698"/>
    <n v="0"/>
    <n v="70"/>
    <n v="53"/>
    <n v="63"/>
    <n v="0"/>
    <n v="0"/>
    <n v="0"/>
    <n v="342698"/>
    <n v="423832.4999999999"/>
    <n v="0"/>
    <n v="0"/>
    <n v="53"/>
    <n v="342698"/>
    <n v="1058294.117647059"/>
    <n v="70"/>
    <n v="0"/>
    <n v="63"/>
    <n v="0"/>
    <n v="0"/>
    <n v="0"/>
    <n v="0"/>
    <n v="423832.4999999999"/>
    <n v="0"/>
    <n v="0"/>
    <n v="0"/>
    <n v="0"/>
    <n v="1058294.117647059"/>
    <n v="90"/>
    <n v="0"/>
    <n v="0"/>
    <n v="0"/>
    <n v="0"/>
    <n v="0"/>
    <m/>
    <n v="0"/>
    <n v="0"/>
    <n v="0"/>
    <n v="0"/>
    <n v="0"/>
    <n v="0"/>
    <n v="0"/>
    <n v="80"/>
    <n v="0"/>
    <n v="72"/>
    <n v="300"/>
    <n v="300"/>
    <n v="0"/>
    <n v="484379.9999999999"/>
    <n v="2018250"/>
    <n v="2018250"/>
    <n v="300"/>
    <n v="2018250"/>
    <n v="1142894.117647059"/>
    <n v="80"/>
    <n v="228"/>
    <n v="72"/>
    <n v="0"/>
    <n v="0"/>
    <n v="1533870"/>
    <n v="484379.9999999999"/>
    <n v="0"/>
    <n v="228"/>
    <n v="1533870"/>
    <n v="1209478.991596639"/>
    <n v="48"/>
    <n v="156"/>
    <n v="43.2"/>
    <n v="0"/>
    <m/>
    <n v="1049490"/>
    <n v="279331.2"/>
    <n v="0"/>
    <n v="156"/>
    <n v="1049490"/>
    <n v="725687.3949579833"/>
  </r>
  <r>
    <s v="Levo-Smart Home"/>
    <x v="3"/>
    <x v="11"/>
    <x v="24"/>
    <n v="67327559384453"/>
    <x v="100"/>
    <x v="97"/>
    <x v="0"/>
    <x v="1"/>
    <n v="1"/>
    <x v="59"/>
    <n v="7"/>
    <m/>
    <n v="0"/>
    <n v="11134"/>
    <n v="77938"/>
    <n v="13.4"/>
    <n v="14639.5"/>
    <n v="25201.68067226891"/>
    <n v="25201.68067226891"/>
    <s v="Shenzhen"/>
    <s v="30/70"/>
    <n v="30"/>
    <n v="50"/>
    <n v="103"/>
    <n v="0.6457568688977868"/>
    <n v="58"/>
    <n v="0.661688175463256"/>
    <n v="33"/>
    <n v="0.6913149545907454"/>
    <n v="20"/>
    <n v="0.7233715346778159"/>
    <n v="5"/>
    <n v="0.6754855911636174"/>
    <n v="56"/>
    <n v="0.6628004527966471"/>
    <n v="30"/>
    <n v="0.6978013530445319"/>
    <n v="46"/>
    <n v="0.6562069338100424"/>
    <n v="16"/>
    <n v="0.6808662353165756"/>
    <n v="60"/>
    <n v="0.6122744467096963"/>
    <n v="50"/>
    <n v="0.5926877779785392"/>
    <n v="85"/>
    <n v="0.558975139939484"/>
    <n v="33"/>
    <n v="0.458053360134788"/>
    <n v="104"/>
    <n v="0.3828118338348571"/>
    <n v="126"/>
    <n v="0.3341563560659754"/>
    <n v="18"/>
    <n v="0.4489979455328193"/>
    <n v="0.4"/>
    <n v="2"/>
    <n v="0.5450430143381128"/>
    <n v="0.04444444444444445"/>
    <n v="11"/>
    <n v="0.1212405347037431"/>
    <n v="2.2"/>
    <n v="0"/>
    <s v=""/>
    <n v="0"/>
    <n v="0"/>
    <s v=""/>
    <n v="0"/>
    <m/>
    <m/>
    <m/>
    <m/>
    <m/>
    <m/>
    <m/>
    <m/>
    <m/>
    <m/>
    <m/>
    <m/>
    <n v="50"/>
    <n v="149"/>
    <n v="30"/>
    <n v="50"/>
    <n v="50"/>
    <n v="0"/>
    <n v="3473808"/>
    <n v="2066481"/>
    <n v="334020"/>
    <n v="0"/>
    <n v="7"/>
    <n v="77938"/>
    <n v="635336.487536191"/>
    <n v="50"/>
    <n v="245"/>
    <n v="156"/>
    <n v="80"/>
    <n v="80"/>
    <n v="0"/>
    <n v="3340200"/>
    <n v="3397905"/>
    <n v="1736904"/>
    <n v="0"/>
    <n v="7"/>
    <n v="77938"/>
    <n v="3303749.735188193"/>
    <n v="50"/>
    <n v="93"/>
    <n v="126"/>
    <n v="0"/>
    <n v="0"/>
    <n v="2227401"/>
    <n v="1035462"/>
    <n v="1402884"/>
    <n v="0"/>
    <n v="7"/>
    <n v="77938"/>
    <n v="3175411.764705882"/>
    <n v="45"/>
    <n v="19"/>
    <n v="18"/>
    <n v="0"/>
    <n v="0"/>
    <n v="263510.9999999999"/>
    <n v="200412"/>
    <n v="0"/>
    <n v="0"/>
    <n v="7"/>
    <n v="77938"/>
    <n v="453630.2521008403"/>
    <n v="45"/>
    <n v="9"/>
    <n v="45"/>
    <m/>
    <n v="0"/>
    <n v="0"/>
    <n v="100206"/>
    <n v="624104.9999999999"/>
    <n v="0"/>
    <n v="0"/>
    <n v="7"/>
    <n v="77938"/>
    <n v="1134075.630252101"/>
    <n v="5"/>
    <n v="18"/>
    <n v="11"/>
    <m/>
    <n v="0"/>
    <n v="0"/>
    <n v="200412"/>
    <n v="152559"/>
    <n v="0"/>
    <n v="0"/>
    <n v="18"/>
    <n v="77938"/>
    <n v="277218.487394958"/>
    <n v="50"/>
    <n v="7"/>
    <n v="0"/>
    <n v="100"/>
    <n v="100"/>
    <n v="0"/>
    <n v="77938"/>
    <n v="0"/>
    <n v="1340670"/>
    <n v="0"/>
    <n v="7"/>
    <n v="77938"/>
    <n v="0"/>
    <n v="50"/>
    <n v="7"/>
    <n v="50"/>
    <n v="110"/>
    <n v="110"/>
    <n v="0"/>
    <n v="77938"/>
    <n v="693449.9999999999"/>
    <n v="1525590"/>
    <n v="0"/>
    <n v="7"/>
    <n v="77938"/>
    <n v="1260084.033613445"/>
    <n v="50"/>
    <n v="0"/>
    <n v="50"/>
    <n v="100"/>
    <n v="100"/>
    <n v="111"/>
    <n v="0"/>
    <n v="693449.9999999999"/>
    <n v="1386900"/>
    <n v="1539459"/>
    <n v="111"/>
    <n v="1539459"/>
    <n v="1260084.033613445"/>
    <n v="75"/>
    <n v="61"/>
    <n v="61"/>
    <n v="0"/>
    <n v="0"/>
    <n v="0"/>
    <n v="0"/>
    <n v="846008.9999999999"/>
    <n v="846008.9999999999"/>
    <n v="0"/>
    <n v="0"/>
    <n v="61"/>
    <n v="846008.9999999999"/>
    <n v="1537302.521008403"/>
    <n v="80"/>
    <n v="0"/>
    <n v="80"/>
    <n v="0"/>
    <n v="0"/>
    <n v="0"/>
    <n v="1109520"/>
    <n v="0"/>
    <n v="0"/>
    <n v="0"/>
    <n v="0"/>
    <n v="2116941.176470588"/>
    <n v="90"/>
    <n v="0"/>
    <n v="90"/>
    <n v="100"/>
    <n v="100"/>
    <n v="0"/>
    <n v="1248210"/>
    <n v="1386900"/>
    <n v="100"/>
    <n v="1386900"/>
    <n v="2268151.260504202"/>
    <n v="48"/>
    <n v="10"/>
    <n v="48"/>
    <n v="0"/>
    <m/>
    <n v="138690"/>
    <n v="534432"/>
    <n v="0"/>
    <n v="10"/>
    <n v="138690"/>
    <n v="1209680.672268908"/>
  </r>
  <r>
    <s v="Levo-Smart Home"/>
    <x v="3"/>
    <x v="11"/>
    <x v="25"/>
    <s v="LVCAMSEGEX-BK"/>
    <x v="101"/>
    <x v="98"/>
    <x v="0"/>
    <x v="3"/>
    <n v="1"/>
    <x v="60"/>
    <n v="23"/>
    <m/>
    <n v="0"/>
    <n v="7602"/>
    <n v="174846"/>
    <n v="7.4"/>
    <n v="7602"/>
    <n v="16798.31932773109"/>
    <n v="12596.63865546219"/>
    <s v="Shenzhen"/>
    <s v="30/70"/>
    <n v="30"/>
    <n v="100"/>
    <n v="0"/>
    <s v=""/>
    <n v="0"/>
    <s v=""/>
    <n v="0"/>
    <s v=""/>
    <n v="0"/>
    <s v=""/>
    <n v="0"/>
    <s v=""/>
    <n v="0"/>
    <s v=""/>
    <n v="0"/>
    <s v=""/>
    <n v="0"/>
    <s v=""/>
    <n v="0"/>
    <s v=""/>
    <n v="26"/>
    <n v="0.5236245143501692"/>
    <n v="79"/>
    <n v="0.5054008830468116"/>
    <n v="47"/>
    <n v="0.5471095459484603"/>
    <n v="27"/>
    <n v="0.3556967669267654"/>
    <n v="108"/>
    <n v="0.4418051477459478"/>
    <n v="236"/>
    <n v="0.5709856179410583"/>
    <n v="128"/>
    <n v="0.4480438786435521"/>
    <n v="1.066666666666667"/>
    <n v="86"/>
    <n v="0.4827624746948559"/>
    <n v="0.7166666666666667"/>
    <n v="438"/>
    <n v="0.3594649847308437"/>
    <n v="1.752"/>
    <n v="180"/>
    <n v="0.4494905610189172"/>
    <n v="0.75"/>
    <n v="9"/>
    <n v="0.4986848100486423"/>
    <n v="0"/>
    <m/>
    <m/>
    <m/>
    <m/>
    <m/>
    <m/>
    <m/>
    <m/>
    <m/>
    <m/>
    <m/>
    <m/>
    <n v="110"/>
    <n v="351"/>
    <n v="60"/>
    <n v="0"/>
    <n v="176"/>
    <n v="0"/>
    <n v="3481716"/>
    <n v="2688309"/>
    <n v="456120"/>
    <n v="0"/>
    <n v="23"/>
    <n v="174846"/>
    <n v="846974.0837511476"/>
    <n v="160"/>
    <n v="318"/>
    <n v="162"/>
    <n v="700"/>
    <n v="700"/>
    <n v="0"/>
    <n v="3998652"/>
    <n v="2435562"/>
    <n v="1231524"/>
    <n v="0"/>
    <n v="23"/>
    <n v="174846"/>
    <n v="2286830.026128098"/>
    <n v="200"/>
    <n v="929"/>
    <n v="236"/>
    <n v="0"/>
    <n v="0"/>
    <n v="3686208"/>
    <n v="7062258"/>
    <n v="1794072"/>
    <n v="0"/>
    <n v="23"/>
    <n v="174846"/>
    <n v="3964403.361344538"/>
    <n v="120"/>
    <n v="852"/>
    <n v="128"/>
    <n v="200"/>
    <n v="0"/>
    <n v="6525467.999999999"/>
    <n v="973056"/>
    <n v="1531800"/>
    <n v="0"/>
    <n v="23"/>
    <n v="174846"/>
    <n v="2150184.87394958"/>
    <n v="120"/>
    <n v="109"/>
    <n v="120"/>
    <m/>
    <n v="0"/>
    <n v="0"/>
    <n v="828618"/>
    <n v="919079.9999999999"/>
    <n v="0"/>
    <n v="0"/>
    <n v="23"/>
    <n v="174846"/>
    <n v="2015798.319327731"/>
    <n v="250"/>
    <n v="461"/>
    <n v="438"/>
    <m/>
    <n v="0"/>
    <n v="0"/>
    <n v="3504522"/>
    <n v="3354642"/>
    <n v="0"/>
    <n v="0"/>
    <n v="461"/>
    <n v="174846"/>
    <n v="7357663.865546219"/>
    <n v="240"/>
    <n v="203"/>
    <n v="180"/>
    <n v="0"/>
    <n v="0"/>
    <n v="0"/>
    <n v="1543206"/>
    <n v="1378620"/>
    <n v="0"/>
    <n v="0"/>
    <n v="203"/>
    <n v="174846"/>
    <n v="3023697.478991597"/>
    <n v="0"/>
    <n v="23"/>
    <n v="0"/>
    <n v="300"/>
    <n v="300"/>
    <n v="0"/>
    <n v="174846"/>
    <n v="0"/>
    <n v="2297700"/>
    <n v="0"/>
    <n v="23"/>
    <n v="174846"/>
    <n v="0"/>
    <n v="0"/>
    <n v="23"/>
    <n v="0"/>
    <n v="0"/>
    <n v="0"/>
    <n v="300"/>
    <n v="176157"/>
    <n v="0"/>
    <n v="0"/>
    <n v="2297700"/>
    <n v="323"/>
    <n v="2473857"/>
    <n v="0"/>
    <n v="0"/>
    <n v="323"/>
    <n v="0"/>
    <n v="0"/>
    <n v="0"/>
    <n v="0"/>
    <m/>
    <n v="2473857"/>
    <n v="0"/>
    <n v="0"/>
    <n v="0"/>
    <n v="323"/>
    <n v="2473857"/>
    <n v="0"/>
    <n v="175"/>
    <n v="323"/>
    <n v="175"/>
    <n v="200"/>
    <n v="200"/>
    <n v="2473857"/>
    <n v="1340325"/>
    <n v="1531800"/>
    <n v="1531800"/>
    <n v="523"/>
    <n v="4005656.999999999"/>
    <n v="2314632.352941177"/>
    <n v="200"/>
    <n v="348"/>
    <n v="200"/>
    <n v="200"/>
    <n v="200"/>
    <n v="2665332"/>
    <n v="1531800"/>
    <n v="1531800"/>
    <n v="548"/>
    <n v="4197131.999999999"/>
    <n v="3359663.865546219"/>
    <n v="105"/>
    <n v="348"/>
    <n v="105"/>
    <n v="0"/>
    <m/>
    <n v="2665332"/>
    <n v="798210"/>
    <n v="0"/>
    <n v="348"/>
    <n v="2665332"/>
    <n v="1763823.529411765"/>
  </r>
  <r>
    <s v="Levo-Smart Home"/>
    <x v="3"/>
    <x v="11"/>
    <x v="26"/>
    <s v="LVCITMONWF"/>
    <x v="102"/>
    <x v="99"/>
    <x v="0"/>
    <x v="2"/>
    <n v="1"/>
    <x v="3"/>
    <n v="7"/>
    <m/>
    <n v="0"/>
    <n v="65373"/>
    <n v="457611"/>
    <n v="62"/>
    <n v="67735"/>
    <n v="126042.0168067227"/>
    <n v="123521.0084033614"/>
    <s v="Shenzhen"/>
    <s v="30/70"/>
    <n v="30"/>
    <n v="50"/>
    <n v="0"/>
    <s v=""/>
    <n v="0"/>
    <n v="0"/>
    <n v="0"/>
    <s v=""/>
    <n v="2"/>
    <n v="0.4234259449123336"/>
    <n v="0"/>
    <n v="0.4597272727272727"/>
    <n v="4"/>
    <n v="0.513757238548526"/>
    <n v="5"/>
    <n v="0.4948110801725259"/>
    <n v="2"/>
    <n v="0.4813395880618433"/>
    <n v="4"/>
    <n v="0.439285543038613"/>
    <n v="5"/>
    <n v="0.4671290460473361"/>
    <n v="0"/>
    <n v="1"/>
    <n v="5"/>
    <n v="0.4237069435347277"/>
    <n v="4"/>
    <n v="0.3173353075015057"/>
    <n v="0"/>
    <s v=""/>
    <n v="4"/>
    <n v="0.3551116912067173"/>
    <n v="2"/>
    <n v="0.3293369267546927"/>
    <n v="0.6666666666666666"/>
    <n v="1"/>
    <n v="0.4634507897096352"/>
    <n v="0.3333333333333333"/>
    <n v="2"/>
    <n v="0.3118570947538555"/>
    <n v="0.25"/>
    <n v="2"/>
    <n v="0.4634548934409269"/>
    <n v="0"/>
    <n v="0"/>
    <s v=""/>
    <n v="0"/>
    <m/>
    <m/>
    <m/>
    <m/>
    <m/>
    <m/>
    <m/>
    <m/>
    <m/>
    <m/>
    <m/>
    <m/>
    <n v="2"/>
    <n v="15"/>
    <n v="2"/>
    <n v="0"/>
    <m/>
    <n v="0"/>
    <n v="392238"/>
    <n v="962549.9999999999"/>
    <n v="130746"/>
    <n v="0"/>
    <n v="7"/>
    <n v="457611"/>
    <n v="211835.3223642398"/>
    <n v="2"/>
    <n v="18"/>
    <n v="0"/>
    <n v="0"/>
    <m/>
    <n v="0"/>
    <n v="392238"/>
    <n v="1155060"/>
    <n v="0"/>
    <n v="0"/>
    <n v="7"/>
    <n v="457611"/>
    <n v="0"/>
    <n v="3"/>
    <n v="18"/>
    <n v="4"/>
    <n v="0"/>
    <n v="0"/>
    <n v="584748"/>
    <n v="1176714"/>
    <n v="261492"/>
    <n v="0"/>
    <n v="7"/>
    <n v="457611"/>
    <n v="504168.0672268908"/>
    <n v="3"/>
    <n v="14"/>
    <n v="2"/>
    <n v="0"/>
    <n v="0"/>
    <n v="898379.9999999999"/>
    <n v="130746"/>
    <n v="0"/>
    <n v="0"/>
    <n v="7"/>
    <n v="457611"/>
    <n v="252084.0336134454"/>
    <n v="3"/>
    <n v="8"/>
    <n v="3"/>
    <m/>
    <n v="0"/>
    <n v="0"/>
    <n v="522984"/>
    <n v="192510"/>
    <n v="0"/>
    <n v="0"/>
    <n v="7"/>
    <n v="457611"/>
    <n v="378126.0504201681"/>
    <n v="8"/>
    <n v="9"/>
    <n v="2"/>
    <m/>
    <n v="0"/>
    <n v="0"/>
    <n v="588357"/>
    <n v="128340"/>
    <n v="0"/>
    <n v="0"/>
    <n v="9"/>
    <n v="457611"/>
    <n v="252084.0336134454"/>
    <n v="0"/>
    <n v="9"/>
    <n v="2"/>
    <n v="0"/>
    <n v="0"/>
    <n v="0"/>
    <n v="588357"/>
    <n v="128340"/>
    <n v="0"/>
    <n v="0"/>
    <n v="9"/>
    <n v="457611"/>
    <n v="252084.0336134454"/>
    <n v="0"/>
    <n v="7"/>
    <n v="0"/>
    <n v="0"/>
    <n v="0"/>
    <n v="0"/>
    <n v="457611"/>
    <n v="0"/>
    <n v="0"/>
    <n v="0"/>
    <n v="7"/>
    <n v="457611"/>
    <n v="0"/>
    <n v="3"/>
    <n v="7"/>
    <n v="3"/>
    <n v="0"/>
    <n v="0"/>
    <n v="0"/>
    <n v="449189.9999999999"/>
    <n v="192510"/>
    <n v="0"/>
    <n v="0"/>
    <n v="7"/>
    <n v="449189.9999999999"/>
    <n v="378126.0504201681"/>
    <n v="0"/>
    <n v="4"/>
    <n v="0"/>
    <n v="0"/>
    <n v="0"/>
    <n v="0"/>
    <m/>
    <n v="256680"/>
    <n v="0"/>
    <n v="0"/>
    <n v="0"/>
    <n v="4"/>
    <n v="256680"/>
    <n v="0"/>
    <n v="0"/>
    <n v="4"/>
    <n v="0"/>
    <m/>
    <n v="0"/>
    <n v="256680"/>
    <n v="0"/>
    <n v="0"/>
    <n v="0"/>
    <n v="4"/>
    <n v="256680"/>
    <n v="0"/>
    <n v="0"/>
    <n v="4"/>
    <n v="0"/>
    <n v="0"/>
    <n v="0"/>
    <n v="256680"/>
    <n v="0"/>
    <n v="0"/>
    <n v="4"/>
    <n v="256680"/>
    <n v="0"/>
    <n v="0"/>
    <n v="4"/>
    <n v="0"/>
    <n v="0"/>
    <m/>
    <n v="256680"/>
    <n v="0"/>
    <n v="0"/>
    <n v="4"/>
    <n v="256680"/>
    <n v="0"/>
  </r>
  <r>
    <s v="Levo-Smart Home"/>
    <x v="3"/>
    <x v="11"/>
    <x v="27"/>
    <n v="1538141129434"/>
    <x v="103"/>
    <x v="100"/>
    <x v="0"/>
    <x v="0"/>
    <n v="1"/>
    <x v="61"/>
    <n v="58"/>
    <m/>
    <n v="0"/>
    <n v="3235"/>
    <n v="187630"/>
    <n v="3.53"/>
    <n v="3856.525"/>
    <n v="8394.957983193277"/>
    <n v="8394.957983193277"/>
    <s v="Shenzhen"/>
    <s v="30/70"/>
    <n v="30"/>
    <n v="100"/>
    <n v="55"/>
    <n v="0.71497455404704"/>
    <n v="59"/>
    <n v="0.6544705974982585"/>
    <n v="79"/>
    <n v="0.6775596821506892"/>
    <n v="68"/>
    <n v="0.6543814653282449"/>
    <n v="46"/>
    <n v="0.6547795163141472"/>
    <n v="155"/>
    <n v="0.6075361682667739"/>
    <n v="133"/>
    <n v="0.6420723203298146"/>
    <n v="83"/>
    <n v="0.6465067537078928"/>
    <n v="46"/>
    <n v="0.6871001127869333"/>
    <n v="94"/>
    <n v="0.5819379628543536"/>
    <n v="96"/>
    <n v="0.5936982528032965"/>
    <n v="39"/>
    <n v="0.5702343857771263"/>
    <n v="9"/>
    <n v="0.5798530649576449"/>
    <n v="41"/>
    <n v="-0.06556255254161635"/>
    <n v="106"/>
    <n v="0.2793539801742244"/>
    <n v="112"/>
    <n v="0.3960106138745958"/>
    <n v="1.6"/>
    <n v="110"/>
    <n v="0.6279420205374072"/>
    <n v="1.571428571428571"/>
    <n v="65"/>
    <n v="0.5229647027749997"/>
    <n v="0.7222222222222222"/>
    <n v="0"/>
    <s v=""/>
    <n v="0"/>
    <n v="0"/>
    <s v=""/>
    <n v="0"/>
    <m/>
    <m/>
    <m/>
    <m/>
    <m/>
    <m/>
    <m/>
    <m/>
    <m/>
    <m/>
    <m/>
    <m/>
    <n v="70"/>
    <n v="6"/>
    <n v="10"/>
    <n v="150"/>
    <n v="150"/>
    <n v="0"/>
    <n v="574212.5"/>
    <n v="21921.3"/>
    <n v="32350"/>
    <n v="0"/>
    <n v="58"/>
    <n v="187630"/>
    <n v="70545.86540498552"/>
    <n v="70"/>
    <n v="351"/>
    <n v="61.5"/>
    <n v="200"/>
    <n v="200"/>
    <n v="0"/>
    <n v="904182.5"/>
    <n v="1282396.05"/>
    <n v="198952.5"/>
    <n v="0"/>
    <n v="58"/>
    <n v="187630"/>
    <n v="433857.072240661"/>
    <n v="70"/>
    <n v="294"/>
    <n v="106"/>
    <n v="0"/>
    <n v="0"/>
    <n v="960978.5"/>
    <n v="951090"/>
    <n v="342910"/>
    <n v="0"/>
    <n v="58"/>
    <n v="187630"/>
    <n v="889865.5462184873"/>
    <n v="70"/>
    <n v="267"/>
    <n v="112"/>
    <n v="90"/>
    <n v="0"/>
    <n v="975497.85"/>
    <n v="362320"/>
    <n v="328819.5"/>
    <n v="0"/>
    <n v="58"/>
    <n v="187630"/>
    <n v="940235.294117647"/>
    <n v="70"/>
    <n v="168"/>
    <n v="70"/>
    <m/>
    <n v="0"/>
    <n v="0"/>
    <n v="543480"/>
    <n v="255748.5"/>
    <n v="0"/>
    <n v="0"/>
    <n v="58"/>
    <n v="187630"/>
    <n v="587647.0588235294"/>
    <n v="90"/>
    <n v="123"/>
    <n v="65"/>
    <m/>
    <n v="0"/>
    <n v="0"/>
    <n v="397905"/>
    <n v="237480.75"/>
    <n v="0"/>
    <n v="0"/>
    <n v="123"/>
    <n v="187630"/>
    <n v="545672.2689075629"/>
    <n v="70"/>
    <n v="58"/>
    <n v="0"/>
    <n v="100"/>
    <n v="100"/>
    <n v="0"/>
    <n v="187630"/>
    <n v="0"/>
    <n v="353176.5000000001"/>
    <n v="0"/>
    <n v="58"/>
    <n v="187630"/>
    <n v="0"/>
    <n v="70"/>
    <n v="58"/>
    <n v="70"/>
    <n v="100"/>
    <n v="100"/>
    <n v="0"/>
    <n v="187630"/>
    <n v="255748.5"/>
    <n v="365355"/>
    <n v="0"/>
    <n v="58"/>
    <n v="187630"/>
    <n v="587647.0588235294"/>
    <n v="70"/>
    <n v="0"/>
    <n v="70"/>
    <n v="0"/>
    <n v="0"/>
    <n v="100"/>
    <n v="0"/>
    <n v="255748.5"/>
    <n v="0"/>
    <n v="365355"/>
    <n v="100"/>
    <n v="365355"/>
    <n v="587647.0588235294"/>
    <n v="0"/>
    <n v="30"/>
    <n v="0"/>
    <n v="0"/>
    <n v="0"/>
    <n v="0"/>
    <m/>
    <n v="109606.5"/>
    <n v="0"/>
    <n v="0"/>
    <n v="0"/>
    <n v="30"/>
    <n v="109606.5"/>
    <n v="0"/>
    <n v="90"/>
    <n v="30"/>
    <n v="90"/>
    <m/>
    <n v="0"/>
    <n v="109606.5"/>
    <n v="328819.5"/>
    <n v="0"/>
    <n v="0"/>
    <n v="30"/>
    <n v="109606.5"/>
    <n v="793323.5294117647"/>
    <n v="90"/>
    <n v="0"/>
    <n v="90"/>
    <n v="0"/>
    <n v="0"/>
    <n v="0"/>
    <n v="328819.5"/>
    <n v="0"/>
    <n v="0"/>
    <n v="0"/>
    <n v="755546.218487395"/>
    <n v="54"/>
    <n v="0"/>
    <n v="54"/>
    <n v="0"/>
    <m/>
    <n v="0"/>
    <n v="174690"/>
    <n v="0"/>
    <n v="0"/>
    <n v="0"/>
    <n v="453327.7310924369"/>
  </r>
  <r>
    <s v="Levo-Smart Home"/>
    <x v="3"/>
    <x v="11"/>
    <x v="27"/>
    <n v="1543406075297"/>
    <x v="104"/>
    <x v="101"/>
    <x v="0"/>
    <x v="3"/>
    <n v="1"/>
    <x v="62"/>
    <n v="197"/>
    <m/>
    <n v="0"/>
    <n v="3336"/>
    <n v="657192"/>
    <n v="3.53"/>
    <n v="3856.525"/>
    <n v="8394.957983193277"/>
    <n v="8394.957983193277"/>
    <s v="Shenzhen"/>
    <s v="30/70"/>
    <n v="30"/>
    <n v="100"/>
    <n v="178"/>
    <n v="0.664259322982213"/>
    <n v="34"/>
    <n v="0.6767939911721078"/>
    <n v="106"/>
    <n v="0.6876316159737232"/>
    <n v="1"/>
    <n v="0.6575484141647421"/>
    <n v="0"/>
    <s v=""/>
    <n v="29"/>
    <n v="0.6295412096319533"/>
    <n v="42"/>
    <n v="0.6787748855637197"/>
    <n v="36"/>
    <n v="0.671732183980658"/>
    <n v="39"/>
    <n v="0.6455769210308807"/>
    <n v="69"/>
    <n v="0.5895898233945265"/>
    <n v="55"/>
    <n v="0.6239814760895416"/>
    <n v="55"/>
    <n v="0.6333752189577745"/>
    <n v="53"/>
    <n v="0.4321509089220231"/>
    <n v="62"/>
    <n v="0.2393353872438571"/>
    <n v="54"/>
    <n v="0.3177374832984937"/>
    <n v="39"/>
    <n v="0.4167596651280848"/>
    <n v="0.78"/>
    <n v="12"/>
    <n v="0.5635922589255923"/>
    <n v="0.2666666666666667"/>
    <n v="16"/>
    <n v="0.3819049429176011"/>
    <n v="0.32"/>
    <n v="0"/>
    <s v=""/>
    <n v="0"/>
    <n v="0"/>
    <s v=""/>
    <n v="0"/>
    <m/>
    <m/>
    <m/>
    <m/>
    <m/>
    <m/>
    <m/>
    <m/>
    <m/>
    <m/>
    <m/>
    <m/>
    <n v="35"/>
    <n v="307"/>
    <n v="35"/>
    <n v="0"/>
    <m/>
    <n v="0"/>
    <n v="607152"/>
    <n v="1121639.85"/>
    <n v="116760"/>
    <n v="0"/>
    <n v="197"/>
    <n v="657192"/>
    <n v="246910.5289174494"/>
    <n v="35"/>
    <n v="246"/>
    <n v="93"/>
    <n v="0"/>
    <m/>
    <n v="0"/>
    <n v="620496"/>
    <n v="898773.2999999999"/>
    <n v="310248"/>
    <n v="0"/>
    <n v="197"/>
    <n v="657192"/>
    <n v="656076.5482663654"/>
    <n v="50"/>
    <n v="171"/>
    <n v="54"/>
    <n v="0"/>
    <n v="0"/>
    <n v="474657.75"/>
    <n v="570456"/>
    <n v="180144"/>
    <n v="0"/>
    <n v="197"/>
    <n v="657192"/>
    <n v="453327.7310924369"/>
    <n v="50"/>
    <n v="119"/>
    <n v="39"/>
    <n v="0"/>
    <n v="0"/>
    <n v="434772.45"/>
    <n v="130104"/>
    <n v="0"/>
    <n v="0"/>
    <n v="197"/>
    <n v="657192"/>
    <n v="327403.3613445378"/>
    <n v="45"/>
    <n v="209"/>
    <n v="45"/>
    <m/>
    <n v="0"/>
    <n v="0"/>
    <n v="697224"/>
    <n v="164409.75"/>
    <n v="0"/>
    <n v="0"/>
    <n v="197"/>
    <n v="657192"/>
    <n v="377773.1092436975"/>
    <n v="50"/>
    <n v="213"/>
    <n v="16"/>
    <m/>
    <n v="0"/>
    <n v="0"/>
    <n v="710568"/>
    <n v="58456.8"/>
    <n v="0"/>
    <n v="0"/>
    <n v="213"/>
    <n v="657192"/>
    <n v="134319.3277310924"/>
    <n v="50"/>
    <n v="197"/>
    <n v="0"/>
    <n v="145"/>
    <n v="145"/>
    <n v="0"/>
    <n v="657192"/>
    <n v="0"/>
    <n v="512105.925"/>
    <n v="0"/>
    <n v="197"/>
    <n v="657192"/>
    <n v="0"/>
    <n v="50"/>
    <n v="197"/>
    <n v="50"/>
    <n v="60"/>
    <n v="60"/>
    <n v="0"/>
    <n v="657192"/>
    <n v="182677.5"/>
    <n v="219213"/>
    <n v="0"/>
    <n v="197"/>
    <n v="657192"/>
    <n v="419747.8991596638"/>
    <n v="45"/>
    <n v="147"/>
    <n v="45"/>
    <n v="0"/>
    <n v="0"/>
    <n v="100"/>
    <n v="537071.85"/>
    <n v="164409.75"/>
    <n v="0"/>
    <n v="365355"/>
    <n v="247"/>
    <n v="902426.85"/>
    <n v="377773.1092436975"/>
    <n v="60"/>
    <n v="202"/>
    <n v="60"/>
    <n v="0"/>
    <n v="0"/>
    <n v="0"/>
    <m/>
    <n v="738017.1"/>
    <n v="219213"/>
    <n v="0"/>
    <n v="0"/>
    <n v="202"/>
    <n v="738017.1"/>
    <n v="503697.4789915966"/>
    <n v="60"/>
    <n v="142"/>
    <n v="60"/>
    <m/>
    <n v="0"/>
    <n v="518804.1"/>
    <n v="219213"/>
    <n v="0"/>
    <n v="0"/>
    <n v="142"/>
    <n v="518804.1"/>
    <n v="528882.3529411765"/>
    <n v="60"/>
    <n v="82"/>
    <n v="60"/>
    <n v="0"/>
    <n v="0"/>
    <n v="299591.1"/>
    <n v="219213"/>
    <n v="0"/>
    <n v="82"/>
    <n v="299591.1"/>
    <n v="503697.4789915966"/>
    <n v="36"/>
    <n v="22"/>
    <n v="36"/>
    <n v="0"/>
    <m/>
    <n v="80378.09999999999"/>
    <n v="120096"/>
    <n v="0"/>
    <n v="22"/>
    <n v="80378.09999999999"/>
    <n v="302218.487394958"/>
  </r>
  <r>
    <s v="Levo-Soportes"/>
    <x v="3"/>
    <x v="12"/>
    <x v="28"/>
    <s v="LVSPALZNPLE"/>
    <x v="105"/>
    <x v="102"/>
    <x v="0"/>
    <x v="4"/>
    <n v="1.2"/>
    <x v="63"/>
    <n v="112"/>
    <m/>
    <n v="0"/>
    <n v="4517"/>
    <n v="505904"/>
    <n v="5.28"/>
    <n v="5768.4"/>
    <n v="12596.63865546219"/>
    <n v="10915.96638655462"/>
    <s v="Shenzhen"/>
    <s v="30/70"/>
    <n v="30"/>
    <n v="300"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20"/>
    <n v="0.5479897994822471"/>
    <n v="61"/>
    <n v="0.5446207844033683"/>
    <n v="1.22"/>
    <n v="33"/>
    <n v="0.6120540613838822"/>
    <n v="0.55"/>
    <n v="39"/>
    <n v="0.5076631064694226"/>
    <n v="0.4875"/>
    <n v="16"/>
    <n v="0.6361140893877913"/>
    <n v="0.4"/>
    <n v="7"/>
    <n v="0.6326699924827445"/>
    <n v="0.175"/>
    <m/>
    <m/>
    <m/>
    <m/>
    <m/>
    <m/>
    <m/>
    <m/>
    <m/>
    <m/>
    <m/>
    <m/>
    <n v="0"/>
    <n v="0"/>
    <n v="0"/>
    <n v="0"/>
    <m/>
    <n v="0"/>
    <n v="90340"/>
    <n v="0"/>
    <n v="0"/>
    <n v="0"/>
    <n v="112"/>
    <n v="505904"/>
    <n v="0"/>
    <n v="10"/>
    <n v="0"/>
    <n v="0"/>
    <n v="300"/>
    <n v="300"/>
    <n v="0"/>
    <n v="365877"/>
    <n v="0"/>
    <n v="0"/>
    <n v="0"/>
    <n v="112"/>
    <n v="505904"/>
    <n v="0"/>
    <n v="30"/>
    <n v="300"/>
    <n v="20"/>
    <n v="0"/>
    <n v="0"/>
    <n v="759342.6"/>
    <n v="1355100"/>
    <n v="90340"/>
    <n v="0"/>
    <n v="112"/>
    <n v="505904"/>
    <n v="251932.7731092437"/>
    <n v="50"/>
    <n v="277"/>
    <n v="61"/>
    <n v="0"/>
    <n v="0"/>
    <n v="1513749.6"/>
    <n v="275537"/>
    <n v="0"/>
    <n v="0"/>
    <n v="112"/>
    <n v="505904"/>
    <n v="768394.9579831933"/>
    <n v="60"/>
    <n v="145"/>
    <n v="72"/>
    <m/>
    <n v="0"/>
    <n v="0"/>
    <n v="654965"/>
    <n v="393465.6"/>
    <n v="0"/>
    <n v="0"/>
    <n v="112"/>
    <n v="505904"/>
    <n v="906957.9831932774"/>
    <n v="80"/>
    <n v="151"/>
    <n v="39"/>
    <m/>
    <n v="0"/>
    <n v="0"/>
    <n v="682067"/>
    <n v="213127.2"/>
    <n v="0"/>
    <n v="0"/>
    <n v="151"/>
    <n v="505904"/>
    <n v="491268.9075630252"/>
    <n v="40"/>
    <n v="128"/>
    <n v="16"/>
    <n v="0"/>
    <n v="0"/>
    <n v="0"/>
    <n v="578176"/>
    <n v="87436.79999999999"/>
    <n v="0"/>
    <n v="0"/>
    <n v="128"/>
    <n v="505904"/>
    <n v="201546.218487395"/>
    <n v="40"/>
    <n v="112"/>
    <n v="48"/>
    <n v="300"/>
    <n v="300"/>
    <n v="0"/>
    <n v="505904"/>
    <n v="262310.4"/>
    <n v="1639440"/>
    <n v="0"/>
    <n v="112"/>
    <n v="505904"/>
    <n v="604638.6554621849"/>
    <n v="40"/>
    <n v="64"/>
    <n v="48"/>
    <n v="0"/>
    <n v="0"/>
    <n v="300"/>
    <n v="349747.2"/>
    <n v="262310.4"/>
    <n v="0"/>
    <n v="1639440"/>
    <n v="364"/>
    <n v="1989187.2"/>
    <n v="604638.6554621849"/>
    <n v="60"/>
    <n v="316"/>
    <n v="72"/>
    <n v="0"/>
    <n v="0"/>
    <n v="0"/>
    <m/>
    <n v="1726876.8"/>
    <n v="393465.6"/>
    <n v="0"/>
    <n v="0"/>
    <n v="316"/>
    <n v="1726876.8"/>
    <n v="785949.5798319328"/>
    <n v="60"/>
    <n v="244"/>
    <n v="72"/>
    <m/>
    <n v="0"/>
    <n v="1333411.2"/>
    <n v="393465.6"/>
    <n v="0"/>
    <n v="0"/>
    <n v="244"/>
    <n v="1333411.2"/>
    <n v="825247.0588235295"/>
    <n v="40"/>
    <n v="172"/>
    <n v="48"/>
    <n v="0"/>
    <n v="0"/>
    <n v="939945.5999999999"/>
    <n v="262310.4"/>
    <n v="0"/>
    <n v="172"/>
    <n v="939945.5999999999"/>
    <n v="604638.6554621849"/>
    <n v="36"/>
    <n v="124"/>
    <n v="43.2"/>
    <n v="0"/>
    <m/>
    <n v="677635.2"/>
    <n v="195134.4"/>
    <n v="0"/>
    <n v="124"/>
    <n v="677635.2"/>
    <n v="544174.7899159663"/>
  </r>
  <r>
    <s v="Levo-Soportes"/>
    <x v="3"/>
    <x v="12"/>
    <x v="28"/>
    <s v="LVSPBRX2MN"/>
    <x v="106"/>
    <x v="103"/>
    <x v="0"/>
    <x v="4"/>
    <n v="1"/>
    <x v="64"/>
    <n v="4"/>
    <m/>
    <n v="0"/>
    <n v="9256"/>
    <n v="37024"/>
    <n v="8.5"/>
    <n v="9286.25"/>
    <n v="21000"/>
    <n v="21000"/>
    <s v="Shenzhen"/>
    <s v="30/70"/>
    <n v="30"/>
    <n v="300"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22"/>
    <n v="0.3411786589296161"/>
    <n v="82"/>
    <n v="0.4029052407552185"/>
    <n v="1.64"/>
    <n v="62"/>
    <n v="0.6258975724317919"/>
    <n v="1.033333333333333"/>
    <n v="105"/>
    <n v="0.2624974073753997"/>
    <n v="1.3125"/>
    <n v="17"/>
    <n v="0.6312089740963664"/>
    <n v="0.2833333333333333"/>
    <n v="6"/>
    <n v="0.653882999895255"/>
    <n v="0.075"/>
    <m/>
    <m/>
    <m/>
    <m/>
    <m/>
    <m/>
    <m/>
    <m/>
    <m/>
    <m/>
    <m/>
    <m/>
    <n v="0"/>
    <n v="0"/>
    <n v="0"/>
    <n v="0"/>
    <m/>
    <n v="0"/>
    <n v="203632"/>
    <n v="0"/>
    <n v="0"/>
    <n v="0"/>
    <n v="4"/>
    <n v="37024"/>
    <n v="0"/>
    <n v="10"/>
    <n v="0"/>
    <n v="0"/>
    <n v="300"/>
    <n v="300"/>
    <n v="0"/>
    <n v="962624"/>
    <n v="0"/>
    <n v="0"/>
    <n v="0"/>
    <n v="4"/>
    <n v="37024"/>
    <n v="0"/>
    <n v="30"/>
    <n v="300"/>
    <n v="22"/>
    <n v="0"/>
    <n v="0"/>
    <n v="1490474"/>
    <n v="2776800"/>
    <n v="203632"/>
    <n v="0"/>
    <n v="4"/>
    <n v="37024"/>
    <n v="462000"/>
    <n v="50"/>
    <n v="278"/>
    <n v="82"/>
    <n v="0"/>
    <n v="0"/>
    <n v="2445705"/>
    <n v="758992"/>
    <n v="0"/>
    <n v="0"/>
    <n v="4"/>
    <n v="37024"/>
    <n v="1722000"/>
    <n v="60"/>
    <n v="66"/>
    <n v="60"/>
    <m/>
    <n v="0"/>
    <n v="0"/>
    <n v="610896"/>
    <n v="527850"/>
    <n v="0"/>
    <n v="0"/>
    <n v="4"/>
    <n v="37024"/>
    <n v="1260000"/>
    <n v="80"/>
    <n v="109"/>
    <n v="105"/>
    <m/>
    <n v="0"/>
    <n v="0"/>
    <n v="1008904"/>
    <n v="923737.5"/>
    <n v="0"/>
    <n v="0"/>
    <n v="109"/>
    <n v="37024"/>
    <n v="2205000"/>
    <n v="60"/>
    <n v="21"/>
    <n v="17"/>
    <n v="0"/>
    <n v="0"/>
    <n v="0"/>
    <n v="194376"/>
    <n v="149557.5"/>
    <n v="0"/>
    <n v="0"/>
    <n v="21"/>
    <n v="37024"/>
    <n v="357000"/>
    <n v="80"/>
    <n v="4"/>
    <n v="80"/>
    <n v="300"/>
    <n v="300"/>
    <n v="0"/>
    <n v="37024"/>
    <n v="703800"/>
    <n v="2639250"/>
    <n v="0"/>
    <n v="4"/>
    <n v="37024"/>
    <n v="1680000"/>
    <n v="60"/>
    <n v="0"/>
    <n v="60"/>
    <n v="0"/>
    <n v="0"/>
    <n v="300"/>
    <n v="0"/>
    <n v="527850"/>
    <n v="0"/>
    <n v="2639250"/>
    <n v="300"/>
    <n v="2639250"/>
    <n v="1260000"/>
    <n v="100"/>
    <n v="240"/>
    <n v="100"/>
    <n v="0"/>
    <n v="0"/>
    <n v="0"/>
    <m/>
    <n v="2111400"/>
    <n v="879750"/>
    <n v="0"/>
    <n v="0"/>
    <n v="240"/>
    <n v="2111400"/>
    <n v="2100000"/>
    <n v="80"/>
    <n v="140"/>
    <n v="80"/>
    <n v="300"/>
    <n v="300"/>
    <n v="1231650"/>
    <n v="703800"/>
    <n v="2639250"/>
    <n v="2639250"/>
    <n v="440"/>
    <n v="3870900"/>
    <n v="1764000"/>
    <n v="80"/>
    <n v="360"/>
    <n v="80"/>
    <n v="0"/>
    <n v="0"/>
    <n v="3167100"/>
    <n v="703800"/>
    <n v="0"/>
    <n v="360"/>
    <n v="3167100"/>
    <n v="1680000"/>
    <n v="48"/>
    <n v="280"/>
    <n v="48"/>
    <n v="0"/>
    <m/>
    <n v="2463300"/>
    <n v="444288"/>
    <n v="0"/>
    <n v="280"/>
    <n v="2463300"/>
    <n v="1008000"/>
  </r>
  <r>
    <s v="Levo-Soportes"/>
    <x v="3"/>
    <x v="12"/>
    <x v="29"/>
    <s v="LVSPTVUN"/>
    <x v="107"/>
    <x v="104"/>
    <x v="0"/>
    <x v="0"/>
    <n v="1"/>
    <x v="65"/>
    <n v="31"/>
    <m/>
    <n v="0"/>
    <n v="2955"/>
    <n v="91605"/>
    <n v="2.9"/>
    <n v="3168.25"/>
    <n v="5873.949579831933"/>
    <n v="5873.949579831933"/>
    <s v="Shenzhen"/>
    <s v="30/70"/>
    <n v="30"/>
    <n v="2000"/>
    <n v="5"/>
    <n v="0.563223302730128"/>
    <n v="4"/>
    <n v="0.5909150479629218"/>
    <n v="368"/>
    <n v="0.2884715156598929"/>
    <n v="153"/>
    <n v="0.3152639247110708"/>
    <n v="8"/>
    <n v="0.6088594338087975"/>
    <n v="46"/>
    <n v="0.5856128909664984"/>
    <n v="164"/>
    <n v="0.4733908181902442"/>
    <n v="46"/>
    <n v="0.5167762966784961"/>
    <n v="30"/>
    <n v="0.5202894317824652"/>
    <n v="184"/>
    <n v="0.4997483789773312"/>
    <n v="132"/>
    <n v="0.4690448597708135"/>
    <n v="198"/>
    <n v="0.4814306056466915"/>
    <n v="191"/>
    <n v="0.3786939230566908"/>
    <n v="161"/>
    <n v="0.4361237286807065"/>
    <n v="255"/>
    <n v="0.4010444038783715"/>
    <n v="241"/>
    <n v="0.332803910811402"/>
    <n v="1.205"/>
    <n v="398"/>
    <n v="0.4728484058748823"/>
    <n v="1.99"/>
    <n v="1174"/>
    <n v="0.2782350370097514"/>
    <n v="2.348"/>
    <n v="29"/>
    <n v="0.6800341280015639"/>
    <n v="0.1895424836601307"/>
    <n v="0"/>
    <n v="1.000005005005005"/>
    <n v="0"/>
    <m/>
    <m/>
    <m/>
    <m/>
    <m/>
    <m/>
    <m/>
    <m/>
    <m/>
    <m/>
    <m/>
    <m/>
    <n v="120"/>
    <n v="2664"/>
    <n v="200"/>
    <n v="0"/>
    <m/>
    <n v="0"/>
    <n v="2058157.5"/>
    <n v="7995995.999999999"/>
    <n v="591000"/>
    <n v="0"/>
    <n v="31"/>
    <n v="91605"/>
    <n v="987218.4167784762"/>
    <n v="200"/>
    <n v="2438"/>
    <n v="241.5"/>
    <n v="0"/>
    <m/>
    <n v="0"/>
    <n v="2179312.5"/>
    <n v="7317656.999999999"/>
    <n v="713632.5"/>
    <n v="0"/>
    <n v="31"/>
    <n v="91605"/>
    <n v="1192066.23826001"/>
    <n v="200"/>
    <n v="2194"/>
    <n v="255"/>
    <n v="0"/>
    <n v="0"/>
    <n v="2065980"/>
    <n v="6483270"/>
    <n v="753525"/>
    <n v="0"/>
    <n v="31"/>
    <n v="91605"/>
    <n v="1497857.142857143"/>
    <n v="200"/>
    <n v="1853"/>
    <n v="241"/>
    <n v="0"/>
    <n v="0"/>
    <n v="5561779.499999999"/>
    <n v="712155"/>
    <n v="0"/>
    <n v="0"/>
    <n v="31"/>
    <n v="91605"/>
    <n v="1415621.848739496"/>
    <n v="200"/>
    <n v="429"/>
    <n v="200"/>
    <m/>
    <n v="0"/>
    <n v="0"/>
    <n v="1267695"/>
    <n v="600299.9999999999"/>
    <n v="0"/>
    <n v="0"/>
    <n v="31"/>
    <n v="91605"/>
    <n v="1174789.915966387"/>
    <n v="500"/>
    <n v="1205"/>
    <n v="1174"/>
    <m/>
    <n v="0"/>
    <n v="0"/>
    <n v="3560775"/>
    <n v="3523761"/>
    <n v="0"/>
    <n v="0"/>
    <n v="1205"/>
    <n v="91605"/>
    <n v="6896016.806722689"/>
    <n v="153"/>
    <n v="60"/>
    <n v="29"/>
    <n v="0"/>
    <n v="0"/>
    <n v="0"/>
    <n v="177300"/>
    <n v="87043.49999999999"/>
    <n v="0"/>
    <n v="0"/>
    <n v="60"/>
    <n v="91605"/>
    <n v="170344.5378151261"/>
    <n v="0"/>
    <n v="31"/>
    <n v="0"/>
    <n v="0"/>
    <n v="0"/>
    <n v="0"/>
    <n v="91605"/>
    <n v="0"/>
    <n v="0"/>
    <n v="0"/>
    <n v="31"/>
    <n v="91605"/>
    <n v="0"/>
    <n v="0"/>
    <n v="31"/>
    <n v="0"/>
    <n v="0"/>
    <n v="0"/>
    <n v="0"/>
    <n v="93046.49999999999"/>
    <n v="0"/>
    <n v="0"/>
    <n v="0"/>
    <n v="31"/>
    <n v="93046.49999999999"/>
    <n v="0"/>
    <n v="300"/>
    <n v="31"/>
    <n v="31"/>
    <n v="1000"/>
    <n v="1000"/>
    <n v="1000"/>
    <n v="0"/>
    <n v="93046.49999999999"/>
    <n v="93046.49999999999"/>
    <n v="3001500"/>
    <n v="3001500"/>
    <n v="1031"/>
    <n v="3094546.5"/>
    <n v="182092.4369747899"/>
    <n v="250"/>
    <n v="1000"/>
    <n v="250"/>
    <m/>
    <n v="0"/>
    <n v="3001500"/>
    <n v="750374.9999999999"/>
    <n v="0"/>
    <n v="0"/>
    <n v="1000"/>
    <n v="3001500"/>
    <n v="1541911.764705882"/>
    <n v="300"/>
    <n v="750"/>
    <n v="300"/>
    <n v="0"/>
    <n v="0"/>
    <n v="2251125"/>
    <n v="900449.9999999999"/>
    <n v="0"/>
    <n v="750"/>
    <n v="2251125"/>
    <n v="1762184.87394958"/>
    <n v="150"/>
    <n v="450"/>
    <n v="150"/>
    <n v="0"/>
    <m/>
    <n v="1350675"/>
    <n v="443250"/>
    <n v="0"/>
    <n v="450"/>
    <n v="1350675"/>
    <n v="881092.4369747899"/>
  </r>
  <r>
    <s v="Levo-Telones y Proyectores"/>
    <x v="3"/>
    <x v="13"/>
    <x v="30"/>
    <s v="LVPROHEX"/>
    <x v="108"/>
    <x v="105"/>
    <x v="0"/>
    <x v="1"/>
    <n v="1"/>
    <x v="66"/>
    <n v="13"/>
    <n v="500"/>
    <n v="18050000"/>
    <n v="37188"/>
    <n v="483444"/>
    <n v="38"/>
    <n v="41515"/>
    <n v="84025.21008403362"/>
    <n v="58815.12605042017"/>
    <s v="Shenzhen"/>
    <s v="20/80 Credit"/>
    <n v="30"/>
    <n v="250"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7"/>
    <n v="0.3683301194751024"/>
    <n v="31"/>
    <n v="0.3440201006531315"/>
    <n v="0.3875"/>
    <n v="68"/>
    <n v="0.4404084559132672"/>
    <n v="0.9714285714285714"/>
    <n v="208"/>
    <n v="0.2173793503055093"/>
    <n v="1.733333333333333"/>
    <n v="148"/>
    <n v="0.4482697550945181"/>
    <n v="0.9866666666666667"/>
    <n v="9"/>
    <n v="0.4524646422890899"/>
    <n v="0.1764705882352941"/>
    <m/>
    <m/>
    <m/>
    <m/>
    <m/>
    <m/>
    <m/>
    <m/>
    <m/>
    <m/>
    <m/>
    <m/>
    <n v="5"/>
    <n v="0"/>
    <n v="0"/>
    <n v="500"/>
    <n v="200"/>
    <n v="0"/>
    <n v="260316"/>
    <n v="0"/>
    <n v="0"/>
    <n v="0"/>
    <n v="13"/>
    <n v="483444"/>
    <n v="0"/>
    <n v="5"/>
    <n v="0"/>
    <n v="0"/>
    <n v="0"/>
    <m/>
    <n v="0"/>
    <n v="1413144"/>
    <n v="0"/>
    <n v="0"/>
    <n v="0"/>
    <n v="13"/>
    <n v="483444"/>
    <n v="0"/>
    <n v="70"/>
    <n v="200"/>
    <n v="7"/>
    <n v="0"/>
    <n v="0"/>
    <n v="4166244"/>
    <n v="7437600"/>
    <n v="260316"/>
    <n v="0"/>
    <n v="13"/>
    <n v="483444"/>
    <n v="588176.4705882353"/>
    <n v="80"/>
    <n v="477"/>
    <n v="31"/>
    <n v="0"/>
    <n v="0"/>
    <n v="18760410"/>
    <n v="1152828"/>
    <n v="0"/>
    <n v="0"/>
    <n v="13"/>
    <n v="483444"/>
    <n v="2604781.512605042"/>
    <n v="70"/>
    <n v="81"/>
    <n v="70"/>
    <n v="500"/>
    <n v="250"/>
    <n v="0"/>
    <n v="3012228"/>
    <n v="2753100"/>
    <n v="19665000"/>
    <n v="0"/>
    <n v="13"/>
    <n v="483444"/>
    <n v="5881764.705882354"/>
    <n v="120"/>
    <n v="221"/>
    <n v="208"/>
    <m/>
    <n v="0"/>
    <n v="0"/>
    <n v="8218548"/>
    <n v="8180640"/>
    <n v="0"/>
    <n v="0"/>
    <n v="221"/>
    <n v="483444"/>
    <n v="17477243.69747899"/>
    <n v="150"/>
    <n v="161"/>
    <n v="148"/>
    <n v="0"/>
    <n v="0"/>
    <n v="0"/>
    <n v="5987268"/>
    <n v="5820840"/>
    <n v="0"/>
    <n v="0"/>
    <n v="161"/>
    <n v="483444"/>
    <n v="12435731.09243698"/>
    <n v="51"/>
    <n v="13"/>
    <n v="51"/>
    <n v="0"/>
    <n v="0"/>
    <n v="0"/>
    <n v="483444"/>
    <n v="2005830"/>
    <n v="0"/>
    <n v="0"/>
    <n v="13"/>
    <n v="483444"/>
    <n v="4285285.714285715"/>
    <n v="70"/>
    <n v="0"/>
    <n v="70"/>
    <n v="0"/>
    <n v="250"/>
    <n v="510"/>
    <n v="0"/>
    <n v="2753100"/>
    <n v="0"/>
    <n v="20058300"/>
    <n v="510"/>
    <n v="20058300"/>
    <n v="5881764.705882354"/>
    <n v="200"/>
    <n v="440"/>
    <n v="200"/>
    <n v="0"/>
    <n v="0"/>
    <n v="0"/>
    <n v="0"/>
    <n v="17305200"/>
    <n v="7866000"/>
    <n v="0"/>
    <n v="0"/>
    <n v="440"/>
    <n v="17305200"/>
    <n v="11763025.21008403"/>
    <n v="120"/>
    <n v="240"/>
    <n v="120"/>
    <m/>
    <n v="0"/>
    <n v="9439200"/>
    <n v="4719600"/>
    <n v="0"/>
    <n v="0"/>
    <n v="240"/>
    <n v="9439200"/>
    <n v="7410705.882352942"/>
    <n v="150"/>
    <n v="120"/>
    <n v="150"/>
    <n v="500"/>
    <n v="250"/>
    <n v="4719600"/>
    <n v="5899500"/>
    <n v="9832500"/>
    <n v="370"/>
    <n v="14552100"/>
    <n v="12603781.51260504"/>
    <n v="72"/>
    <n v="220"/>
    <n v="72"/>
    <n v="0"/>
    <m/>
    <n v="8652600"/>
    <n v="2677536"/>
    <n v="0"/>
    <n v="220"/>
    <n v="8652600"/>
    <n v="6049815.126050421"/>
  </r>
  <r>
    <s v="Levo-Telones y Proyectores"/>
    <x v="3"/>
    <x v="13"/>
    <x v="30"/>
    <s v="LVPROLUM"/>
    <x v="109"/>
    <x v="106"/>
    <x v="0"/>
    <x v="1"/>
    <n v="1"/>
    <x v="67"/>
    <n v="61"/>
    <m/>
    <n v="0"/>
    <n v="89443"/>
    <n v="5456023"/>
    <n v="90"/>
    <n v="98324.99999999999"/>
    <n v="168058.8235294118"/>
    <n v="151252.1008403361"/>
    <s v="Shenzhen"/>
    <s v="20/80 Credit"/>
    <n v="30"/>
    <n v="250"/>
    <n v="10"/>
    <n v="0.4685606270093651"/>
    <n v="40"/>
    <n v="0.4288558672813522"/>
    <n v="89"/>
    <n v="0.4812730888934452"/>
    <n v="45"/>
    <n v="0.4395480927364253"/>
    <n v="79"/>
    <n v="0.5303250097078902"/>
    <n v="76"/>
    <n v="0.4184896679225537"/>
    <n v="44"/>
    <n v="0.3698372660952254"/>
    <n v="53"/>
    <n v="0.3680347464744406"/>
    <n v="60"/>
    <n v="0.4104689263546158"/>
    <n v="60"/>
    <n v="0.4117106716862663"/>
    <n v="50"/>
    <n v="0.3932138861191871"/>
    <n v="31"/>
    <n v="0.4574436649517737"/>
    <n v="23"/>
    <n v="0.4517519294232589"/>
    <n v="13"/>
    <n v="0.4181494339600084"/>
    <n v="65"/>
    <n v="0.3404463269069689"/>
    <n v="14"/>
    <n v="0.4568265676530527"/>
    <n v="0.7"/>
    <n v="6"/>
    <n v="0.4676002835586612"/>
    <n v="0.3"/>
    <n v="33"/>
    <n v="0.3582362722624678"/>
    <n v="0.7333333333333333"/>
    <n v="43"/>
    <n v="0.4039377844977743"/>
    <n v="1.075"/>
    <n v="5"/>
    <n v="0.4546987410534097"/>
    <n v="0.1666666666666667"/>
    <m/>
    <m/>
    <m/>
    <m/>
    <m/>
    <m/>
    <m/>
    <m/>
    <m/>
    <m/>
    <m/>
    <m/>
    <n v="30"/>
    <n v="134"/>
    <n v="15"/>
    <n v="0"/>
    <n v="100"/>
    <n v="0"/>
    <n v="8899578.5"/>
    <n v="12482100"/>
    <n v="1341645"/>
    <n v="0"/>
    <n v="61"/>
    <n v="5456023"/>
    <n v="2118388.531883342"/>
    <n v="45"/>
    <n v="243"/>
    <n v="19.5"/>
    <n v="0"/>
    <m/>
    <n v="0"/>
    <n v="8810135.5"/>
    <n v="22635450"/>
    <n v="1744138.5"/>
    <n v="0"/>
    <n v="61"/>
    <n v="5456023"/>
    <n v="2753905.091448344"/>
    <n v="40"/>
    <n v="236"/>
    <n v="65"/>
    <n v="0"/>
    <n v="0"/>
    <n v="8928997"/>
    <n v="21108548"/>
    <n v="5813795"/>
    <n v="0"/>
    <n v="61"/>
    <n v="5456023"/>
    <n v="10923823.52941176"/>
    <n v="20"/>
    <n v="159"/>
    <n v="14"/>
    <n v="0"/>
    <n v="0"/>
    <n v="14810850"/>
    <n v="1252202"/>
    <n v="0"/>
    <n v="0"/>
    <n v="61"/>
    <n v="5456023"/>
    <n v="2352823.529411765"/>
    <n v="20"/>
    <n v="67"/>
    <n v="20"/>
    <m/>
    <n v="0"/>
    <n v="0"/>
    <n v="5992681"/>
    <n v="1863000"/>
    <n v="0"/>
    <n v="0"/>
    <n v="61"/>
    <n v="5456023"/>
    <n v="3361176.470588236"/>
    <n v="45"/>
    <n v="94"/>
    <n v="33"/>
    <m/>
    <n v="0"/>
    <n v="0"/>
    <n v="8407642"/>
    <n v="3073950"/>
    <n v="0"/>
    <n v="0"/>
    <n v="94"/>
    <n v="5456023"/>
    <n v="5545941.176470589"/>
    <n v="40"/>
    <n v="104"/>
    <n v="43"/>
    <n v="0"/>
    <n v="0"/>
    <n v="0"/>
    <n v="9302072"/>
    <n v="4005450"/>
    <n v="0"/>
    <n v="0"/>
    <n v="104"/>
    <n v="5456023"/>
    <n v="7226529.411764706"/>
    <n v="30"/>
    <n v="61"/>
    <n v="30"/>
    <n v="0"/>
    <n v="0"/>
    <n v="0"/>
    <n v="5456023"/>
    <n v="2794500"/>
    <n v="0"/>
    <n v="0"/>
    <n v="61"/>
    <n v="5456023"/>
    <n v="5041764.705882354"/>
    <n v="20"/>
    <n v="31"/>
    <n v="20"/>
    <n v="0"/>
    <n v="0"/>
    <n v="0"/>
    <n v="2887650"/>
    <n v="1863000"/>
    <n v="0"/>
    <n v="0"/>
    <n v="31"/>
    <n v="2887650"/>
    <n v="3361176.470588236"/>
    <n v="25"/>
    <n v="11"/>
    <n v="11"/>
    <n v="0.25"/>
    <n v="0.25"/>
    <n v="0.25"/>
    <m/>
    <n v="1024650"/>
    <n v="1024650"/>
    <n v="23287.5"/>
    <n v="23287.5"/>
    <n v="11.25"/>
    <n v="1047937.5"/>
    <n v="1663773.109243698"/>
    <n v="25"/>
    <n v="0.25"/>
    <n v="25"/>
    <m/>
    <n v="0"/>
    <n v="23287.5"/>
    <n v="2328750"/>
    <n v="0"/>
    <n v="0"/>
    <n v="0.25"/>
    <n v="23287.5"/>
    <n v="3970367.647058824"/>
    <n v="30"/>
    <n v="0"/>
    <n v="30"/>
    <n v="0"/>
    <n v="0"/>
    <n v="0"/>
    <n v="2794500"/>
    <n v="0"/>
    <n v="0"/>
    <n v="0"/>
    <n v="5041764.705882354"/>
    <n v="15"/>
    <n v="0"/>
    <n v="15"/>
    <n v="0"/>
    <m/>
    <n v="0"/>
    <n v="1341645"/>
    <n v="0"/>
    <n v="0"/>
    <n v="0"/>
    <n v="2520882.352941177"/>
  </r>
  <r>
    <s v="Levo-Telones y Proyectores"/>
    <x v="3"/>
    <x v="13"/>
    <x v="30"/>
    <s v="LVPRONOV"/>
    <x v="110"/>
    <x v="107"/>
    <x v="0"/>
    <x v="1"/>
    <n v="1"/>
    <x v="68"/>
    <n v="165"/>
    <m/>
    <n v="0"/>
    <n v="56880"/>
    <n v="9385200"/>
    <n v="54"/>
    <n v="58994.99999999999"/>
    <n v="117638.6554621849"/>
    <n v="92428.57142857143"/>
    <s v="Shenzhen"/>
    <s v="20/80 Credit"/>
    <n v="30"/>
    <n v="250"/>
    <n v="32"/>
    <n v="0.4849181712483196"/>
    <n v="53"/>
    <n v="0.4831514715858343"/>
    <n v="84"/>
    <n v="0.4842911007812986"/>
    <n v="100"/>
    <n v="0.4810352609903651"/>
    <n v="236"/>
    <n v="0.4974398467991755"/>
    <n v="57"/>
    <n v="0.4301098070317684"/>
    <n v="22"/>
    <n v="0.4591339191178855"/>
    <n v="27"/>
    <n v="0.4378019380167417"/>
    <n v="122"/>
    <n v="0.4433722523369817"/>
    <n v="165"/>
    <n v="0.4587376563915155"/>
    <n v="130"/>
    <n v="0.4998076886194383"/>
    <n v="216"/>
    <n v="0.4714954051759866"/>
    <n v="87"/>
    <n v="0.4012897958913486"/>
    <n v="50"/>
    <n v="0.3768634016989758"/>
    <n v="132"/>
    <n v="0.3547797549395501"/>
    <n v="73"/>
    <n v="0.3847799827488022"/>
    <n v="0.9125"/>
    <n v="40"/>
    <n v="0.4640931123770067"/>
    <n v="0.5"/>
    <n v="200"/>
    <n v="0.3565500810728483"/>
    <n v="1.666666666666667"/>
    <n v="95"/>
    <n v="0.3889467982108789"/>
    <n v="0.95"/>
    <n v="38"/>
    <n v="0.08000031051523765"/>
    <n v="0.38"/>
    <m/>
    <m/>
    <m/>
    <m/>
    <m/>
    <m/>
    <m/>
    <m/>
    <m/>
    <m/>
    <m/>
    <m/>
    <n v="100"/>
    <n v="353"/>
    <n v="130"/>
    <n v="0"/>
    <m/>
    <n v="0"/>
    <n v="19168560"/>
    <n v="19729170"/>
    <n v="7394400"/>
    <n v="0"/>
    <n v="165"/>
    <n v="9385200"/>
    <n v="12851281.68914625"/>
    <n v="100"/>
    <n v="482"/>
    <n v="75"/>
    <n v="500"/>
    <n v="200"/>
    <n v="0"/>
    <n v="15926400"/>
    <n v="26938980"/>
    <n v="4266000"/>
    <n v="0"/>
    <n v="165"/>
    <n v="9385200"/>
    <n v="7414200.97450745"/>
    <n v="150"/>
    <n v="440"/>
    <n v="132"/>
    <n v="0"/>
    <n v="0"/>
    <n v="16131600"/>
    <n v="25027200"/>
    <n v="7508160"/>
    <n v="0"/>
    <n v="165"/>
    <n v="9385200"/>
    <n v="15528302.5210084"/>
    <n v="80"/>
    <n v="305"/>
    <n v="73"/>
    <n v="0"/>
    <n v="0"/>
    <n v="17046450"/>
    <n v="4152240"/>
    <n v="0"/>
    <n v="0"/>
    <n v="165"/>
    <n v="9385200"/>
    <n v="8587621.848739496"/>
    <n v="80"/>
    <n v="205"/>
    <n v="80"/>
    <m/>
    <n v="300"/>
    <n v="0"/>
    <n v="11660400"/>
    <n v="4471199.999999999"/>
    <n v="0"/>
    <n v="0"/>
    <n v="165"/>
    <n v="9385200"/>
    <n v="9411092.43697479"/>
    <n v="120"/>
    <n v="365"/>
    <n v="200"/>
    <m/>
    <n v="300"/>
    <n v="0"/>
    <n v="20761200"/>
    <n v="11178000"/>
    <n v="0"/>
    <n v="0"/>
    <n v="365"/>
    <n v="9385200"/>
    <n v="23527731.09243698"/>
    <n v="100"/>
    <n v="260"/>
    <n v="95"/>
    <n v="0"/>
    <n v="0"/>
    <n v="0"/>
    <n v="14788800"/>
    <n v="5309549.999999999"/>
    <n v="0"/>
    <n v="0"/>
    <n v="260"/>
    <n v="9385200"/>
    <n v="11175672.26890756"/>
    <n v="100"/>
    <n v="165"/>
    <n v="100"/>
    <n v="0"/>
    <n v="0"/>
    <n v="0"/>
    <n v="9385200"/>
    <n v="5588999.999999999"/>
    <n v="0"/>
    <n v="0"/>
    <n v="165"/>
    <n v="9385200"/>
    <n v="11763865.54621849"/>
    <n v="70"/>
    <n v="65"/>
    <n v="70"/>
    <n v="0"/>
    <n v="0"/>
    <n v="0"/>
    <n v="3632850"/>
    <n v="3912300"/>
    <n v="0"/>
    <n v="0"/>
    <n v="65"/>
    <n v="3632850"/>
    <n v="8234705.882352942"/>
    <n v="150"/>
    <n v="0"/>
    <n v="0"/>
    <n v="500"/>
    <n v="300"/>
    <n v="300"/>
    <n v="0"/>
    <n v="0"/>
    <n v="0"/>
    <n v="27945000"/>
    <n v="16767000"/>
    <n v="300"/>
    <n v="16767000"/>
    <n v="0"/>
    <n v="100"/>
    <n v="300"/>
    <n v="100"/>
    <m/>
    <n v="0"/>
    <n v="16767000"/>
    <n v="5588999.999999999"/>
    <n v="0"/>
    <n v="0"/>
    <n v="300"/>
    <n v="16767000"/>
    <n v="9705000.000000002"/>
    <n v="150"/>
    <n v="200"/>
    <n v="150"/>
    <n v="0"/>
    <n v="0"/>
    <n v="11178000"/>
    <n v="8383499.999999999"/>
    <n v="0"/>
    <n v="200"/>
    <n v="11178000"/>
    <n v="17645798.31932773"/>
    <n v="60"/>
    <n v="50"/>
    <n v="60"/>
    <n v="0"/>
    <n v="200"/>
    <n v="2794500"/>
    <n v="3412800"/>
    <n v="11178000"/>
    <n v="250"/>
    <n v="13972500"/>
    <n v="7058319.327731092"/>
  </r>
  <r>
    <s v="Levo-Telones y Proyectores"/>
    <x v="3"/>
    <x v="13"/>
    <x v="30"/>
    <s v="LVPROORI"/>
    <x v="111"/>
    <x v="108"/>
    <x v="0"/>
    <x v="1"/>
    <n v="1"/>
    <x v="69"/>
    <n v="173"/>
    <m/>
    <n v="0"/>
    <n v="71625"/>
    <n v="12391125"/>
    <n v="74"/>
    <n v="80845"/>
    <n v="142848.7394957983"/>
    <n v="126042.0168067227"/>
    <s v="Shenzhen"/>
    <s v="20/80 Credit"/>
    <n v="30"/>
    <n v="250"/>
    <n v="15"/>
    <n v="0.4878717803259671"/>
    <n v="36"/>
    <n v="0.4644488430964838"/>
    <n v="73"/>
    <n v="0.4973194577355483"/>
    <n v="88"/>
    <n v="0.4625318312250263"/>
    <n v="107"/>
    <n v="0.5245946985739718"/>
    <n v="142"/>
    <n v="0.4572213876296432"/>
    <n v="86"/>
    <n v="0.432895798058912"/>
    <n v="78"/>
    <n v="0.4250417873204107"/>
    <n v="12"/>
    <n v="0.4778964709818984"/>
    <n v="42"/>
    <n v="0.457402389272054"/>
    <n v="50"/>
    <n v="0.4346282078341704"/>
    <n v="111"/>
    <n v="0.4458700139123478"/>
    <n v="37"/>
    <n v="0.3550906167555985"/>
    <n v="58"/>
    <n v="0.353575192443821"/>
    <n v="67"/>
    <n v="0.3444942540346163"/>
    <n v="122"/>
    <n v="0.5216599085157907"/>
    <n v="2.033333333333333"/>
    <n v="73"/>
    <n v="0.4783433014281169"/>
    <n v="1.825"/>
    <n v="171"/>
    <n v="0.260592070429211"/>
    <n v="2.1375"/>
    <n v="79"/>
    <n v="0.4249080162100545"/>
    <n v="0.9875"/>
    <n v="4"/>
    <n v="0.5058613728395267"/>
    <n v="0.05"/>
    <m/>
    <m/>
    <m/>
    <m/>
    <m/>
    <m/>
    <m/>
    <m/>
    <m/>
    <m/>
    <m/>
    <m/>
    <n v="70"/>
    <n v="322"/>
    <n v="40"/>
    <n v="0"/>
    <n v="53"/>
    <n v="0"/>
    <n v="13895250"/>
    <n v="24661980"/>
    <n v="2865000"/>
    <n v="0"/>
    <n v="173"/>
    <n v="12391125"/>
    <n v="4801638.302379776"/>
    <n v="70"/>
    <n v="295"/>
    <n v="87"/>
    <n v="500"/>
    <n v="250"/>
    <n v="0"/>
    <n v="19768500"/>
    <n v="22594050"/>
    <n v="6231375"/>
    <n v="0"/>
    <n v="173"/>
    <n v="12391125"/>
    <n v="10443563.30767601"/>
    <n v="100"/>
    <n v="257"/>
    <n v="67"/>
    <n v="0"/>
    <n v="0"/>
    <n v="16600725"/>
    <n v="18407625"/>
    <n v="4798875"/>
    <n v="0"/>
    <n v="173"/>
    <n v="12391125"/>
    <n v="9570865.546218488"/>
    <n v="60"/>
    <n v="419"/>
    <n v="122"/>
    <n v="0"/>
    <n v="0"/>
    <n v="32091210"/>
    <n v="8738250"/>
    <n v="0"/>
    <n v="0"/>
    <n v="173"/>
    <n v="12391125"/>
    <n v="17427546.2184874"/>
    <n v="40"/>
    <n v="246"/>
    <n v="40"/>
    <m/>
    <n v="100"/>
    <n v="0"/>
    <n v="17619750"/>
    <n v="3063600"/>
    <n v="0"/>
    <n v="0"/>
    <n v="173"/>
    <n v="12391125"/>
    <n v="5713949.579831934"/>
    <n v="80"/>
    <n v="344"/>
    <n v="171"/>
    <m/>
    <n v="150"/>
    <n v="0"/>
    <n v="24639000"/>
    <n v="13096890"/>
    <n v="0"/>
    <n v="0"/>
    <n v="344"/>
    <n v="12391125"/>
    <n v="24427134.45378152"/>
    <n v="80"/>
    <n v="252"/>
    <n v="79"/>
    <n v="0"/>
    <n v="100"/>
    <n v="0"/>
    <n v="18049500"/>
    <n v="6050610"/>
    <n v="0"/>
    <n v="0"/>
    <n v="252"/>
    <n v="12391125"/>
    <n v="11285050.42016807"/>
    <n v="80"/>
    <n v="173"/>
    <n v="80"/>
    <n v="0"/>
    <n v="0"/>
    <n v="0"/>
    <n v="12391125"/>
    <n v="6127200"/>
    <n v="0"/>
    <n v="0"/>
    <n v="173"/>
    <n v="12391125"/>
    <n v="11427899.15966387"/>
    <n v="50"/>
    <n v="93"/>
    <n v="50"/>
    <n v="0"/>
    <n v="0"/>
    <n v="0"/>
    <n v="7122870"/>
    <n v="3829500"/>
    <n v="0"/>
    <n v="0"/>
    <n v="93"/>
    <n v="7122870"/>
    <n v="7142436.974789917"/>
    <n v="140"/>
    <n v="43"/>
    <n v="140"/>
    <n v="500"/>
    <n v="250"/>
    <n v="250"/>
    <n v="0"/>
    <n v="3293370"/>
    <n v="10722600"/>
    <n v="38295000"/>
    <n v="19147500"/>
    <n v="293"/>
    <n v="22440870"/>
    <n v="17645882.35294118"/>
    <n v="80"/>
    <n v="153"/>
    <n v="80"/>
    <m/>
    <n v="0"/>
    <n v="11718270"/>
    <n v="6127200"/>
    <n v="0"/>
    <n v="0"/>
    <n v="153"/>
    <n v="11718270"/>
    <n v="10587529.41176471"/>
    <n v="120"/>
    <n v="73"/>
    <n v="120"/>
    <n v="0"/>
    <n v="0"/>
    <n v="5591070"/>
    <n v="9190800"/>
    <n v="0"/>
    <n v="73"/>
    <n v="5591070"/>
    <n v="17141848.7394958"/>
    <n v="48"/>
    <n v="0"/>
    <n v="48"/>
    <n v="0"/>
    <n v="250"/>
    <n v="0"/>
    <n v="3438000"/>
    <n v="19147500"/>
    <n v="250"/>
    <n v="19147500"/>
    <n v="6856739.49579832"/>
  </r>
  <r>
    <m/>
    <x v="3"/>
    <x v="13"/>
    <x v="30"/>
    <s v="LVPROMNLX"/>
    <x v="112"/>
    <x v="109"/>
    <x v="0"/>
    <x v="4"/>
    <n v="1"/>
    <x v="50"/>
    <n v="0"/>
    <m/>
    <n v="0"/>
    <n v="22459.5"/>
    <n v="0"/>
    <n v="21"/>
    <n v="22459.5"/>
    <n v="50411.76470588236"/>
    <n v="42008.40336134454"/>
    <s v="Shenzhen"/>
    <s v="20/80 Credit"/>
    <n v="30"/>
    <n v="3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n v="0"/>
    <m/>
    <m/>
    <m/>
    <m/>
    <m/>
    <n v="0"/>
    <n v="0"/>
    <m/>
    <m/>
    <m/>
    <m/>
    <m/>
    <m/>
    <m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0"/>
    <n v="100"/>
    <n v="300"/>
    <n v="300"/>
    <n v="0"/>
    <n v="2173500"/>
    <n v="6520500"/>
    <n v="6520500"/>
    <n v="300"/>
    <n v="6520500"/>
    <n v="4410882.352941177"/>
    <n v="150"/>
    <n v="200"/>
    <n v="150"/>
    <n v="0"/>
    <n v="0"/>
    <n v="4347000"/>
    <n v="3260250"/>
    <n v="0"/>
    <n v="200"/>
    <n v="4347000"/>
    <n v="7561764.705882354"/>
    <n v="60"/>
    <n v="50"/>
    <n v="60"/>
    <n v="0"/>
    <m/>
    <n v="1086750"/>
    <n v="1347570"/>
    <n v="0"/>
    <n v="50"/>
    <n v="1086750"/>
    <n v="3024705.882352941"/>
  </r>
  <r>
    <m/>
    <x v="3"/>
    <x v="13"/>
    <x v="30"/>
    <s v="LVPROFLX"/>
    <x v="113"/>
    <x v="110"/>
    <x v="0"/>
    <x v="4"/>
    <n v="1"/>
    <x v="50"/>
    <m/>
    <m/>
    <n v="0"/>
    <n v="53474.99999999999"/>
    <n v="0"/>
    <n v="50"/>
    <n v="53474.99999999999"/>
    <n v="109235.2941176471"/>
    <n v="100831.9327731092"/>
    <s v="Shenzhen"/>
    <s v="20/80 Credit"/>
    <n v="30"/>
    <n v="3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0"/>
    <n v="80"/>
    <n v="500"/>
    <n v="250"/>
    <n v="0"/>
    <n v="4140000"/>
    <n v="25875000"/>
    <n v="12937500"/>
    <n v="250"/>
    <n v="12937500"/>
    <n v="8469882.352941178"/>
    <n v="120"/>
    <n v="170"/>
    <n v="120"/>
    <n v="0"/>
    <n v="0"/>
    <n v="8797499.999999998"/>
    <n v="6209999.999999999"/>
    <n v="0"/>
    <n v="170"/>
    <n v="8797499.999999998"/>
    <n v="13108235.29411765"/>
    <n v="48"/>
    <n v="50"/>
    <n v="48"/>
    <n v="0"/>
    <m/>
    <n v="2587500"/>
    <n v="2566800"/>
    <n v="0"/>
    <n v="50"/>
    <n v="2587500"/>
    <n v="5243294.117647059"/>
  </r>
  <r>
    <m/>
    <x v="3"/>
    <x v="13"/>
    <x v="30"/>
    <s v="LVPRONOV"/>
    <x v="114"/>
    <x v="111"/>
    <x v="0"/>
    <x v="4"/>
    <n v="1"/>
    <x v="50"/>
    <m/>
    <m/>
    <n v="0"/>
    <n v="64170"/>
    <n v="0"/>
    <n v="60"/>
    <n v="64170"/>
    <n v="142848.7394957983"/>
    <n v="126042.0168067227"/>
    <s v="Shenzhen"/>
    <s v="20/80 Credit"/>
    <n v="30"/>
    <n v="3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0"/>
    <n v="80"/>
    <n v="500"/>
    <n v="250"/>
    <n v="0"/>
    <n v="4967999.999999999"/>
    <n v="31050000"/>
    <n v="15525000"/>
    <n v="250"/>
    <n v="15525000"/>
    <n v="10587529.41176471"/>
    <n v="100"/>
    <n v="170"/>
    <n v="100"/>
    <n v="0"/>
    <n v="0"/>
    <n v="10557000"/>
    <n v="6209999.999999999"/>
    <n v="0"/>
    <n v="170"/>
    <n v="10557000"/>
    <n v="14284873.94957983"/>
    <n v="48"/>
    <n v="70"/>
    <n v="48"/>
    <n v="0"/>
    <m/>
    <n v="4346999.999999999"/>
    <n v="3080160"/>
    <n v="0"/>
    <n v="70"/>
    <n v="4346999.999999999"/>
    <n v="6856739.49579832"/>
  </r>
  <r>
    <m/>
    <x v="3"/>
    <x v="13"/>
    <x v="30"/>
    <s v="LVPRONEULT"/>
    <x v="115"/>
    <x v="112"/>
    <x v="0"/>
    <x v="4"/>
    <n v="1"/>
    <x v="50"/>
    <m/>
    <m/>
    <n v="0"/>
    <n v="73795.5"/>
    <n v="0"/>
    <n v="69"/>
    <n v="73795.5"/>
    <n v="168058.8235294118"/>
    <n v="151252.1008403361"/>
    <s v="Shenzhen"/>
    <s v="20/80 Credit"/>
    <n v="30"/>
    <n v="3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0"/>
    <n v="50"/>
    <n v="300"/>
    <n v="300"/>
    <n v="0"/>
    <n v="3570750"/>
    <n v="21424500"/>
    <n v="300"/>
    <n v="21424500"/>
    <n v="8402941.176470589"/>
    <n v="0"/>
    <n v="250"/>
    <n v="0"/>
    <n v="0"/>
    <m/>
    <n v="17853750"/>
    <n v="0"/>
    <n v="0"/>
    <n v="250"/>
    <n v="17853750"/>
    <n v="0"/>
  </r>
  <r>
    <s v="Levo-Telones y Proyectores"/>
    <x v="3"/>
    <x v="13"/>
    <x v="31"/>
    <n v="1659991971809"/>
    <x v="116"/>
    <x v="113"/>
    <x v="0"/>
    <x v="1"/>
    <n v="1"/>
    <x v="70"/>
    <n v="568"/>
    <m/>
    <n v="0"/>
    <n v="20603"/>
    <n v="11702504"/>
    <n v="19"/>
    <n v="20757.5"/>
    <n v="54613.44537815126"/>
    <n v="50411.76470588236"/>
    <s v="Shenzhen"/>
    <s v="20/80 Credit"/>
    <n v="30"/>
    <n v="100"/>
    <n v="142"/>
    <n v="0.6267050665371998"/>
    <n v="130"/>
    <n v="0.632357005365073"/>
    <n v="175"/>
    <n v="0.6225961270661112"/>
    <n v="189"/>
    <n v="0.6545333027726179"/>
    <n v="13"/>
    <n v="0.6389454422108758"/>
    <n v="127"/>
    <n v="0.6165010973057464"/>
    <n v="174"/>
    <n v="0.6364731066403339"/>
    <n v="183"/>
    <n v="0.6490642541251589"/>
    <n v="178"/>
    <n v="0.656168767531357"/>
    <n v="214"/>
    <n v="0.5997186161821436"/>
    <n v="28"/>
    <n v="0.6449634414123955"/>
    <n v="122"/>
    <n v="0.5573102963796212"/>
    <n v="135"/>
    <n v="0.535640891460708"/>
    <n v="122"/>
    <n v="0.5365278612406041"/>
    <n v="121"/>
    <n v="0.531176822418608"/>
    <n v="113"/>
    <n v="0.5681726315210049"/>
    <n v="1.13"/>
    <n v="77"/>
    <n v="0.6173135812550443"/>
    <n v="0.6416666666666667"/>
    <n v="159"/>
    <n v="0.4340120631380489"/>
    <n v="0.8833333333333333"/>
    <n v="18"/>
    <s v=""/>
    <n v="0.18"/>
    <n v="0"/>
    <s v=""/>
    <n v="0"/>
    <m/>
    <m/>
    <m/>
    <m/>
    <m/>
    <m/>
    <m/>
    <m/>
    <m/>
    <m/>
    <m/>
    <m/>
    <n v="160"/>
    <n v="197"/>
    <n v="120"/>
    <n v="300"/>
    <n v="300"/>
    <n v="0"/>
    <n v="8735672"/>
    <n v="3874005"/>
    <n v="2472360"/>
    <n v="0"/>
    <n v="568"/>
    <n v="11702504"/>
    <n v="5507238.189393405"/>
    <n v="180"/>
    <n v="624"/>
    <n v="183"/>
    <n v="275"/>
    <n v="275"/>
    <n v="0"/>
    <n v="8591451"/>
    <n v="12270960"/>
    <n v="3770349"/>
    <n v="0"/>
    <n v="568"/>
    <n v="11702504"/>
    <n v="8398538.238824943"/>
    <n v="200"/>
    <n v="519"/>
    <n v="121"/>
    <n v="0"/>
    <n v="0"/>
    <n v="7180902"/>
    <n v="10692957"/>
    <n v="2492963"/>
    <n v="0"/>
    <n v="568"/>
    <n v="11702504"/>
    <n v="6608226.890756303"/>
    <n v="100"/>
    <n v="589"/>
    <n v="113"/>
    <n v="200"/>
    <n v="0"/>
    <n v="11582685"/>
    <n v="2328139"/>
    <n v="3933000"/>
    <n v="0"/>
    <n v="568"/>
    <n v="11702504"/>
    <n v="6171319.327731092"/>
    <n v="120"/>
    <n v="645"/>
    <n v="120"/>
    <n v="200"/>
    <n v="200"/>
    <n v="0"/>
    <n v="13288935"/>
    <n v="2359800"/>
    <n v="3933000"/>
    <n v="0"/>
    <n v="568"/>
    <n v="11702504"/>
    <n v="6553613.445378152"/>
    <n v="180"/>
    <n v="727"/>
    <n v="159"/>
    <m/>
    <n v="200"/>
    <n v="0"/>
    <n v="14978381"/>
    <n v="3126735"/>
    <n v="0"/>
    <n v="0"/>
    <n v="727"/>
    <n v="11702504"/>
    <n v="8683537.81512605"/>
    <n v="100"/>
    <n v="586"/>
    <n v="18"/>
    <n v="300"/>
    <n v="300"/>
    <n v="0"/>
    <n v="12073358"/>
    <n v="353970"/>
    <n v="5702850"/>
    <n v="0"/>
    <n v="586"/>
    <n v="11702504"/>
    <n v="983042.0168067227"/>
    <n v="100"/>
    <n v="568"/>
    <n v="100"/>
    <n v="80"/>
    <n v="80"/>
    <n v="0"/>
    <n v="11702504"/>
    <n v="1966500"/>
    <n v="1573200"/>
    <n v="0"/>
    <n v="568"/>
    <n v="11702504"/>
    <n v="5461344.537815127"/>
    <n v="80"/>
    <n v="468"/>
    <n v="80"/>
    <n v="0"/>
    <n v="0"/>
    <n v="80"/>
    <n v="9203220"/>
    <n v="1573200"/>
    <n v="0"/>
    <n v="1573200"/>
    <n v="548"/>
    <n v="10776420"/>
    <n v="4369075.630252101"/>
    <n v="200"/>
    <n v="468"/>
    <n v="200"/>
    <n v="0"/>
    <n v="0"/>
    <n v="0"/>
    <m/>
    <n v="9203220"/>
    <n v="3933000"/>
    <n v="0"/>
    <n v="0"/>
    <n v="468"/>
    <n v="9203220"/>
    <n v="10082352.94117647"/>
    <n v="120"/>
    <n v="268"/>
    <n v="120"/>
    <m/>
    <n v="0"/>
    <n v="5270220"/>
    <n v="2359800"/>
    <n v="0"/>
    <n v="0"/>
    <n v="268"/>
    <n v="5270220"/>
    <n v="6351882.352941177"/>
    <n v="150"/>
    <n v="148"/>
    <n v="150"/>
    <n v="0"/>
    <n v="0"/>
    <n v="2910420"/>
    <n v="2949750"/>
    <n v="0"/>
    <n v="148"/>
    <n v="2910420"/>
    <n v="8192016.806722689"/>
    <n v="72"/>
    <n v="0"/>
    <n v="72"/>
    <n v="0"/>
    <m/>
    <n v="0"/>
    <n v="1483416"/>
    <n v="0"/>
    <n v="0"/>
    <n v="0"/>
    <n v="3932168.067226891"/>
  </r>
  <r>
    <s v="Levo-Telones y Proyectores"/>
    <x v="3"/>
    <x v="13"/>
    <x v="31"/>
    <n v="1659991999728"/>
    <x v="117"/>
    <x v="114"/>
    <x v="0"/>
    <x v="3"/>
    <n v="1"/>
    <x v="71"/>
    <n v="92"/>
    <m/>
    <n v="0"/>
    <n v="9694"/>
    <n v="891848"/>
    <n v="9.5"/>
    <n v="10378.75"/>
    <n v="33605.04201680672"/>
    <n v="25201.68067226891"/>
    <s v="Shenzhen"/>
    <s v="20/80 Credit"/>
    <n v="30"/>
    <n v="100"/>
    <n v="27"/>
    <n v="0.6806738183459976"/>
    <n v="16"/>
    <n v="0.5965112819651945"/>
    <n v="68"/>
    <n v="0.6932362722057857"/>
    <n v="66"/>
    <n v="0.5898215507635703"/>
    <n v="53"/>
    <n v="0.6779760091206884"/>
    <n v="65"/>
    <n v="0.6444661529533442"/>
    <n v="69"/>
    <n v="0.6439552377888278"/>
    <n v="71"/>
    <n v="0.6465773649794632"/>
    <n v="108"/>
    <n v="0.6981561732420174"/>
    <n v="155"/>
    <n v="0.6905498049574599"/>
    <n v="65"/>
    <n v="0.707828810921612"/>
    <n v="20"/>
    <n v="0.7408619514561319"/>
    <n v="0"/>
    <s v=""/>
    <n v="29"/>
    <n v="0.6683098819600759"/>
    <n v="73"/>
    <n v="0.6052800330419572"/>
    <n v="53"/>
    <n v="0.6592083479568859"/>
    <n v="1.06"/>
    <n v="46"/>
    <n v="0.7041931390221134"/>
    <n v="0.7666666666666667"/>
    <n v="88"/>
    <n v="0.4793318389831341"/>
    <n v="0.88"/>
    <n v="32"/>
    <s v=""/>
    <n v="0.4571428571428571"/>
    <n v="0"/>
    <s v=""/>
    <n v="0"/>
    <m/>
    <m/>
    <m/>
    <m/>
    <m/>
    <m/>
    <m/>
    <m/>
    <m/>
    <m/>
    <m/>
    <m/>
    <n v="60"/>
    <n v="2"/>
    <n v="2"/>
    <n v="100"/>
    <n v="100"/>
    <n v="0"/>
    <n v="1148739"/>
    <n v="19665"/>
    <n v="19388"/>
    <n v="0"/>
    <n v="92"/>
    <n v="891848"/>
    <n v="56479.06221312055"/>
    <n v="60"/>
    <n v="301"/>
    <n v="43.5"/>
    <n v="200"/>
    <n v="200"/>
    <n v="0"/>
    <n v="1643133"/>
    <n v="2959582.5"/>
    <n v="421689"/>
    <n v="0"/>
    <n v="92"/>
    <n v="891848"/>
    <n v="1228419.603135372"/>
    <n v="50"/>
    <n v="280"/>
    <n v="73"/>
    <n v="0"/>
    <n v="0"/>
    <n v="1811394"/>
    <n v="2714320"/>
    <n v="707662"/>
    <n v="0"/>
    <n v="92"/>
    <n v="891848"/>
    <n v="2453168.06722689"/>
    <n v="50"/>
    <n v="334"/>
    <n v="53"/>
    <n v="150"/>
    <n v="0"/>
    <n v="3284055"/>
    <n v="513782"/>
    <n v="1474875"/>
    <n v="0"/>
    <n v="92"/>
    <n v="891848"/>
    <n v="1781067.226890756"/>
    <n v="60"/>
    <n v="138"/>
    <n v="60"/>
    <n v="50"/>
    <n v="50"/>
    <n v="0"/>
    <n v="1337772"/>
    <n v="589950"/>
    <n v="491625"/>
    <n v="0"/>
    <n v="92"/>
    <n v="891848"/>
    <n v="2016302.521008403"/>
    <n v="100"/>
    <n v="180"/>
    <n v="88"/>
    <m/>
    <n v="50"/>
    <n v="0"/>
    <n v="1744920"/>
    <n v="865260"/>
    <n v="0"/>
    <n v="0"/>
    <n v="180"/>
    <n v="891848"/>
    <n v="2957243.697478991"/>
    <n v="70"/>
    <n v="124"/>
    <n v="32"/>
    <n v="0"/>
    <n v="0"/>
    <n v="0"/>
    <n v="1202056"/>
    <n v="314640"/>
    <n v="0"/>
    <n v="0"/>
    <n v="124"/>
    <n v="891848"/>
    <n v="1075361.344537815"/>
    <n v="70"/>
    <n v="92"/>
    <n v="70"/>
    <n v="0"/>
    <n v="0"/>
    <n v="0"/>
    <n v="891848"/>
    <n v="688275"/>
    <n v="0"/>
    <n v="0"/>
    <n v="92"/>
    <n v="891848"/>
    <n v="2352352.94117647"/>
    <n v="40"/>
    <n v="22"/>
    <n v="40"/>
    <n v="0"/>
    <n v="0"/>
    <n v="0"/>
    <n v="216315"/>
    <n v="393300"/>
    <n v="0"/>
    <n v="0"/>
    <n v="22"/>
    <n v="216315"/>
    <n v="1344201.680672269"/>
    <n v="70"/>
    <n v="0"/>
    <n v="0"/>
    <n v="0"/>
    <n v="0"/>
    <n v="0"/>
    <m/>
    <n v="0"/>
    <n v="0"/>
    <n v="0"/>
    <n v="0"/>
    <n v="0"/>
    <n v="0"/>
    <n v="0"/>
    <n v="50"/>
    <n v="0"/>
    <n v="50"/>
    <m/>
    <n v="0"/>
    <n v="0"/>
    <n v="491625"/>
    <n v="0"/>
    <n v="0"/>
    <n v="0"/>
    <n v="0"/>
    <n v="1323088.235294118"/>
    <n v="70"/>
    <n v="0"/>
    <n v="70"/>
    <n v="0"/>
    <n v="0"/>
    <n v="0"/>
    <n v="688275"/>
    <n v="0"/>
    <n v="0"/>
    <n v="0"/>
    <n v="2352352.94117647"/>
    <n v="30"/>
    <n v="0"/>
    <n v="30"/>
    <n v="0"/>
    <m/>
    <n v="0"/>
    <n v="290820"/>
    <n v="0"/>
    <n v="0"/>
    <n v="0"/>
    <n v="1008151.260504202"/>
  </r>
  <r>
    <s v="Levo-Telones y Proyectores"/>
    <x v="3"/>
    <x v="13"/>
    <x v="31"/>
    <s v="LVTEL-80"/>
    <x v="118"/>
    <x v="115"/>
    <x v="0"/>
    <x v="3"/>
    <n v="1"/>
    <x v="72"/>
    <n v="423"/>
    <m/>
    <n v="0"/>
    <n v="17957"/>
    <n v="7595811"/>
    <n v="17"/>
    <n v="18572.5"/>
    <n v="46210.08403361345"/>
    <n v="42008.40336134454"/>
    <s v="Shenzhen"/>
    <s v="20/80 Credit"/>
    <n v="30"/>
    <n v="100"/>
    <n v="28"/>
    <n v="0.6508188478188478"/>
    <n v="25"/>
    <n v="0.591075590751817"/>
    <n v="66"/>
    <n v="0.6232861690292708"/>
    <n v="91"/>
    <n v="0.5437913149471224"/>
    <n v="90"/>
    <n v="0.6258210081978013"/>
    <n v="91"/>
    <n v="0.6056306623273755"/>
    <n v="62"/>
    <n v="0.6234281552614741"/>
    <n v="40"/>
    <n v="0.6355058523825807"/>
    <n v="77"/>
    <n v="0.6457169487602603"/>
    <n v="282"/>
    <n v="0.5664346033379674"/>
    <n v="89"/>
    <n v="0.6396061505878238"/>
    <n v="8"/>
    <n v="0.6401933743581275"/>
    <n v="3"/>
    <n v="0.5967957329688256"/>
    <n v="24"/>
    <n v="0.5353479279951563"/>
    <n v="58"/>
    <n v="0.5082135775128646"/>
    <n v="41"/>
    <n v="0.5355705043159"/>
    <n v="1.025"/>
    <n v="39"/>
    <n v="0.6101716365911671"/>
    <n v="0.65"/>
    <n v="47"/>
    <n v="0.2958496753671571"/>
    <n v="0.47"/>
    <n v="25"/>
    <n v="0.5907730680701819"/>
    <n v="0.5"/>
    <n v="15"/>
    <n v="0.5278361275335602"/>
    <n v="0.3"/>
    <m/>
    <m/>
    <m/>
    <m/>
    <m/>
    <m/>
    <m/>
    <m/>
    <m/>
    <m/>
    <m/>
    <m/>
    <n v="80"/>
    <n v="3"/>
    <n v="3"/>
    <n v="150"/>
    <n v="150"/>
    <n v="0"/>
    <n v="1741829"/>
    <n v="52785"/>
    <n v="53871"/>
    <n v="0"/>
    <n v="423"/>
    <n v="7595811"/>
    <n v="116496.0101687734"/>
    <n v="100"/>
    <n v="376"/>
    <n v="36"/>
    <n v="225"/>
    <n v="225"/>
    <n v="0"/>
    <n v="2424195"/>
    <n v="6615720"/>
    <n v="646452"/>
    <n v="0"/>
    <n v="423"/>
    <n v="7595811"/>
    <n v="1397952.122025281"/>
    <n v="75"/>
    <n v="350"/>
    <n v="58"/>
    <n v="0"/>
    <n v="0"/>
    <n v="2833443"/>
    <n v="6284950"/>
    <n v="1041506"/>
    <n v="0"/>
    <n v="423"/>
    <n v="7595811"/>
    <n v="2680184.87394958"/>
    <n v="40"/>
    <n v="488"/>
    <n v="41"/>
    <n v="200"/>
    <n v="0"/>
    <n v="8586360"/>
    <n v="736237"/>
    <n v="3519000"/>
    <n v="0"/>
    <n v="423"/>
    <n v="7595811"/>
    <n v="1894613.445378151"/>
    <n v="60"/>
    <n v="462"/>
    <n v="60"/>
    <n v="100"/>
    <n v="100"/>
    <n v="0"/>
    <n v="8296134"/>
    <n v="1055700"/>
    <n v="1759500"/>
    <n v="0"/>
    <n v="423"/>
    <n v="7595811"/>
    <n v="2772605.042016807"/>
    <n v="100"/>
    <n v="470"/>
    <n v="47"/>
    <m/>
    <n v="100"/>
    <n v="0"/>
    <n v="8439790"/>
    <n v="826965"/>
    <n v="0"/>
    <n v="0"/>
    <n v="470"/>
    <n v="7595811"/>
    <n v="2171873.949579832"/>
    <n v="50"/>
    <n v="448"/>
    <n v="25"/>
    <n v="0"/>
    <n v="0"/>
    <n v="0"/>
    <n v="8044736"/>
    <n v="439875"/>
    <n v="0"/>
    <n v="0"/>
    <n v="448"/>
    <n v="7595811"/>
    <n v="1155252.100840336"/>
    <n v="50"/>
    <n v="423"/>
    <n v="50"/>
    <n v="0"/>
    <n v="0"/>
    <n v="0"/>
    <n v="7595811"/>
    <n v="879750"/>
    <n v="0"/>
    <n v="0"/>
    <n v="423"/>
    <n v="7595811"/>
    <n v="2310504.201680672"/>
    <n v="30"/>
    <n v="373"/>
    <n v="30"/>
    <n v="0"/>
    <n v="0"/>
    <n v="0"/>
    <n v="6562935"/>
    <n v="527850"/>
    <n v="0"/>
    <n v="0"/>
    <n v="373"/>
    <n v="6562935"/>
    <n v="1386302.521008404"/>
    <n v="100"/>
    <n v="343"/>
    <n v="100"/>
    <n v="0"/>
    <n v="0"/>
    <n v="0"/>
    <m/>
    <n v="6035085"/>
    <n v="1759500"/>
    <n v="0"/>
    <n v="0"/>
    <n v="343"/>
    <n v="6035085"/>
    <n v="4200840.336134454"/>
    <n v="70"/>
    <n v="243"/>
    <n v="70"/>
    <m/>
    <n v="0"/>
    <n v="4275585"/>
    <n v="1231650"/>
    <n v="0"/>
    <n v="0"/>
    <n v="243"/>
    <n v="4275585"/>
    <n v="3087617.647058824"/>
    <n v="80"/>
    <n v="173"/>
    <n v="80"/>
    <n v="0"/>
    <n v="0"/>
    <n v="3043935"/>
    <n v="1407600"/>
    <n v="0"/>
    <n v="173"/>
    <n v="3043935"/>
    <n v="3696806.722689076"/>
    <n v="42"/>
    <n v="93"/>
    <n v="42"/>
    <n v="0"/>
    <m/>
    <n v="1636335"/>
    <n v="754194"/>
    <n v="0"/>
    <n v="93"/>
    <n v="1636335"/>
    <n v="1940823.529411765"/>
  </r>
  <r>
    <s v="Levo-Telones y Proyectores"/>
    <x v="3"/>
    <x v="13"/>
    <x v="31"/>
    <s v="LVTELBK-100"/>
    <x v="119"/>
    <x v="116"/>
    <x v="0"/>
    <x v="1"/>
    <n v="1"/>
    <x v="73"/>
    <n v="150"/>
    <m/>
    <n v="0"/>
    <n v="20775"/>
    <n v="3116250"/>
    <n v="19"/>
    <n v="20757.5"/>
    <n v="58815.12605042017"/>
    <n v="50411.76470588236"/>
    <s v="Shenzhen"/>
    <s v="20/80 Credit"/>
    <n v="30"/>
    <n v="1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"/>
    <n v="0.6576705653641577"/>
    <n v="10"/>
    <n v="0.5857482060374936"/>
    <n v="1"/>
    <n v="14"/>
    <n v="0.594293836071744"/>
    <n v="0.35"/>
    <n v="54"/>
    <n v="0.4943469302547596"/>
    <n v="1.08"/>
    <n v="53"/>
    <n v="0.5211873382597225"/>
    <n v="0.8833333333333333"/>
    <n v="12"/>
    <n v="0.5370937997983448"/>
    <n v="0.15"/>
    <m/>
    <m/>
    <m/>
    <m/>
    <m/>
    <m/>
    <m/>
    <m/>
    <m/>
    <m/>
    <m/>
    <m/>
    <n v="0"/>
    <n v="0"/>
    <n v="0"/>
    <n v="0"/>
    <n v="0"/>
    <n v="0"/>
    <n v="20775"/>
    <n v="0"/>
    <n v="0"/>
    <n v="0"/>
    <n v="150"/>
    <n v="3116250"/>
    <n v="0"/>
    <n v="0"/>
    <n v="0"/>
    <n v="0"/>
    <n v="0"/>
    <n v="0"/>
    <n v="0"/>
    <n v="228525"/>
    <n v="0"/>
    <n v="0"/>
    <n v="0"/>
    <n v="150"/>
    <n v="3116250"/>
    <n v="0"/>
    <n v="0"/>
    <n v="0"/>
    <n v="1"/>
    <n v="0"/>
    <n v="0"/>
    <n v="1015125"/>
    <n v="0"/>
    <n v="20775"/>
    <n v="0"/>
    <n v="150"/>
    <n v="3116250"/>
    <n v="58815.12605042017"/>
    <n v="10"/>
    <n v="78"/>
    <n v="10"/>
    <n v="80"/>
    <n v="0"/>
    <n v="1533870"/>
    <n v="207750"/>
    <n v="1573200"/>
    <n v="0"/>
    <n v="150"/>
    <n v="3116250"/>
    <n v="588151.2605042018"/>
    <n v="40"/>
    <n v="164"/>
    <n v="40"/>
    <n v="80"/>
    <n v="80"/>
    <n v="0"/>
    <n v="3407100"/>
    <n v="786600"/>
    <n v="1573200"/>
    <n v="0"/>
    <n v="150"/>
    <n v="3116250"/>
    <n v="2352605.042016807"/>
    <n v="50"/>
    <n v="204"/>
    <n v="54"/>
    <m/>
    <n v="0"/>
    <n v="0"/>
    <n v="4238100"/>
    <n v="1061910"/>
    <n v="0"/>
    <n v="0"/>
    <n v="204"/>
    <n v="3116250"/>
    <n v="3176016.806722689"/>
    <n v="60"/>
    <n v="203"/>
    <n v="53"/>
    <n v="150"/>
    <n v="150"/>
    <n v="0"/>
    <n v="4217325"/>
    <n v="1042245"/>
    <n v="2851425"/>
    <n v="0"/>
    <n v="203"/>
    <n v="3116250"/>
    <n v="3117201.680672269"/>
    <n v="80"/>
    <n v="150"/>
    <n v="80"/>
    <n v="20"/>
    <n v="20"/>
    <n v="0"/>
    <n v="3116250"/>
    <n v="1573200"/>
    <n v="393300"/>
    <n v="0"/>
    <n v="150"/>
    <n v="3116250"/>
    <n v="4705210.084033614"/>
    <n v="60"/>
    <n v="70"/>
    <n v="60"/>
    <n v="0"/>
    <n v="0"/>
    <n v="20"/>
    <n v="1376550"/>
    <n v="1179900"/>
    <n v="0"/>
    <n v="393300"/>
    <n v="90"/>
    <n v="1769850"/>
    <n v="3528907.56302521"/>
    <n v="80"/>
    <n v="30"/>
    <n v="30"/>
    <n v="70"/>
    <n v="70"/>
    <n v="70"/>
    <n v="0"/>
    <n v="589950"/>
    <n v="589950"/>
    <n v="1376550"/>
    <n v="1376550"/>
    <n v="100"/>
    <n v="1966500"/>
    <n v="1512352.941176471"/>
    <n v="60"/>
    <n v="70"/>
    <n v="60"/>
    <m/>
    <n v="0"/>
    <n v="1376550"/>
    <n v="1179900"/>
    <n v="0"/>
    <n v="0"/>
    <n v="70"/>
    <n v="1376550"/>
    <n v="3175941.176470588"/>
    <n v="80"/>
    <n v="10"/>
    <n v="80"/>
    <n v="0"/>
    <n v="0"/>
    <n v="196650"/>
    <n v="1573200"/>
    <n v="0"/>
    <n v="10"/>
    <n v="196650"/>
    <n v="4705210.084033614"/>
    <n v="36"/>
    <n v="0"/>
    <n v="36"/>
    <n v="0"/>
    <m/>
    <n v="0"/>
    <n v="747900"/>
    <n v="0"/>
    <n v="0"/>
    <n v="0"/>
    <n v="2117344.537815126"/>
  </r>
  <r>
    <s v="Levo-Telones y Proyectores"/>
    <x v="3"/>
    <x v="13"/>
    <x v="31"/>
    <s v="LVTELBK-60"/>
    <x v="120"/>
    <x v="117"/>
    <x v="0"/>
    <x v="3"/>
    <n v="1"/>
    <x v="74"/>
    <n v="1"/>
    <m/>
    <n v="0"/>
    <n v="9961"/>
    <n v="9961"/>
    <n v="9.5"/>
    <n v="10378.75"/>
    <n v="33605.04201680672"/>
    <n v="25201.68067226891"/>
    <s v="Shenzhen"/>
    <s v="20/80 Credit"/>
    <n v="30"/>
    <n v="1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"/>
    <n v="0.7141303750375643"/>
    <n v="12"/>
    <n v="0.5267792037119812"/>
    <n v="1.2"/>
    <n v="14"/>
    <n v="0.7103423147453529"/>
    <n v="0.7"/>
    <n v="55"/>
    <n v="0.5138875823563899"/>
    <n v="2.2"/>
    <n v="50"/>
    <n v="0.6588288597118037"/>
    <n v="1"/>
    <n v="-1"/>
    <n v="0.6612509288368105"/>
    <n v="-0.2"/>
    <m/>
    <m/>
    <m/>
    <m/>
    <m/>
    <m/>
    <m/>
    <m/>
    <m/>
    <m/>
    <m/>
    <m/>
    <n v="0"/>
    <n v="0"/>
    <n v="0"/>
    <n v="0"/>
    <n v="0"/>
    <n v="0"/>
    <n v="9961"/>
    <n v="0"/>
    <n v="0"/>
    <n v="0"/>
    <n v="1"/>
    <n v="9961"/>
    <n v="0"/>
    <n v="0"/>
    <n v="0"/>
    <n v="0"/>
    <n v="0"/>
    <n v="0"/>
    <n v="0"/>
    <n v="129493"/>
    <n v="0"/>
    <n v="0"/>
    <n v="0"/>
    <n v="1"/>
    <n v="9961"/>
    <n v="0"/>
    <n v="0"/>
    <n v="0"/>
    <n v="1"/>
    <n v="0"/>
    <n v="0"/>
    <n v="326143"/>
    <n v="0"/>
    <n v="9961"/>
    <n v="0"/>
    <n v="1"/>
    <n v="9961"/>
    <n v="33605.04201680672"/>
    <n v="10"/>
    <n v="37"/>
    <n v="12"/>
    <n v="40"/>
    <n v="0"/>
    <n v="363802.5"/>
    <n v="119532"/>
    <n v="393300"/>
    <n v="0"/>
    <n v="1"/>
    <n v="9961"/>
    <n v="403260.5042016807"/>
    <n v="20"/>
    <n v="15"/>
    <n v="20"/>
    <n v="40"/>
    <n v="40"/>
    <n v="0"/>
    <n v="149415"/>
    <n v="196650"/>
    <n v="393300"/>
    <n v="0"/>
    <n v="1"/>
    <n v="9961"/>
    <n v="672100.8403361344"/>
    <n v="25"/>
    <n v="56"/>
    <n v="55"/>
    <m/>
    <n v="0"/>
    <n v="0"/>
    <n v="557816"/>
    <n v="540787.5"/>
    <n v="0"/>
    <n v="0"/>
    <n v="56"/>
    <n v="9961"/>
    <n v="1848277.31092437"/>
    <n v="50"/>
    <n v="51"/>
    <n v="50"/>
    <n v="60"/>
    <n v="60"/>
    <n v="0"/>
    <n v="508011"/>
    <n v="491625"/>
    <n v="570285"/>
    <n v="0"/>
    <n v="51"/>
    <n v="9961"/>
    <n v="1680252.100840336"/>
    <n v="5"/>
    <n v="1"/>
    <n v="5"/>
    <n v="0"/>
    <n v="0"/>
    <n v="0"/>
    <n v="9961"/>
    <n v="49162.5"/>
    <n v="0"/>
    <n v="0"/>
    <n v="1"/>
    <n v="9961"/>
    <n v="168025.2100840336"/>
    <n v="0"/>
    <n v="0"/>
    <n v="0"/>
    <n v="0"/>
    <n v="0"/>
    <n v="0"/>
    <n v="0"/>
    <n v="0"/>
    <n v="0"/>
    <n v="0"/>
    <n v="0"/>
    <n v="0"/>
    <n v="0"/>
    <n v="30"/>
    <n v="0"/>
    <n v="0"/>
    <n v="45"/>
    <n v="45"/>
    <n v="45"/>
    <n v="0"/>
    <n v="0"/>
    <n v="0"/>
    <n v="442462.5"/>
    <n v="442462.5"/>
    <n v="45"/>
    <n v="442462.5"/>
    <n v="0"/>
    <n v="20"/>
    <n v="45"/>
    <n v="20"/>
    <m/>
    <n v="0"/>
    <n v="442462.5"/>
    <n v="196650"/>
    <n v="0"/>
    <n v="0"/>
    <n v="45"/>
    <n v="442462.5"/>
    <n v="529235.2941176471"/>
    <n v="30"/>
    <n v="25"/>
    <n v="30"/>
    <n v="0"/>
    <n v="0"/>
    <n v="245812.5"/>
    <n v="294975"/>
    <n v="0"/>
    <n v="25"/>
    <n v="245812.5"/>
    <n v="1008151.260504202"/>
    <n v="12"/>
    <n v="0"/>
    <n v="12"/>
    <n v="0"/>
    <m/>
    <n v="0"/>
    <n v="119532"/>
    <n v="0"/>
    <n v="0"/>
    <n v="0"/>
    <n v="403260.5042016807"/>
  </r>
  <r>
    <s v="Levo-Telones y Proyectores"/>
    <x v="3"/>
    <x v="13"/>
    <x v="31"/>
    <s v="LVTELBK-80"/>
    <x v="121"/>
    <x v="118"/>
    <x v="0"/>
    <x v="3"/>
    <n v="1"/>
    <x v="75"/>
    <n v="153"/>
    <m/>
    <n v="0"/>
    <n v="20152"/>
    <n v="3083256"/>
    <n v="17"/>
    <n v="18572.5"/>
    <n v="50411.76470588236"/>
    <n v="42008.40336134454"/>
    <s v="Shenzhen"/>
    <s v="20/80 Credit"/>
    <n v="30"/>
    <n v="1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0"/>
    <s v=""/>
    <n v="6"/>
    <n v="0.4496893158053747"/>
    <n v="0.6"/>
    <n v="6"/>
    <n v="0.6287420165221569"/>
    <n v="0.2"/>
    <n v="26"/>
    <n v="0.476146563625044"/>
    <n v="0.7428571428571429"/>
    <n v="14"/>
    <n v="0.5158588522454074"/>
    <n v="1.4"/>
    <n v="2"/>
    <n v="0.5342404350359293"/>
    <n v="0.1333333333333333"/>
    <m/>
    <m/>
    <m/>
    <m/>
    <m/>
    <m/>
    <m/>
    <m/>
    <m/>
    <m/>
    <m/>
    <m/>
    <n v="0"/>
    <n v="0"/>
    <n v="0"/>
    <n v="0"/>
    <n v="0"/>
    <n v="0"/>
    <n v="0"/>
    <n v="0"/>
    <n v="0"/>
    <n v="0"/>
    <n v="153"/>
    <n v="3083256"/>
    <n v="0"/>
    <n v="0"/>
    <n v="0"/>
    <n v="0"/>
    <n v="0"/>
    <n v="0"/>
    <n v="0"/>
    <n v="120912"/>
    <n v="0"/>
    <n v="0"/>
    <n v="0"/>
    <n v="153"/>
    <n v="3083256"/>
    <n v="0"/>
    <n v="0"/>
    <n v="0"/>
    <n v="0"/>
    <n v="0"/>
    <n v="0"/>
    <n v="648762"/>
    <n v="0"/>
    <n v="0"/>
    <n v="0"/>
    <n v="153"/>
    <n v="3083256"/>
    <n v="0"/>
    <n v="10"/>
    <n v="60"/>
    <n v="6"/>
    <n v="60"/>
    <n v="0"/>
    <n v="1055700"/>
    <n v="120912"/>
    <n v="1055700"/>
    <n v="0"/>
    <n v="153"/>
    <n v="3083256"/>
    <n v="302470.5882352942"/>
    <n v="30"/>
    <n v="159"/>
    <n v="30"/>
    <n v="60"/>
    <n v="60"/>
    <n v="0"/>
    <n v="3204168"/>
    <n v="527850"/>
    <n v="1055700"/>
    <n v="0"/>
    <n v="153"/>
    <n v="3083256"/>
    <n v="1512352.941176471"/>
    <n v="35"/>
    <n v="179"/>
    <n v="26"/>
    <m/>
    <n v="0"/>
    <n v="0"/>
    <n v="3607208"/>
    <n v="457470"/>
    <n v="0"/>
    <n v="0"/>
    <n v="179"/>
    <n v="3083256"/>
    <n v="1310705.882352941"/>
    <n v="10"/>
    <n v="167"/>
    <n v="14"/>
    <n v="90"/>
    <n v="90"/>
    <n v="0"/>
    <n v="3365384"/>
    <n v="246330"/>
    <n v="1530765"/>
    <n v="0"/>
    <n v="167"/>
    <n v="3083256"/>
    <n v="705764.705882353"/>
    <n v="15"/>
    <n v="153"/>
    <n v="15"/>
    <n v="0"/>
    <n v="0"/>
    <n v="0"/>
    <n v="3083256"/>
    <n v="263925"/>
    <n v="0"/>
    <n v="0"/>
    <n v="153"/>
    <n v="3083256"/>
    <n v="756176.4705882353"/>
    <n v="15"/>
    <n v="138"/>
    <n v="15"/>
    <n v="0"/>
    <n v="0"/>
    <n v="0"/>
    <n v="2428110"/>
    <n v="263925"/>
    <n v="0"/>
    <n v="0"/>
    <n v="138"/>
    <n v="2428110"/>
    <n v="756176.4705882353"/>
    <n v="60"/>
    <n v="123"/>
    <n v="60"/>
    <n v="0"/>
    <n v="0"/>
    <n v="0"/>
    <m/>
    <n v="2164185"/>
    <n v="1055700"/>
    <n v="0"/>
    <n v="0"/>
    <n v="123"/>
    <n v="2164185"/>
    <n v="2520504.201680672"/>
    <n v="35"/>
    <n v="63"/>
    <n v="35"/>
    <m/>
    <n v="0"/>
    <n v="1108485"/>
    <n v="615825"/>
    <n v="0"/>
    <n v="0"/>
    <n v="63"/>
    <n v="1108485"/>
    <n v="1543808.823529412"/>
    <n v="40"/>
    <n v="28"/>
    <n v="40"/>
    <n v="0"/>
    <n v="0"/>
    <n v="492660"/>
    <n v="703800"/>
    <n v="0"/>
    <n v="28"/>
    <n v="492660"/>
    <n v="2016470.588235294"/>
    <n v="21"/>
    <n v="0"/>
    <n v="21"/>
    <n v="0"/>
    <m/>
    <n v="0"/>
    <n v="423192"/>
    <n v="0"/>
    <n v="0"/>
    <n v="0"/>
    <n v="1058647.058823529"/>
  </r>
  <r>
    <s v="Levo-Telones y Proyectores"/>
    <x v="3"/>
    <x v="13"/>
    <x v="31"/>
    <s v="LVTELELE-100"/>
    <x v="122"/>
    <x v="119"/>
    <x v="0"/>
    <x v="1"/>
    <n v="1"/>
    <x v="76"/>
    <n v="9"/>
    <m/>
    <n v="0"/>
    <n v="23463"/>
    <n v="211167"/>
    <n v="22.5"/>
    <n v="24581.25"/>
    <n v="63016.80672268908"/>
    <n v="58815.12605042017"/>
    <s v="Shenzhen"/>
    <s v="20/80 Credit"/>
    <n v="30"/>
    <n v="100"/>
    <n v="19"/>
    <n v="0.6182655435105997"/>
    <n v="89"/>
    <n v="0.5523793439327581"/>
    <n v="79"/>
    <n v="0.6844385072077276"/>
    <n v="80"/>
    <n v="0.6327955845968805"/>
    <n v="63"/>
    <n v="0.6531161940359417"/>
    <n v="143"/>
    <n v="0.6155088300318962"/>
    <n v="62"/>
    <n v="0.6484760192119465"/>
    <n v="51"/>
    <n v="0.6742453030340314"/>
    <n v="34"/>
    <n v="0.6826111224686365"/>
    <n v="129"/>
    <n v="0.6169855366888842"/>
    <n v="176"/>
    <n v="0.5992126065929331"/>
    <n v="144"/>
    <n v="0.6091739404698684"/>
    <n v="48"/>
    <n v="0.5858113538798314"/>
    <n v="63"/>
    <n v="0.5610453309602141"/>
    <n v="81"/>
    <n v="0.5482638333358874"/>
    <n v="94"/>
    <n v="0.5712540645710819"/>
    <n v="1.175"/>
    <n v="82"/>
    <n v="0.6299719019850722"/>
    <n v="1.025"/>
    <n v="190"/>
    <n v="0.4296389590381274"/>
    <n v="1.583333333333333"/>
    <n v="115"/>
    <n v="0.5837915015253639"/>
    <n v="1.4375"/>
    <n v="18"/>
    <n v="0.5627111990538876"/>
    <n v="0.225"/>
    <m/>
    <m/>
    <m/>
    <m/>
    <m/>
    <m/>
    <m/>
    <m/>
    <m/>
    <m/>
    <m/>
    <m/>
    <n v="85"/>
    <n v="67"/>
    <n v="50"/>
    <n v="50"/>
    <n v="50"/>
    <n v="0"/>
    <n v="5290906.5"/>
    <n v="1560262.5"/>
    <n v="1173150"/>
    <n v="0"/>
    <n v="9"/>
    <n v="211167"/>
    <n v="2647764.988348281"/>
    <n v="70"/>
    <n v="196"/>
    <n v="94.5"/>
    <n v="125"/>
    <n v="125"/>
    <n v="0"/>
    <n v="6323278.5"/>
    <n v="4564350"/>
    <n v="2217253.5"/>
    <n v="0"/>
    <n v="9"/>
    <n v="211167"/>
    <n v="5004275.827978251"/>
    <n v="100"/>
    <n v="152"/>
    <n v="81"/>
    <n v="0"/>
    <n v="0"/>
    <n v="5969025"/>
    <n v="3566376"/>
    <n v="1900503"/>
    <n v="0"/>
    <n v="9"/>
    <n v="211167"/>
    <n v="5104361.344537815"/>
    <n v="80"/>
    <n v="357"/>
    <n v="94"/>
    <n v="300"/>
    <n v="0"/>
    <n v="8313637.5"/>
    <n v="2205522"/>
    <n v="6986250"/>
    <n v="0"/>
    <n v="9"/>
    <n v="211167"/>
    <n v="5923579.831932773"/>
    <n v="80"/>
    <n v="91"/>
    <n v="80"/>
    <n v="100"/>
    <n v="100"/>
    <n v="0"/>
    <n v="2135133"/>
    <n v="1863000"/>
    <n v="2328750"/>
    <n v="0"/>
    <n v="9"/>
    <n v="211167"/>
    <n v="5041344.537815127"/>
    <n v="120"/>
    <n v="199"/>
    <n v="190"/>
    <m/>
    <n v="100"/>
    <n v="0"/>
    <n v="4669137"/>
    <n v="4424625"/>
    <n v="0"/>
    <n v="0"/>
    <n v="199"/>
    <n v="211167"/>
    <n v="11973193.27731092"/>
    <n v="80"/>
    <n v="124"/>
    <n v="115"/>
    <n v="60"/>
    <n v="60"/>
    <n v="0"/>
    <n v="2909412"/>
    <n v="2678062.5"/>
    <n v="1350675"/>
    <n v="0"/>
    <n v="124"/>
    <n v="211167"/>
    <n v="7246932.773109244"/>
    <n v="80"/>
    <n v="9"/>
    <n v="80"/>
    <n v="0"/>
    <n v="0"/>
    <n v="0"/>
    <n v="211167"/>
    <n v="1863000"/>
    <n v="0"/>
    <n v="0"/>
    <n v="9"/>
    <n v="211167"/>
    <n v="5041344.537815127"/>
    <n v="60"/>
    <n v="0"/>
    <n v="60"/>
    <n v="0"/>
    <n v="0"/>
    <n v="0"/>
    <n v="0"/>
    <n v="1397250"/>
    <n v="0"/>
    <n v="0"/>
    <n v="0"/>
    <n v="0"/>
    <n v="3781008.403361345"/>
    <n v="100"/>
    <n v="0"/>
    <n v="0"/>
    <n v="150"/>
    <n v="150"/>
    <n v="150"/>
    <n v="0"/>
    <n v="0"/>
    <n v="0"/>
    <n v="3493125"/>
    <n v="3493125"/>
    <n v="150"/>
    <n v="3493125"/>
    <n v="0"/>
    <n v="80"/>
    <n v="150"/>
    <n v="80"/>
    <n v="130"/>
    <n v="130"/>
    <n v="3493125"/>
    <n v="1863000"/>
    <n v="3027375"/>
    <n v="3027375"/>
    <n v="280"/>
    <n v="6520500"/>
    <n v="4940470.588235295"/>
    <n v="100"/>
    <n v="200"/>
    <n v="100"/>
    <n v="0"/>
    <n v="0"/>
    <n v="4657500"/>
    <n v="2328750"/>
    <n v="0"/>
    <n v="200"/>
    <n v="4657500"/>
    <n v="6301680.672268908"/>
    <n v="48"/>
    <n v="100"/>
    <n v="48"/>
    <n v="0"/>
    <m/>
    <n v="2328750"/>
    <n v="1126224"/>
    <n v="0"/>
    <n v="100"/>
    <n v="2328750"/>
    <n v="3024806.722689076"/>
  </r>
  <r>
    <s v="Levo-Telones y Proyectores"/>
    <x v="3"/>
    <x v="13"/>
    <x v="31"/>
    <s v="LVTELELE-60"/>
    <x v="123"/>
    <x v="120"/>
    <x v="0"/>
    <x v="0"/>
    <n v="1"/>
    <x v="77"/>
    <n v="11"/>
    <m/>
    <n v="0"/>
    <n v="18808"/>
    <n v="206888"/>
    <n v="18.5"/>
    <n v="20211.25"/>
    <n v="42008.40336134454"/>
    <n v="40327.73109243697"/>
    <s v="Shenzhen"/>
    <s v="20/80 Credit"/>
    <n v="30"/>
    <n v="100"/>
    <n v="0"/>
    <s v=""/>
    <n v="0"/>
    <s v=""/>
    <n v="3"/>
    <n v="0.6079723105032232"/>
    <n v="5"/>
    <n v="0.5783413486489292"/>
    <n v="9"/>
    <n v="0.5885041695050026"/>
    <n v="19"/>
    <n v="0.5670037163098394"/>
    <n v="8"/>
    <n v="0.5660782733953466"/>
    <n v="20"/>
    <n v="0.5058881368546418"/>
    <n v="27"/>
    <n v="0.5115880065945262"/>
    <n v="47"/>
    <n v="0.4786748711894205"/>
    <n v="33"/>
    <n v="0.4786025908864904"/>
    <n v="77"/>
    <n v="0.4934460636692596"/>
    <n v="17"/>
    <n v="0.4914220017678926"/>
    <n v="19"/>
    <n v="0.4033635592813282"/>
    <n v="12"/>
    <n v="0.4787538402792678"/>
    <n v="23"/>
    <n v="0.524829945598121"/>
    <n v="1.15"/>
    <n v="18"/>
    <n v="0.5808200871171521"/>
    <n v="0.9"/>
    <n v="19"/>
    <n v="0.4564105729083483"/>
    <n v="0.5428571428571428"/>
    <n v="18"/>
    <n v="0.5119260701153573"/>
    <n v="0.9"/>
    <n v="10"/>
    <n v="0.5495701881140559"/>
    <n v="0.5"/>
    <m/>
    <m/>
    <m/>
    <m/>
    <m/>
    <m/>
    <m/>
    <m/>
    <m/>
    <m/>
    <m/>
    <m/>
    <n v="30"/>
    <n v="47"/>
    <n v="25"/>
    <n v="0"/>
    <m/>
    <n v="0"/>
    <n v="1231924"/>
    <n v="899932.5"/>
    <n v="470200"/>
    <n v="0"/>
    <n v="11"/>
    <n v="206888"/>
    <n v="882529.4823811878"/>
    <n v="22"/>
    <n v="32"/>
    <n v="28.5"/>
    <n v="0"/>
    <m/>
    <n v="0"/>
    <n v="1194308"/>
    <n v="612720"/>
    <n v="536028"/>
    <n v="0"/>
    <n v="11"/>
    <n v="206888"/>
    <n v="1006083.609914554"/>
    <n v="30"/>
    <n v="20"/>
    <n v="12"/>
    <n v="0"/>
    <n v="0"/>
    <n v="1041230"/>
    <n v="376160"/>
    <n v="225696"/>
    <n v="0"/>
    <n v="11"/>
    <n v="206888"/>
    <n v="504100.8403361345"/>
    <n v="20"/>
    <n v="53"/>
    <n v="23"/>
    <n v="60"/>
    <n v="0"/>
    <n v="1014817.5"/>
    <n v="432584"/>
    <n v="1148850"/>
    <n v="0"/>
    <n v="11"/>
    <n v="206888"/>
    <n v="966193.2773109245"/>
    <n v="20"/>
    <n v="29"/>
    <n v="20"/>
    <m/>
    <n v="0"/>
    <n v="0"/>
    <n v="545432"/>
    <n v="382950"/>
    <n v="0"/>
    <n v="0"/>
    <n v="11"/>
    <n v="206888"/>
    <n v="840168.0672268908"/>
    <n v="35"/>
    <n v="30"/>
    <n v="19"/>
    <m/>
    <n v="0"/>
    <n v="0"/>
    <n v="564240"/>
    <n v="363802.5"/>
    <n v="0"/>
    <n v="0"/>
    <n v="30"/>
    <n v="206888"/>
    <n v="798159.6638655463"/>
    <n v="20"/>
    <n v="29"/>
    <n v="18"/>
    <n v="40"/>
    <n v="40"/>
    <n v="0"/>
    <n v="545432"/>
    <n v="344655"/>
    <n v="740370"/>
    <n v="0"/>
    <n v="29"/>
    <n v="206888"/>
    <n v="756151.2605042018"/>
    <n v="20"/>
    <n v="11"/>
    <n v="20"/>
    <n v="35"/>
    <n v="35"/>
    <n v="0"/>
    <n v="206888"/>
    <n v="382950"/>
    <n v="670162.5"/>
    <n v="0"/>
    <n v="11"/>
    <n v="206888"/>
    <n v="840168.0672268908"/>
    <n v="10"/>
    <n v="0"/>
    <n v="10"/>
    <n v="0"/>
    <n v="0"/>
    <n v="35"/>
    <n v="0"/>
    <n v="191475"/>
    <n v="0"/>
    <n v="670162.5"/>
    <n v="35"/>
    <n v="670162.5"/>
    <n v="420084.0336134454"/>
    <n v="35"/>
    <n v="25"/>
    <n v="25"/>
    <n v="30"/>
    <n v="30"/>
    <n v="30"/>
    <n v="0"/>
    <n v="478687.5"/>
    <n v="478687.5"/>
    <n v="574425"/>
    <n v="574425"/>
    <n v="55"/>
    <n v="1053112.5"/>
    <n v="1008193.277310924"/>
    <n v="30"/>
    <n v="30"/>
    <n v="30"/>
    <m/>
    <n v="0"/>
    <n v="574425"/>
    <n v="574425"/>
    <n v="0"/>
    <n v="0"/>
    <n v="30"/>
    <n v="574425"/>
    <n v="1270323.529411765"/>
    <n v="40"/>
    <n v="0"/>
    <n v="40"/>
    <n v="0"/>
    <n v="0"/>
    <n v="0"/>
    <n v="765900"/>
    <n v="0"/>
    <n v="0"/>
    <n v="0"/>
    <n v="1680336.134453782"/>
    <n v="18"/>
    <n v="0"/>
    <n v="18"/>
    <n v="0"/>
    <m/>
    <n v="0"/>
    <n v="338544"/>
    <n v="0"/>
    <n v="0"/>
    <n v="0"/>
    <n v="756151.2605042018"/>
  </r>
  <r>
    <s v="Levo-Telones y Proyectores"/>
    <x v="3"/>
    <x v="13"/>
    <x v="31"/>
    <s v="LVTELELE-80"/>
    <x v="124"/>
    <x v="121"/>
    <x v="0"/>
    <x v="1"/>
    <n v="1"/>
    <x v="78"/>
    <n v="4"/>
    <m/>
    <n v="0"/>
    <n v="21626"/>
    <n v="86504"/>
    <n v="21"/>
    <n v="22942.5"/>
    <n v="54613.44537815126"/>
    <n v="50411.76470588236"/>
    <s v="Shenzhen"/>
    <s v="20/80 Credit"/>
    <n v="30"/>
    <n v="100"/>
    <n v="0"/>
    <s v=""/>
    <n v="0"/>
    <s v=""/>
    <n v="3"/>
    <n v="0.6543025428836229"/>
    <n v="10"/>
    <n v="0.594815509545066"/>
    <n v="12"/>
    <n v="0.6328169914731981"/>
    <n v="49"/>
    <n v="0.5790098878001125"/>
    <n v="19"/>
    <n v="0.5974226133360359"/>
    <n v="32"/>
    <n v="0.5937990678585837"/>
    <n v="19"/>
    <n v="0.5902113960242239"/>
    <n v="35"/>
    <n v="0.5817025701432669"/>
    <n v="34"/>
    <n v="0.5780255319423855"/>
    <n v="46"/>
    <n v="0.5958194699164077"/>
    <n v="27"/>
    <n v="0.5343138937414889"/>
    <n v="23"/>
    <n v="0.4908428189220476"/>
    <n v="29"/>
    <n v="0.5517445381186701"/>
    <n v="24"/>
    <n v="0.5287407676500813"/>
    <n v="1.2"/>
    <n v="25"/>
    <n v="0.6040450545972463"/>
    <n v="1"/>
    <n v="77"/>
    <n v="0.3939677558275021"/>
    <n v="1.54"/>
    <n v="50"/>
    <n v="0.5629927949629651"/>
    <n v="1.25"/>
    <n v="1"/>
    <n v="0.5710175029171528"/>
    <n v="0.04545454545454546"/>
    <m/>
    <m/>
    <m/>
    <m/>
    <m/>
    <m/>
    <m/>
    <m/>
    <m/>
    <m/>
    <m/>
    <m/>
    <n v="30"/>
    <n v="34"/>
    <n v="30"/>
    <n v="75"/>
    <n v="75"/>
    <n v="0"/>
    <n v="2022031"/>
    <n v="738990"/>
    <n v="648780"/>
    <n v="0"/>
    <n v="4"/>
    <n v="86504"/>
    <n v="1376809.547348351"/>
    <n v="30"/>
    <n v="87"/>
    <n v="34.5"/>
    <n v="0"/>
    <m/>
    <n v="0"/>
    <n v="1892275"/>
    <n v="1890945"/>
    <n v="746097"/>
    <n v="0"/>
    <n v="4"/>
    <n v="86504"/>
    <n v="1583330.979450604"/>
    <n v="40"/>
    <n v="66"/>
    <n v="29"/>
    <n v="0"/>
    <n v="0"/>
    <n v="1689553"/>
    <n v="1427316"/>
    <n v="627154"/>
    <n v="0"/>
    <n v="4"/>
    <n v="86504"/>
    <n v="1583789.915966387"/>
    <n v="20"/>
    <n v="94"/>
    <n v="24"/>
    <n v="90"/>
    <n v="0"/>
    <n v="2043090"/>
    <n v="519024"/>
    <n v="1956150"/>
    <n v="0"/>
    <n v="4"/>
    <n v="86504"/>
    <n v="1310722.68907563"/>
    <n v="25"/>
    <n v="29"/>
    <n v="25"/>
    <n v="30"/>
    <n v="30"/>
    <n v="0"/>
    <n v="627154"/>
    <n v="543375"/>
    <n v="652050"/>
    <n v="0"/>
    <n v="4"/>
    <n v="86504"/>
    <n v="1365336.134453782"/>
    <n v="50"/>
    <n v="81"/>
    <n v="77"/>
    <m/>
    <n v="30"/>
    <n v="0"/>
    <n v="1751706"/>
    <n v="1673595"/>
    <n v="0"/>
    <n v="0"/>
    <n v="81"/>
    <n v="86504"/>
    <n v="4205235.294117647"/>
    <n v="40"/>
    <n v="54"/>
    <n v="50"/>
    <n v="60"/>
    <n v="60"/>
    <n v="0"/>
    <n v="1167804"/>
    <n v="1086750"/>
    <n v="1260630"/>
    <n v="0"/>
    <n v="54"/>
    <n v="86504"/>
    <n v="2730672.268907563"/>
    <n v="22"/>
    <n v="4"/>
    <n v="22"/>
    <n v="0"/>
    <n v="0"/>
    <n v="0"/>
    <n v="86504"/>
    <n v="478170"/>
    <n v="0"/>
    <n v="0"/>
    <n v="4"/>
    <n v="86504"/>
    <n v="1201495.798319328"/>
    <n v="30"/>
    <n v="0"/>
    <n v="30"/>
    <n v="0"/>
    <n v="0"/>
    <n v="0"/>
    <n v="0"/>
    <n v="652050"/>
    <n v="0"/>
    <n v="0"/>
    <n v="0"/>
    <n v="0"/>
    <n v="1638403.361344538"/>
    <n v="50"/>
    <n v="0"/>
    <n v="0"/>
    <n v="75"/>
    <n v="75"/>
    <n v="75"/>
    <n v="0"/>
    <n v="0"/>
    <n v="0"/>
    <n v="1630125"/>
    <n v="1630125"/>
    <n v="75"/>
    <n v="1630125"/>
    <n v="0"/>
    <n v="50"/>
    <n v="75"/>
    <n v="50"/>
    <m/>
    <n v="0"/>
    <n v="1630125"/>
    <n v="1086750"/>
    <n v="0"/>
    <n v="0"/>
    <n v="75"/>
    <n v="1630125"/>
    <n v="2646617.647058824"/>
    <n v="60"/>
    <n v="25"/>
    <n v="60"/>
    <n v="0"/>
    <n v="0"/>
    <n v="543375"/>
    <n v="1304100"/>
    <n v="0"/>
    <n v="25"/>
    <n v="543375"/>
    <n v="3276806.722689076"/>
    <n v="30"/>
    <n v="0"/>
    <n v="30"/>
    <n v="0"/>
    <m/>
    <n v="0"/>
    <n v="648780"/>
    <n v="0"/>
    <n v="0"/>
    <n v="0"/>
    <n v="1638403.361344538"/>
  </r>
  <r>
    <s v="Levo-Telones y Proyectores"/>
    <x v="3"/>
    <x v="13"/>
    <x v="31"/>
    <s v="LVTELRETR-100"/>
    <x v="125"/>
    <x v="122"/>
    <x v="0"/>
    <x v="0"/>
    <n v="1"/>
    <x v="79"/>
    <n v="3"/>
    <m/>
    <n v="0"/>
    <n v="91837"/>
    <n v="275511"/>
    <n v="96"/>
    <n v="104880"/>
    <n v="210075.6302521008"/>
    <n v="193268.9075630252"/>
    <s v="Shenzhen"/>
    <s v="20/80 Credit"/>
    <n v="30"/>
    <n v="1"/>
    <n v="0"/>
    <s v=""/>
    <n v="0"/>
    <s v=""/>
    <n v="0"/>
    <s v=""/>
    <n v="0"/>
    <s v=""/>
    <n v="0"/>
    <s v=""/>
    <n v="0"/>
    <s v=""/>
    <n v="0"/>
    <s v=""/>
    <n v="0"/>
    <s v=""/>
    <n v="1"/>
    <s v=""/>
    <n v="3"/>
    <n v="0.4075175979864215"/>
    <n v="3"/>
    <n v="0.4957639349575381"/>
    <n v="3"/>
    <n v="0.4357328044202026"/>
    <n v="3"/>
    <n v="0.4233998476613605"/>
    <n v="1"/>
    <n v="0.3799468835151694"/>
    <n v="3"/>
    <n v="0.3995021661746642"/>
    <n v="3"/>
    <n v="0.4404185003631076"/>
    <n v="1"/>
    <n v="4"/>
    <n v="0.5633913537035286"/>
    <n v="1.333333333333333"/>
    <n v="4"/>
    <n v="0.4079814816481963"/>
    <n v="0.8"/>
    <n v="10"/>
    <n v="0.520588076137472"/>
    <n v="3.333333333333333"/>
    <n v="0"/>
    <s v=""/>
    <n v="0"/>
    <m/>
    <m/>
    <m/>
    <m/>
    <m/>
    <m/>
    <m/>
    <m/>
    <m/>
    <m/>
    <m/>
    <m/>
    <n v="3"/>
    <n v="2"/>
    <n v="2"/>
    <n v="5"/>
    <n v="5"/>
    <n v="0"/>
    <n v="596940.5"/>
    <n v="198720"/>
    <n v="183674"/>
    <n v="0"/>
    <n v="3"/>
    <n v="275511"/>
    <n v="353068.2861379847"/>
    <n v="3"/>
    <n v="6"/>
    <n v="1.5"/>
    <n v="0"/>
    <m/>
    <n v="0"/>
    <n v="688777.5"/>
    <n v="596159.9999999999"/>
    <n v="137755.5"/>
    <n v="0"/>
    <n v="3"/>
    <n v="275511"/>
    <n v="264801.2146034885"/>
    <n v="3"/>
    <n v="5"/>
    <n v="3"/>
    <n v="0"/>
    <n v="0"/>
    <n v="849102"/>
    <n v="459185"/>
    <n v="275511"/>
    <n v="0"/>
    <n v="3"/>
    <n v="275511"/>
    <n v="630226.8907563025"/>
    <n v="3"/>
    <n v="15"/>
    <n v="3"/>
    <n v="15"/>
    <n v="0"/>
    <n v="1490400"/>
    <n v="275511"/>
    <n v="1490400"/>
    <n v="0"/>
    <n v="3"/>
    <n v="275511"/>
    <n v="630226.8907563025"/>
    <n v="3"/>
    <n v="7"/>
    <n v="3"/>
    <m/>
    <n v="0"/>
    <n v="0"/>
    <n v="642859"/>
    <n v="298079.9999999999"/>
    <n v="0"/>
    <n v="0"/>
    <n v="3"/>
    <n v="275511"/>
    <n v="630226.8907563025"/>
    <n v="5"/>
    <n v="7"/>
    <n v="4"/>
    <m/>
    <n v="0"/>
    <n v="0"/>
    <n v="642859"/>
    <n v="397439.9999999999"/>
    <n v="0"/>
    <n v="0"/>
    <n v="7"/>
    <n v="275511"/>
    <n v="840302.5210084034"/>
    <n v="3"/>
    <n v="13"/>
    <n v="10"/>
    <n v="5"/>
    <n v="5"/>
    <n v="0"/>
    <n v="1193881"/>
    <n v="993599.9999999999"/>
    <n v="480239.9999999999"/>
    <n v="0"/>
    <n v="13"/>
    <n v="275511"/>
    <n v="2100756.302521009"/>
    <n v="3"/>
    <n v="3"/>
    <n v="3"/>
    <n v="0"/>
    <n v="0"/>
    <n v="0"/>
    <n v="275511"/>
    <n v="298079.9999999999"/>
    <n v="0"/>
    <n v="0"/>
    <n v="3"/>
    <n v="275511"/>
    <n v="630226.8907563025"/>
    <n v="3"/>
    <n v="0"/>
    <n v="3"/>
    <n v="0"/>
    <n v="0"/>
    <n v="0"/>
    <n v="0"/>
    <n v="298079.9999999999"/>
    <n v="0"/>
    <n v="0"/>
    <n v="0"/>
    <n v="0"/>
    <n v="630226.8907563025"/>
    <n v="3"/>
    <n v="0"/>
    <n v="0"/>
    <n v="2"/>
    <n v="2"/>
    <n v="2"/>
    <n v="0"/>
    <n v="0"/>
    <n v="0"/>
    <n v="198720"/>
    <n v="198720"/>
    <n v="2"/>
    <n v="198720"/>
    <n v="0"/>
    <n v="3"/>
    <n v="2"/>
    <n v="3"/>
    <m/>
    <n v="0"/>
    <n v="198720"/>
    <n v="298079.9999999999"/>
    <n v="0"/>
    <n v="0"/>
    <n v="2"/>
    <n v="198720"/>
    <n v="608797.0588235294"/>
    <n v="5"/>
    <n v="0"/>
    <n v="5"/>
    <n v="0"/>
    <n v="0"/>
    <n v="0"/>
    <n v="496799.9999999999"/>
    <n v="0"/>
    <n v="0"/>
    <n v="0"/>
    <n v="1050378.151260504"/>
    <n v="1.8"/>
    <n v="0"/>
    <n v="1.8"/>
    <n v="0"/>
    <m/>
    <n v="0"/>
    <n v="165306.6"/>
    <n v="0"/>
    <n v="0"/>
    <n v="0"/>
    <n v="378136.1344537815"/>
  </r>
  <r>
    <m/>
    <x v="4"/>
    <x v="14"/>
    <x v="32"/>
    <s v="LHCALBAJ"/>
    <x v="126"/>
    <x v="123"/>
    <x v="0"/>
    <x v="4"/>
    <n v="1"/>
    <x v="80"/>
    <n v="55"/>
    <m/>
    <n v="0"/>
    <n v="1319"/>
    <n v="72545"/>
    <n v="1.34"/>
    <n v="1463.95"/>
    <n v="5873.949579831933"/>
    <n v="5033.613445378151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7"/>
    <n v="0.5287064519614969"/>
    <n v="6"/>
    <n v="0.5113664368553665"/>
    <n v="6"/>
    <n v="0.7633670668862026"/>
    <n v="8"/>
    <n v="0.6011904865807817"/>
    <n v="1"/>
    <n v="2"/>
    <n v="0.7754577968526466"/>
    <n v="0.1818181818181818"/>
    <n v="6"/>
    <n v="0.3787037806398006"/>
    <n v="0.4"/>
    <n v="9"/>
    <n v="0.7754577968526466"/>
    <n v="1.5"/>
    <n v="2"/>
    <n v="0.7754577968526466"/>
    <n v="0.3333333333333333"/>
    <m/>
    <m/>
    <m/>
    <m/>
    <m/>
    <m/>
    <m/>
    <m/>
    <m/>
    <m/>
    <m/>
    <m/>
    <n v="5"/>
    <n v="100"/>
    <n v="5"/>
    <n v="0"/>
    <n v="0"/>
    <n v="0"/>
    <n v="26380"/>
    <n v="138690"/>
    <n v="6595"/>
    <n v="0"/>
    <n v="55"/>
    <n v="72545"/>
    <n v="24680.46041946191"/>
    <n v="6"/>
    <n v="93"/>
    <n v="9"/>
    <n v="0"/>
    <n v="0"/>
    <n v="0"/>
    <n v="30337"/>
    <n v="128981.7"/>
    <n v="11871"/>
    <n v="0"/>
    <n v="55"/>
    <n v="72545"/>
    <n v="44424.82875503143"/>
    <n v="9"/>
    <n v="82"/>
    <n v="6"/>
    <n v="0"/>
    <n v="0"/>
    <n v="33721.89999999999"/>
    <n v="108158"/>
    <n v="7914"/>
    <n v="0"/>
    <n v="55"/>
    <n v="72545"/>
    <n v="35243.6974789916"/>
    <n v="8"/>
    <n v="80"/>
    <n v="8"/>
    <n v="0"/>
    <n v="0"/>
    <n v="110952"/>
    <n v="10552"/>
    <n v="0"/>
    <n v="0"/>
    <n v="55"/>
    <n v="72545"/>
    <n v="46991.59663865546"/>
    <n v="11"/>
    <n v="57"/>
    <n v="11"/>
    <m/>
    <n v="0"/>
    <n v="0"/>
    <n v="75183"/>
    <n v="15255.9"/>
    <n v="0"/>
    <n v="0"/>
    <n v="55"/>
    <n v="72545"/>
    <n v="64613.44537815126"/>
    <n v="15"/>
    <n v="61"/>
    <n v="6"/>
    <m/>
    <n v="0"/>
    <n v="0"/>
    <n v="80459"/>
    <n v="8321.4"/>
    <n v="0"/>
    <n v="0"/>
    <n v="61"/>
    <n v="72545"/>
    <n v="35243.6974789916"/>
    <n v="6"/>
    <n v="64"/>
    <n v="9"/>
    <n v="0"/>
    <n v="0"/>
    <n v="0"/>
    <n v="84416"/>
    <n v="12482.1"/>
    <n v="0"/>
    <n v="0"/>
    <n v="64"/>
    <n v="72545"/>
    <n v="52865.5462184874"/>
    <n v="6"/>
    <n v="55"/>
    <n v="6"/>
    <n v="0"/>
    <n v="0"/>
    <n v="0"/>
    <n v="72545"/>
    <n v="8321.4"/>
    <n v="0"/>
    <n v="0"/>
    <n v="55"/>
    <n v="72545"/>
    <n v="35243.6974789916"/>
    <n v="6"/>
    <n v="49"/>
    <n v="6"/>
    <n v="0"/>
    <n v="0"/>
    <n v="0"/>
    <n v="67958.09999999999"/>
    <n v="8321.4"/>
    <n v="0"/>
    <n v="0"/>
    <n v="49"/>
    <n v="67958.09999999999"/>
    <n v="35243.6974789916"/>
    <n v="12"/>
    <n v="43"/>
    <n v="12"/>
    <n v="0"/>
    <n v="0"/>
    <n v="0"/>
    <m/>
    <n v="59636.7"/>
    <n v="16642.8"/>
    <n v="0"/>
    <n v="0"/>
    <n v="43"/>
    <n v="59636.7"/>
    <n v="60403.36134453781"/>
    <n v="15"/>
    <n v="31"/>
    <n v="15"/>
    <n v="0"/>
    <n v="0"/>
    <n v="42993.89999999999"/>
    <n v="20803.5"/>
    <n v="0"/>
    <n v="0"/>
    <n v="31"/>
    <n v="42993.89999999999"/>
    <n v="79279.41176470589"/>
    <n v="20"/>
    <n v="16"/>
    <n v="20"/>
    <n v="0"/>
    <n v="0"/>
    <n v="22190.4"/>
    <n v="27738"/>
    <n v="0"/>
    <n v="16"/>
    <n v="22190.4"/>
    <n v="117478.9915966387"/>
    <n v="9"/>
    <n v="0"/>
    <n v="9"/>
    <n v="0"/>
    <m/>
    <n v="0"/>
    <n v="11871"/>
    <n v="0"/>
    <n v="0"/>
    <n v="0"/>
    <n v="52865.5462184874"/>
  </r>
  <r>
    <m/>
    <x v="4"/>
    <x v="14"/>
    <x v="32"/>
    <s v="LHCALBAJ"/>
    <x v="127"/>
    <x v="124"/>
    <x v="0"/>
    <x v="4"/>
    <n v="1"/>
    <x v="81"/>
    <n v="89"/>
    <m/>
    <n v="0"/>
    <n v="1319"/>
    <n v="117391"/>
    <n v="1.34"/>
    <n v="1463.95"/>
    <n v="5873.949579831933"/>
    <n v="5033.613445378151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7754511341195082"/>
    <n v="1"/>
    <n v="0.4324497684106819"/>
    <n v="7"/>
    <n v="0.3975348048423399"/>
    <n v="3"/>
    <n v="0.7754511341195082"/>
    <n v="0.375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5"/>
    <n v="100"/>
    <n v="5"/>
    <n v="0"/>
    <n v="0"/>
    <n v="0"/>
    <n v="17806.5"/>
    <n v="138690"/>
    <n v="6595"/>
    <n v="0"/>
    <n v="89"/>
    <n v="117391"/>
    <n v="24680.46041946191"/>
    <n v="6"/>
    <n v="99"/>
    <n v="1.5"/>
    <n v="0"/>
    <n v="0"/>
    <n v="0"/>
    <n v="15168.5"/>
    <n v="137303.1"/>
    <n v="1978.5"/>
    <n v="0"/>
    <n v="89"/>
    <n v="117391"/>
    <n v="7404.138125838572"/>
    <n v="9"/>
    <n v="98"/>
    <n v="7"/>
    <n v="0"/>
    <n v="0"/>
    <n v="25672.1"/>
    <n v="129262"/>
    <n v="9233"/>
    <n v="0"/>
    <n v="89"/>
    <n v="117391"/>
    <n v="41117.64705882353"/>
    <n v="8"/>
    <n v="89"/>
    <n v="3"/>
    <n v="0"/>
    <n v="0"/>
    <n v="123434.1"/>
    <n v="3957"/>
    <n v="0"/>
    <n v="0"/>
    <n v="89"/>
    <n v="117391"/>
    <n v="17621.8487394958"/>
    <n v="9"/>
    <n v="89"/>
    <n v="9"/>
    <m/>
    <n v="0"/>
    <n v="0"/>
    <n v="117391"/>
    <n v="12482.1"/>
    <n v="0"/>
    <n v="0"/>
    <n v="89"/>
    <n v="117391"/>
    <n v="52865.5462184874"/>
    <n v="12"/>
    <n v="89"/>
    <n v="0"/>
    <m/>
    <n v="0"/>
    <n v="0"/>
    <n v="117391"/>
    <n v="0"/>
    <n v="0"/>
    <n v="0"/>
    <n v="89"/>
    <n v="117391"/>
    <n v="0"/>
    <n v="6"/>
    <n v="89"/>
    <n v="0"/>
    <n v="0"/>
    <n v="0"/>
    <n v="0"/>
    <n v="117391"/>
    <n v="0"/>
    <n v="0"/>
    <n v="0"/>
    <n v="89"/>
    <n v="117391"/>
    <n v="0"/>
    <n v="6"/>
    <n v="89"/>
    <n v="6"/>
    <n v="0"/>
    <n v="0"/>
    <n v="0"/>
    <n v="117391"/>
    <n v="8321.4"/>
    <n v="0"/>
    <n v="0"/>
    <n v="89"/>
    <n v="117391"/>
    <n v="35243.6974789916"/>
    <n v="6"/>
    <n v="83"/>
    <n v="6"/>
    <n v="0"/>
    <n v="0"/>
    <n v="0"/>
    <n v="115112.7"/>
    <n v="8321.4"/>
    <n v="0"/>
    <n v="0"/>
    <n v="83"/>
    <n v="115112.7"/>
    <n v="35243.6974789916"/>
    <n v="12"/>
    <n v="77"/>
    <n v="12"/>
    <n v="0"/>
    <n v="0"/>
    <n v="0"/>
    <m/>
    <n v="106791.3"/>
    <n v="16642.8"/>
    <n v="0"/>
    <n v="0"/>
    <n v="77"/>
    <n v="106791.3"/>
    <n v="60403.36134453781"/>
    <n v="15"/>
    <n v="65"/>
    <n v="15"/>
    <n v="0"/>
    <n v="0"/>
    <n v="90148.49999999999"/>
    <n v="20803.5"/>
    <n v="0"/>
    <n v="0"/>
    <n v="65"/>
    <n v="90148.49999999999"/>
    <n v="79279.41176470589"/>
    <n v="20"/>
    <n v="50"/>
    <n v="20"/>
    <n v="0"/>
    <n v="0"/>
    <n v="69345"/>
    <n v="27738"/>
    <n v="0"/>
    <n v="50"/>
    <n v="69345"/>
    <n v="117478.9915966387"/>
    <n v="9"/>
    <n v="30"/>
    <n v="9"/>
    <n v="0"/>
    <m/>
    <n v="41606.99999999999"/>
    <n v="11871"/>
    <n v="0"/>
    <n v="30"/>
    <n v="41606.99999999999"/>
    <n v="52865.5462184874"/>
  </r>
  <r>
    <m/>
    <x v="4"/>
    <x v="14"/>
    <x v="32"/>
    <s v="LHCALBAJ"/>
    <x v="128"/>
    <x v="125"/>
    <x v="0"/>
    <x v="4"/>
    <n v="1"/>
    <x v="82"/>
    <n v="86"/>
    <m/>
    <n v="0"/>
    <n v="1319"/>
    <n v="113434"/>
    <n v="1.34"/>
    <n v="1463.95"/>
    <n v="5873.949579831933"/>
    <n v="5033.613445378151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5419643918407603"/>
    <n v="1"/>
    <n v="0.5452671336523269"/>
    <n v="2"/>
    <n v="0.7391989324195916"/>
    <n v="4"/>
    <n v="0.7754511341195082"/>
    <n v="0.5"/>
    <n v="1"/>
    <s v=""/>
    <n v="0.1111111111111111"/>
    <n v="2"/>
    <n v="0.3978255425709516"/>
    <n v="0.1666666666666667"/>
    <n v="4"/>
    <n v="0.7671439169139466"/>
    <n v="0.6666666666666666"/>
    <n v="0"/>
    <s v=""/>
    <n v="0"/>
    <m/>
    <m/>
    <m/>
    <m/>
    <m/>
    <m/>
    <m/>
    <m/>
    <m/>
    <m/>
    <m/>
    <m/>
    <n v="5"/>
    <n v="100"/>
    <n v="5"/>
    <n v="0"/>
    <n v="0"/>
    <n v="0"/>
    <n v="11211.5"/>
    <n v="138690"/>
    <n v="6595"/>
    <n v="0"/>
    <n v="86"/>
    <n v="113434"/>
    <n v="24680.46041946191"/>
    <n v="6"/>
    <n v="97"/>
    <n v="1.5"/>
    <n v="0"/>
    <n v="0"/>
    <n v="0"/>
    <n v="9892.5"/>
    <n v="134529.3"/>
    <n v="1978.5"/>
    <n v="0"/>
    <n v="86"/>
    <n v="113434"/>
    <n v="7404.138125838572"/>
    <n v="9"/>
    <n v="96"/>
    <n v="2"/>
    <n v="0"/>
    <n v="0"/>
    <n v="20396.1"/>
    <n v="126624"/>
    <n v="2638"/>
    <n v="0"/>
    <n v="86"/>
    <n v="113434"/>
    <n v="11747.89915966387"/>
    <n v="8"/>
    <n v="92"/>
    <n v="4"/>
    <n v="0"/>
    <n v="0"/>
    <n v="127594.8"/>
    <n v="5276"/>
    <n v="0"/>
    <n v="0"/>
    <n v="86"/>
    <n v="113434"/>
    <n v="23495.79831932773"/>
    <n v="9"/>
    <n v="87"/>
    <n v="9"/>
    <m/>
    <n v="0"/>
    <n v="0"/>
    <n v="114753"/>
    <n v="12482.1"/>
    <n v="0"/>
    <n v="0"/>
    <n v="86"/>
    <n v="113434"/>
    <n v="52865.5462184874"/>
    <n v="12"/>
    <n v="88"/>
    <n v="2"/>
    <m/>
    <n v="0"/>
    <n v="0"/>
    <n v="116072"/>
    <n v="2773.8"/>
    <n v="0"/>
    <n v="0"/>
    <n v="88"/>
    <n v="113434"/>
    <n v="11747.89915966387"/>
    <n v="6"/>
    <n v="90"/>
    <n v="4"/>
    <n v="0"/>
    <n v="0"/>
    <n v="0"/>
    <n v="118710"/>
    <n v="5547.599999999999"/>
    <n v="0"/>
    <n v="0"/>
    <n v="90"/>
    <n v="113434"/>
    <n v="23495.79831932773"/>
    <n v="6"/>
    <n v="86"/>
    <n v="6"/>
    <n v="0"/>
    <n v="0"/>
    <n v="0"/>
    <n v="113434"/>
    <n v="8321.4"/>
    <n v="0"/>
    <n v="0"/>
    <n v="86"/>
    <n v="113434"/>
    <n v="35243.6974789916"/>
    <n v="6"/>
    <n v="80"/>
    <n v="6"/>
    <n v="0"/>
    <n v="0"/>
    <n v="0"/>
    <n v="110952"/>
    <n v="8321.4"/>
    <n v="0"/>
    <n v="0"/>
    <n v="80"/>
    <n v="110952"/>
    <n v="35243.6974789916"/>
    <n v="12"/>
    <n v="74"/>
    <n v="12"/>
    <n v="0"/>
    <n v="0"/>
    <n v="0"/>
    <m/>
    <n v="102630.6"/>
    <n v="16642.8"/>
    <n v="0"/>
    <n v="0"/>
    <n v="74"/>
    <n v="102630.6"/>
    <n v="60403.36134453781"/>
    <n v="15"/>
    <n v="62"/>
    <n v="15"/>
    <n v="0"/>
    <n v="0"/>
    <n v="85987.79999999999"/>
    <n v="20803.5"/>
    <n v="0"/>
    <n v="0"/>
    <n v="62"/>
    <n v="85987.79999999999"/>
    <n v="79279.41176470589"/>
    <n v="20"/>
    <n v="47"/>
    <n v="20"/>
    <n v="0"/>
    <n v="0"/>
    <n v="65184.3"/>
    <n v="27738"/>
    <n v="0"/>
    <n v="47"/>
    <n v="65184.3"/>
    <n v="117478.9915966387"/>
    <n v="9"/>
    <n v="27"/>
    <n v="9"/>
    <n v="0"/>
    <m/>
    <n v="37446.3"/>
    <n v="11871"/>
    <n v="0"/>
    <n v="27"/>
    <n v="37446.3"/>
    <n v="52865.5462184874"/>
  </r>
  <r>
    <s v="Lhotse-Accesorio Vestuario"/>
    <x v="4"/>
    <x v="14"/>
    <x v="32"/>
    <s v="LHCALBAJ"/>
    <x v="129"/>
    <x v="126"/>
    <x v="0"/>
    <x v="4"/>
    <n v="1"/>
    <x v="83"/>
    <n v="76"/>
    <m/>
    <n v="0"/>
    <n v="1319"/>
    <n v="100244"/>
    <n v="1.34"/>
    <n v="1463.95"/>
    <n v="5873.949579831933"/>
    <n v="5033.613445378151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4"/>
    <n v="0.5357579301669846"/>
    <n v="5"/>
    <n v="0.6132296361749172"/>
    <n v="6"/>
    <n v="0.5228810589499713"/>
    <n v="0.75"/>
    <n v="0"/>
    <s v=""/>
    <n v="0"/>
    <n v="4"/>
    <n v="0.6328853887399464"/>
    <n v="0.3076923076923077"/>
    <n v="3"/>
    <n v="0.7754577968526466"/>
    <n v="0.5"/>
    <n v="1"/>
    <n v="0.7754577968526466"/>
    <n v="0.1666666666666667"/>
    <m/>
    <m/>
    <m/>
    <m/>
    <m/>
    <m/>
    <m/>
    <m/>
    <m/>
    <m/>
    <m/>
    <m/>
    <n v="5"/>
    <n v="100"/>
    <n v="5"/>
    <n v="0"/>
    <n v="0"/>
    <n v="0"/>
    <n v="21104"/>
    <n v="138690"/>
    <n v="6595"/>
    <n v="0"/>
    <n v="76"/>
    <n v="100244"/>
    <n v="24680.46041946191"/>
    <n v="6"/>
    <n v="99"/>
    <n v="6"/>
    <n v="0"/>
    <n v="0"/>
    <n v="0"/>
    <n v="22423"/>
    <n v="137303.1"/>
    <n v="7914"/>
    <n v="0"/>
    <n v="76"/>
    <n v="100244"/>
    <n v="29616.55250335429"/>
    <n v="9"/>
    <n v="95"/>
    <n v="5"/>
    <n v="0"/>
    <n v="0"/>
    <n v="28378"/>
    <n v="125305"/>
    <n v="6595"/>
    <n v="0"/>
    <n v="76"/>
    <n v="100244"/>
    <n v="29369.74789915967"/>
    <n v="8"/>
    <n v="88"/>
    <n v="6"/>
    <n v="0"/>
    <n v="0"/>
    <n v="122047.2"/>
    <n v="7914"/>
    <n v="0"/>
    <n v="0"/>
    <n v="76"/>
    <n v="100244"/>
    <n v="35243.6974789916"/>
    <n v="10"/>
    <n v="76"/>
    <n v="10"/>
    <m/>
    <n v="0"/>
    <n v="0"/>
    <n v="100244"/>
    <n v="13869"/>
    <n v="0"/>
    <n v="0"/>
    <n v="76"/>
    <n v="100244"/>
    <n v="58739.49579831933"/>
    <n v="13"/>
    <n v="80"/>
    <n v="4"/>
    <m/>
    <n v="0"/>
    <n v="0"/>
    <n v="105520"/>
    <n v="5547.599999999999"/>
    <n v="0"/>
    <n v="0"/>
    <n v="80"/>
    <n v="100244"/>
    <n v="23495.79831932773"/>
    <n v="6"/>
    <n v="79"/>
    <n v="3"/>
    <n v="0"/>
    <n v="0"/>
    <n v="0"/>
    <n v="104201"/>
    <n v="4160.7"/>
    <n v="0"/>
    <n v="0"/>
    <n v="79"/>
    <n v="100244"/>
    <n v="17621.8487394958"/>
    <n v="6"/>
    <n v="76"/>
    <n v="6"/>
    <n v="0"/>
    <n v="0"/>
    <n v="0"/>
    <n v="100244"/>
    <n v="8321.4"/>
    <n v="0"/>
    <n v="0"/>
    <n v="76"/>
    <n v="100244"/>
    <n v="35243.6974789916"/>
    <n v="6"/>
    <n v="70"/>
    <n v="6"/>
    <n v="0"/>
    <n v="0"/>
    <n v="0"/>
    <n v="97082.99999999999"/>
    <n v="8321.4"/>
    <n v="0"/>
    <n v="0"/>
    <n v="70"/>
    <n v="97082.99999999999"/>
    <n v="35243.6974789916"/>
    <n v="12"/>
    <n v="64"/>
    <n v="12"/>
    <n v="0"/>
    <n v="0"/>
    <n v="0"/>
    <m/>
    <n v="88761.59999999999"/>
    <n v="16642.8"/>
    <n v="0"/>
    <n v="0"/>
    <n v="64"/>
    <n v="88761.59999999999"/>
    <n v="60403.36134453781"/>
    <n v="15"/>
    <n v="52"/>
    <n v="15"/>
    <n v="0"/>
    <n v="0"/>
    <n v="72118.79999999999"/>
    <n v="20803.5"/>
    <n v="0"/>
    <n v="0"/>
    <n v="52"/>
    <n v="72118.79999999999"/>
    <n v="79279.41176470589"/>
    <n v="20"/>
    <n v="37"/>
    <n v="20"/>
    <n v="0"/>
    <n v="0"/>
    <n v="51315.3"/>
    <n v="27738"/>
    <n v="0"/>
    <n v="37"/>
    <n v="51315.3"/>
    <n v="117478.9915966387"/>
    <n v="9"/>
    <n v="17"/>
    <n v="9"/>
    <n v="0"/>
    <m/>
    <n v="23577.3"/>
    <n v="11871"/>
    <n v="0"/>
    <n v="17"/>
    <n v="23577.3"/>
    <n v="52865.5462184874"/>
  </r>
  <r>
    <s v="Lhotse-Accesorio Vestuario"/>
    <x v="4"/>
    <x v="14"/>
    <x v="32"/>
    <s v="LHCALBAJ"/>
    <x v="130"/>
    <x v="127"/>
    <x v="0"/>
    <x v="4"/>
    <n v="1"/>
    <x v="84"/>
    <n v="87"/>
    <m/>
    <n v="0"/>
    <n v="1319"/>
    <n v="114753"/>
    <n v="1.34"/>
    <n v="1463.95"/>
    <n v="5873.949579831933"/>
    <n v="5033.613445378151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6341825791416235"/>
    <n v="2"/>
    <n v="0.2677005473100511"/>
    <n v="2"/>
    <n v="0.7391989324195916"/>
    <n v="3"/>
    <n v="0.529530495766065"/>
    <n v="0.375"/>
    <n v="1"/>
    <s v=""/>
    <n v="0.1"/>
    <n v="0"/>
    <s v=""/>
    <n v="0"/>
    <n v="0"/>
    <s v=""/>
    <n v="0"/>
    <n v="0"/>
    <s v=""/>
    <n v="0"/>
    <m/>
    <m/>
    <m/>
    <m/>
    <m/>
    <m/>
    <m/>
    <m/>
    <m/>
    <m/>
    <m/>
    <m/>
    <n v="5"/>
    <n v="100"/>
    <n v="5"/>
    <n v="0"/>
    <n v="0"/>
    <n v="0"/>
    <n v="13190"/>
    <n v="138690"/>
    <n v="6595"/>
    <n v="0"/>
    <n v="87"/>
    <n v="114753"/>
    <n v="24680.46041946191"/>
    <n v="6"/>
    <n v="93"/>
    <n v="3"/>
    <n v="0"/>
    <n v="0"/>
    <n v="0"/>
    <n v="10552"/>
    <n v="128981.7"/>
    <n v="3957"/>
    <n v="0"/>
    <n v="87"/>
    <n v="114753"/>
    <n v="14808.27625167714"/>
    <n v="9"/>
    <n v="91"/>
    <n v="2"/>
    <n v="0"/>
    <n v="0"/>
    <n v="20464"/>
    <n v="120029"/>
    <n v="2638"/>
    <n v="0"/>
    <n v="87"/>
    <n v="114753"/>
    <n v="11747.89915966387"/>
    <n v="8"/>
    <n v="87"/>
    <n v="3"/>
    <n v="0"/>
    <n v="0"/>
    <n v="120660.3"/>
    <n v="3957"/>
    <n v="0"/>
    <n v="0"/>
    <n v="87"/>
    <n v="114753"/>
    <n v="17621.8487394958"/>
    <n v="10"/>
    <n v="88"/>
    <n v="10"/>
    <m/>
    <n v="0"/>
    <n v="0"/>
    <n v="116072"/>
    <n v="13869"/>
    <n v="0"/>
    <n v="0"/>
    <n v="87"/>
    <n v="114753"/>
    <n v="58739.49579831933"/>
    <n v="14"/>
    <n v="87"/>
    <n v="0"/>
    <m/>
    <n v="0"/>
    <n v="0"/>
    <n v="114753"/>
    <n v="0"/>
    <n v="0"/>
    <n v="0"/>
    <n v="87"/>
    <n v="114753"/>
    <n v="0"/>
    <n v="6"/>
    <n v="87"/>
    <n v="0"/>
    <n v="0"/>
    <n v="0"/>
    <n v="0"/>
    <n v="114753"/>
    <n v="0"/>
    <n v="0"/>
    <n v="0"/>
    <n v="87"/>
    <n v="114753"/>
    <n v="0"/>
    <n v="6"/>
    <n v="87"/>
    <n v="6"/>
    <n v="0"/>
    <n v="0"/>
    <n v="0"/>
    <n v="114753"/>
    <n v="8321.4"/>
    <n v="0"/>
    <n v="0"/>
    <n v="87"/>
    <n v="114753"/>
    <n v="35243.6974789916"/>
    <n v="6"/>
    <n v="81"/>
    <n v="6"/>
    <n v="0"/>
    <n v="0"/>
    <n v="0"/>
    <n v="112338.9"/>
    <n v="8321.4"/>
    <n v="0"/>
    <n v="0"/>
    <n v="81"/>
    <n v="112338.9"/>
    <n v="35243.6974789916"/>
    <n v="12"/>
    <n v="75"/>
    <n v="12"/>
    <n v="0"/>
    <n v="0"/>
    <n v="0"/>
    <m/>
    <n v="104017.5"/>
    <n v="16642.8"/>
    <n v="0"/>
    <n v="0"/>
    <n v="75"/>
    <n v="104017.5"/>
    <n v="60403.36134453781"/>
    <n v="15"/>
    <n v="63"/>
    <n v="15"/>
    <n v="0"/>
    <n v="0"/>
    <n v="87374.7"/>
    <n v="20803.5"/>
    <n v="0"/>
    <n v="0"/>
    <n v="63"/>
    <n v="87374.7"/>
    <n v="79279.41176470589"/>
    <n v="20"/>
    <n v="48"/>
    <n v="20"/>
    <n v="0"/>
    <n v="0"/>
    <n v="66571.2"/>
    <n v="27738"/>
    <n v="0"/>
    <n v="48"/>
    <n v="66571.2"/>
    <n v="117478.9915966387"/>
    <n v="9"/>
    <n v="28"/>
    <n v="9"/>
    <n v="0"/>
    <m/>
    <n v="38833.2"/>
    <n v="11871"/>
    <n v="0"/>
    <n v="28"/>
    <n v="38833.2"/>
    <n v="52865.5462184874"/>
  </r>
  <r>
    <m/>
    <x v="4"/>
    <x v="14"/>
    <x v="32"/>
    <s v="LHCALBAJ"/>
    <x v="131"/>
    <x v="128"/>
    <x v="0"/>
    <x v="4"/>
    <n v="1"/>
    <x v="85"/>
    <n v="86"/>
    <m/>
    <n v="0"/>
    <n v="1319"/>
    <n v="113434"/>
    <n v="1.34"/>
    <n v="1463.95"/>
    <n v="5873.949579831933"/>
    <n v="5033.613445378151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7"/>
    <n v="0.3975348048423399"/>
    <n v="3"/>
    <n v="0.6324480709668436"/>
    <n v="0.375"/>
    <n v="2"/>
    <n v="0.476"/>
    <n v="0.1428571428571428"/>
    <n v="1"/>
    <n v="0.6505121353818748"/>
    <n v="0.05555555555555555"/>
    <n v="0"/>
    <s v=""/>
    <n v="0"/>
    <n v="1"/>
    <n v="0.7754577968526466"/>
    <n v="0.1666666666666667"/>
    <m/>
    <m/>
    <m/>
    <m/>
    <m/>
    <m/>
    <m/>
    <m/>
    <m/>
    <m/>
    <m/>
    <m/>
    <n v="5"/>
    <n v="100"/>
    <n v="5"/>
    <n v="0"/>
    <n v="0"/>
    <n v="0"/>
    <n v="15828"/>
    <n v="138690"/>
    <n v="6595"/>
    <n v="0"/>
    <n v="86"/>
    <n v="113434"/>
    <n v="24680.46041946191"/>
    <n v="6"/>
    <n v="100"/>
    <n v="0"/>
    <n v="0"/>
    <n v="0"/>
    <n v="0"/>
    <n v="13190"/>
    <n v="138690"/>
    <n v="0"/>
    <n v="0"/>
    <n v="86"/>
    <n v="113434"/>
    <n v="0"/>
    <n v="9"/>
    <n v="100"/>
    <n v="7"/>
    <n v="0"/>
    <n v="0"/>
    <n v="32606.6"/>
    <n v="131900"/>
    <n v="9233"/>
    <n v="0"/>
    <n v="86"/>
    <n v="113434"/>
    <n v="41117.64705882353"/>
    <n v="8"/>
    <n v="91"/>
    <n v="3"/>
    <n v="0"/>
    <n v="0"/>
    <n v="126207.9"/>
    <n v="3957"/>
    <n v="0"/>
    <n v="0"/>
    <n v="86"/>
    <n v="113434"/>
    <n v="17621.8487394958"/>
    <n v="14"/>
    <n v="88"/>
    <n v="14"/>
    <m/>
    <n v="0"/>
    <n v="0"/>
    <n v="116072"/>
    <n v="19416.6"/>
    <n v="0"/>
    <n v="0"/>
    <n v="86"/>
    <n v="113434"/>
    <n v="82235.29411764706"/>
    <n v="18"/>
    <n v="87"/>
    <n v="1"/>
    <m/>
    <n v="0"/>
    <n v="0"/>
    <n v="114753"/>
    <n v="1386.9"/>
    <n v="0"/>
    <n v="0"/>
    <n v="87"/>
    <n v="113434"/>
    <n v="5873.949579831933"/>
    <n v="6"/>
    <n v="86"/>
    <n v="0"/>
    <n v="0"/>
    <n v="0"/>
    <n v="0"/>
    <n v="113434"/>
    <n v="0"/>
    <n v="0"/>
    <n v="0"/>
    <n v="86"/>
    <n v="113434"/>
    <n v="0"/>
    <n v="6"/>
    <n v="86"/>
    <n v="6"/>
    <n v="0"/>
    <n v="0"/>
    <n v="0"/>
    <n v="113434"/>
    <n v="8321.4"/>
    <n v="0"/>
    <n v="0"/>
    <n v="86"/>
    <n v="113434"/>
    <n v="35243.6974789916"/>
    <n v="6"/>
    <n v="80"/>
    <n v="6"/>
    <n v="0"/>
    <n v="0"/>
    <n v="0"/>
    <n v="110952"/>
    <n v="8321.4"/>
    <n v="0"/>
    <n v="0"/>
    <n v="80"/>
    <n v="110952"/>
    <n v="35243.6974789916"/>
    <n v="12"/>
    <n v="74"/>
    <n v="12"/>
    <n v="0"/>
    <n v="0"/>
    <n v="0"/>
    <m/>
    <n v="102630.6"/>
    <n v="16642.8"/>
    <n v="0"/>
    <n v="0"/>
    <n v="74"/>
    <n v="102630.6"/>
    <n v="60403.36134453781"/>
    <n v="15"/>
    <n v="62"/>
    <n v="15"/>
    <n v="0"/>
    <n v="0"/>
    <n v="85987.79999999999"/>
    <n v="20803.5"/>
    <n v="0"/>
    <n v="0"/>
    <n v="62"/>
    <n v="85987.79999999999"/>
    <n v="79279.41176470589"/>
    <n v="20"/>
    <n v="47"/>
    <n v="20"/>
    <n v="0"/>
    <n v="0"/>
    <n v="65184.3"/>
    <n v="27738"/>
    <n v="0"/>
    <n v="47"/>
    <n v="65184.3"/>
    <n v="117478.9915966387"/>
    <n v="9"/>
    <n v="27"/>
    <n v="9"/>
    <n v="0"/>
    <m/>
    <n v="37446.3"/>
    <n v="11871"/>
    <n v="0"/>
    <n v="27"/>
    <n v="37446.3"/>
    <n v="52865.5462184874"/>
  </r>
  <r>
    <m/>
    <x v="4"/>
    <x v="14"/>
    <x v="32"/>
    <s v="LHCALLAR"/>
    <x v="132"/>
    <x v="129"/>
    <x v="0"/>
    <x v="4"/>
    <n v="1"/>
    <x v="86"/>
    <n v="80"/>
    <m/>
    <n v="0"/>
    <n v="2807"/>
    <n v="224560"/>
    <n v="1.91"/>
    <n v="2086.675"/>
    <n v="8394.957983193277"/>
    <n v="7554.621848739496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1"/>
    <n v="0.6656343191482227"/>
    <n v="2"/>
    <n v="0.1011396399454497"/>
    <n v="2"/>
    <n v="0.6656343191482227"/>
    <n v="0.25"/>
    <n v="3"/>
    <n v="0.551043412033511"/>
    <n v="0.3333333333333333"/>
    <n v="7"/>
    <n v="0.3609777561687127"/>
    <n v="0.5833333333333334"/>
    <n v="1"/>
    <s v=""/>
    <n v="0.1666666666666667"/>
    <n v="0"/>
    <s v=""/>
    <n v="0"/>
    <m/>
    <m/>
    <m/>
    <m/>
    <m/>
    <m/>
    <m/>
    <m/>
    <m/>
    <m/>
    <m/>
    <m/>
    <n v="5"/>
    <n v="100"/>
    <n v="5"/>
    <n v="0"/>
    <n v="0"/>
    <n v="0"/>
    <n v="23859.5"/>
    <n v="197685"/>
    <n v="14035"/>
    <n v="0"/>
    <n v="80"/>
    <n v="224560"/>
    <n v="35272.93270249276"/>
    <n v="6"/>
    <n v="99"/>
    <n v="1.5"/>
    <n v="0"/>
    <n v="0"/>
    <n v="0"/>
    <n v="15438.5"/>
    <n v="195708.15"/>
    <n v="4210.5"/>
    <n v="0"/>
    <n v="80"/>
    <n v="224560"/>
    <n v="10581.87981074783"/>
    <n v="9"/>
    <n v="98"/>
    <n v="2"/>
    <n v="0"/>
    <n v="0"/>
    <n v="29019.65"/>
    <n v="275086"/>
    <n v="5614"/>
    <n v="0"/>
    <n v="80"/>
    <n v="224560"/>
    <n v="16789.91596638655"/>
    <n v="8"/>
    <n v="95"/>
    <n v="2"/>
    <n v="0"/>
    <n v="0"/>
    <n v="187800.75"/>
    <n v="5614"/>
    <n v="0"/>
    <n v="0"/>
    <n v="80"/>
    <n v="224560"/>
    <n v="16789.91596638655"/>
    <n v="9"/>
    <n v="83"/>
    <n v="9"/>
    <m/>
    <n v="0"/>
    <n v="0"/>
    <n v="232981"/>
    <n v="17791.65"/>
    <n v="0"/>
    <n v="0"/>
    <n v="80"/>
    <n v="224560"/>
    <n v="75554.62184873949"/>
    <n v="12"/>
    <n v="87"/>
    <n v="7"/>
    <m/>
    <n v="0"/>
    <n v="0"/>
    <n v="244209"/>
    <n v="13837.95"/>
    <n v="0"/>
    <n v="0"/>
    <n v="87"/>
    <n v="224560"/>
    <n v="58764.70588235294"/>
    <n v="6"/>
    <n v="81"/>
    <n v="1"/>
    <n v="0"/>
    <n v="0"/>
    <n v="0"/>
    <n v="227367"/>
    <n v="1976.85"/>
    <n v="0"/>
    <n v="0"/>
    <n v="81"/>
    <n v="224560"/>
    <n v="8394.957983193277"/>
    <n v="6"/>
    <n v="80"/>
    <n v="6"/>
    <n v="0"/>
    <n v="0"/>
    <n v="0"/>
    <n v="224560"/>
    <n v="11861.1"/>
    <n v="0"/>
    <n v="0"/>
    <n v="80"/>
    <n v="224560"/>
    <n v="50369.74789915966"/>
    <n v="6"/>
    <n v="74"/>
    <n v="6"/>
    <n v="0"/>
    <n v="0"/>
    <n v="0"/>
    <n v="146286.9"/>
    <n v="11861.1"/>
    <n v="0"/>
    <n v="0"/>
    <n v="74"/>
    <n v="146286.9"/>
    <n v="50369.74789915966"/>
    <n v="12"/>
    <n v="68"/>
    <n v="12"/>
    <n v="0"/>
    <n v="0"/>
    <n v="0"/>
    <m/>
    <n v="134425.8"/>
    <n v="23722.2"/>
    <n v="0"/>
    <n v="0"/>
    <n v="68"/>
    <n v="134425.8"/>
    <n v="90655.46218487396"/>
    <n v="15"/>
    <n v="56"/>
    <n v="15"/>
    <n v="0"/>
    <n v="0"/>
    <n v="110703.6"/>
    <n v="29652.75"/>
    <n v="0"/>
    <n v="0"/>
    <n v="56"/>
    <n v="110703.6"/>
    <n v="118985.2941176471"/>
    <n v="20"/>
    <n v="41"/>
    <n v="20"/>
    <n v="0"/>
    <n v="0"/>
    <n v="81050.84999999999"/>
    <n v="39537"/>
    <n v="0"/>
    <n v="41"/>
    <n v="81050.84999999999"/>
    <n v="167899.1596638655"/>
    <n v="9"/>
    <n v="21"/>
    <n v="9"/>
    <n v="0"/>
    <m/>
    <n v="41513.85"/>
    <n v="25263"/>
    <n v="0"/>
    <n v="21"/>
    <n v="41513.85"/>
    <n v="75554.62184873949"/>
  </r>
  <r>
    <s v="Lhotse-Accesorio Vestuario"/>
    <x v="4"/>
    <x v="14"/>
    <x v="32"/>
    <s v="LHCALLAR"/>
    <x v="133"/>
    <x v="130"/>
    <x v="0"/>
    <x v="4"/>
    <n v="1"/>
    <x v="87"/>
    <n v="69"/>
    <m/>
    <n v="0"/>
    <n v="2807"/>
    <n v="193683"/>
    <n v="1.91"/>
    <n v="2086.675"/>
    <n v="8394.957983193277"/>
    <n v="7554.621848739496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1"/>
    <n v="0.6656343191482227"/>
    <n v="5"/>
    <n v="0.4508345131694026"/>
    <n v="4"/>
    <n v="0.4892653577421316"/>
    <n v="0.5"/>
    <n v="2"/>
    <n v="0.6656376376376376"/>
    <n v="0.2222222222222222"/>
    <n v="11"/>
    <n v="0.4123204843167888"/>
    <n v="0.8461538461538461"/>
    <n v="4"/>
    <n v="0.6541097687262685"/>
    <n v="0.6666666666666666"/>
    <n v="1"/>
    <n v="0.6284894327030033"/>
    <n v="0.1666666666666667"/>
    <m/>
    <m/>
    <m/>
    <m/>
    <m/>
    <m/>
    <m/>
    <m/>
    <m/>
    <m/>
    <m/>
    <m/>
    <n v="5"/>
    <n v="100"/>
    <n v="5"/>
    <n v="0"/>
    <n v="0"/>
    <n v="0"/>
    <n v="32280.5"/>
    <n v="197685"/>
    <n v="14035"/>
    <n v="0"/>
    <n v="69"/>
    <n v="193683"/>
    <n v="35272.93270249276"/>
    <n v="6"/>
    <n v="99"/>
    <n v="1.5"/>
    <n v="0"/>
    <n v="0"/>
    <n v="0"/>
    <n v="29473.5"/>
    <n v="195708.15"/>
    <n v="4210.5"/>
    <n v="0"/>
    <n v="69"/>
    <n v="193683"/>
    <n v="10581.87981074783"/>
    <n v="9"/>
    <n v="98"/>
    <n v="5"/>
    <n v="0"/>
    <n v="0"/>
    <n v="43054.64999999999"/>
    <n v="275086"/>
    <n v="14035"/>
    <n v="0"/>
    <n v="69"/>
    <n v="193683"/>
    <n v="41974.78991596639"/>
    <n v="8"/>
    <n v="93"/>
    <n v="4"/>
    <n v="0"/>
    <n v="0"/>
    <n v="183847.05"/>
    <n v="11228"/>
    <n v="0"/>
    <n v="0"/>
    <n v="69"/>
    <n v="193683"/>
    <n v="33579.83193277311"/>
    <n v="9"/>
    <n v="71"/>
    <n v="9"/>
    <m/>
    <n v="0"/>
    <n v="0"/>
    <n v="199297"/>
    <n v="17791.65"/>
    <n v="0"/>
    <n v="0"/>
    <n v="69"/>
    <n v="193683"/>
    <n v="75554.62184873949"/>
    <n v="13"/>
    <n v="80"/>
    <n v="11"/>
    <m/>
    <n v="0"/>
    <n v="0"/>
    <n v="224560"/>
    <n v="21745.35"/>
    <n v="0"/>
    <n v="0"/>
    <n v="80"/>
    <n v="193683"/>
    <n v="92344.53781512605"/>
    <n v="6"/>
    <n v="73"/>
    <n v="4"/>
    <n v="0"/>
    <n v="0"/>
    <n v="0"/>
    <n v="204911"/>
    <n v="7907.4"/>
    <n v="0"/>
    <n v="0"/>
    <n v="73"/>
    <n v="193683"/>
    <n v="33579.83193277311"/>
    <n v="6"/>
    <n v="69"/>
    <n v="6"/>
    <n v="0"/>
    <n v="0"/>
    <n v="0"/>
    <n v="193683"/>
    <n v="11861.1"/>
    <n v="0"/>
    <n v="0"/>
    <n v="69"/>
    <n v="193683"/>
    <n v="50369.74789915966"/>
    <n v="6"/>
    <n v="63"/>
    <n v="6"/>
    <n v="0"/>
    <n v="0"/>
    <n v="0"/>
    <n v="124541.55"/>
    <n v="11861.1"/>
    <n v="0"/>
    <n v="0"/>
    <n v="63"/>
    <n v="124541.55"/>
    <n v="50369.74789915966"/>
    <n v="12"/>
    <n v="57"/>
    <n v="12"/>
    <n v="0"/>
    <n v="0"/>
    <n v="0"/>
    <m/>
    <n v="112680.45"/>
    <n v="23722.2"/>
    <n v="0"/>
    <n v="0"/>
    <n v="57"/>
    <n v="112680.45"/>
    <n v="90655.46218487396"/>
    <n v="15"/>
    <n v="45"/>
    <n v="15"/>
    <n v="0"/>
    <n v="0"/>
    <n v="88958.25"/>
    <n v="29652.75"/>
    <n v="0"/>
    <n v="0"/>
    <n v="45"/>
    <n v="88958.25"/>
    <n v="118985.2941176471"/>
    <n v="20"/>
    <n v="30"/>
    <n v="20"/>
    <n v="0"/>
    <n v="0"/>
    <n v="59305.5"/>
    <n v="39537"/>
    <n v="0"/>
    <n v="30"/>
    <n v="59305.5"/>
    <n v="167899.1596638655"/>
    <n v="9"/>
    <n v="10"/>
    <n v="9"/>
    <n v="0"/>
    <m/>
    <n v="19768.5"/>
    <n v="25263"/>
    <n v="0"/>
    <n v="10"/>
    <n v="19768.5"/>
    <n v="75554.62184873949"/>
  </r>
  <r>
    <s v="Lhotse-Accesorio Vestuario"/>
    <x v="4"/>
    <x v="14"/>
    <x v="32"/>
    <s v="LHCALLAR"/>
    <x v="134"/>
    <x v="131"/>
    <x v="0"/>
    <x v="4"/>
    <n v="1"/>
    <x v="88"/>
    <n v="87"/>
    <m/>
    <n v="0"/>
    <n v="2807"/>
    <n v="244209"/>
    <n v="1.91"/>
    <n v="2086.675"/>
    <n v="8394.957983193277"/>
    <n v="7554.621848739496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1"/>
    <n v="0.6656343191482227"/>
    <n v="1"/>
    <n v="0.7159032965027408"/>
    <n v="3"/>
    <n v="0.326376298239842"/>
    <n v="0.375"/>
    <n v="1"/>
    <n v="0"/>
    <n v="0.1111111111111111"/>
    <n v="6"/>
    <n v="0.5293546568972806"/>
    <n v="0.5"/>
    <n v="1"/>
    <s v=""/>
    <n v="0.1666666666666667"/>
    <n v="0"/>
    <s v=""/>
    <n v="0"/>
    <m/>
    <m/>
    <m/>
    <m/>
    <m/>
    <m/>
    <m/>
    <m/>
    <m/>
    <m/>
    <m/>
    <m/>
    <n v="5"/>
    <n v="100"/>
    <n v="5"/>
    <n v="0"/>
    <n v="0"/>
    <n v="0"/>
    <n v="21052.5"/>
    <n v="197685"/>
    <n v="14035"/>
    <n v="0"/>
    <n v="87"/>
    <n v="244209"/>
    <n v="35272.93270249276"/>
    <n v="6"/>
    <n v="99"/>
    <n v="1.5"/>
    <n v="0"/>
    <n v="0"/>
    <n v="0"/>
    <n v="15438.5"/>
    <n v="195708.15"/>
    <n v="4210.5"/>
    <n v="0"/>
    <n v="87"/>
    <n v="244209"/>
    <n v="10581.87981074783"/>
    <n v="9"/>
    <n v="98"/>
    <n v="1"/>
    <n v="0"/>
    <n v="0"/>
    <n v="29019.65"/>
    <n v="275086"/>
    <n v="2807"/>
    <n v="0"/>
    <n v="87"/>
    <n v="244209"/>
    <n v="8394.957983193277"/>
    <n v="8"/>
    <n v="96"/>
    <n v="3"/>
    <n v="0"/>
    <n v="0"/>
    <n v="189777.6"/>
    <n v="8421"/>
    <n v="0"/>
    <n v="0"/>
    <n v="87"/>
    <n v="244209"/>
    <n v="25184.87394957983"/>
    <n v="9"/>
    <n v="88"/>
    <n v="9"/>
    <m/>
    <n v="0"/>
    <n v="0"/>
    <n v="247016"/>
    <n v="17791.65"/>
    <n v="0"/>
    <n v="0"/>
    <n v="87"/>
    <n v="244209"/>
    <n v="75554.62184873949"/>
    <n v="12"/>
    <n v="93"/>
    <n v="6"/>
    <m/>
    <n v="0"/>
    <n v="0"/>
    <n v="261051"/>
    <n v="11861.1"/>
    <n v="0"/>
    <n v="0"/>
    <n v="93"/>
    <n v="244209"/>
    <n v="50369.74789915966"/>
    <n v="6"/>
    <n v="88"/>
    <n v="1"/>
    <n v="0"/>
    <n v="0"/>
    <n v="0"/>
    <n v="247016"/>
    <n v="1976.85"/>
    <n v="0"/>
    <n v="0"/>
    <n v="88"/>
    <n v="244209"/>
    <n v="8394.957983193277"/>
    <n v="6"/>
    <n v="87"/>
    <n v="6"/>
    <n v="0"/>
    <n v="0"/>
    <n v="0"/>
    <n v="244209"/>
    <n v="11861.1"/>
    <n v="0"/>
    <n v="0"/>
    <n v="87"/>
    <n v="244209"/>
    <n v="50369.74789915966"/>
    <n v="6"/>
    <n v="81"/>
    <n v="6"/>
    <n v="0"/>
    <n v="0"/>
    <n v="0"/>
    <n v="160124.85"/>
    <n v="11861.1"/>
    <n v="0"/>
    <n v="0"/>
    <n v="81"/>
    <n v="160124.85"/>
    <n v="50369.74789915966"/>
    <n v="12"/>
    <n v="75"/>
    <n v="12"/>
    <n v="0"/>
    <n v="0"/>
    <n v="0"/>
    <m/>
    <n v="148263.75"/>
    <n v="23722.2"/>
    <n v="0"/>
    <n v="0"/>
    <n v="75"/>
    <n v="148263.75"/>
    <n v="90655.46218487396"/>
    <n v="15"/>
    <n v="63"/>
    <n v="15"/>
    <n v="0"/>
    <n v="0"/>
    <n v="124541.55"/>
    <n v="29652.75"/>
    <n v="0"/>
    <n v="0"/>
    <n v="63"/>
    <n v="124541.55"/>
    <n v="118985.2941176471"/>
    <n v="20"/>
    <n v="48"/>
    <n v="20"/>
    <n v="0"/>
    <n v="0"/>
    <n v="94888.79999999999"/>
    <n v="39537"/>
    <n v="0"/>
    <n v="48"/>
    <n v="94888.79999999999"/>
    <n v="167899.1596638655"/>
    <n v="9"/>
    <n v="28"/>
    <n v="9"/>
    <n v="0"/>
    <m/>
    <n v="55351.8"/>
    <n v="25263"/>
    <n v="0"/>
    <n v="28"/>
    <n v="55351.8"/>
    <n v="75554.62184873949"/>
  </r>
  <r>
    <s v="Lhotse-Accesorio Vestuario"/>
    <x v="4"/>
    <x v="14"/>
    <x v="32"/>
    <s v="LHCALLAR"/>
    <x v="135"/>
    <x v="132"/>
    <x v="0"/>
    <x v="4"/>
    <n v="1"/>
    <x v="89"/>
    <n v="87"/>
    <m/>
    <n v="0"/>
    <n v="2807"/>
    <n v="244209"/>
    <n v="1.91"/>
    <n v="2086.675"/>
    <n v="8394.957983193277"/>
    <n v="7554.621848739496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4805777090277295"/>
    <n v="2"/>
    <n v="0.4888920075806755"/>
    <n v="0.25"/>
    <n v="2"/>
    <n v="0.6656376376376376"/>
    <n v="0.2"/>
    <n v="4"/>
    <n v="0.4990100105374078"/>
    <n v="0.3076923076923077"/>
    <n v="1"/>
    <s v=""/>
    <n v="0.1666666666666667"/>
    <n v="0"/>
    <s v=""/>
    <n v="0"/>
    <m/>
    <m/>
    <m/>
    <m/>
    <m/>
    <m/>
    <m/>
    <m/>
    <m/>
    <m/>
    <m/>
    <m/>
    <n v="5"/>
    <n v="100"/>
    <n v="5"/>
    <n v="0"/>
    <n v="0"/>
    <n v="0"/>
    <n v="22456"/>
    <n v="197685"/>
    <n v="14035"/>
    <n v="0"/>
    <n v="87"/>
    <n v="244209"/>
    <n v="35272.93270249276"/>
    <n v="6"/>
    <n v="100"/>
    <n v="0"/>
    <n v="0"/>
    <n v="0"/>
    <n v="0"/>
    <n v="14035"/>
    <n v="197685"/>
    <n v="0"/>
    <n v="0"/>
    <n v="87"/>
    <n v="244209"/>
    <n v="0"/>
    <n v="9"/>
    <n v="100"/>
    <n v="3"/>
    <n v="0"/>
    <n v="0"/>
    <n v="33803.5"/>
    <n v="280700"/>
    <n v="8421"/>
    <n v="0"/>
    <n v="87"/>
    <n v="244209"/>
    <n v="25184.87394957983"/>
    <n v="8"/>
    <n v="96"/>
    <n v="2"/>
    <n v="0"/>
    <n v="0"/>
    <n v="189777.6"/>
    <n v="5614"/>
    <n v="0"/>
    <n v="0"/>
    <n v="87"/>
    <n v="244209"/>
    <n v="16789.91596638655"/>
    <n v="10"/>
    <n v="89"/>
    <n v="10"/>
    <m/>
    <n v="0"/>
    <n v="0"/>
    <n v="249823"/>
    <n v="19768.5"/>
    <n v="0"/>
    <n v="0"/>
    <n v="87"/>
    <n v="244209"/>
    <n v="83949.57983193277"/>
    <n v="13"/>
    <n v="91"/>
    <n v="4"/>
    <m/>
    <n v="0"/>
    <n v="0"/>
    <n v="255437"/>
    <n v="7907.4"/>
    <n v="0"/>
    <n v="0"/>
    <n v="91"/>
    <n v="244209"/>
    <n v="33579.83193277311"/>
    <n v="6"/>
    <n v="88"/>
    <n v="1"/>
    <n v="0"/>
    <n v="0"/>
    <n v="0"/>
    <n v="247016"/>
    <n v="1976.85"/>
    <n v="0"/>
    <n v="0"/>
    <n v="88"/>
    <n v="244209"/>
    <n v="8394.957983193277"/>
    <n v="6"/>
    <n v="87"/>
    <n v="6"/>
    <n v="0"/>
    <n v="0"/>
    <n v="0"/>
    <n v="244209"/>
    <n v="11861.1"/>
    <n v="0"/>
    <n v="0"/>
    <n v="87"/>
    <n v="244209"/>
    <n v="50369.74789915966"/>
    <n v="6"/>
    <n v="81"/>
    <n v="6"/>
    <n v="0"/>
    <n v="0"/>
    <n v="0"/>
    <n v="160124.85"/>
    <n v="11861.1"/>
    <n v="0"/>
    <n v="0"/>
    <n v="81"/>
    <n v="160124.85"/>
    <n v="50369.74789915966"/>
    <n v="12"/>
    <n v="75"/>
    <n v="12"/>
    <n v="0"/>
    <n v="0"/>
    <n v="0"/>
    <m/>
    <n v="148263.75"/>
    <n v="23722.2"/>
    <n v="0"/>
    <n v="0"/>
    <n v="75"/>
    <n v="148263.75"/>
    <n v="90655.46218487396"/>
    <n v="15"/>
    <n v="63"/>
    <n v="15"/>
    <n v="0"/>
    <n v="0"/>
    <n v="124541.55"/>
    <n v="29652.75"/>
    <n v="0"/>
    <n v="0"/>
    <n v="63"/>
    <n v="124541.55"/>
    <n v="118985.2941176471"/>
    <n v="20"/>
    <n v="48"/>
    <n v="20"/>
    <n v="0"/>
    <n v="0"/>
    <n v="94888.79999999999"/>
    <n v="39537"/>
    <n v="0"/>
    <n v="48"/>
    <n v="94888.79999999999"/>
    <n v="167899.1596638655"/>
    <n v="9"/>
    <n v="28"/>
    <n v="9"/>
    <n v="0"/>
    <m/>
    <n v="55351.8"/>
    <n v="25263"/>
    <n v="0"/>
    <n v="28"/>
    <n v="55351.8"/>
    <n v="75554.62184873949"/>
  </r>
  <r>
    <m/>
    <x v="4"/>
    <x v="14"/>
    <x v="32"/>
    <s v="LHCALLAR"/>
    <x v="136"/>
    <x v="133"/>
    <x v="0"/>
    <x v="4"/>
    <n v="1"/>
    <x v="3"/>
    <n v="93"/>
    <m/>
    <n v="0"/>
    <n v="2807"/>
    <n v="261051"/>
    <n v="1.91"/>
    <n v="2086.675"/>
    <n v="8394.957983193277"/>
    <n v="7554.621848739496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0"/>
    <s v=""/>
    <n v="0"/>
    <s v=""/>
    <n v="4"/>
    <n v="0.4717082913004624"/>
    <n v="0.5"/>
    <n v="0"/>
    <s v=""/>
    <n v="0"/>
    <n v="4"/>
    <n v="0.5672735910170589"/>
    <n v="0.3333333333333333"/>
    <n v="1"/>
    <s v=""/>
    <n v="0.1666666666666667"/>
    <n v="0"/>
    <s v=""/>
    <n v="0"/>
    <m/>
    <m/>
    <m/>
    <m/>
    <m/>
    <m/>
    <m/>
    <m/>
    <m/>
    <m/>
    <m/>
    <m/>
    <n v="5"/>
    <n v="100"/>
    <n v="5"/>
    <n v="0"/>
    <n v="0"/>
    <n v="0"/>
    <n v="14035"/>
    <n v="197685"/>
    <n v="14035"/>
    <n v="0"/>
    <n v="93"/>
    <n v="261051"/>
    <n v="35272.93270249276"/>
    <n v="6"/>
    <n v="99"/>
    <n v="0"/>
    <n v="0"/>
    <n v="0"/>
    <n v="0"/>
    <n v="11228"/>
    <n v="195708.15"/>
    <n v="0"/>
    <n v="0"/>
    <n v="93"/>
    <n v="261051"/>
    <n v="0"/>
    <n v="9"/>
    <n v="99"/>
    <n v="0"/>
    <n v="0"/>
    <n v="0"/>
    <n v="29019.65"/>
    <n v="277893"/>
    <n v="0"/>
    <n v="0"/>
    <n v="93"/>
    <n v="261051"/>
    <n v="0"/>
    <n v="8"/>
    <n v="98"/>
    <n v="4"/>
    <n v="0"/>
    <n v="0"/>
    <n v="193731.3"/>
    <n v="11228"/>
    <n v="0"/>
    <n v="0"/>
    <n v="93"/>
    <n v="261051"/>
    <n v="33579.83193277311"/>
    <n v="9"/>
    <n v="93"/>
    <n v="9"/>
    <m/>
    <n v="0"/>
    <n v="0"/>
    <n v="261051"/>
    <n v="17791.65"/>
    <n v="0"/>
    <n v="0"/>
    <n v="93"/>
    <n v="261051"/>
    <n v="75554.62184873949"/>
    <n v="12"/>
    <n v="97"/>
    <n v="4"/>
    <m/>
    <n v="0"/>
    <n v="0"/>
    <n v="272279"/>
    <n v="7907.4"/>
    <n v="0"/>
    <n v="0"/>
    <n v="97"/>
    <n v="261051"/>
    <n v="33579.83193277311"/>
    <n v="6"/>
    <n v="94"/>
    <n v="1"/>
    <n v="0"/>
    <n v="0"/>
    <n v="0"/>
    <n v="263858"/>
    <n v="1976.85"/>
    <n v="0"/>
    <n v="0"/>
    <n v="94"/>
    <n v="261051"/>
    <n v="8394.957983193277"/>
    <n v="6"/>
    <n v="93"/>
    <n v="6"/>
    <n v="0"/>
    <n v="0"/>
    <n v="0"/>
    <n v="261051"/>
    <n v="11861.1"/>
    <n v="0"/>
    <n v="0"/>
    <n v="93"/>
    <n v="261051"/>
    <n v="50369.74789915966"/>
    <n v="6"/>
    <n v="87"/>
    <n v="6"/>
    <n v="0"/>
    <n v="0"/>
    <n v="0"/>
    <n v="171985.95"/>
    <n v="11861.1"/>
    <n v="0"/>
    <n v="0"/>
    <n v="87"/>
    <n v="171985.95"/>
    <n v="50369.74789915966"/>
    <n v="12"/>
    <n v="81"/>
    <n v="12"/>
    <n v="0"/>
    <n v="0"/>
    <n v="0"/>
    <m/>
    <n v="160124.85"/>
    <n v="23722.2"/>
    <n v="0"/>
    <n v="0"/>
    <n v="81"/>
    <n v="160124.85"/>
    <n v="90655.46218487396"/>
    <n v="15"/>
    <n v="69"/>
    <n v="15"/>
    <n v="0"/>
    <n v="0"/>
    <n v="136402.65"/>
    <n v="29652.75"/>
    <n v="0"/>
    <n v="0"/>
    <n v="69"/>
    <n v="136402.65"/>
    <n v="118985.2941176471"/>
    <n v="20"/>
    <n v="54"/>
    <n v="20"/>
    <n v="0"/>
    <n v="0"/>
    <n v="106749.9"/>
    <n v="39537"/>
    <n v="0"/>
    <n v="54"/>
    <n v="106749.9"/>
    <n v="167899.1596638655"/>
    <n v="9"/>
    <n v="34"/>
    <n v="9"/>
    <n v="0"/>
    <m/>
    <n v="67212.89999999999"/>
    <n v="25263"/>
    <n v="0"/>
    <n v="34"/>
    <n v="67212.89999999999"/>
    <n v="75554.62184873949"/>
  </r>
  <r>
    <m/>
    <x v="4"/>
    <x v="14"/>
    <x v="32"/>
    <s v="LHCALLAR"/>
    <x v="137"/>
    <x v="134"/>
    <x v="0"/>
    <x v="4"/>
    <n v="1"/>
    <x v="90"/>
    <n v="83"/>
    <m/>
    <n v="0"/>
    <n v="2807"/>
    <n v="232981"/>
    <n v="1.91"/>
    <n v="2086.675"/>
    <n v="8394.957983193277"/>
    <n v="7554.621848739496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6"/>
    <n v="0.4599345888045569"/>
    <n v="4"/>
    <n v="0.5505698297480764"/>
    <n v="0.5"/>
    <n v="1"/>
    <s v=""/>
    <n v="0.1"/>
    <n v="8"/>
    <n v="0.4894966185471351"/>
    <n v="0.5714285714285714"/>
    <n v="2"/>
    <n v="0.6656376376376376"/>
    <n v="0.3333333333333333"/>
    <n v="0"/>
    <s v=""/>
    <n v="0"/>
    <m/>
    <m/>
    <m/>
    <m/>
    <m/>
    <m/>
    <m/>
    <m/>
    <m/>
    <m/>
    <m/>
    <m/>
    <n v="5"/>
    <n v="100"/>
    <n v="5"/>
    <n v="0"/>
    <n v="0"/>
    <n v="0"/>
    <n v="30877"/>
    <n v="197685"/>
    <n v="14035"/>
    <n v="0"/>
    <n v="83"/>
    <n v="232981"/>
    <n v="35272.93270249276"/>
    <n v="6"/>
    <n v="100"/>
    <n v="0"/>
    <n v="0"/>
    <n v="0"/>
    <n v="0"/>
    <n v="28070"/>
    <n v="197685"/>
    <n v="0"/>
    <n v="0"/>
    <n v="83"/>
    <n v="232981"/>
    <n v="0"/>
    <n v="9"/>
    <n v="100"/>
    <n v="6"/>
    <n v="0"/>
    <n v="0"/>
    <n v="47838.5"/>
    <n v="280700"/>
    <n v="16842"/>
    <n v="0"/>
    <n v="83"/>
    <n v="232981"/>
    <n v="50369.74789915966"/>
    <n v="8"/>
    <n v="94"/>
    <n v="4"/>
    <n v="0"/>
    <n v="0"/>
    <n v="185823.9"/>
    <n v="11228"/>
    <n v="0"/>
    <n v="0"/>
    <n v="83"/>
    <n v="232981"/>
    <n v="33579.83193277311"/>
    <n v="10"/>
    <n v="84"/>
    <n v="10"/>
    <m/>
    <n v="0"/>
    <n v="0"/>
    <n v="235788"/>
    <n v="19768.5"/>
    <n v="0"/>
    <n v="0"/>
    <n v="83"/>
    <n v="232981"/>
    <n v="83949.57983193277"/>
    <n v="14"/>
    <n v="91"/>
    <n v="8"/>
    <m/>
    <n v="0"/>
    <n v="0"/>
    <n v="255437"/>
    <n v="15814.8"/>
    <n v="0"/>
    <n v="0"/>
    <n v="91"/>
    <n v="232981"/>
    <n v="67159.66386554622"/>
    <n v="6"/>
    <n v="85"/>
    <n v="2"/>
    <n v="0"/>
    <n v="0"/>
    <n v="0"/>
    <n v="238595"/>
    <n v="3953.7"/>
    <n v="0"/>
    <n v="0"/>
    <n v="85"/>
    <n v="232981"/>
    <n v="16789.91596638655"/>
    <n v="6"/>
    <n v="83"/>
    <n v="6"/>
    <n v="0"/>
    <n v="0"/>
    <n v="0"/>
    <n v="232981"/>
    <n v="11861.1"/>
    <n v="0"/>
    <n v="0"/>
    <n v="83"/>
    <n v="232981"/>
    <n v="50369.74789915966"/>
    <n v="6"/>
    <n v="77"/>
    <n v="6"/>
    <n v="0"/>
    <n v="0"/>
    <n v="0"/>
    <n v="152217.45"/>
    <n v="11861.1"/>
    <n v="0"/>
    <n v="0"/>
    <n v="77"/>
    <n v="152217.45"/>
    <n v="50369.74789915966"/>
    <n v="12"/>
    <n v="71"/>
    <n v="12"/>
    <n v="0"/>
    <n v="0"/>
    <n v="0"/>
    <m/>
    <n v="140356.35"/>
    <n v="23722.2"/>
    <n v="0"/>
    <n v="0"/>
    <n v="71"/>
    <n v="140356.35"/>
    <n v="90655.46218487396"/>
    <n v="15"/>
    <n v="59"/>
    <n v="15"/>
    <n v="0"/>
    <n v="0"/>
    <n v="116634.15"/>
    <n v="29652.75"/>
    <n v="0"/>
    <n v="0"/>
    <n v="59"/>
    <n v="116634.15"/>
    <n v="118985.2941176471"/>
    <n v="20"/>
    <n v="44"/>
    <n v="20"/>
    <n v="0"/>
    <n v="0"/>
    <n v="86981.39999999999"/>
    <n v="39537"/>
    <n v="0"/>
    <n v="44"/>
    <n v="86981.39999999999"/>
    <n v="167899.1596638655"/>
    <n v="9"/>
    <n v="24"/>
    <n v="9"/>
    <n v="0"/>
    <m/>
    <n v="47444.39999999999"/>
    <n v="25263"/>
    <n v="0"/>
    <n v="24"/>
    <n v="47444.39999999999"/>
    <n v="75554.62184873949"/>
  </r>
  <r>
    <s v="Lhotse-Accesorio Vestuario"/>
    <x v="4"/>
    <x v="14"/>
    <x v="32"/>
    <s v="LHCALMED"/>
    <x v="138"/>
    <x v="135"/>
    <x v="0"/>
    <x v="5"/>
    <n v="1"/>
    <x v="91"/>
    <n v="56"/>
    <m/>
    <n v="0"/>
    <n v="2303"/>
    <n v="128968"/>
    <n v="1.56"/>
    <n v="1704.3"/>
    <n v="7554.621848739496"/>
    <n v="6714.285714285715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5"/>
    <n v="0.6329338327039944"/>
    <n v="10"/>
    <n v="0.3550093548764962"/>
    <n v="7"/>
    <n v="0.5076300564589286"/>
    <n v="0.875"/>
    <n v="2"/>
    <n v="0.6952035595105672"/>
    <n v="0.2"/>
    <n v="12"/>
    <n v="0.2054932846583739"/>
    <n v="0.8571428571428571"/>
    <n v="3"/>
    <n v="0.5605574857020685"/>
    <n v="0.5"/>
    <n v="2"/>
    <n v="0.657031914893617"/>
    <n v="0.3333333333333333"/>
    <m/>
    <m/>
    <m/>
    <m/>
    <m/>
    <m/>
    <m/>
    <m/>
    <m/>
    <m/>
    <m/>
    <m/>
    <n v="5"/>
    <n v="100"/>
    <n v="5"/>
    <n v="0"/>
    <n v="0"/>
    <n v="0"/>
    <n v="51817.5"/>
    <n v="161460"/>
    <n v="11515"/>
    <n v="0"/>
    <n v="56"/>
    <n v="128968"/>
    <n v="31742.10860814914"/>
    <n v="6"/>
    <n v="100"/>
    <n v="7.5"/>
    <n v="0"/>
    <n v="0"/>
    <n v="0"/>
    <n v="56423.5"/>
    <n v="161460"/>
    <n v="17272.5"/>
    <n v="0"/>
    <n v="56"/>
    <n v="128968"/>
    <n v="47613.16291222372"/>
    <n v="9"/>
    <n v="93"/>
    <n v="10"/>
    <n v="0"/>
    <n v="0"/>
    <n v="55297"/>
    <n v="214179"/>
    <n v="23030"/>
    <n v="0"/>
    <n v="56"/>
    <n v="128968"/>
    <n v="75546.21848739496"/>
    <n v="8"/>
    <n v="79"/>
    <n v="7"/>
    <n v="0"/>
    <n v="0"/>
    <n v="127553.4"/>
    <n v="16121"/>
    <n v="0"/>
    <n v="0"/>
    <n v="56"/>
    <n v="128968"/>
    <n v="52882.35294117648"/>
    <n v="10"/>
    <n v="58"/>
    <n v="10"/>
    <m/>
    <n v="0"/>
    <n v="0"/>
    <n v="133574"/>
    <n v="16146"/>
    <n v="0"/>
    <n v="0"/>
    <n v="56"/>
    <n v="128968"/>
    <n v="75546.21848739496"/>
    <n v="14"/>
    <n v="68"/>
    <n v="12"/>
    <m/>
    <n v="0"/>
    <n v="0"/>
    <n v="156604"/>
    <n v="19375.2"/>
    <n v="0"/>
    <n v="0"/>
    <n v="68"/>
    <n v="128968"/>
    <n v="90655.46218487396"/>
    <n v="6"/>
    <n v="59"/>
    <n v="3"/>
    <n v="0"/>
    <n v="0"/>
    <n v="0"/>
    <n v="135877"/>
    <n v="4843.799999999999"/>
    <n v="0"/>
    <n v="0"/>
    <n v="59"/>
    <n v="128968"/>
    <n v="22663.86554621849"/>
    <n v="6"/>
    <n v="56"/>
    <n v="6"/>
    <n v="0"/>
    <n v="0"/>
    <n v="0"/>
    <n v="128968"/>
    <n v="9687.599999999999"/>
    <n v="0"/>
    <n v="0"/>
    <n v="56"/>
    <n v="128968"/>
    <n v="45327.73109243698"/>
    <n v="6"/>
    <n v="50"/>
    <n v="6"/>
    <n v="0"/>
    <n v="0"/>
    <n v="0"/>
    <n v="80730"/>
    <n v="9687.599999999999"/>
    <n v="0"/>
    <n v="0"/>
    <n v="50"/>
    <n v="80730"/>
    <n v="45327.73109243698"/>
    <n v="12"/>
    <n v="44"/>
    <n v="12"/>
    <n v="0"/>
    <n v="0"/>
    <n v="0"/>
    <m/>
    <n v="71042.39999999999"/>
    <n v="19375.2"/>
    <n v="0"/>
    <n v="0"/>
    <n v="44"/>
    <n v="71042.39999999999"/>
    <n v="80571.42857142858"/>
    <n v="15"/>
    <n v="32"/>
    <n v="15"/>
    <n v="0"/>
    <n v="0"/>
    <n v="51667.2"/>
    <n v="24219"/>
    <n v="0"/>
    <n v="0"/>
    <n v="32"/>
    <n v="51667.2"/>
    <n v="105750"/>
    <n v="20"/>
    <n v="17"/>
    <n v="20"/>
    <n v="0"/>
    <n v="0"/>
    <n v="27448.2"/>
    <n v="32292"/>
    <n v="0"/>
    <n v="17"/>
    <n v="27448.2"/>
    <n v="151092.4369747899"/>
    <n v="9"/>
    <n v="0"/>
    <n v="9"/>
    <n v="0"/>
    <m/>
    <n v="0"/>
    <n v="20727"/>
    <n v="0"/>
    <n v="0"/>
    <n v="0"/>
    <n v="67991.59663865546"/>
  </r>
  <r>
    <m/>
    <x v="4"/>
    <x v="14"/>
    <x v="32"/>
    <s v="LHCALMED"/>
    <x v="139"/>
    <x v="136"/>
    <x v="0"/>
    <x v="4"/>
    <n v="1"/>
    <x v="92"/>
    <n v="85"/>
    <m/>
    <n v="0"/>
    <n v="2303"/>
    <n v="195755"/>
    <n v="1.56"/>
    <n v="1704.3"/>
    <n v="7554.621848739496"/>
    <n v="6714.285714285715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774236225699991"/>
    <n v="3"/>
    <n v="0.689345275393396"/>
    <n v="0.375"/>
    <n v="6"/>
    <n v="0.680945983701979"/>
    <n v="0.6666666666666666"/>
    <n v="2"/>
    <n v="0.6569574468085106"/>
    <n v="0.1666666666666667"/>
    <n v="2"/>
    <n v="0.58734020929007"/>
    <n v="0.3333333333333333"/>
    <n v="1"/>
    <n v="0.6569574468085106"/>
    <n v="0.1666666666666667"/>
    <m/>
    <m/>
    <m/>
    <m/>
    <m/>
    <m/>
    <m/>
    <m/>
    <m/>
    <m/>
    <m/>
    <m/>
    <n v="5"/>
    <n v="100"/>
    <n v="5"/>
    <n v="0"/>
    <n v="0"/>
    <n v="0"/>
    <n v="13818"/>
    <n v="161460"/>
    <n v="11515"/>
    <n v="0"/>
    <n v="85"/>
    <n v="195755"/>
    <n v="31742.10860814914"/>
    <n v="6"/>
    <n v="100"/>
    <n v="0"/>
    <n v="0"/>
    <n v="0"/>
    <n v="0"/>
    <n v="9212"/>
    <n v="161460"/>
    <n v="0"/>
    <n v="0"/>
    <n v="85"/>
    <n v="195755"/>
    <n v="0"/>
    <n v="9"/>
    <n v="100"/>
    <n v="1"/>
    <n v="0"/>
    <n v="0"/>
    <n v="23743.4"/>
    <n v="230300"/>
    <n v="2303"/>
    <n v="0"/>
    <n v="85"/>
    <n v="195755"/>
    <n v="7554.621848739496"/>
    <n v="8"/>
    <n v="98"/>
    <n v="3"/>
    <n v="0"/>
    <n v="0"/>
    <n v="158230.8"/>
    <n v="6909"/>
    <n v="0"/>
    <n v="0"/>
    <n v="85"/>
    <n v="195755"/>
    <n v="22663.86554621849"/>
    <n v="9"/>
    <n v="91"/>
    <n v="9"/>
    <m/>
    <n v="0"/>
    <n v="0"/>
    <n v="209573"/>
    <n v="14531.4"/>
    <n v="0"/>
    <n v="0"/>
    <n v="85"/>
    <n v="195755"/>
    <n v="67991.59663865546"/>
    <n v="12"/>
    <n v="87"/>
    <n v="2"/>
    <m/>
    <n v="0"/>
    <n v="0"/>
    <n v="200361"/>
    <n v="3229.2"/>
    <n v="0"/>
    <n v="0"/>
    <n v="87"/>
    <n v="195755"/>
    <n v="15109.24369747899"/>
    <n v="6"/>
    <n v="87"/>
    <n v="2"/>
    <n v="0"/>
    <n v="0"/>
    <n v="0"/>
    <n v="200361"/>
    <n v="3229.2"/>
    <n v="0"/>
    <n v="0"/>
    <n v="87"/>
    <n v="195755"/>
    <n v="15109.24369747899"/>
    <n v="6"/>
    <n v="85"/>
    <n v="6"/>
    <n v="0"/>
    <n v="0"/>
    <n v="0"/>
    <n v="195755"/>
    <n v="9687.599999999999"/>
    <n v="0"/>
    <n v="0"/>
    <n v="85"/>
    <n v="195755"/>
    <n v="45327.73109243698"/>
    <n v="6"/>
    <n v="79"/>
    <n v="6"/>
    <n v="0"/>
    <n v="0"/>
    <n v="0"/>
    <n v="127553.4"/>
    <n v="9687.599999999999"/>
    <n v="0"/>
    <n v="0"/>
    <n v="79"/>
    <n v="127553.4"/>
    <n v="45327.73109243698"/>
    <n v="12"/>
    <n v="73"/>
    <n v="12"/>
    <n v="0"/>
    <n v="0"/>
    <n v="0"/>
    <m/>
    <n v="117865.8"/>
    <n v="19375.2"/>
    <n v="0"/>
    <n v="0"/>
    <n v="73"/>
    <n v="117865.8"/>
    <n v="80571.42857142858"/>
    <n v="15"/>
    <n v="61"/>
    <n v="15"/>
    <n v="0"/>
    <n v="0"/>
    <n v="98490.59999999999"/>
    <n v="24219"/>
    <n v="0"/>
    <n v="0"/>
    <n v="61"/>
    <n v="98490.59999999999"/>
    <n v="105750"/>
    <n v="20"/>
    <n v="46"/>
    <n v="20"/>
    <n v="0"/>
    <n v="0"/>
    <n v="74271.59999999999"/>
    <n v="32292"/>
    <n v="0"/>
    <n v="46"/>
    <n v="74271.59999999999"/>
    <n v="151092.4369747899"/>
    <n v="9"/>
    <n v="26"/>
    <n v="9"/>
    <n v="0"/>
    <m/>
    <n v="41979.6"/>
    <n v="20727"/>
    <n v="0"/>
    <n v="26"/>
    <n v="41979.6"/>
    <n v="67991.59663865546"/>
  </r>
  <r>
    <s v="Lhotse-Accesorio Vestuario"/>
    <x v="4"/>
    <x v="14"/>
    <x v="32"/>
    <s v="LHCALMED"/>
    <x v="140"/>
    <x v="137"/>
    <x v="0"/>
    <x v="4"/>
    <n v="1"/>
    <x v="93"/>
    <n v="88"/>
    <m/>
    <n v="0"/>
    <n v="2303"/>
    <n v="202664"/>
    <n v="1.56"/>
    <n v="1704.3"/>
    <n v="7554.621848739496"/>
    <n v="6714.285714285715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"/>
    <n v="1"/>
    <n v="0.6951687473068483"/>
    <n v="1"/>
    <n v="0.6951687473068483"/>
    <n v="4"/>
    <n v="0.4713386559479726"/>
    <n v="0.5"/>
    <n v="4"/>
    <n v="0.6032411563148496"/>
    <n v="0.4444444444444444"/>
    <n v="3"/>
    <s v=""/>
    <n v="0.25"/>
    <n v="0"/>
    <s v=""/>
    <n v="0"/>
    <n v="0"/>
    <s v=""/>
    <n v="0"/>
    <m/>
    <m/>
    <m/>
    <m/>
    <m/>
    <m/>
    <m/>
    <m/>
    <m/>
    <m/>
    <m/>
    <m/>
    <n v="5"/>
    <n v="100"/>
    <n v="5"/>
    <n v="0"/>
    <n v="0"/>
    <n v="0"/>
    <n v="17272.5"/>
    <n v="161460"/>
    <n v="11515"/>
    <n v="0"/>
    <n v="88"/>
    <n v="202664"/>
    <n v="31742.10860814914"/>
    <n v="6"/>
    <n v="97"/>
    <n v="1.5"/>
    <n v="0"/>
    <n v="0"/>
    <n v="0"/>
    <n v="14969.5"/>
    <n v="156616.2"/>
    <n v="3454.5"/>
    <n v="0"/>
    <n v="88"/>
    <n v="202664"/>
    <n v="9522.632582444745"/>
    <n v="9"/>
    <n v="96"/>
    <n v="1"/>
    <n v="0"/>
    <n v="0"/>
    <n v="26046.4"/>
    <n v="221088"/>
    <n v="2303"/>
    <n v="0"/>
    <n v="88"/>
    <n v="202664"/>
    <n v="7554.621848739496"/>
    <n v="8"/>
    <n v="91"/>
    <n v="4"/>
    <n v="0"/>
    <n v="0"/>
    <n v="146928.6"/>
    <n v="9212"/>
    <n v="0"/>
    <n v="0"/>
    <n v="88"/>
    <n v="202664"/>
    <n v="30218.48739495799"/>
    <n v="9"/>
    <n v="92"/>
    <n v="9"/>
    <m/>
    <n v="0"/>
    <n v="0"/>
    <n v="211876"/>
    <n v="14531.4"/>
    <n v="0"/>
    <n v="0"/>
    <n v="88"/>
    <n v="202664"/>
    <n v="67991.59663865546"/>
    <n v="12"/>
    <n v="91"/>
    <n v="3"/>
    <m/>
    <n v="0"/>
    <n v="0"/>
    <n v="209573"/>
    <n v="4843.799999999999"/>
    <n v="0"/>
    <n v="0"/>
    <n v="91"/>
    <n v="202664"/>
    <n v="22663.86554621849"/>
    <n v="6"/>
    <n v="88"/>
    <n v="0"/>
    <n v="0"/>
    <n v="0"/>
    <n v="0"/>
    <n v="202664"/>
    <n v="0"/>
    <n v="0"/>
    <n v="0"/>
    <n v="88"/>
    <n v="202664"/>
    <n v="0"/>
    <n v="6"/>
    <n v="88"/>
    <n v="6"/>
    <n v="0"/>
    <n v="0"/>
    <n v="0"/>
    <n v="202664"/>
    <n v="9687.599999999999"/>
    <n v="0"/>
    <n v="0"/>
    <n v="88"/>
    <n v="202664"/>
    <n v="45327.73109243698"/>
    <n v="6"/>
    <n v="82"/>
    <n v="6"/>
    <n v="0"/>
    <n v="0"/>
    <n v="0"/>
    <n v="132397.2"/>
    <n v="9687.599999999999"/>
    <n v="0"/>
    <n v="0"/>
    <n v="82"/>
    <n v="132397.2"/>
    <n v="45327.73109243698"/>
    <n v="12"/>
    <n v="76"/>
    <n v="12"/>
    <n v="0"/>
    <n v="0"/>
    <n v="0"/>
    <m/>
    <n v="122709.6"/>
    <n v="19375.2"/>
    <n v="0"/>
    <n v="0"/>
    <n v="76"/>
    <n v="122709.6"/>
    <n v="80571.42857142858"/>
    <n v="15"/>
    <n v="64"/>
    <n v="15"/>
    <n v="0"/>
    <n v="0"/>
    <n v="103334.4"/>
    <n v="24219"/>
    <n v="0"/>
    <n v="0"/>
    <n v="64"/>
    <n v="103334.4"/>
    <n v="105750"/>
    <n v="20"/>
    <n v="49"/>
    <n v="20"/>
    <n v="0"/>
    <n v="0"/>
    <n v="79115.39999999999"/>
    <n v="32292"/>
    <n v="0"/>
    <n v="49"/>
    <n v="79115.39999999999"/>
    <n v="151092.4369747899"/>
    <n v="9"/>
    <n v="29"/>
    <n v="9"/>
    <n v="0"/>
    <m/>
    <n v="46823.39999999999"/>
    <n v="20727"/>
    <n v="0"/>
    <n v="29"/>
    <n v="46823.39999999999"/>
    <n v="67991.59663865546"/>
  </r>
  <r>
    <s v="Lhotse-Accesorio Vestuario"/>
    <x v="4"/>
    <x v="14"/>
    <x v="32"/>
    <s v="LHCALMED"/>
    <x v="141"/>
    <x v="138"/>
    <x v="0"/>
    <x v="4"/>
    <n v="1"/>
    <x v="94"/>
    <n v="91"/>
    <m/>
    <n v="0"/>
    <n v="2303"/>
    <n v="209573"/>
    <n v="1.56"/>
    <n v="1704.3"/>
    <n v="7554.621848739496"/>
    <n v="6714.285714285715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780561422813987"/>
    <n v="1"/>
    <n v="0.3143370717050942"/>
    <n v="2"/>
    <n v="0.4485804361257459"/>
    <n v="0.25"/>
    <n v="2"/>
    <n v="0.6612581881102459"/>
    <n v="0.2222222222222222"/>
    <n v="2"/>
    <n v="0.6109361702127659"/>
    <n v="0.1666666666666667"/>
    <n v="1"/>
    <n v="0.5644605116796441"/>
    <n v="0.1666666666666667"/>
    <n v="1"/>
    <n v="0.6569574468085106"/>
    <n v="0.1666666666666667"/>
    <m/>
    <m/>
    <m/>
    <m/>
    <m/>
    <m/>
    <m/>
    <m/>
    <m/>
    <m/>
    <m/>
    <m/>
    <n v="5"/>
    <n v="100"/>
    <n v="5"/>
    <n v="0"/>
    <n v="0"/>
    <n v="0"/>
    <n v="17272.5"/>
    <n v="161460"/>
    <n v="11515"/>
    <n v="0"/>
    <n v="91"/>
    <n v="209573"/>
    <n v="31742.10860814914"/>
    <n v="6"/>
    <n v="100"/>
    <n v="1.5"/>
    <n v="0"/>
    <n v="0"/>
    <n v="0"/>
    <n v="10363.5"/>
    <n v="161460"/>
    <n v="3454.5"/>
    <n v="0"/>
    <n v="91"/>
    <n v="209573"/>
    <n v="9522.632582444745"/>
    <n v="9"/>
    <n v="99"/>
    <n v="1"/>
    <n v="0"/>
    <n v="0"/>
    <n v="21440.4"/>
    <n v="227997"/>
    <n v="2303"/>
    <n v="0"/>
    <n v="91"/>
    <n v="209573"/>
    <n v="7554.621848739496"/>
    <n v="8"/>
    <n v="97"/>
    <n v="2"/>
    <n v="0"/>
    <n v="0"/>
    <n v="156616.2"/>
    <n v="4606"/>
    <n v="0"/>
    <n v="0"/>
    <n v="91"/>
    <n v="209573"/>
    <n v="15109.24369747899"/>
    <n v="9"/>
    <n v="93"/>
    <n v="9"/>
    <m/>
    <n v="0"/>
    <n v="0"/>
    <n v="214179"/>
    <n v="14531.4"/>
    <n v="0"/>
    <n v="0"/>
    <n v="91"/>
    <n v="209573"/>
    <n v="67991.59663865546"/>
    <n v="12"/>
    <n v="93"/>
    <n v="2"/>
    <m/>
    <n v="0"/>
    <n v="0"/>
    <n v="214179"/>
    <n v="3229.2"/>
    <n v="0"/>
    <n v="0"/>
    <n v="93"/>
    <n v="209573"/>
    <n v="15109.24369747899"/>
    <n v="6"/>
    <n v="92"/>
    <n v="1"/>
    <n v="0"/>
    <n v="0"/>
    <n v="0"/>
    <n v="211876"/>
    <n v="1614.6"/>
    <n v="0"/>
    <n v="0"/>
    <n v="92"/>
    <n v="209573"/>
    <n v="7554.621848739496"/>
    <n v="6"/>
    <n v="91"/>
    <n v="6"/>
    <n v="0"/>
    <n v="0"/>
    <n v="0"/>
    <n v="209573"/>
    <n v="9687.599999999999"/>
    <n v="0"/>
    <n v="0"/>
    <n v="91"/>
    <n v="209573"/>
    <n v="45327.73109243698"/>
    <n v="6"/>
    <n v="85"/>
    <n v="6"/>
    <n v="0"/>
    <n v="0"/>
    <n v="0"/>
    <n v="137241"/>
    <n v="9687.599999999999"/>
    <n v="0"/>
    <n v="0"/>
    <n v="85"/>
    <n v="137241"/>
    <n v="45327.73109243698"/>
    <n v="12"/>
    <n v="79"/>
    <n v="12"/>
    <n v="0"/>
    <n v="0"/>
    <n v="0"/>
    <m/>
    <n v="127553.4"/>
    <n v="19375.2"/>
    <n v="0"/>
    <n v="0"/>
    <n v="79"/>
    <n v="127553.4"/>
    <n v="80571.42857142858"/>
    <n v="15"/>
    <n v="67"/>
    <n v="15"/>
    <n v="0"/>
    <n v="0"/>
    <n v="108178.2"/>
    <n v="24219"/>
    <n v="0"/>
    <n v="0"/>
    <n v="67"/>
    <n v="108178.2"/>
    <n v="105750"/>
    <n v="20"/>
    <n v="52"/>
    <n v="20"/>
    <n v="0"/>
    <n v="0"/>
    <n v="83959.2"/>
    <n v="32292"/>
    <n v="0"/>
    <n v="52"/>
    <n v="83959.2"/>
    <n v="151092.4369747899"/>
    <n v="9"/>
    <n v="32"/>
    <n v="9"/>
    <n v="0"/>
    <m/>
    <n v="51667.2"/>
    <n v="20727"/>
    <n v="0"/>
    <n v="32"/>
    <n v="51667.2"/>
    <n v="67991.59663865546"/>
  </r>
  <r>
    <m/>
    <x v="4"/>
    <x v="14"/>
    <x v="32"/>
    <s v="LHCALMED"/>
    <x v="142"/>
    <x v="139"/>
    <x v="0"/>
    <x v="4"/>
    <n v="1"/>
    <x v="95"/>
    <n v="76"/>
    <m/>
    <n v="0"/>
    <n v="2303"/>
    <n v="175028"/>
    <n v="1.56"/>
    <n v="1704.3"/>
    <n v="7554.621848739496"/>
    <n v="6714.285714285715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1"/>
    <n v="0.6951687473068483"/>
    <n v="4"/>
    <n v="0.5109199379962125"/>
    <n v="5"/>
    <n v="0.4700847329213583"/>
    <n v="0.625"/>
    <n v="3"/>
    <n v="0.5327661750916375"/>
    <n v="0.3333333333333333"/>
    <n v="9"/>
    <n v="0.382510011778563"/>
    <n v="0.75"/>
    <n v="0"/>
    <s v=""/>
    <n v="0"/>
    <n v="0"/>
    <s v=""/>
    <n v="0"/>
    <m/>
    <m/>
    <m/>
    <m/>
    <m/>
    <m/>
    <m/>
    <m/>
    <m/>
    <m/>
    <m/>
    <m/>
    <n v="5"/>
    <n v="100"/>
    <n v="5"/>
    <n v="0"/>
    <n v="0"/>
    <n v="0"/>
    <n v="24181.5"/>
    <n v="161460"/>
    <n v="11515"/>
    <n v="0"/>
    <n v="76"/>
    <n v="175028"/>
    <n v="31742.10860814914"/>
    <n v="6"/>
    <n v="99"/>
    <n v="1.5"/>
    <n v="0"/>
    <n v="0"/>
    <n v="0"/>
    <n v="24181.5"/>
    <n v="159845.4"/>
    <n v="3454.5"/>
    <n v="0"/>
    <n v="76"/>
    <n v="175028"/>
    <n v="9522.632582444745"/>
    <n v="9"/>
    <n v="98"/>
    <n v="4"/>
    <n v="0"/>
    <n v="0"/>
    <n v="35258.4"/>
    <n v="225694"/>
    <n v="9212"/>
    <n v="0"/>
    <n v="76"/>
    <n v="175028"/>
    <n v="30218.48739495799"/>
    <n v="8"/>
    <n v="90"/>
    <n v="5"/>
    <n v="0"/>
    <n v="0"/>
    <n v="145314"/>
    <n v="11515"/>
    <n v="0"/>
    <n v="0"/>
    <n v="76"/>
    <n v="175028"/>
    <n v="37773.10924369748"/>
    <n v="9"/>
    <n v="79"/>
    <n v="9"/>
    <m/>
    <n v="0"/>
    <n v="0"/>
    <n v="181937"/>
    <n v="14531.4"/>
    <n v="0"/>
    <n v="0"/>
    <n v="76"/>
    <n v="175028"/>
    <n v="67991.59663865546"/>
    <n v="12"/>
    <n v="85"/>
    <n v="9"/>
    <m/>
    <n v="0"/>
    <n v="0"/>
    <n v="195755"/>
    <n v="14531.4"/>
    <n v="0"/>
    <n v="0"/>
    <n v="85"/>
    <n v="175028"/>
    <n v="67991.59663865546"/>
    <n v="6"/>
    <n v="76"/>
    <n v="0"/>
    <n v="0"/>
    <n v="0"/>
    <n v="0"/>
    <n v="175028"/>
    <n v="0"/>
    <n v="0"/>
    <n v="0"/>
    <n v="76"/>
    <n v="175028"/>
    <n v="0"/>
    <n v="6"/>
    <n v="76"/>
    <n v="6"/>
    <n v="0"/>
    <n v="0"/>
    <n v="0"/>
    <n v="175028"/>
    <n v="9687.599999999999"/>
    <n v="0"/>
    <n v="0"/>
    <n v="76"/>
    <n v="175028"/>
    <n v="45327.73109243698"/>
    <n v="6"/>
    <n v="70"/>
    <n v="6"/>
    <n v="0"/>
    <n v="0"/>
    <n v="0"/>
    <n v="113022"/>
    <n v="9687.599999999999"/>
    <n v="0"/>
    <n v="0"/>
    <n v="70"/>
    <n v="113022"/>
    <n v="45327.73109243698"/>
    <n v="12"/>
    <n v="64"/>
    <n v="12"/>
    <n v="0"/>
    <n v="0"/>
    <n v="0"/>
    <m/>
    <n v="103334.4"/>
    <n v="19375.2"/>
    <n v="0"/>
    <n v="0"/>
    <n v="64"/>
    <n v="103334.4"/>
    <n v="80571.42857142858"/>
    <n v="15"/>
    <n v="52"/>
    <n v="15"/>
    <n v="0"/>
    <n v="0"/>
    <n v="83959.2"/>
    <n v="24219"/>
    <n v="0"/>
    <n v="0"/>
    <n v="52"/>
    <n v="83959.2"/>
    <n v="105750"/>
    <n v="20"/>
    <n v="37"/>
    <n v="20"/>
    <n v="0"/>
    <n v="0"/>
    <n v="59740.2"/>
    <n v="32292"/>
    <n v="0"/>
    <n v="37"/>
    <n v="59740.2"/>
    <n v="151092.4369747899"/>
    <n v="9"/>
    <n v="17"/>
    <n v="9"/>
    <n v="0"/>
    <m/>
    <n v="27448.2"/>
    <n v="20727"/>
    <n v="0"/>
    <n v="17"/>
    <n v="27448.2"/>
    <n v="67991.59663865546"/>
  </r>
  <r>
    <s v="Lhotse-Accesorio Vestuario"/>
    <x v="4"/>
    <x v="14"/>
    <x v="32"/>
    <s v="LHCALMED"/>
    <x v="143"/>
    <x v="140"/>
    <x v="0"/>
    <x v="4"/>
    <n v="1"/>
    <x v="96"/>
    <n v="83"/>
    <m/>
    <n v="0"/>
    <n v="2303"/>
    <n v="191149"/>
    <n v="1.56"/>
    <n v="1704.3"/>
    <n v="7554.621848739496"/>
    <n v="6714.285714285715"/>
    <s v="Shenzhen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780561422813987"/>
    <n v="2"/>
    <n v="0.3915820067862194"/>
    <n v="5"/>
    <n v="0.6126211210203786"/>
    <n v="0.625"/>
    <n v="2"/>
    <n v="0.6952035595105672"/>
    <n v="0.2222222222222222"/>
    <n v="6"/>
    <n v="0.4082528219119456"/>
    <n v="0.5"/>
    <n v="0"/>
    <s v=""/>
    <n v="0"/>
    <n v="0"/>
    <s v=""/>
    <n v="0"/>
    <m/>
    <m/>
    <m/>
    <m/>
    <m/>
    <m/>
    <m/>
    <m/>
    <m/>
    <m/>
    <m/>
    <m/>
    <n v="5"/>
    <n v="100"/>
    <n v="5"/>
    <n v="0"/>
    <n v="0"/>
    <n v="0"/>
    <n v="19575.5"/>
    <n v="161460"/>
    <n v="11515"/>
    <n v="0"/>
    <n v="83"/>
    <n v="191149"/>
    <n v="31742.10860814914"/>
    <n v="6"/>
    <n v="100"/>
    <n v="1.5"/>
    <n v="0"/>
    <n v="0"/>
    <n v="0"/>
    <n v="19575.5"/>
    <n v="161460"/>
    <n v="3454.5"/>
    <n v="0"/>
    <n v="83"/>
    <n v="191149"/>
    <n v="9522.632582444745"/>
    <n v="9"/>
    <n v="99"/>
    <n v="2"/>
    <n v="0"/>
    <n v="0"/>
    <n v="30652.4"/>
    <n v="227997"/>
    <n v="4606"/>
    <n v="0"/>
    <n v="83"/>
    <n v="191149"/>
    <n v="15109.24369747899"/>
    <n v="8"/>
    <n v="96"/>
    <n v="5"/>
    <n v="0"/>
    <n v="0"/>
    <n v="155001.6"/>
    <n v="11515"/>
    <n v="0"/>
    <n v="0"/>
    <n v="83"/>
    <n v="191149"/>
    <n v="37773.10924369748"/>
    <n v="9"/>
    <n v="85"/>
    <n v="9"/>
    <m/>
    <n v="0"/>
    <n v="0"/>
    <n v="195755"/>
    <n v="14531.4"/>
    <n v="0"/>
    <n v="0"/>
    <n v="83"/>
    <n v="191149"/>
    <n v="67991.59663865546"/>
    <n v="12"/>
    <n v="89"/>
    <n v="6"/>
    <m/>
    <n v="0"/>
    <n v="0"/>
    <n v="204967"/>
    <n v="9687.599999999999"/>
    <n v="0"/>
    <n v="0"/>
    <n v="89"/>
    <n v="191149"/>
    <n v="45327.73109243698"/>
    <n v="6"/>
    <n v="83"/>
    <n v="0"/>
    <n v="0"/>
    <n v="0"/>
    <n v="0"/>
    <n v="191149"/>
    <n v="0"/>
    <n v="0"/>
    <n v="0"/>
    <n v="83"/>
    <n v="191149"/>
    <n v="0"/>
    <n v="6"/>
    <n v="83"/>
    <n v="6"/>
    <n v="0"/>
    <n v="0"/>
    <n v="0"/>
    <n v="191149"/>
    <n v="9687.599999999999"/>
    <n v="0"/>
    <n v="0"/>
    <n v="83"/>
    <n v="191149"/>
    <n v="45327.73109243698"/>
    <n v="6"/>
    <n v="77"/>
    <n v="6"/>
    <n v="0"/>
    <n v="0"/>
    <n v="0"/>
    <n v="124324.2"/>
    <n v="9687.599999999999"/>
    <n v="0"/>
    <n v="0"/>
    <n v="77"/>
    <n v="124324.2"/>
    <n v="45327.73109243698"/>
    <n v="12"/>
    <n v="71"/>
    <n v="12"/>
    <n v="0"/>
    <n v="0"/>
    <n v="0"/>
    <m/>
    <n v="114636.6"/>
    <n v="19375.2"/>
    <n v="0"/>
    <n v="0"/>
    <n v="71"/>
    <n v="114636.6"/>
    <n v="80571.42857142858"/>
    <n v="15"/>
    <n v="59"/>
    <n v="15"/>
    <n v="0"/>
    <n v="0"/>
    <n v="95261.39999999999"/>
    <n v="24219"/>
    <n v="0"/>
    <n v="0"/>
    <n v="59"/>
    <n v="95261.39999999999"/>
    <n v="105750"/>
    <n v="20"/>
    <n v="44"/>
    <n v="20"/>
    <n v="0"/>
    <n v="0"/>
    <n v="71042.39999999999"/>
    <n v="32292"/>
    <n v="0"/>
    <n v="44"/>
    <n v="71042.39999999999"/>
    <n v="151092.4369747899"/>
    <n v="9"/>
    <n v="24"/>
    <n v="9"/>
    <n v="0"/>
    <m/>
    <n v="38750.39999999999"/>
    <n v="20727"/>
    <n v="0"/>
    <n v="24"/>
    <n v="38750.39999999999"/>
    <n v="67991.59663865546"/>
  </r>
  <r>
    <s v="Lhotse-Accesorio Vestuario"/>
    <x v="4"/>
    <x v="14"/>
    <x v="33"/>
    <s v="LHJOCK5PDEC-BK"/>
    <x v="144"/>
    <x v="141"/>
    <x v="0"/>
    <x v="4"/>
    <n v="1"/>
    <x v="50"/>
    <n v="0"/>
    <m/>
    <n v="0"/>
    <n v="3358"/>
    <n v="0"/>
    <n v="3.65"/>
    <n v="3358"/>
    <n v="8465.546218487396"/>
    <n v="7195.714285714286"/>
    <s v="Shenzhen"/>
    <s v="30/70"/>
    <n v="60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100"/>
    <n v="100"/>
    <n v="100"/>
    <n v="0"/>
    <n v="0"/>
    <n v="0"/>
    <n v="377774.9999999999"/>
    <n v="377774.9999999999"/>
    <n v="100"/>
    <n v="377774.9999999999"/>
    <n v="0"/>
    <n v="15"/>
    <n v="100"/>
    <n v="15"/>
    <n v="0"/>
    <n v="0"/>
    <n v="377774.9999999999"/>
    <n v="56666.24999999999"/>
    <n v="0"/>
    <n v="0"/>
    <n v="100"/>
    <n v="377774.9999999999"/>
    <n v="113332.5"/>
    <n v="30"/>
    <n v="85"/>
    <n v="30"/>
    <n v="0"/>
    <n v="0"/>
    <n v="321108.7499999999"/>
    <n v="113332.5"/>
    <n v="0"/>
    <n v="85"/>
    <n v="321108.7499999999"/>
    <n v="253966.3865546219"/>
    <n v="9"/>
    <n v="55"/>
    <n v="9"/>
    <n v="0"/>
    <m/>
    <n v="207776.25"/>
    <n v="30222"/>
    <n v="0"/>
    <n v="55"/>
    <n v="207776.25"/>
    <n v="76189.91596638656"/>
  </r>
  <r>
    <m/>
    <x v="4"/>
    <x v="14"/>
    <x v="33"/>
    <s v="LHJOCK5PDEC-ML"/>
    <x v="145"/>
    <x v="142"/>
    <x v="0"/>
    <x v="4"/>
    <n v="1"/>
    <x v="50"/>
    <n v="0"/>
    <m/>
    <n v="0"/>
    <n v="3358"/>
    <n v="0"/>
    <n v="3.65"/>
    <n v="3358"/>
    <n v="8465.546218487396"/>
    <n v="7195.714285714286"/>
    <s v="Shenzhen"/>
    <s v="30/70"/>
    <n v="60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100"/>
    <n v="100"/>
    <n v="100"/>
    <n v="0"/>
    <n v="0"/>
    <n v="0"/>
    <n v="377774.9999999999"/>
    <n v="377774.9999999999"/>
    <n v="100"/>
    <n v="377774.9999999999"/>
    <n v="0"/>
    <n v="15"/>
    <n v="100"/>
    <n v="15"/>
    <n v="0"/>
    <n v="0"/>
    <n v="377774.9999999999"/>
    <n v="56666.24999999999"/>
    <n v="0"/>
    <n v="0"/>
    <n v="100"/>
    <n v="377774.9999999999"/>
    <n v="113332.5"/>
    <n v="30"/>
    <n v="85"/>
    <n v="30"/>
    <n v="0"/>
    <n v="0"/>
    <n v="321108.7499999999"/>
    <n v="113332.5"/>
    <n v="0"/>
    <n v="85"/>
    <n v="321108.7499999999"/>
    <n v="253966.3865546219"/>
    <n v="9"/>
    <n v="55"/>
    <n v="9"/>
    <n v="0"/>
    <m/>
    <n v="207776.25"/>
    <n v="30222"/>
    <n v="0"/>
    <n v="55"/>
    <n v="207776.25"/>
    <n v="76189.91596638656"/>
  </r>
  <r>
    <s v="Lhotse-Accesorio Vestuario"/>
    <x v="4"/>
    <x v="14"/>
    <x v="33"/>
    <s v="LHJOCKTR-BK"/>
    <x v="146"/>
    <x v="143"/>
    <x v="0"/>
    <x v="4"/>
    <n v="1"/>
    <x v="50"/>
    <n v="0"/>
    <m/>
    <n v="0"/>
    <n v="3496"/>
    <n v="0"/>
    <n v="3.8"/>
    <n v="3496"/>
    <n v="8813.44537815126"/>
    <n v="7491.428571428571"/>
    <s v="Shenzhen"/>
    <s v="30/70"/>
    <n v="60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100"/>
    <n v="100"/>
    <n v="100"/>
    <n v="0"/>
    <n v="0"/>
    <n v="0"/>
    <n v="393299.9999999999"/>
    <n v="393299.9999999999"/>
    <n v="100"/>
    <n v="393299.9999999999"/>
    <n v="0"/>
    <n v="15"/>
    <n v="100"/>
    <n v="15"/>
    <n v="0"/>
    <n v="0"/>
    <n v="393299.9999999999"/>
    <n v="58994.99999999999"/>
    <n v="0"/>
    <n v="0"/>
    <n v="100"/>
    <n v="393299.9999999999"/>
    <n v="117990"/>
    <n v="30"/>
    <n v="85"/>
    <n v="30"/>
    <n v="0"/>
    <n v="0"/>
    <n v="334304.9999999999"/>
    <n v="117990"/>
    <n v="0"/>
    <n v="85"/>
    <n v="334304.9999999999"/>
    <n v="264403.3613445378"/>
    <n v="9"/>
    <n v="55"/>
    <n v="9"/>
    <n v="0"/>
    <m/>
    <n v="216315"/>
    <n v="31464"/>
    <n v="0"/>
    <n v="55"/>
    <n v="216315"/>
    <n v="79321.00840336134"/>
  </r>
  <r>
    <s v="Lhotse-Accesorio Vestuario"/>
    <x v="4"/>
    <x v="14"/>
    <x v="33"/>
    <s v="LHJOCKTR-GR"/>
    <x v="147"/>
    <x v="144"/>
    <x v="0"/>
    <x v="4"/>
    <n v="1"/>
    <x v="50"/>
    <n v="0"/>
    <m/>
    <n v="0"/>
    <n v="3496"/>
    <n v="0"/>
    <n v="3.8"/>
    <n v="3496"/>
    <n v="8813.44537815126"/>
    <n v="7491.428571428571"/>
    <s v="Shenzhen"/>
    <s v="30/70"/>
    <n v="60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100"/>
    <n v="100"/>
    <n v="100"/>
    <n v="0"/>
    <n v="0"/>
    <n v="0"/>
    <n v="393299.9999999999"/>
    <n v="393299.9999999999"/>
    <n v="100"/>
    <n v="393299.9999999999"/>
    <n v="0"/>
    <n v="15"/>
    <n v="100"/>
    <n v="15"/>
    <n v="0"/>
    <n v="0"/>
    <n v="393299.9999999999"/>
    <n v="58994.99999999999"/>
    <n v="0"/>
    <n v="0"/>
    <n v="100"/>
    <n v="393299.9999999999"/>
    <n v="117990"/>
    <n v="30"/>
    <n v="85"/>
    <n v="30"/>
    <n v="0"/>
    <n v="0"/>
    <n v="334304.9999999999"/>
    <n v="117990"/>
    <n v="0"/>
    <n v="85"/>
    <n v="334304.9999999999"/>
    <n v="264403.3613445378"/>
    <n v="9"/>
    <n v="55"/>
    <n v="9"/>
    <n v="0"/>
    <m/>
    <n v="216315"/>
    <n v="31464"/>
    <n v="0"/>
    <n v="55"/>
    <n v="216315"/>
    <n v="79321.00840336134"/>
  </r>
  <r>
    <s v="Lhotse-Accesorio Vestuario"/>
    <x v="4"/>
    <x v="14"/>
    <x v="33"/>
    <s v="LHJOCKTR-PP"/>
    <x v="148"/>
    <x v="145"/>
    <x v="0"/>
    <x v="4"/>
    <n v="1"/>
    <x v="50"/>
    <n v="0"/>
    <m/>
    <n v="0"/>
    <n v="3496"/>
    <n v="0"/>
    <n v="3.8"/>
    <n v="3496"/>
    <n v="8813.44537815126"/>
    <n v="7491.428571428571"/>
    <s v="Shenzhen"/>
    <s v="30/70"/>
    <n v="60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100"/>
    <n v="100"/>
    <n v="100"/>
    <n v="0"/>
    <n v="0"/>
    <n v="0"/>
    <n v="393299.9999999999"/>
    <n v="393299.9999999999"/>
    <n v="100"/>
    <n v="393299.9999999999"/>
    <n v="0"/>
    <n v="15"/>
    <n v="100"/>
    <n v="15"/>
    <n v="0"/>
    <n v="0"/>
    <n v="393299.9999999999"/>
    <n v="58994.99999999999"/>
    <n v="0"/>
    <n v="0"/>
    <n v="100"/>
    <n v="393299.9999999999"/>
    <n v="117990"/>
    <n v="30"/>
    <n v="85"/>
    <n v="30"/>
    <n v="0"/>
    <n v="0"/>
    <n v="334304.9999999999"/>
    <n v="117990"/>
    <n v="0"/>
    <n v="85"/>
    <n v="334304.9999999999"/>
    <n v="264403.3613445378"/>
    <n v="9"/>
    <n v="55"/>
    <n v="9"/>
    <n v="0"/>
    <m/>
    <n v="216315"/>
    <n v="31464"/>
    <n v="0"/>
    <n v="55"/>
    <n v="216315"/>
    <n v="79321.00840336134"/>
  </r>
  <r>
    <s v="Lhotse-Accesorio Vestuario"/>
    <x v="4"/>
    <x v="14"/>
    <x v="33"/>
    <s v="LHJOCTREKRIS-BL"/>
    <x v="149"/>
    <x v="146"/>
    <x v="0"/>
    <x v="4"/>
    <n v="1"/>
    <x v="50"/>
    <n v="0"/>
    <m/>
    <n v="0"/>
    <n v="2944"/>
    <n v="0"/>
    <n v="3.2"/>
    <n v="2944"/>
    <n v="7421.848739495798"/>
    <n v="6308.571428571428"/>
    <s v="Shenzhen"/>
    <s v="30/70"/>
    <n v="60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100"/>
    <n v="100"/>
    <n v="100"/>
    <n v="0"/>
    <n v="0"/>
    <n v="0"/>
    <n v="331199.9999999999"/>
    <n v="331199.9999999999"/>
    <n v="100"/>
    <n v="331199.9999999999"/>
    <n v="0"/>
    <n v="15"/>
    <n v="100"/>
    <n v="15"/>
    <n v="0"/>
    <n v="0"/>
    <n v="331199.9999999999"/>
    <n v="49679.99999999999"/>
    <n v="0"/>
    <n v="0"/>
    <n v="100"/>
    <n v="331199.9999999999"/>
    <n v="99360"/>
    <n v="30"/>
    <n v="85"/>
    <n v="30"/>
    <n v="0"/>
    <n v="0"/>
    <n v="281519.9999999999"/>
    <n v="99359.99999999999"/>
    <n v="0"/>
    <n v="85"/>
    <n v="281519.9999999999"/>
    <n v="222655.462184874"/>
    <n v="9"/>
    <n v="55"/>
    <n v="9"/>
    <n v="0"/>
    <m/>
    <n v="182160"/>
    <n v="26496"/>
    <n v="0"/>
    <n v="55"/>
    <n v="182160"/>
    <n v="66796.63865546219"/>
  </r>
  <r>
    <s v="Lhotse-Accesorio Vestuario"/>
    <x v="4"/>
    <x v="14"/>
    <x v="33"/>
    <s v="LHJOCTREKSOU-OR"/>
    <x v="150"/>
    <x v="147"/>
    <x v="0"/>
    <x v="4"/>
    <n v="1"/>
    <x v="50"/>
    <n v="0"/>
    <m/>
    <n v="0"/>
    <n v="2944"/>
    <n v="0"/>
    <n v="3.2"/>
    <n v="2944"/>
    <n v="7421.848739495798"/>
    <n v="6308.571428571428"/>
    <s v="Shenzhen"/>
    <s v="30/70"/>
    <n v="60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100"/>
    <n v="100"/>
    <n v="100"/>
    <n v="0"/>
    <n v="0"/>
    <n v="0"/>
    <n v="331199.9999999999"/>
    <n v="331199.9999999999"/>
    <n v="100"/>
    <n v="331199.9999999999"/>
    <n v="0"/>
    <n v="15"/>
    <n v="100"/>
    <n v="15"/>
    <n v="0"/>
    <n v="0"/>
    <n v="331199.9999999999"/>
    <n v="49679.99999999999"/>
    <n v="0"/>
    <n v="0"/>
    <n v="100"/>
    <n v="331199.9999999999"/>
    <n v="99360"/>
    <n v="30"/>
    <n v="85"/>
    <n v="30"/>
    <n v="0"/>
    <n v="0"/>
    <n v="281519.9999999999"/>
    <n v="99359.99999999999"/>
    <n v="0"/>
    <n v="85"/>
    <n v="281519.9999999999"/>
    <n v="222655.462184874"/>
    <n v="9"/>
    <n v="55"/>
    <n v="9"/>
    <n v="0"/>
    <m/>
    <n v="182160"/>
    <n v="26496"/>
    <n v="0"/>
    <n v="55"/>
    <n v="182160"/>
    <n v="66796.63865546219"/>
  </r>
  <r>
    <s v="Lhotse-Accesorio Vestuario"/>
    <x v="4"/>
    <x v="14"/>
    <x v="33"/>
    <s v="LHJOCTREKSUM-GR"/>
    <x v="151"/>
    <x v="148"/>
    <x v="0"/>
    <x v="4"/>
    <n v="1"/>
    <x v="50"/>
    <n v="0"/>
    <m/>
    <n v="0"/>
    <n v="2944"/>
    <n v="0"/>
    <n v="3.2"/>
    <n v="2944"/>
    <n v="7421.848739495798"/>
    <n v="6308.571428571428"/>
    <s v="Shenzhen"/>
    <s v="30/70"/>
    <n v="60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100"/>
    <n v="100"/>
    <n v="100"/>
    <n v="0"/>
    <n v="0"/>
    <n v="0"/>
    <n v="331199.9999999999"/>
    <n v="331199.9999999999"/>
    <n v="100"/>
    <n v="331199.9999999999"/>
    <n v="0"/>
    <n v="15"/>
    <n v="100"/>
    <n v="15"/>
    <n v="0"/>
    <n v="0"/>
    <n v="331199.9999999999"/>
    <n v="49679.99999999999"/>
    <n v="0"/>
    <n v="0"/>
    <n v="100"/>
    <n v="331199.9999999999"/>
    <n v="99360"/>
    <n v="30"/>
    <n v="85"/>
    <n v="30"/>
    <n v="0"/>
    <n v="0"/>
    <n v="281519.9999999999"/>
    <n v="99359.99999999999"/>
    <n v="0"/>
    <n v="85"/>
    <n v="281519.9999999999"/>
    <n v="222655.462184874"/>
    <n v="9"/>
    <n v="55"/>
    <n v="9"/>
    <n v="0"/>
    <m/>
    <n v="182160"/>
    <n v="26496"/>
    <n v="0"/>
    <n v="55"/>
    <n v="182160"/>
    <n v="66796.63865546219"/>
  </r>
  <r>
    <s v="Lhotse-Accesorio Vestuario"/>
    <x v="4"/>
    <x v="14"/>
    <x v="33"/>
    <s v="LHJOKFLF"/>
    <x v="152"/>
    <x v="149"/>
    <x v="0"/>
    <x v="2"/>
    <n v="1"/>
    <x v="3"/>
    <n v="3"/>
    <m/>
    <n v="0"/>
    <n v="3557"/>
    <n v="10671"/>
    <n v="3.28"/>
    <n v="3583.4"/>
    <n v="6714.285714285715"/>
    <n v="6714.285714285715"/>
    <s v="Shenzhen"/>
    <s v="30/70"/>
    <n v="30"/>
    <n v="200"/>
    <n v="0"/>
    <s v=""/>
    <n v="0"/>
    <s v=""/>
    <n v="0"/>
    <s v=""/>
    <n v="1"/>
    <n v="0.6974825650620854"/>
    <n v="12"/>
    <n v="0.5538357332798154"/>
    <n v="4"/>
    <n v="0.5389940061558399"/>
    <n v="8"/>
    <n v="0.5036888462544693"/>
    <n v="24"/>
    <n v="0.5568462703823307"/>
    <n v="5"/>
    <n v="0.6746904208812716"/>
    <n v="16"/>
    <n v="0.5128773548569325"/>
    <n v="8"/>
    <n v="0.5418893682787044"/>
    <n v="102"/>
    <n v="0.4586368560369808"/>
    <n v="0"/>
    <s v=""/>
    <n v="8"/>
    <n v="0.5029877309477222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15"/>
    <n v="2"/>
    <n v="0"/>
    <n v="0"/>
    <n v="0"/>
    <n v="0"/>
    <n v="42684"/>
    <n v="6789.599999999999"/>
    <n v="0"/>
    <n v="0"/>
    <n v="3"/>
    <n v="10671"/>
    <n v="0"/>
    <n v="10"/>
    <n v="10"/>
    <n v="12"/>
    <n v="0"/>
    <n v="0"/>
    <n v="0"/>
    <n v="42684"/>
    <n v="33948"/>
    <n v="42684"/>
    <n v="0"/>
    <n v="3"/>
    <n v="10671"/>
    <n v="67707.08283313326"/>
    <n v="10"/>
    <n v="2"/>
    <n v="0"/>
    <n v="0"/>
    <n v="0"/>
    <n v="0"/>
    <n v="7114"/>
    <n v="0"/>
    <n v="0"/>
    <n v="3"/>
    <n v="10671"/>
    <n v="0"/>
    <n v="10"/>
    <n v="2"/>
    <n v="0"/>
    <n v="0"/>
    <n v="0"/>
    <n v="6789.599999999999"/>
    <n v="0"/>
    <n v="0"/>
    <n v="0"/>
    <n v="3"/>
    <n v="10671"/>
    <n v="0"/>
    <n v="0"/>
    <n v="3"/>
    <n v="0"/>
    <m/>
    <n v="0"/>
    <n v="0"/>
    <n v="10671"/>
    <n v="0"/>
    <n v="0"/>
    <n v="0"/>
    <n v="3"/>
    <n v="10671"/>
    <n v="0"/>
    <n v="0"/>
    <n v="3"/>
    <n v="0"/>
    <m/>
    <n v="0"/>
    <n v="0"/>
    <n v="10671"/>
    <n v="0"/>
    <n v="0"/>
    <n v="0"/>
    <n v="3"/>
    <n v="10671"/>
    <n v="0"/>
    <n v="0"/>
    <n v="3"/>
    <n v="0"/>
    <n v="0"/>
    <n v="0"/>
    <n v="0"/>
    <n v="10671"/>
    <n v="0"/>
    <n v="0"/>
    <n v="0"/>
    <n v="3"/>
    <n v="10671"/>
    <n v="0"/>
    <n v="0"/>
    <n v="3"/>
    <n v="0"/>
    <n v="0"/>
    <n v="0"/>
    <n v="0"/>
    <n v="10671"/>
    <n v="0"/>
    <n v="0"/>
    <n v="0"/>
    <n v="3"/>
    <n v="10671"/>
    <n v="0"/>
    <n v="0"/>
    <n v="3"/>
    <n v="0"/>
    <n v="0"/>
    <n v="0"/>
    <n v="0"/>
    <n v="10184.4"/>
    <n v="0"/>
    <n v="0"/>
    <n v="0"/>
    <n v="3"/>
    <n v="10184.4"/>
    <n v="0"/>
    <n v="0"/>
    <n v="3"/>
    <n v="0"/>
    <n v="0"/>
    <n v="0"/>
    <n v="0"/>
    <m/>
    <n v="10184.4"/>
    <n v="0"/>
    <n v="0"/>
    <n v="0"/>
    <n v="3"/>
    <n v="10184.4"/>
    <n v="0"/>
    <n v="0"/>
    <n v="3"/>
    <n v="0"/>
    <n v="0"/>
    <n v="0"/>
    <n v="10184.4"/>
    <n v="0"/>
    <n v="0"/>
    <n v="0"/>
    <n v="3"/>
    <n v="10184.4"/>
    <n v="0"/>
    <n v="0"/>
    <n v="3"/>
    <n v="0"/>
    <n v="0"/>
    <n v="0"/>
    <n v="10184.4"/>
    <n v="0"/>
    <n v="0"/>
    <n v="3"/>
    <n v="10184.4"/>
    <n v="0"/>
    <n v="0"/>
    <n v="3"/>
    <n v="0"/>
    <n v="0"/>
    <m/>
    <n v="10184.4"/>
    <n v="0"/>
    <n v="0"/>
    <n v="3"/>
    <n v="10184.4"/>
    <n v="0"/>
  </r>
  <r>
    <s v="Lhotse-Accesorio Vestuario"/>
    <x v="4"/>
    <x v="14"/>
    <x v="33"/>
    <s v="LHJOKFLF"/>
    <x v="153"/>
    <x v="149"/>
    <x v="0"/>
    <x v="2"/>
    <n v="1"/>
    <x v="3"/>
    <n v="3"/>
    <m/>
    <n v="0"/>
    <n v="3557"/>
    <n v="10671"/>
    <n v="3.28"/>
    <n v="3583.4"/>
    <n v="6714.285714285715"/>
    <n v="6714.285714285715"/>
    <s v="Shenzhen"/>
    <s v="30/70"/>
    <n v="30"/>
    <n v="200"/>
    <n v="0"/>
    <s v=""/>
    <n v="0"/>
    <s v=""/>
    <n v="0"/>
    <s v=""/>
    <n v="4"/>
    <n v="0.5230381755545422"/>
    <n v="7"/>
    <n v="0.4623693836216886"/>
    <n v="4"/>
    <n v="0.7058498549551523"/>
    <n v="5"/>
    <n v="0.3944501191692203"/>
    <n v="45"/>
    <n v="0.5475902099478815"/>
    <n v="1"/>
    <n v="0.7176760060322248"/>
    <n v="7"/>
    <n v="0.653280046788186"/>
    <n v="5"/>
    <n v="0.5762853194834898"/>
    <n v="105"/>
    <n v="0.4519605609325981"/>
    <n v="0"/>
    <s v=""/>
    <n v="3"/>
    <n v="0.3070144540249694"/>
    <n v="0"/>
    <s v=""/>
    <n v="1"/>
    <n v="0.2326544476674686"/>
    <n v="0.1"/>
    <n v="0"/>
    <s v=""/>
    <n v="0"/>
    <n v="0"/>
    <s v=""/>
    <n v="0"/>
    <n v="1"/>
    <n v="0.2592842142107105"/>
    <n v="0"/>
    <n v="0"/>
    <s v=""/>
    <n v="0"/>
    <m/>
    <m/>
    <m/>
    <m/>
    <m/>
    <m/>
    <m/>
    <m/>
    <m/>
    <m/>
    <m/>
    <m/>
    <n v="11"/>
    <n v="2"/>
    <n v="0"/>
    <n v="0"/>
    <n v="0"/>
    <n v="0"/>
    <n v="16006.5"/>
    <n v="6789.599999999999"/>
    <n v="0"/>
    <n v="0"/>
    <n v="3"/>
    <n v="10671"/>
    <n v="0"/>
    <n v="10"/>
    <n v="5"/>
    <n v="4.5"/>
    <n v="0"/>
    <n v="0"/>
    <n v="0"/>
    <n v="19563.5"/>
    <n v="16974"/>
    <n v="16006.5"/>
    <n v="0"/>
    <n v="3"/>
    <n v="10671"/>
    <n v="25390.15606242497"/>
    <n v="10"/>
    <n v="2"/>
    <n v="0"/>
    <n v="0"/>
    <n v="0"/>
    <n v="3557"/>
    <n v="7114"/>
    <n v="0"/>
    <n v="0"/>
    <n v="3"/>
    <n v="10671"/>
    <n v="0"/>
    <n v="10"/>
    <n v="3"/>
    <n v="1"/>
    <n v="0"/>
    <n v="0"/>
    <n v="10184.4"/>
    <n v="3557"/>
    <n v="0"/>
    <n v="0"/>
    <n v="3"/>
    <n v="10671"/>
    <n v="6714.285714285715"/>
    <n v="0"/>
    <n v="3"/>
    <n v="0"/>
    <m/>
    <n v="0"/>
    <n v="0"/>
    <n v="10671"/>
    <n v="0"/>
    <n v="0"/>
    <n v="0"/>
    <n v="3"/>
    <n v="10671"/>
    <n v="0"/>
    <n v="0"/>
    <n v="3"/>
    <n v="0"/>
    <m/>
    <n v="0"/>
    <n v="0"/>
    <n v="10671"/>
    <n v="0"/>
    <n v="0"/>
    <n v="0"/>
    <n v="3"/>
    <n v="10671"/>
    <n v="0"/>
    <n v="0"/>
    <n v="4"/>
    <n v="1"/>
    <n v="0"/>
    <n v="0"/>
    <n v="0"/>
    <n v="14228"/>
    <n v="3394.8"/>
    <n v="0"/>
    <n v="0"/>
    <n v="4"/>
    <n v="10671"/>
    <n v="6714.285714285715"/>
    <n v="0"/>
    <n v="3"/>
    <n v="0"/>
    <n v="0"/>
    <n v="0"/>
    <n v="0"/>
    <n v="10671"/>
    <n v="0"/>
    <n v="0"/>
    <n v="0"/>
    <n v="3"/>
    <n v="10671"/>
    <n v="0"/>
    <n v="0"/>
    <n v="3"/>
    <n v="0"/>
    <n v="0"/>
    <n v="0"/>
    <n v="0"/>
    <n v="10184.4"/>
    <n v="0"/>
    <n v="0"/>
    <n v="0"/>
    <n v="3"/>
    <n v="10184.4"/>
    <n v="0"/>
    <n v="0"/>
    <n v="3"/>
    <n v="0"/>
    <n v="0"/>
    <n v="0"/>
    <n v="0"/>
    <m/>
    <n v="10184.4"/>
    <n v="0"/>
    <n v="0"/>
    <n v="0"/>
    <n v="3"/>
    <n v="10184.4"/>
    <n v="0"/>
    <n v="0"/>
    <n v="3"/>
    <n v="0"/>
    <n v="0"/>
    <n v="0"/>
    <n v="10184.4"/>
    <n v="0"/>
    <n v="0"/>
    <n v="0"/>
    <n v="3"/>
    <n v="10184.4"/>
    <n v="0"/>
    <n v="0"/>
    <n v="3"/>
    <n v="0"/>
    <n v="0"/>
    <n v="0"/>
    <n v="10184.4"/>
    <n v="0"/>
    <n v="0"/>
    <n v="3"/>
    <n v="10184.4"/>
    <n v="0"/>
    <n v="0"/>
    <n v="3"/>
    <n v="0"/>
    <n v="0"/>
    <m/>
    <n v="10184.4"/>
    <n v="0"/>
    <n v="0"/>
    <n v="3"/>
    <n v="10184.4"/>
    <n v="0"/>
  </r>
  <r>
    <s v="Lhotse-Accesorio Vestuario"/>
    <x v="4"/>
    <x v="14"/>
    <x v="33"/>
    <s v="LHJOKHIK"/>
    <x v="154"/>
    <x v="150"/>
    <x v="0"/>
    <x v="2"/>
    <n v="1"/>
    <x v="3"/>
    <n v="5"/>
    <m/>
    <n v="0"/>
    <n v="3101"/>
    <n v="15505"/>
    <n v="2.5"/>
    <n v="2731.25"/>
    <n v="6714.285714285715"/>
    <n v="6714.285714285715"/>
    <s v="Shenzhen"/>
    <s v="30/70"/>
    <n v="30"/>
    <n v="200"/>
    <n v="2"/>
    <n v="0.6306468135795117"/>
    <n v="2"/>
    <n v="0.6049786610612142"/>
    <n v="2"/>
    <n v="0.664242555495398"/>
    <n v="1"/>
    <n v="0.6306468135795117"/>
    <n v="5"/>
    <n v="0.6738830458561212"/>
    <n v="1"/>
    <n v="0.7159215829974349"/>
    <n v="19"/>
    <n v="0.4612227130145318"/>
    <n v="23"/>
    <n v="0.616633026814002"/>
    <n v="2"/>
    <n v="0.6658166729536025"/>
    <n v="8"/>
    <n v="0.6259573569769896"/>
    <n v="20"/>
    <n v="0.5780205753476853"/>
    <n v="50"/>
    <n v="0.5290810409289689"/>
    <n v="2"/>
    <n v="0.375569172304854"/>
    <n v="12"/>
    <n v="0.2912469874546105"/>
    <n v="8"/>
    <n v="0.2451147251129718"/>
    <n v="1"/>
    <n v="0.4130175671387775"/>
    <n v="0.2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7"/>
    <n v="0"/>
    <n v="0"/>
    <n v="0"/>
    <n v="0"/>
    <n v="80626"/>
    <n v="18112.5"/>
    <n v="0"/>
    <n v="0"/>
    <n v="5"/>
    <n v="15505"/>
    <n v="0"/>
    <n v="0"/>
    <n v="20"/>
    <n v="18"/>
    <n v="0"/>
    <n v="0"/>
    <n v="0"/>
    <n v="83727"/>
    <n v="51750"/>
    <n v="55818"/>
    <n v="0"/>
    <n v="5"/>
    <n v="15505"/>
    <n v="101560.6242496999"/>
    <n v="5"/>
    <n v="7"/>
    <n v="8"/>
    <n v="0"/>
    <n v="0"/>
    <n v="40846.5"/>
    <n v="21707"/>
    <n v="24808"/>
    <n v="0"/>
    <n v="5"/>
    <n v="15505"/>
    <n v="53714.28571428572"/>
    <n v="5"/>
    <n v="3"/>
    <n v="1"/>
    <n v="0"/>
    <n v="0"/>
    <n v="7762.5"/>
    <n v="3101"/>
    <n v="0"/>
    <n v="0"/>
    <n v="5"/>
    <n v="15505"/>
    <n v="6714.285714285715"/>
    <n v="5"/>
    <n v="5"/>
    <n v="5"/>
    <m/>
    <n v="0"/>
    <n v="0"/>
    <n v="15505"/>
    <n v="12937.5"/>
    <n v="0"/>
    <n v="0"/>
    <n v="5"/>
    <n v="15505"/>
    <n v="33571.42857142857"/>
    <n v="1"/>
    <n v="5"/>
    <n v="0"/>
    <m/>
    <n v="0"/>
    <n v="0"/>
    <n v="15505"/>
    <n v="0"/>
    <n v="0"/>
    <n v="0"/>
    <n v="5"/>
    <n v="15505"/>
    <n v="0"/>
    <n v="0"/>
    <n v="5"/>
    <n v="0"/>
    <n v="0"/>
    <n v="0"/>
    <n v="0"/>
    <n v="15505"/>
    <n v="0"/>
    <n v="0"/>
    <n v="0"/>
    <n v="5"/>
    <n v="15505"/>
    <n v="0"/>
    <n v="0"/>
    <n v="5"/>
    <n v="0"/>
    <n v="0"/>
    <n v="0"/>
    <n v="0"/>
    <n v="15505"/>
    <n v="0"/>
    <n v="0"/>
    <n v="0"/>
    <n v="5"/>
    <n v="15505"/>
    <n v="0"/>
    <n v="0"/>
    <n v="5"/>
    <n v="0"/>
    <n v="0"/>
    <n v="0"/>
    <n v="0"/>
    <n v="12937.5"/>
    <n v="0"/>
    <n v="0"/>
    <n v="0"/>
    <n v="5"/>
    <n v="12937.5"/>
    <n v="0"/>
    <n v="0"/>
    <n v="5"/>
    <n v="0"/>
    <n v="0"/>
    <n v="0"/>
    <n v="0"/>
    <m/>
    <n v="12937.5"/>
    <n v="0"/>
    <n v="0"/>
    <n v="0"/>
    <n v="5"/>
    <n v="12937.5"/>
    <n v="0"/>
    <n v="0"/>
    <n v="5"/>
    <n v="0"/>
    <n v="0"/>
    <n v="0"/>
    <n v="12937.5"/>
    <n v="0"/>
    <n v="0"/>
    <n v="0"/>
    <n v="5"/>
    <n v="12937.5"/>
    <n v="0"/>
    <n v="0"/>
    <n v="5"/>
    <n v="0"/>
    <n v="0"/>
    <n v="0"/>
    <n v="12937.5"/>
    <n v="0"/>
    <n v="0"/>
    <n v="5"/>
    <n v="12937.5"/>
    <n v="0"/>
    <n v="0"/>
    <n v="5"/>
    <n v="0"/>
    <n v="0"/>
    <m/>
    <n v="12937.5"/>
    <n v="0"/>
    <n v="0"/>
    <n v="5"/>
    <n v="12937.5"/>
    <n v="0"/>
  </r>
  <r>
    <s v="Lhotse-Accesorio Vestuario"/>
    <x v="4"/>
    <x v="14"/>
    <x v="33"/>
    <s v="LHJOKHIK"/>
    <x v="155"/>
    <x v="150"/>
    <x v="0"/>
    <x v="2"/>
    <n v="1"/>
    <x v="3"/>
    <n v="5"/>
    <m/>
    <n v="0"/>
    <n v="3101"/>
    <n v="15505"/>
    <n v="2.5"/>
    <n v="2731.25"/>
    <n v="6714.285714285715"/>
    <n v="6714.285714285715"/>
    <s v="Shenzhen"/>
    <s v="30/70"/>
    <n v="30"/>
    <n v="200"/>
    <n v="6"/>
    <n v="0.6879183955281791"/>
    <n v="8"/>
    <n v="0.644000574052813"/>
    <n v="6"/>
    <n v="0.664244337694737"/>
    <n v="2"/>
    <n v="0.7159472334188348"/>
    <n v="5"/>
    <n v="0.7159472334188348"/>
    <n v="18"/>
    <n v="0.6146612170503032"/>
    <n v="21"/>
    <n v="0.5055425926595948"/>
    <n v="32"/>
    <n v="0.6047867060726037"/>
    <n v="2"/>
    <n v="0.6658160676255129"/>
    <n v="11"/>
    <n v="0.6152444491715253"/>
    <n v="8"/>
    <n v="0.6259334464623856"/>
    <n v="71"/>
    <n v="0.5397584712736698"/>
    <n v="3"/>
    <n v="0.5222125159030492"/>
    <n v="7"/>
    <n v="0.3092047006983635"/>
    <n v="1"/>
    <n v="0.2469479282732615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6"/>
    <n v="7"/>
    <n v="3"/>
    <n v="0"/>
    <n v="0"/>
    <n v="0"/>
    <n v="44964.5"/>
    <n v="18112.5"/>
    <n v="9303"/>
    <n v="0"/>
    <n v="5"/>
    <n v="15505"/>
    <n v="16926.77070828331"/>
    <n v="5"/>
    <n v="11"/>
    <n v="10.5"/>
    <n v="0"/>
    <n v="0"/>
    <n v="0"/>
    <n v="35661.5"/>
    <n v="28462.5"/>
    <n v="32560.5"/>
    <n v="0"/>
    <n v="5"/>
    <n v="15505"/>
    <n v="59243.69747899161"/>
    <n v="6"/>
    <n v="4"/>
    <n v="1"/>
    <n v="0"/>
    <n v="0"/>
    <n v="3101"/>
    <n v="12404"/>
    <n v="3101"/>
    <n v="0"/>
    <n v="5"/>
    <n v="15505"/>
    <n v="6714.285714285715"/>
    <n v="6"/>
    <n v="3"/>
    <n v="0"/>
    <n v="0"/>
    <n v="0"/>
    <n v="7762.5"/>
    <n v="0"/>
    <n v="0"/>
    <n v="0"/>
    <n v="5"/>
    <n v="15505"/>
    <n v="0"/>
    <n v="0"/>
    <n v="5"/>
    <n v="0"/>
    <m/>
    <n v="0"/>
    <n v="0"/>
    <n v="15505"/>
    <n v="0"/>
    <n v="0"/>
    <n v="0"/>
    <n v="5"/>
    <n v="15505"/>
    <n v="0"/>
    <n v="0"/>
    <n v="5"/>
    <n v="0"/>
    <m/>
    <n v="0"/>
    <n v="0"/>
    <n v="15505"/>
    <n v="0"/>
    <n v="0"/>
    <n v="0"/>
    <n v="5"/>
    <n v="15505"/>
    <n v="0"/>
    <n v="0"/>
    <n v="5"/>
    <n v="0"/>
    <n v="0"/>
    <n v="0"/>
    <n v="0"/>
    <n v="15505"/>
    <n v="0"/>
    <n v="0"/>
    <n v="0"/>
    <n v="5"/>
    <n v="15505"/>
    <n v="0"/>
    <n v="0"/>
    <n v="5"/>
    <n v="0"/>
    <n v="0"/>
    <n v="0"/>
    <n v="0"/>
    <n v="15505"/>
    <n v="0"/>
    <n v="0"/>
    <n v="0"/>
    <n v="5"/>
    <n v="15505"/>
    <n v="0"/>
    <n v="0"/>
    <n v="5"/>
    <n v="0"/>
    <n v="0"/>
    <n v="0"/>
    <n v="0"/>
    <n v="12937.5"/>
    <n v="0"/>
    <n v="0"/>
    <n v="0"/>
    <n v="5"/>
    <n v="12937.5"/>
    <n v="0"/>
    <n v="0"/>
    <n v="5"/>
    <n v="0"/>
    <n v="0"/>
    <n v="0"/>
    <n v="0"/>
    <m/>
    <n v="12937.5"/>
    <n v="0"/>
    <n v="0"/>
    <n v="0"/>
    <n v="5"/>
    <n v="12937.5"/>
    <n v="0"/>
    <n v="0"/>
    <n v="5"/>
    <n v="0"/>
    <n v="0"/>
    <n v="0"/>
    <n v="12937.5"/>
    <n v="0"/>
    <n v="0"/>
    <n v="0"/>
    <n v="5"/>
    <n v="12937.5"/>
    <n v="0"/>
    <n v="0"/>
    <n v="5"/>
    <n v="0"/>
    <n v="0"/>
    <n v="0"/>
    <n v="12937.5"/>
    <n v="0"/>
    <n v="0"/>
    <n v="5"/>
    <n v="12937.5"/>
    <n v="0"/>
    <n v="0"/>
    <n v="5"/>
    <n v="0"/>
    <n v="0"/>
    <m/>
    <n v="12937.5"/>
    <n v="0"/>
    <n v="0"/>
    <n v="5"/>
    <n v="12937.5"/>
    <n v="0"/>
  </r>
  <r>
    <s v="Lhotse-Accesorio Vestuario"/>
    <x v="4"/>
    <x v="14"/>
    <x v="33"/>
    <s v="LHJOKRD"/>
    <x v="156"/>
    <x v="151"/>
    <x v="0"/>
    <x v="2"/>
    <n v="1.2"/>
    <x v="3"/>
    <n v="8"/>
    <m/>
    <n v="0"/>
    <n v="3218"/>
    <n v="25744"/>
    <n v="2.6"/>
    <n v="2840.5"/>
    <n v="6714.285714285715"/>
    <n v="6714.285714285715"/>
    <s v="Shenzhen"/>
    <s v="30/70"/>
    <n v="30"/>
    <n v="200"/>
    <n v="0"/>
    <s v=""/>
    <n v="2"/>
    <n v="0.6515322144017325"/>
    <n v="4"/>
    <n v="0.6260113305249125"/>
    <n v="1"/>
    <n v="0.7051850494686699"/>
    <n v="1"/>
    <n v="0.7051850494686699"/>
    <n v="0"/>
    <s v=""/>
    <n v="5"/>
    <n v="0.6515361621296808"/>
    <n v="2"/>
    <n v="0.6821945856501223"/>
    <n v="4"/>
    <n v="0.6812790258085094"/>
    <n v="20"/>
    <n v="0.616645689574099"/>
    <n v="10"/>
    <n v="0.6010980946727232"/>
    <n v="54"/>
    <n v="0.487167639220838"/>
    <n v="30"/>
    <n v="0.309773514856557"/>
    <n v="24"/>
    <n v="0.2455759385883782"/>
    <n v="12"/>
    <n v="0.3700920515967157"/>
    <n v="19"/>
    <n v="0.3356354493996019"/>
    <n v="1.583333333333333"/>
    <n v="3"/>
    <n v="0.5206808510638298"/>
    <n v="1.5"/>
    <n v="0"/>
    <s v=""/>
    <n v="0"/>
    <n v="0"/>
    <s v=""/>
    <n v="0"/>
    <n v="0"/>
    <s v=""/>
    <n v="0"/>
    <m/>
    <m/>
    <m/>
    <m/>
    <m/>
    <m/>
    <m/>
    <m/>
    <m/>
    <m/>
    <m/>
    <m/>
    <n v="10"/>
    <n v="72"/>
    <n v="15"/>
    <n v="0"/>
    <n v="0"/>
    <n v="0"/>
    <n v="202734"/>
    <n v="193752"/>
    <n v="48270"/>
    <n v="0"/>
    <n v="8"/>
    <n v="25744"/>
    <n v="84633.85354141658"/>
    <n v="7"/>
    <n v="56"/>
    <n v="36"/>
    <n v="0"/>
    <n v="0"/>
    <n v="0"/>
    <n v="215606"/>
    <n v="150696"/>
    <n v="115848"/>
    <n v="0"/>
    <n v="8"/>
    <n v="25744"/>
    <n v="203121.2484993998"/>
    <n v="12"/>
    <n v="31"/>
    <n v="12"/>
    <n v="0"/>
    <n v="0"/>
    <n v="106216.4"/>
    <n v="99758"/>
    <n v="38616"/>
    <n v="0"/>
    <n v="8"/>
    <n v="25744"/>
    <n v="80571.42857142858"/>
    <n v="12"/>
    <n v="20"/>
    <n v="19"/>
    <n v="0"/>
    <n v="0"/>
    <n v="53820"/>
    <n v="61142"/>
    <n v="0"/>
    <n v="0"/>
    <n v="8"/>
    <n v="25744"/>
    <n v="127571.4285714286"/>
    <n v="2"/>
    <n v="11"/>
    <n v="2.4"/>
    <m/>
    <n v="0"/>
    <n v="0"/>
    <n v="35398"/>
    <n v="6458.4"/>
    <n v="0"/>
    <n v="0"/>
    <n v="8"/>
    <n v="25744"/>
    <n v="16114.28571428571"/>
    <n v="19"/>
    <n v="8"/>
    <n v="0"/>
    <m/>
    <n v="0"/>
    <n v="0"/>
    <n v="25744"/>
    <n v="0"/>
    <n v="0"/>
    <n v="0"/>
    <n v="8"/>
    <n v="25744"/>
    <n v="0"/>
    <n v="0"/>
    <n v="8"/>
    <n v="0"/>
    <n v="0"/>
    <n v="0"/>
    <n v="0"/>
    <n v="25744"/>
    <n v="0"/>
    <n v="0"/>
    <n v="0"/>
    <n v="8"/>
    <n v="25744"/>
    <n v="0"/>
    <n v="0"/>
    <n v="8"/>
    <n v="0"/>
    <n v="0"/>
    <n v="0"/>
    <n v="0"/>
    <n v="25744"/>
    <n v="0"/>
    <n v="0"/>
    <n v="0"/>
    <n v="8"/>
    <n v="25744"/>
    <n v="0"/>
    <n v="0"/>
    <n v="8"/>
    <n v="0"/>
    <n v="0"/>
    <n v="0"/>
    <n v="0"/>
    <n v="21528"/>
    <n v="0"/>
    <n v="0"/>
    <n v="0"/>
    <n v="8"/>
    <n v="21528"/>
    <n v="0"/>
    <n v="0"/>
    <n v="8"/>
    <n v="0"/>
    <n v="0"/>
    <n v="0"/>
    <n v="0"/>
    <m/>
    <n v="21528"/>
    <n v="0"/>
    <n v="0"/>
    <n v="0"/>
    <n v="8"/>
    <n v="21528"/>
    <n v="0"/>
    <n v="0"/>
    <n v="8"/>
    <n v="0"/>
    <n v="0"/>
    <n v="0"/>
    <n v="21528"/>
    <n v="0"/>
    <n v="0"/>
    <n v="0"/>
    <n v="8"/>
    <n v="21528"/>
    <n v="0"/>
    <n v="0"/>
    <n v="8"/>
    <n v="0"/>
    <n v="0"/>
    <n v="0"/>
    <n v="21528"/>
    <n v="0"/>
    <n v="0"/>
    <n v="8"/>
    <n v="21528"/>
    <n v="0"/>
    <n v="0"/>
    <n v="8"/>
    <n v="0"/>
    <n v="0"/>
    <m/>
    <n v="21528"/>
    <n v="0"/>
    <n v="0"/>
    <n v="8"/>
    <n v="21528"/>
    <n v="0"/>
  </r>
  <r>
    <s v="Lhotse-Accesorio Vestuario"/>
    <x v="4"/>
    <x v="14"/>
    <x v="33"/>
    <s v="LHJOKRD"/>
    <x v="157"/>
    <x v="151"/>
    <x v="0"/>
    <x v="2"/>
    <n v="1"/>
    <x v="3"/>
    <n v="9"/>
    <m/>
    <n v="0"/>
    <n v="3218"/>
    <n v="28962"/>
    <n v="2.6"/>
    <n v="2840.5"/>
    <n v="6714.285714285715"/>
    <n v="6714.285714285715"/>
    <s v="Shenzhen"/>
    <s v="30/70"/>
    <n v="30"/>
    <n v="200"/>
    <n v="5"/>
    <n v="0.5629524003530929"/>
    <n v="12"/>
    <n v="0.6307721285455462"/>
    <n v="7"/>
    <n v="0.6422234574763758"/>
    <n v="4"/>
    <n v="0.5462370897810991"/>
    <n v="0"/>
    <s v=""/>
    <n v="2"/>
    <n v="0.7051850494686699"/>
    <n v="10"/>
    <n v="0.4649456946953639"/>
    <n v="4"/>
    <n v="0.6350414379317294"/>
    <n v="3"/>
    <n v="0.7051841416474212"/>
    <n v="14"/>
    <n v="0.6082424898888019"/>
    <n v="17"/>
    <n v="0.639981230741325"/>
    <n v="52"/>
    <n v="0.5017141243077248"/>
    <n v="30"/>
    <n v="0.1868481176091715"/>
    <n v="26"/>
    <n v="0.3065721559035915"/>
    <n v="1"/>
    <n v="0.5207029984555233"/>
    <n v="1"/>
    <n v="0.2498679431802236"/>
    <n v="0.1111111111111111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10"/>
    <n v="50"/>
    <n v="20"/>
    <n v="0"/>
    <n v="0"/>
    <n v="0"/>
    <n v="193080"/>
    <n v="134550"/>
    <n v="64360"/>
    <n v="0"/>
    <n v="9"/>
    <n v="28962"/>
    <n v="112845.1380552221"/>
    <n v="7"/>
    <n v="30"/>
    <n v="39"/>
    <n v="0"/>
    <n v="0"/>
    <n v="0"/>
    <n v="131938"/>
    <n v="80730"/>
    <n v="125502"/>
    <n v="0"/>
    <n v="9"/>
    <n v="28962"/>
    <n v="220048.0192076831"/>
    <n v="9"/>
    <n v="3"/>
    <n v="1"/>
    <n v="0"/>
    <n v="0"/>
    <n v="6436"/>
    <n v="9654"/>
    <n v="3218"/>
    <n v="0"/>
    <n v="9"/>
    <n v="28962"/>
    <n v="6714.285714285715"/>
    <n v="9"/>
    <n v="3"/>
    <n v="1"/>
    <n v="0"/>
    <n v="0"/>
    <n v="8073"/>
    <n v="3218"/>
    <n v="0"/>
    <n v="0"/>
    <n v="9"/>
    <n v="28962"/>
    <n v="6714.285714285715"/>
    <n v="0"/>
    <n v="9"/>
    <n v="0"/>
    <m/>
    <n v="0"/>
    <n v="0"/>
    <n v="28962"/>
    <n v="0"/>
    <n v="0"/>
    <n v="0"/>
    <n v="9"/>
    <n v="28962"/>
    <n v="0"/>
    <n v="0"/>
    <n v="9"/>
    <n v="0"/>
    <m/>
    <n v="0"/>
    <n v="0"/>
    <n v="28962"/>
    <n v="0"/>
    <n v="0"/>
    <n v="0"/>
    <n v="9"/>
    <n v="28962"/>
    <n v="0"/>
    <n v="0"/>
    <n v="9"/>
    <n v="0"/>
    <n v="0"/>
    <n v="0"/>
    <n v="0"/>
    <n v="28962"/>
    <n v="0"/>
    <n v="0"/>
    <n v="0"/>
    <n v="9"/>
    <n v="28962"/>
    <n v="0"/>
    <n v="0"/>
    <n v="9"/>
    <n v="0"/>
    <n v="0"/>
    <n v="0"/>
    <n v="0"/>
    <n v="28962"/>
    <n v="0"/>
    <n v="0"/>
    <n v="0"/>
    <n v="9"/>
    <n v="28962"/>
    <n v="0"/>
    <n v="0"/>
    <n v="9"/>
    <n v="0"/>
    <n v="0"/>
    <n v="0"/>
    <n v="0"/>
    <n v="24219"/>
    <n v="0"/>
    <n v="0"/>
    <n v="0"/>
    <n v="9"/>
    <n v="24219"/>
    <n v="0"/>
    <n v="0"/>
    <n v="9"/>
    <n v="0"/>
    <n v="0"/>
    <n v="0"/>
    <n v="0"/>
    <m/>
    <n v="24219"/>
    <n v="0"/>
    <n v="0"/>
    <n v="0"/>
    <n v="9"/>
    <n v="24219"/>
    <n v="0"/>
    <n v="0"/>
    <n v="9"/>
    <n v="0"/>
    <n v="0"/>
    <n v="0"/>
    <n v="24219"/>
    <n v="0"/>
    <n v="0"/>
    <n v="0"/>
    <n v="9"/>
    <n v="24219"/>
    <n v="0"/>
    <n v="0"/>
    <n v="9"/>
    <n v="0"/>
    <n v="0"/>
    <n v="0"/>
    <n v="24219"/>
    <n v="0"/>
    <n v="0"/>
    <n v="9"/>
    <n v="24219"/>
    <n v="0"/>
    <n v="0"/>
    <n v="9"/>
    <n v="0"/>
    <n v="0"/>
    <m/>
    <n v="24219"/>
    <n v="0"/>
    <n v="0"/>
    <n v="9"/>
    <n v="24219"/>
    <n v="0"/>
  </r>
  <r>
    <s v="Lhotse-Accesorio Vestuario"/>
    <x v="4"/>
    <x v="14"/>
    <x v="33"/>
    <s v="LHJOKTRE"/>
    <x v="158"/>
    <x v="152"/>
    <x v="0"/>
    <x v="2"/>
    <n v="1.2"/>
    <x v="3"/>
    <n v="3"/>
    <m/>
    <n v="0"/>
    <n v="3101"/>
    <n v="9303"/>
    <n v="2.5"/>
    <n v="2731.25"/>
    <n v="6714.285714285715"/>
    <n v="6714.285714285715"/>
    <s v="Shenzhen"/>
    <s v="30/70"/>
    <n v="30"/>
    <n v="200"/>
    <n v="4"/>
    <n v="0.6540447965189257"/>
    <n v="9"/>
    <n v="0.6709085920846077"/>
    <n v="5"/>
    <n v="0.6642436383324311"/>
    <n v="3"/>
    <n v="0.612846797352978"/>
    <n v="3"/>
    <n v="0.7159481495053133"/>
    <n v="3"/>
    <n v="0.708479473519273"/>
    <n v="20"/>
    <n v="0.3657283799093656"/>
    <n v="3"/>
    <n v="0.7159481495053133"/>
    <n v="2"/>
    <n v="0.7362777433717342"/>
    <n v="17"/>
    <n v="0.6533192181033225"/>
    <n v="9"/>
    <n v="0.5305030113387841"/>
    <n v="25"/>
    <n v="0.5255461708019331"/>
    <n v="20"/>
    <n v="0.3540967787790087"/>
    <n v="16"/>
    <n v="0.3852642146777753"/>
    <n v="9"/>
    <n v="0.4106316317928069"/>
    <n v="6"/>
    <n v="0.1989969567060146"/>
    <n v="1.2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10"/>
    <n v="58"/>
    <n v="10"/>
    <n v="0"/>
    <n v="0"/>
    <n v="0"/>
    <n v="133343"/>
    <n v="150075"/>
    <n v="31010"/>
    <n v="0"/>
    <n v="3"/>
    <n v="9303"/>
    <n v="56422.56902761105"/>
    <n v="10"/>
    <n v="40"/>
    <n v="24"/>
    <n v="0"/>
    <n v="0"/>
    <n v="0"/>
    <n v="120939"/>
    <n v="103500"/>
    <n v="74424"/>
    <n v="0"/>
    <n v="3"/>
    <n v="9303"/>
    <n v="135414.1656662665"/>
    <n v="5"/>
    <n v="22"/>
    <n v="9"/>
    <n v="0"/>
    <n v="0"/>
    <n v="62040"/>
    <n v="68222"/>
    <n v="27909"/>
    <n v="0"/>
    <n v="3"/>
    <n v="9303"/>
    <n v="60428.57142857143"/>
    <n v="5"/>
    <n v="11"/>
    <n v="6"/>
    <n v="0"/>
    <n v="0"/>
    <n v="28462.5"/>
    <n v="18606"/>
    <n v="0"/>
    <n v="0"/>
    <n v="3"/>
    <n v="9303"/>
    <n v="40285.71428571429"/>
    <n v="5"/>
    <n v="3"/>
    <n v="6"/>
    <m/>
    <n v="0"/>
    <n v="0"/>
    <n v="9303"/>
    <n v="15525"/>
    <n v="0"/>
    <n v="0"/>
    <n v="3"/>
    <n v="9303"/>
    <n v="40285.71428571429"/>
    <n v="8"/>
    <n v="3"/>
    <n v="0"/>
    <m/>
    <n v="0"/>
    <n v="0"/>
    <n v="9303"/>
    <n v="0"/>
    <n v="0"/>
    <n v="0"/>
    <n v="3"/>
    <n v="9303"/>
    <n v="0"/>
    <n v="0"/>
    <n v="3"/>
    <n v="0"/>
    <n v="0"/>
    <n v="0"/>
    <n v="0"/>
    <n v="9303"/>
    <n v="0"/>
    <n v="0"/>
    <n v="0"/>
    <n v="3"/>
    <n v="9303"/>
    <n v="0"/>
    <n v="0"/>
    <n v="3"/>
    <n v="0"/>
    <n v="0"/>
    <n v="0"/>
    <n v="0"/>
    <n v="9303"/>
    <n v="0"/>
    <n v="0"/>
    <n v="0"/>
    <n v="3"/>
    <n v="9303"/>
    <n v="0"/>
    <n v="0"/>
    <n v="3"/>
    <n v="0"/>
    <n v="0"/>
    <n v="0"/>
    <n v="0"/>
    <n v="7762.5"/>
    <n v="0"/>
    <n v="0"/>
    <n v="0"/>
    <n v="3"/>
    <n v="7762.5"/>
    <n v="0"/>
    <n v="0"/>
    <n v="3"/>
    <n v="0"/>
    <n v="0"/>
    <n v="0"/>
    <n v="0"/>
    <m/>
    <n v="7762.5"/>
    <n v="0"/>
    <n v="0"/>
    <n v="0"/>
    <n v="3"/>
    <n v="7762.5"/>
    <n v="0"/>
    <n v="0"/>
    <n v="3"/>
    <n v="0"/>
    <n v="0"/>
    <n v="0"/>
    <n v="7762.5"/>
    <n v="0"/>
    <n v="0"/>
    <n v="0"/>
    <n v="3"/>
    <n v="7762.5"/>
    <n v="0"/>
    <n v="0"/>
    <n v="3"/>
    <n v="0"/>
    <n v="0"/>
    <n v="0"/>
    <n v="7762.5"/>
    <n v="0"/>
    <n v="0"/>
    <n v="3"/>
    <n v="7762.5"/>
    <n v="0"/>
    <n v="0"/>
    <n v="3"/>
    <n v="0"/>
    <n v="0"/>
    <m/>
    <n v="7762.5"/>
    <n v="0"/>
    <n v="0"/>
    <n v="3"/>
    <n v="7762.5"/>
    <n v="0"/>
  </r>
  <r>
    <s v="Lhotse-Accesorio Vestuario"/>
    <x v="4"/>
    <x v="14"/>
    <x v="33"/>
    <s v="LHJOKTRE"/>
    <x v="159"/>
    <x v="152"/>
    <x v="0"/>
    <x v="2"/>
    <n v="1.5"/>
    <x v="3"/>
    <n v="4"/>
    <m/>
    <n v="0"/>
    <n v="3101"/>
    <n v="12404"/>
    <n v="2.5"/>
    <n v="2731.25"/>
    <n v="6714.285714285715"/>
    <n v="6714.285714285715"/>
    <s v="Shenzhen"/>
    <s v="30/70"/>
    <n v="30"/>
    <n v="200"/>
    <n v="3"/>
    <n v="0.6834590124885154"/>
    <n v="3"/>
    <n v="0.6139096870590188"/>
    <n v="7"/>
    <n v="0.6598211738891936"/>
    <n v="2"/>
    <n v="0.6306896141019533"/>
    <n v="2"/>
    <n v="0.7159463173323563"/>
    <n v="1"/>
    <n v="0.7159215829974349"/>
    <n v="15"/>
    <n v="0.4743295040808584"/>
    <n v="3"/>
    <n v="0.5575649257605897"/>
    <n v="4"/>
    <n v="0.6658155951931886"/>
    <n v="17"/>
    <n v="0.6126260374957744"/>
    <n v="5"/>
    <n v="0.6462615223145022"/>
    <n v="50"/>
    <n v="0.5241895840110696"/>
    <n v="23"/>
    <n v="0.2845464937588481"/>
    <n v="12"/>
    <n v="0.2999893340127779"/>
    <n v="21"/>
    <n v="0.2709125708976873"/>
    <n v="16"/>
    <n v="0.1574053945203774"/>
    <n v="2.285714285714286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20"/>
    <n v="64"/>
    <n v="5"/>
    <n v="0"/>
    <n v="0"/>
    <n v="0"/>
    <n v="136444"/>
    <n v="165600"/>
    <n v="15505"/>
    <n v="0"/>
    <n v="4"/>
    <n v="12404"/>
    <n v="28211.28451380553"/>
    <n v="5"/>
    <n v="53"/>
    <n v="18"/>
    <n v="0"/>
    <n v="0"/>
    <n v="0"/>
    <n v="170555"/>
    <n v="137137.5"/>
    <n v="55818"/>
    <n v="0"/>
    <n v="4"/>
    <n v="12404"/>
    <n v="101560.6242496999"/>
    <n v="7"/>
    <n v="37"/>
    <n v="21"/>
    <n v="0"/>
    <n v="0"/>
    <n v="126380.75"/>
    <n v="114737"/>
    <n v="65121"/>
    <n v="0"/>
    <n v="4"/>
    <n v="12404"/>
    <n v="141000"/>
    <n v="7"/>
    <n v="19"/>
    <n v="16"/>
    <n v="0"/>
    <n v="0"/>
    <n v="49162.5"/>
    <n v="49616"/>
    <n v="0"/>
    <n v="0"/>
    <n v="4"/>
    <n v="12404"/>
    <n v="107428.5714285714"/>
    <n v="3"/>
    <n v="4"/>
    <n v="4.5"/>
    <m/>
    <n v="0"/>
    <n v="0"/>
    <n v="12404"/>
    <n v="11643.75"/>
    <n v="0"/>
    <n v="0"/>
    <n v="4"/>
    <n v="12404"/>
    <n v="30214.28571428572"/>
    <n v="14"/>
    <n v="4"/>
    <n v="0"/>
    <m/>
    <n v="0"/>
    <n v="0"/>
    <n v="12404"/>
    <n v="0"/>
    <n v="0"/>
    <n v="0"/>
    <n v="4"/>
    <n v="12404"/>
    <n v="0"/>
    <n v="0"/>
    <n v="4"/>
    <n v="0"/>
    <n v="0"/>
    <n v="0"/>
    <n v="0"/>
    <n v="12404"/>
    <n v="0"/>
    <n v="0"/>
    <n v="0"/>
    <n v="4"/>
    <n v="12404"/>
    <n v="0"/>
    <n v="0"/>
    <n v="4"/>
    <n v="0"/>
    <n v="0"/>
    <n v="0"/>
    <n v="0"/>
    <n v="12404"/>
    <n v="0"/>
    <n v="0"/>
    <n v="0"/>
    <n v="4"/>
    <n v="12404"/>
    <n v="0"/>
    <n v="0"/>
    <n v="4"/>
    <n v="0"/>
    <n v="0"/>
    <n v="0"/>
    <n v="0"/>
    <n v="10350"/>
    <n v="0"/>
    <n v="0"/>
    <n v="0"/>
    <n v="4"/>
    <n v="10350"/>
    <n v="0"/>
    <n v="0"/>
    <n v="4"/>
    <n v="0"/>
    <n v="0"/>
    <n v="0"/>
    <n v="0"/>
    <m/>
    <n v="10350"/>
    <n v="0"/>
    <n v="0"/>
    <n v="0"/>
    <n v="4"/>
    <n v="10350"/>
    <n v="0"/>
    <n v="0"/>
    <n v="4"/>
    <n v="0"/>
    <n v="0"/>
    <n v="0"/>
    <n v="10350"/>
    <n v="0"/>
    <n v="0"/>
    <n v="0"/>
    <n v="4"/>
    <n v="10350"/>
    <n v="0"/>
    <n v="0"/>
    <n v="4"/>
    <n v="0"/>
    <n v="0"/>
    <n v="0"/>
    <n v="10350"/>
    <n v="0"/>
    <n v="0"/>
    <n v="4"/>
    <n v="10350"/>
    <n v="0"/>
    <n v="0"/>
    <n v="4"/>
    <n v="0"/>
    <n v="0"/>
    <m/>
    <n v="10350"/>
    <n v="0"/>
    <n v="0"/>
    <n v="4"/>
    <n v="10350"/>
    <n v="0"/>
  </r>
  <r>
    <s v="Lhotse-Accesorio Vestuario"/>
    <x v="4"/>
    <x v="14"/>
    <x v="33"/>
    <s v="LHJOKTRE"/>
    <x v="160"/>
    <x v="152"/>
    <x v="0"/>
    <x v="2"/>
    <n v="1.2"/>
    <x v="3"/>
    <n v="5"/>
    <m/>
    <n v="0"/>
    <n v="3101"/>
    <n v="15505"/>
    <n v="2.5"/>
    <n v="2731.25"/>
    <n v="6714.285714285715"/>
    <n v="6714.285714285715"/>
    <s v="Shenzhen"/>
    <s v="30/70"/>
    <n v="30"/>
    <n v="200"/>
    <n v="6"/>
    <n v="0.6879192807058746"/>
    <n v="10"/>
    <n v="0.6472344822417099"/>
    <n v="4"/>
    <n v="0.6396625793606713"/>
    <n v="3"/>
    <n v="0.6381597168196671"/>
    <n v="3"/>
    <n v="0.6989874769439861"/>
    <n v="2"/>
    <n v="0.7362649372740804"/>
    <n v="5"/>
    <n v="0.6011717644637666"/>
    <n v="2"/>
    <n v="0.678863300993688"/>
    <n v="1"/>
    <n v="0.7538907849829352"/>
    <n v="10"/>
    <n v="0.6630441836023431"/>
    <n v="8"/>
    <n v="0.636135363492343"/>
    <n v="48"/>
    <n v="0.5052926448124224"/>
    <n v="18"/>
    <n v="0.2357732172014529"/>
    <n v="8"/>
    <n v="0.3804903451477504"/>
    <n v="21"/>
    <n v="0.291451577742643"/>
    <n v="9"/>
    <n v="0.2870748206613437"/>
    <n v="1.8"/>
    <n v="10"/>
    <n v="0.5238561087957885"/>
    <n v="2"/>
    <n v="19"/>
    <n v="0.1374489429096607"/>
    <n v="6.333333333333333"/>
    <n v="1"/>
    <n v="0.5381063829787234"/>
    <n v="0.125"/>
    <n v="0"/>
    <s v=""/>
    <n v="0"/>
    <m/>
    <m/>
    <m/>
    <m/>
    <m/>
    <m/>
    <m/>
    <m/>
    <m/>
    <m/>
    <m/>
    <m/>
    <n v="8"/>
    <n v="68"/>
    <n v="5"/>
    <n v="0"/>
    <n v="0"/>
    <n v="0"/>
    <n v="117838"/>
    <n v="175950"/>
    <n v="15505"/>
    <n v="0"/>
    <n v="5"/>
    <n v="15505"/>
    <n v="28211.28451380553"/>
    <n v="10"/>
    <n v="63"/>
    <n v="12"/>
    <n v="0"/>
    <n v="0"/>
    <n v="0"/>
    <n v="130242"/>
    <n v="163012.5"/>
    <n v="37212"/>
    <n v="0"/>
    <n v="5"/>
    <n v="15505"/>
    <n v="67707.08283313326"/>
    <n v="5"/>
    <n v="52"/>
    <n v="21"/>
    <n v="0"/>
    <n v="0"/>
    <n v="108555"/>
    <n v="161252"/>
    <n v="65121"/>
    <n v="0"/>
    <n v="5"/>
    <n v="15505"/>
    <n v="141000"/>
    <n v="5"/>
    <n v="35"/>
    <n v="9"/>
    <n v="0"/>
    <n v="0"/>
    <n v="90562.5"/>
    <n v="27909"/>
    <n v="0"/>
    <n v="0"/>
    <n v="5"/>
    <n v="15505"/>
    <n v="60428.57142857143"/>
    <n v="5"/>
    <n v="15"/>
    <n v="6"/>
    <m/>
    <n v="0"/>
    <n v="0"/>
    <n v="46515"/>
    <n v="15525"/>
    <n v="0"/>
    <n v="0"/>
    <n v="5"/>
    <n v="15505"/>
    <n v="40285.71428571429"/>
    <n v="3"/>
    <n v="24"/>
    <n v="19"/>
    <m/>
    <n v="0"/>
    <n v="0"/>
    <n v="74424"/>
    <n v="49162.5"/>
    <n v="0"/>
    <n v="0"/>
    <n v="24"/>
    <n v="15505"/>
    <n v="127571.4285714286"/>
    <n v="8"/>
    <n v="6"/>
    <n v="1"/>
    <n v="0"/>
    <n v="0"/>
    <n v="0"/>
    <n v="18606"/>
    <n v="2587.5"/>
    <n v="0"/>
    <n v="0"/>
    <n v="6"/>
    <n v="15505"/>
    <n v="6714.285714285715"/>
    <n v="3"/>
    <n v="5"/>
    <n v="3.6"/>
    <n v="0"/>
    <n v="0"/>
    <n v="0"/>
    <n v="15505"/>
    <n v="9314.999999999998"/>
    <n v="0"/>
    <n v="0"/>
    <n v="5"/>
    <n v="15505"/>
    <n v="24171.42857142857"/>
    <n v="9"/>
    <n v="1.4"/>
    <n v="10.8"/>
    <n v="0"/>
    <n v="0"/>
    <n v="0"/>
    <n v="3622.500000000001"/>
    <n v="27945"/>
    <n v="0"/>
    <n v="0"/>
    <n v="1.4"/>
    <n v="3622.500000000001"/>
    <n v="72514.28571428571"/>
    <n v="0"/>
    <n v="0"/>
    <n v="0"/>
    <n v="0"/>
    <n v="0"/>
    <n v="0"/>
    <m/>
    <n v="0"/>
    <n v="0"/>
    <n v="0"/>
    <n v="0"/>
    <n v="0"/>
    <n v="0"/>
    <n v="0"/>
    <n v="13"/>
    <n v="0"/>
    <n v="15.6"/>
    <n v="0"/>
    <n v="0"/>
    <n v="0"/>
    <n v="40365"/>
    <n v="0"/>
    <n v="0"/>
    <n v="0"/>
    <n v="0"/>
    <n v="109980"/>
    <n v="13"/>
    <n v="0"/>
    <n v="15.6"/>
    <n v="0"/>
    <n v="0"/>
    <n v="0"/>
    <n v="40365"/>
    <n v="0"/>
    <n v="0"/>
    <n v="0"/>
    <n v="104742.8571428571"/>
    <n v="7.8"/>
    <n v="0"/>
    <n v="9.359999999999999"/>
    <n v="0"/>
    <m/>
    <n v="0"/>
    <n v="29025.36"/>
    <n v="0"/>
    <n v="0"/>
    <n v="0"/>
    <n v="62845.71428571428"/>
  </r>
  <r>
    <m/>
    <x v="4"/>
    <x v="14"/>
    <x v="33"/>
    <s v="LHJOKWV"/>
    <x v="161"/>
    <x v="153"/>
    <x v="0"/>
    <x v="2"/>
    <n v="0.8"/>
    <x v="3"/>
    <n v="15"/>
    <m/>
    <n v="0"/>
    <n v="3218"/>
    <n v="48270"/>
    <n v="2.6"/>
    <n v="2840.5"/>
    <n v="6714.285714285715"/>
    <n v="6714.285714285715"/>
    <s v="Shenzhen"/>
    <s v="30/70"/>
    <n v="30"/>
    <n v="200"/>
    <n v="2"/>
    <n v="0.7051850494686698"/>
    <n v="8"/>
    <n v="0.6475164293537788"/>
    <n v="9"/>
    <n v="0.6443497587151119"/>
    <n v="2"/>
    <n v="0.7262853497767382"/>
    <n v="2"/>
    <n v="0.7051850494686699"/>
    <n v="3"/>
    <n v="0.7107865824889348"/>
    <n v="13"/>
    <n v="0.4544211504051605"/>
    <n v="2"/>
    <n v="0.6166493159131768"/>
    <n v="6"/>
    <n v="0.7051844442551251"/>
    <n v="12"/>
    <n v="0.6260127914070964"/>
    <n v="16"/>
    <n v="0.6102242274674863"/>
    <n v="57"/>
    <n v="0.4943529379333159"/>
    <n v="10"/>
    <n v="0.3306235731986116"/>
    <n v="13"/>
    <n v="0.3146337712172798"/>
    <n v="12"/>
    <n v="0.3800736416255197"/>
    <n v="4"/>
    <n v="-0.2202124349455204"/>
    <n v="0.5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10"/>
    <n v="21"/>
    <n v="12"/>
    <n v="0"/>
    <n v="0"/>
    <n v="0"/>
    <n v="139983"/>
    <n v="56511"/>
    <n v="38616"/>
    <n v="0"/>
    <n v="15"/>
    <n v="48270"/>
    <n v="67707.08283313326"/>
    <n v="10"/>
    <n v="40"/>
    <n v="19.5"/>
    <n v="0"/>
    <n v="0"/>
    <n v="0"/>
    <n v="114239"/>
    <n v="107640"/>
    <n v="62751"/>
    <n v="0"/>
    <n v="15"/>
    <n v="48270"/>
    <n v="110024.0096038416"/>
    <n v="8"/>
    <n v="25"/>
    <n v="12"/>
    <n v="0"/>
    <n v="0"/>
    <n v="55793.6"/>
    <n v="80450"/>
    <n v="38616"/>
    <n v="0"/>
    <n v="15"/>
    <n v="48270"/>
    <n v="80571.42857142858"/>
    <n v="8"/>
    <n v="7"/>
    <n v="4"/>
    <n v="0"/>
    <n v="0"/>
    <n v="18837"/>
    <n v="12872"/>
    <n v="0"/>
    <n v="0"/>
    <n v="15"/>
    <n v="48270"/>
    <n v="26857.14285714286"/>
    <n v="2"/>
    <n v="15"/>
    <n v="1.6"/>
    <m/>
    <n v="0"/>
    <n v="0"/>
    <n v="48270"/>
    <n v="4305.6"/>
    <n v="0"/>
    <n v="0"/>
    <n v="15"/>
    <n v="48270"/>
    <n v="10742.85714285714"/>
    <n v="4"/>
    <n v="15"/>
    <n v="0"/>
    <m/>
    <n v="0"/>
    <n v="0"/>
    <n v="48270"/>
    <n v="0"/>
    <n v="0"/>
    <n v="0"/>
    <n v="15"/>
    <n v="48270"/>
    <n v="0"/>
    <n v="0"/>
    <n v="15"/>
    <n v="0"/>
    <n v="0"/>
    <n v="0"/>
    <n v="0"/>
    <n v="48270"/>
    <n v="0"/>
    <n v="0"/>
    <n v="0"/>
    <n v="15"/>
    <n v="48270"/>
    <n v="0"/>
    <n v="0"/>
    <n v="15"/>
    <n v="0"/>
    <n v="0"/>
    <n v="0"/>
    <n v="0"/>
    <n v="48270"/>
    <n v="0"/>
    <n v="0"/>
    <n v="0"/>
    <n v="15"/>
    <n v="48270"/>
    <n v="0"/>
    <n v="0"/>
    <n v="15"/>
    <n v="0"/>
    <n v="0"/>
    <n v="0"/>
    <n v="0"/>
    <n v="40365"/>
    <n v="0"/>
    <n v="0"/>
    <n v="0"/>
    <n v="15"/>
    <n v="40365"/>
    <n v="0"/>
    <n v="0"/>
    <n v="15"/>
    <n v="0"/>
    <n v="0"/>
    <n v="0"/>
    <n v="0"/>
    <m/>
    <n v="40365"/>
    <n v="0"/>
    <n v="0"/>
    <n v="0"/>
    <n v="15"/>
    <n v="40365"/>
    <n v="0"/>
    <n v="0"/>
    <n v="15"/>
    <n v="0"/>
    <n v="0"/>
    <n v="0"/>
    <n v="40365"/>
    <n v="0"/>
    <n v="0"/>
    <n v="0"/>
    <n v="15"/>
    <n v="40365"/>
    <n v="0"/>
    <n v="0"/>
    <n v="15"/>
    <n v="0"/>
    <n v="0"/>
    <n v="0"/>
    <n v="40365"/>
    <n v="0"/>
    <n v="0"/>
    <n v="15"/>
    <n v="40365"/>
    <n v="0"/>
    <n v="0"/>
    <n v="15"/>
    <n v="0"/>
    <n v="0"/>
    <m/>
    <n v="40365"/>
    <n v="0"/>
    <n v="0"/>
    <n v="15"/>
    <n v="40365"/>
    <n v="0"/>
  </r>
  <r>
    <m/>
    <x v="4"/>
    <x v="14"/>
    <x v="33"/>
    <s v="LHJOKWV"/>
    <x v="162"/>
    <x v="153"/>
    <x v="0"/>
    <x v="2"/>
    <n v="1.5"/>
    <x v="3"/>
    <n v="40"/>
    <m/>
    <n v="0"/>
    <n v="3219"/>
    <n v="128760"/>
    <n v="2.6"/>
    <n v="2840.5"/>
    <n v="6714.285714285715"/>
    <n v="6714.285714285715"/>
    <s v="Shenzhen"/>
    <s v="30/70"/>
    <n v="30"/>
    <n v="200"/>
    <n v="3"/>
    <n v="0.5548413869420878"/>
    <n v="2"/>
    <n v="0.634917753828701"/>
    <n v="1"/>
    <n v="0.6166527695056582"/>
    <n v="1"/>
    <n v="0.6166527695056582"/>
    <n v="1"/>
    <n v="0.7051850494686699"/>
    <n v="0"/>
    <s v=""/>
    <n v="15"/>
    <n v="0.4468799413341888"/>
    <n v="3"/>
    <n v="0.6134603835528687"/>
    <n v="2"/>
    <n v="0.7051841416474212"/>
    <n v="4"/>
    <n v="0.5206885179629571"/>
    <n v="2"/>
    <n v="0.5207030086386655"/>
    <n v="12"/>
    <n v="0.4261305977912423"/>
    <n v="17"/>
    <n v="0.2510028052596279"/>
    <n v="5"/>
    <n v="0.3638403307250735"/>
    <n v="3"/>
    <n v="0.2831459569570631"/>
    <n v="16"/>
    <n v="0.3071014134833857"/>
    <n v="2"/>
    <n v="12"/>
    <n v="0.4603720012681862"/>
    <n v="12"/>
    <n v="20"/>
    <n v="0.06604523166876744"/>
    <n v="2.5"/>
    <n v="26"/>
    <n v="0.5293613320666789"/>
    <n v="1.733333333333333"/>
    <n v="3"/>
    <n v="0.5206791091203185"/>
    <n v="0.3333333333333333"/>
    <m/>
    <m/>
    <m/>
    <m/>
    <m/>
    <m/>
    <m/>
    <m/>
    <m/>
    <m/>
    <m/>
    <m/>
    <n v="6"/>
    <n v="137"/>
    <n v="6"/>
    <n v="0"/>
    <n v="0"/>
    <n v="0"/>
    <n v="53113.5"/>
    <n v="368667"/>
    <n v="19314"/>
    <n v="0"/>
    <n v="40"/>
    <n v="128760"/>
    <n v="33853.54141656663"/>
    <n v="8"/>
    <n v="124"/>
    <n v="7.5"/>
    <n v="0"/>
    <n v="0"/>
    <n v="0"/>
    <n v="85303.5"/>
    <n v="333684"/>
    <n v="24142.5"/>
    <n v="0"/>
    <n v="40"/>
    <n v="128760"/>
    <n v="42316.92677070829"/>
    <n v="8"/>
    <n v="119"/>
    <n v="3"/>
    <n v="0"/>
    <n v="0"/>
    <n v="65197.5"/>
    <n v="383061"/>
    <n v="9657"/>
    <n v="0"/>
    <n v="40"/>
    <n v="128760"/>
    <n v="20142.85714285714"/>
    <n v="8"/>
    <n v="116"/>
    <n v="16"/>
    <n v="0"/>
    <n v="0"/>
    <n v="312156"/>
    <n v="51504"/>
    <n v="0"/>
    <n v="0"/>
    <n v="40"/>
    <n v="128760"/>
    <n v="107428.5714285714"/>
    <n v="1"/>
    <n v="52"/>
    <n v="1.5"/>
    <m/>
    <n v="0"/>
    <n v="0"/>
    <n v="167388"/>
    <n v="4036.5"/>
    <n v="0"/>
    <n v="0"/>
    <n v="40"/>
    <n v="128760"/>
    <n v="10071.42857142857"/>
    <n v="8"/>
    <n v="60"/>
    <n v="20"/>
    <m/>
    <n v="0"/>
    <n v="0"/>
    <n v="193140"/>
    <n v="53820"/>
    <n v="0"/>
    <n v="0"/>
    <n v="60"/>
    <n v="128760"/>
    <n v="134285.7142857143"/>
    <n v="15"/>
    <n v="66"/>
    <n v="26"/>
    <n v="0"/>
    <n v="0"/>
    <n v="0"/>
    <n v="212454"/>
    <n v="69966"/>
    <n v="0"/>
    <n v="0"/>
    <n v="66"/>
    <n v="128760"/>
    <n v="174571.4285714286"/>
    <n v="9"/>
    <n v="40"/>
    <n v="13.5"/>
    <n v="0"/>
    <n v="0"/>
    <n v="0"/>
    <n v="128760"/>
    <n v="36328.5"/>
    <n v="0"/>
    <n v="0"/>
    <n v="40"/>
    <n v="128760"/>
    <n v="90642.85714285714"/>
    <n v="7"/>
    <n v="26.5"/>
    <n v="10.5"/>
    <n v="0"/>
    <n v="0"/>
    <n v="0"/>
    <n v="71311.5"/>
    <n v="28255.5"/>
    <n v="0"/>
    <n v="0"/>
    <n v="26.5"/>
    <n v="71311.5"/>
    <n v="70500"/>
    <n v="4"/>
    <n v="16"/>
    <n v="6"/>
    <n v="0"/>
    <n v="0"/>
    <n v="0"/>
    <m/>
    <n v="43056"/>
    <n v="16146"/>
    <n v="0"/>
    <n v="0"/>
    <n v="16"/>
    <n v="43056"/>
    <n v="40285.71428571429"/>
    <n v="4"/>
    <n v="10"/>
    <n v="6"/>
    <n v="0"/>
    <n v="0"/>
    <n v="26910"/>
    <n v="16146"/>
    <n v="0"/>
    <n v="0"/>
    <n v="10"/>
    <n v="26910"/>
    <n v="42300.00000000001"/>
    <n v="4"/>
    <n v="4"/>
    <n v="6"/>
    <n v="0"/>
    <n v="0"/>
    <n v="10764"/>
    <n v="16146"/>
    <n v="0"/>
    <n v="4"/>
    <n v="10764"/>
    <n v="40285.71428571429"/>
    <n v="2.4"/>
    <n v="0"/>
    <n v="3.6"/>
    <n v="0"/>
    <m/>
    <n v="0"/>
    <n v="11588.4"/>
    <n v="0"/>
    <n v="0"/>
    <n v="0"/>
    <n v="24171.42857142857"/>
  </r>
  <r>
    <m/>
    <x v="4"/>
    <x v="14"/>
    <x v="34"/>
    <s v="LHPANCLOGR"/>
    <x v="163"/>
    <x v="154"/>
    <x v="0"/>
    <x v="2"/>
    <n v="1"/>
    <x v="3"/>
    <n v="2"/>
    <m/>
    <n v="0"/>
    <n v="5923"/>
    <n v="11846"/>
    <n v="5.44"/>
    <n v="5943.2"/>
    <n v="9235.294117647059"/>
    <n v="8394.957983193277"/>
    <s v="Shenzhen"/>
    <s v="30/70"/>
    <n v="30"/>
    <n v="200"/>
    <n v="0"/>
    <s v=""/>
    <n v="0"/>
    <s v=""/>
    <n v="0"/>
    <s v=""/>
    <n v="0"/>
    <s v=""/>
    <n v="0"/>
    <s v=""/>
    <n v="3"/>
    <n v="0.5297914871985993"/>
    <n v="19"/>
    <n v="0.3921244286527414"/>
    <n v="8"/>
    <n v="0.5297909251960542"/>
    <n v="4"/>
    <n v="0.4467908868242432"/>
    <n v="6"/>
    <n v="0.4038494222590608"/>
    <n v="3"/>
    <n v="0.4121467721062384"/>
    <n v="52"/>
    <n v="0.3232409540415874"/>
    <n v="6"/>
    <n v="0.2288472019135899"/>
    <n v="3"/>
    <n v="0.132578065652206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20"/>
    <n v="12"/>
    <n v="12"/>
    <n v="0"/>
    <n v="0"/>
    <n v="0"/>
    <n v="97729.5"/>
    <n v="67564.79999999999"/>
    <n v="71076"/>
    <n v="0"/>
    <n v="2"/>
    <n v="11846"/>
    <n v="93129.01631240733"/>
    <n v="10"/>
    <n v="5"/>
    <n v="4.5"/>
    <n v="0"/>
    <n v="0"/>
    <n v="0"/>
    <n v="26653.5"/>
    <n v="28152"/>
    <n v="26653.5"/>
    <n v="0"/>
    <n v="2"/>
    <n v="11846"/>
    <n v="34923.38111715275"/>
    <n v="7"/>
    <n v="2"/>
    <n v="0"/>
    <n v="0"/>
    <n v="0"/>
    <n v="0"/>
    <n v="11846"/>
    <n v="0"/>
    <n v="0"/>
    <n v="2"/>
    <n v="11846"/>
    <n v="0"/>
    <n v="0"/>
    <n v="2"/>
    <n v="0"/>
    <n v="0"/>
    <n v="0"/>
    <n v="11260.8"/>
    <n v="0"/>
    <n v="0"/>
    <n v="0"/>
    <n v="2"/>
    <n v="11846"/>
    <n v="0"/>
    <n v="0"/>
    <n v="2"/>
    <n v="0"/>
    <m/>
    <n v="0"/>
    <n v="0"/>
    <n v="11846"/>
    <n v="0"/>
    <n v="0"/>
    <n v="0"/>
    <n v="2"/>
    <n v="11846"/>
    <n v="0"/>
    <n v="0"/>
    <n v="2"/>
    <n v="0"/>
    <m/>
    <n v="0"/>
    <n v="0"/>
    <n v="11846"/>
    <n v="0"/>
    <n v="0"/>
    <n v="0"/>
    <n v="2"/>
    <n v="11846"/>
    <n v="0"/>
    <n v="0"/>
    <n v="2"/>
    <n v="0"/>
    <n v="0"/>
    <n v="0"/>
    <n v="0"/>
    <n v="11846"/>
    <n v="0"/>
    <n v="0"/>
    <n v="0"/>
    <n v="2"/>
    <n v="11846"/>
    <n v="0"/>
    <n v="0"/>
    <n v="2"/>
    <n v="0"/>
    <n v="0"/>
    <n v="0"/>
    <n v="0"/>
    <n v="11846"/>
    <n v="0"/>
    <n v="0"/>
    <n v="0"/>
    <n v="2"/>
    <n v="11846"/>
    <n v="0"/>
    <n v="0"/>
    <n v="2"/>
    <n v="0"/>
    <n v="0"/>
    <n v="0"/>
    <n v="0"/>
    <n v="11260.8"/>
    <n v="0"/>
    <n v="0"/>
    <n v="0"/>
    <n v="2"/>
    <n v="11260.8"/>
    <n v="0"/>
    <n v="0"/>
    <n v="2"/>
    <n v="0"/>
    <n v="0"/>
    <n v="0"/>
    <n v="0"/>
    <m/>
    <n v="11260.8"/>
    <n v="0"/>
    <n v="0"/>
    <n v="0"/>
    <n v="2"/>
    <n v="11260.8"/>
    <n v="0"/>
    <n v="0"/>
    <n v="2"/>
    <n v="0"/>
    <n v="0"/>
    <n v="0"/>
    <n v="11260.8"/>
    <n v="0"/>
    <n v="0"/>
    <n v="0"/>
    <n v="2"/>
    <n v="11260.8"/>
    <n v="0"/>
    <n v="0"/>
    <n v="2"/>
    <n v="0"/>
    <n v="0"/>
    <n v="0"/>
    <n v="11260.8"/>
    <n v="0"/>
    <n v="0"/>
    <n v="2"/>
    <n v="11260.8"/>
    <n v="0"/>
    <n v="0"/>
    <n v="2"/>
    <n v="0"/>
    <n v="0"/>
    <m/>
    <n v="11260.8"/>
    <n v="0"/>
    <n v="0"/>
    <n v="2"/>
    <n v="11260.8"/>
    <n v="0"/>
  </r>
  <r>
    <m/>
    <x v="4"/>
    <x v="14"/>
    <x v="34"/>
    <s v="LHPANIMBKBK36-37"/>
    <x v="164"/>
    <x v="155"/>
    <x v="0"/>
    <x v="4"/>
    <n v="1"/>
    <x v="3"/>
    <n v="22"/>
    <m/>
    <n v="0"/>
    <n v="7232"/>
    <n v="159104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6"/>
    <n v="0.2806235803906351"/>
    <n v="0.4285714285714285"/>
    <n v="3"/>
    <n v="0.4770653406789273"/>
    <n v="0.2727272727272727"/>
    <n v="2"/>
    <n v="0.4934402589758681"/>
    <n v="0.2857142857142857"/>
    <m/>
    <m/>
    <m/>
    <m/>
    <m/>
    <m/>
    <m/>
    <m/>
    <m/>
    <m/>
    <m/>
    <m/>
    <n v="0"/>
    <n v="0"/>
    <n v="0"/>
    <n v="0"/>
    <n v="0"/>
    <n v="0"/>
    <n v="0"/>
    <n v="0"/>
    <n v="0"/>
    <n v="0"/>
    <n v="22"/>
    <n v="159104"/>
    <n v="0"/>
    <n v="0"/>
    <n v="0"/>
    <n v="0"/>
    <n v="0"/>
    <n v="0"/>
    <n v="0"/>
    <n v="0"/>
    <n v="0"/>
    <n v="0"/>
    <n v="0"/>
    <n v="22"/>
    <n v="159104"/>
    <n v="0"/>
    <n v="0"/>
    <n v="0"/>
    <n v="0"/>
    <n v="0"/>
    <n v="0"/>
    <n v="23287.5"/>
    <n v="0"/>
    <n v="0"/>
    <n v="0"/>
    <n v="22"/>
    <n v="159104"/>
    <n v="0"/>
    <n v="0"/>
    <n v="0"/>
    <n v="0"/>
    <n v="0"/>
    <n v="0"/>
    <n v="0"/>
    <n v="0"/>
    <n v="0"/>
    <n v="0"/>
    <n v="22"/>
    <n v="159104"/>
    <n v="0"/>
    <n v="3"/>
    <n v="22"/>
    <n v="3"/>
    <m/>
    <n v="0"/>
    <n v="0"/>
    <n v="159104"/>
    <n v="23287.5"/>
    <n v="0"/>
    <n v="0"/>
    <n v="22"/>
    <n v="159104"/>
    <n v="55436.97478991597"/>
    <n v="14"/>
    <n v="28"/>
    <n v="6"/>
    <m/>
    <n v="0"/>
    <n v="0"/>
    <n v="202496"/>
    <n v="46574.99999999999"/>
    <n v="0"/>
    <n v="0"/>
    <n v="28"/>
    <n v="159104"/>
    <n v="110873.9495798319"/>
    <n v="11"/>
    <n v="25"/>
    <n v="3"/>
    <n v="0"/>
    <n v="0"/>
    <n v="0"/>
    <n v="180800"/>
    <n v="23287.5"/>
    <n v="0"/>
    <n v="0"/>
    <n v="25"/>
    <n v="159104"/>
    <n v="55436.97478991597"/>
    <n v="7"/>
    <n v="22"/>
    <n v="7"/>
    <n v="0"/>
    <n v="0"/>
    <n v="0"/>
    <n v="159104"/>
    <n v="54337.49999999999"/>
    <n v="0"/>
    <n v="0"/>
    <n v="22"/>
    <n v="159104"/>
    <n v="129352.9411764706"/>
    <n v="2"/>
    <n v="15"/>
    <n v="2"/>
    <n v="0"/>
    <n v="0"/>
    <n v="0"/>
    <n v="116437.5"/>
    <n v="15525"/>
    <n v="0"/>
    <n v="0"/>
    <n v="15"/>
    <n v="116437.5"/>
    <n v="36957.98319327732"/>
    <n v="0"/>
    <n v="13"/>
    <n v="0"/>
    <n v="0"/>
    <n v="0"/>
    <n v="0"/>
    <m/>
    <n v="100912.5"/>
    <n v="0"/>
    <n v="0"/>
    <n v="0"/>
    <n v="13"/>
    <n v="100912.5"/>
    <n v="0"/>
    <n v="0"/>
    <n v="13"/>
    <n v="0"/>
    <n v="0"/>
    <n v="0"/>
    <n v="100912.5"/>
    <n v="0"/>
    <n v="0"/>
    <n v="0"/>
    <n v="13"/>
    <n v="100912.5"/>
    <n v="0"/>
    <n v="0"/>
    <n v="13"/>
    <n v="0"/>
    <n v="0"/>
    <n v="0"/>
    <n v="100912.5"/>
    <n v="0"/>
    <n v="0"/>
    <n v="13"/>
    <n v="100912.5"/>
    <n v="0"/>
    <n v="0"/>
    <n v="13"/>
    <n v="0"/>
    <n v="0"/>
    <m/>
    <n v="100912.5"/>
    <n v="0"/>
    <n v="0"/>
    <n v="13"/>
    <n v="100912.5"/>
    <n v="0"/>
  </r>
  <r>
    <m/>
    <x v="4"/>
    <x v="14"/>
    <x v="34"/>
    <s v="LHPANIMBKBK38-39"/>
    <x v="165"/>
    <x v="156"/>
    <x v="0"/>
    <x v="4"/>
    <n v="1"/>
    <x v="3"/>
    <n v="59"/>
    <m/>
    <n v="0"/>
    <n v="7232"/>
    <n v="426688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1"/>
    <n v="0.6811526491293071"/>
    <n v="0.1428571428571428"/>
    <n v="5"/>
    <n v="0.3537969699973475"/>
    <n v="0.15625"/>
    <n v="3"/>
    <n v="0.2620408163265306"/>
    <n v="0.12"/>
    <n v="2"/>
    <n v="0.478119784298176"/>
    <n v="0.1176470588235294"/>
    <m/>
    <m/>
    <m/>
    <m/>
    <m/>
    <m/>
    <m/>
    <m/>
    <m/>
    <m/>
    <m/>
    <m/>
    <n v="0"/>
    <n v="0"/>
    <n v="0"/>
    <n v="0"/>
    <n v="0"/>
    <n v="0"/>
    <n v="0"/>
    <n v="0"/>
    <n v="0"/>
    <n v="0"/>
    <n v="59"/>
    <n v="426688"/>
    <n v="0"/>
    <n v="0"/>
    <n v="0"/>
    <n v="0"/>
    <n v="0"/>
    <n v="0"/>
    <n v="0"/>
    <n v="0"/>
    <n v="0"/>
    <n v="0"/>
    <n v="0"/>
    <n v="59"/>
    <n v="426688"/>
    <n v="0"/>
    <n v="0"/>
    <n v="0"/>
    <n v="0"/>
    <n v="0"/>
    <n v="0"/>
    <n v="54337.49999999999"/>
    <n v="0"/>
    <n v="0"/>
    <n v="0"/>
    <n v="59"/>
    <n v="426688"/>
    <n v="0"/>
    <n v="0"/>
    <n v="0"/>
    <n v="0"/>
    <n v="0"/>
    <n v="0"/>
    <n v="0"/>
    <n v="0"/>
    <n v="0"/>
    <n v="0"/>
    <n v="59"/>
    <n v="426688"/>
    <n v="0"/>
    <n v="7"/>
    <n v="60"/>
    <n v="7"/>
    <m/>
    <n v="0"/>
    <n v="0"/>
    <n v="433920"/>
    <n v="54337.49999999999"/>
    <n v="0"/>
    <n v="0"/>
    <n v="59"/>
    <n v="426688"/>
    <n v="129352.9411764706"/>
    <n v="32"/>
    <n v="64"/>
    <n v="5"/>
    <m/>
    <n v="0"/>
    <n v="0"/>
    <n v="462848"/>
    <n v="38812.49999999999"/>
    <n v="0"/>
    <n v="0"/>
    <n v="64"/>
    <n v="426688"/>
    <n v="92394.95798319329"/>
    <n v="25"/>
    <n v="62"/>
    <n v="3"/>
    <n v="0"/>
    <n v="0"/>
    <n v="0"/>
    <n v="448384"/>
    <n v="23287.5"/>
    <n v="0"/>
    <n v="0"/>
    <n v="62"/>
    <n v="426688"/>
    <n v="55436.97478991597"/>
    <n v="17"/>
    <n v="59"/>
    <n v="17"/>
    <n v="0"/>
    <n v="0"/>
    <n v="0"/>
    <n v="426688"/>
    <n v="131962.5"/>
    <n v="0"/>
    <n v="0"/>
    <n v="59"/>
    <n v="426688"/>
    <n v="314142.8571428572"/>
    <n v="5"/>
    <n v="42"/>
    <n v="5"/>
    <n v="0"/>
    <n v="0"/>
    <n v="0"/>
    <n v="326024.9999999999"/>
    <n v="38812.49999999999"/>
    <n v="0"/>
    <n v="0"/>
    <n v="42"/>
    <n v="326024.9999999999"/>
    <n v="92394.95798319329"/>
    <n v="0"/>
    <n v="37"/>
    <n v="0"/>
    <n v="0"/>
    <n v="0"/>
    <n v="0"/>
    <m/>
    <n v="287212.4999999999"/>
    <n v="0"/>
    <n v="0"/>
    <n v="0"/>
    <n v="37"/>
    <n v="287212.4999999999"/>
    <n v="0"/>
    <n v="0"/>
    <n v="37"/>
    <n v="0"/>
    <n v="0"/>
    <n v="0"/>
    <n v="287212.4999999999"/>
    <n v="0"/>
    <n v="0"/>
    <n v="0"/>
    <n v="37"/>
    <n v="287212.4999999999"/>
    <n v="0"/>
    <n v="0"/>
    <n v="37"/>
    <n v="0"/>
    <n v="0"/>
    <n v="0"/>
    <n v="287212.4999999999"/>
    <n v="0"/>
    <n v="0"/>
    <n v="37"/>
    <n v="287212.4999999999"/>
    <n v="0"/>
    <n v="0"/>
    <n v="37"/>
    <n v="0"/>
    <n v="0"/>
    <m/>
    <n v="287212.4999999999"/>
    <n v="0"/>
    <n v="0"/>
    <n v="37"/>
    <n v="287212.4999999999"/>
    <n v="0"/>
  </r>
  <r>
    <m/>
    <x v="4"/>
    <x v="14"/>
    <x v="34"/>
    <s v="LHPANIMBKBK40-41"/>
    <x v="166"/>
    <x v="157"/>
    <x v="0"/>
    <x v="4"/>
    <n v="1"/>
    <x v="3"/>
    <n v="117"/>
    <m/>
    <n v="0"/>
    <n v="7232"/>
    <n v="846144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10"/>
    <n v="0.2764937020560642"/>
    <n v="0.1470588235294118"/>
    <n v="17"/>
    <n v="0.4794432247986991"/>
    <n v="0.3207547169811321"/>
    <n v="7"/>
    <n v="0.484790657965118"/>
    <n v="0.1891891891891892"/>
    <m/>
    <m/>
    <m/>
    <m/>
    <m/>
    <m/>
    <m/>
    <m/>
    <m/>
    <m/>
    <m/>
    <m/>
    <n v="0"/>
    <n v="0"/>
    <n v="0"/>
    <n v="0"/>
    <n v="0"/>
    <n v="0"/>
    <n v="0"/>
    <n v="0"/>
    <n v="0"/>
    <n v="0"/>
    <n v="117"/>
    <n v="846144"/>
    <n v="0"/>
    <n v="0"/>
    <n v="0"/>
    <n v="0"/>
    <n v="0"/>
    <n v="0"/>
    <n v="0"/>
    <n v="0"/>
    <n v="0"/>
    <n v="0"/>
    <n v="0"/>
    <n v="117"/>
    <n v="846144"/>
    <n v="0"/>
    <n v="0"/>
    <n v="0"/>
    <n v="0"/>
    <n v="0"/>
    <n v="0"/>
    <n v="124200"/>
    <n v="0"/>
    <n v="0"/>
    <n v="0"/>
    <n v="117"/>
    <n v="846144"/>
    <n v="0"/>
    <n v="0"/>
    <n v="0"/>
    <n v="0"/>
    <n v="0"/>
    <n v="0"/>
    <n v="0"/>
    <n v="0"/>
    <n v="0"/>
    <n v="0"/>
    <n v="117"/>
    <n v="846144"/>
    <n v="0"/>
    <n v="16"/>
    <n v="117"/>
    <n v="16"/>
    <m/>
    <n v="0"/>
    <n v="0"/>
    <n v="846144"/>
    <n v="124200"/>
    <n v="0"/>
    <n v="0"/>
    <n v="117"/>
    <n v="846144"/>
    <n v="295663.8655462185"/>
    <n v="68"/>
    <n v="127"/>
    <n v="10"/>
    <m/>
    <n v="0"/>
    <n v="0"/>
    <n v="918464"/>
    <n v="77624.99999999999"/>
    <n v="0"/>
    <n v="0"/>
    <n v="127"/>
    <n v="846144"/>
    <n v="184789.9159663866"/>
    <n v="53"/>
    <n v="134"/>
    <n v="17"/>
    <n v="0"/>
    <n v="0"/>
    <n v="0"/>
    <n v="969088"/>
    <n v="131962.5"/>
    <n v="0"/>
    <n v="0"/>
    <n v="134"/>
    <n v="846144"/>
    <n v="314142.8571428572"/>
    <n v="37"/>
    <n v="117"/>
    <n v="37"/>
    <n v="0"/>
    <n v="0"/>
    <n v="0"/>
    <n v="846144"/>
    <n v="287212.4999999999"/>
    <n v="0"/>
    <n v="0"/>
    <n v="117"/>
    <n v="846144"/>
    <n v="683722.6890756304"/>
    <n v="11"/>
    <n v="80"/>
    <n v="11"/>
    <n v="0"/>
    <n v="0"/>
    <n v="0"/>
    <n v="620999.9999999999"/>
    <n v="85387.49999999999"/>
    <n v="0"/>
    <n v="0"/>
    <n v="80"/>
    <n v="620999.9999999999"/>
    <n v="203268.9075630252"/>
    <n v="0"/>
    <n v="69"/>
    <n v="0"/>
    <n v="0"/>
    <n v="0"/>
    <n v="0"/>
    <m/>
    <n v="535612.4999999999"/>
    <n v="0"/>
    <n v="0"/>
    <n v="0"/>
    <n v="69"/>
    <n v="535612.4999999999"/>
    <n v="0"/>
    <n v="0"/>
    <n v="69"/>
    <n v="0"/>
    <n v="0"/>
    <n v="0"/>
    <n v="535612.4999999999"/>
    <n v="0"/>
    <n v="0"/>
    <n v="0"/>
    <n v="69"/>
    <n v="535612.4999999999"/>
    <n v="0"/>
    <n v="0"/>
    <n v="69"/>
    <n v="0"/>
    <n v="0"/>
    <n v="0"/>
    <n v="535612.4999999999"/>
    <n v="0"/>
    <n v="0"/>
    <n v="69"/>
    <n v="535612.4999999999"/>
    <n v="0"/>
    <n v="0"/>
    <n v="69"/>
    <n v="0"/>
    <n v="0"/>
    <m/>
    <n v="535612.4999999999"/>
    <n v="0"/>
    <n v="0"/>
    <n v="69"/>
    <n v="535612.4999999999"/>
    <n v="0"/>
  </r>
  <r>
    <m/>
    <x v="4"/>
    <x v="14"/>
    <x v="34"/>
    <s v="LHPANIMBKBK42-43"/>
    <x v="167"/>
    <x v="158"/>
    <x v="0"/>
    <x v="4"/>
    <n v="1"/>
    <x v="3"/>
    <n v="109"/>
    <m/>
    <n v="0"/>
    <n v="7231"/>
    <n v="788179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19"/>
    <n v="0.2281395927670689"/>
    <n v="0.2467532467532468"/>
    <n v="32"/>
    <n v="0.4809539976139438"/>
    <n v="0.5333333333333333"/>
    <n v="10"/>
    <n v="0.4760058881558902"/>
    <n v="0.2380952380952381"/>
    <m/>
    <m/>
    <m/>
    <m/>
    <m/>
    <m/>
    <m/>
    <m/>
    <m/>
    <m/>
    <m/>
    <m/>
    <n v="0"/>
    <n v="0"/>
    <n v="0"/>
    <n v="0"/>
    <n v="0"/>
    <n v="0"/>
    <n v="0"/>
    <n v="0"/>
    <n v="0"/>
    <n v="0"/>
    <n v="109"/>
    <n v="788179"/>
    <n v="0"/>
    <n v="0"/>
    <n v="0"/>
    <n v="0"/>
    <n v="0"/>
    <n v="0"/>
    <n v="0"/>
    <n v="0"/>
    <n v="0"/>
    <n v="0"/>
    <n v="0"/>
    <n v="109"/>
    <n v="788179"/>
    <n v="0"/>
    <n v="0"/>
    <n v="0"/>
    <n v="0"/>
    <n v="0"/>
    <n v="0"/>
    <n v="139725"/>
    <n v="0"/>
    <n v="0"/>
    <n v="0"/>
    <n v="109"/>
    <n v="788179"/>
    <n v="0"/>
    <n v="0"/>
    <n v="0"/>
    <n v="0"/>
    <n v="0"/>
    <n v="0"/>
    <n v="0"/>
    <n v="0"/>
    <n v="0"/>
    <n v="0"/>
    <n v="109"/>
    <n v="788179"/>
    <n v="0"/>
    <n v="18"/>
    <n v="109"/>
    <n v="18"/>
    <m/>
    <n v="0"/>
    <n v="0"/>
    <n v="788179"/>
    <n v="139725"/>
    <n v="0"/>
    <n v="0"/>
    <n v="109"/>
    <n v="788179"/>
    <n v="332621.8487394959"/>
    <n v="77"/>
    <n v="128"/>
    <n v="19"/>
    <m/>
    <n v="0"/>
    <n v="0"/>
    <n v="925568"/>
    <n v="147487.5"/>
    <n v="0"/>
    <n v="0"/>
    <n v="128"/>
    <n v="788179"/>
    <n v="351100.8403361345"/>
    <n v="60"/>
    <n v="141"/>
    <n v="32"/>
    <n v="0"/>
    <n v="0"/>
    <n v="0"/>
    <n v="1019571"/>
    <n v="248400"/>
    <n v="0"/>
    <n v="0"/>
    <n v="141"/>
    <n v="788179"/>
    <n v="591327.7310924371"/>
    <n v="42"/>
    <n v="109"/>
    <n v="42"/>
    <n v="0"/>
    <n v="0"/>
    <n v="0"/>
    <n v="788179"/>
    <n v="326024.9999999999"/>
    <n v="0"/>
    <n v="0"/>
    <n v="109"/>
    <n v="788179"/>
    <n v="776117.6470588236"/>
    <n v="12"/>
    <n v="67"/>
    <n v="12"/>
    <n v="0"/>
    <n v="0"/>
    <n v="0"/>
    <n v="520087.4999999999"/>
    <n v="93149.99999999999"/>
    <n v="0"/>
    <n v="0"/>
    <n v="67"/>
    <n v="520087.4999999999"/>
    <n v="221747.8991596639"/>
    <n v="0"/>
    <n v="55"/>
    <n v="0"/>
    <n v="0"/>
    <n v="0"/>
    <n v="0"/>
    <m/>
    <n v="426937.4999999999"/>
    <n v="0"/>
    <n v="0"/>
    <n v="0"/>
    <n v="55"/>
    <n v="426937.4999999999"/>
    <n v="0"/>
    <n v="0"/>
    <n v="55"/>
    <n v="0"/>
    <n v="0"/>
    <n v="0"/>
    <n v="426937.4999999999"/>
    <n v="0"/>
    <n v="0"/>
    <n v="0"/>
    <n v="55"/>
    <n v="426937.4999999999"/>
    <n v="0"/>
    <n v="0"/>
    <n v="55"/>
    <n v="0"/>
    <n v="0"/>
    <n v="0"/>
    <n v="426937.4999999999"/>
    <n v="0"/>
    <n v="0"/>
    <n v="55"/>
    <n v="426937.4999999999"/>
    <n v="0"/>
    <n v="0"/>
    <n v="55"/>
    <n v="0"/>
    <n v="0"/>
    <m/>
    <n v="426937.4999999999"/>
    <n v="0"/>
    <n v="0"/>
    <n v="55"/>
    <n v="426937.4999999999"/>
    <n v="0"/>
  </r>
  <r>
    <m/>
    <x v="4"/>
    <x v="14"/>
    <x v="34"/>
    <s v="LHPANIMBKBK44-45"/>
    <x v="168"/>
    <x v="159"/>
    <x v="0"/>
    <x v="4"/>
    <n v="1"/>
    <x v="3"/>
    <n v="42"/>
    <m/>
    <n v="0"/>
    <n v="7231"/>
    <n v="303702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18"/>
    <n v="-0.09864922754940646"/>
    <n v="0.5"/>
    <n v="12"/>
    <n v="0.4849872678885577"/>
    <n v="0.4285714285714285"/>
    <n v="5"/>
    <n v="0.4684318822858643"/>
    <n v="0.25"/>
    <m/>
    <m/>
    <m/>
    <m/>
    <m/>
    <m/>
    <m/>
    <m/>
    <m/>
    <m/>
    <m/>
    <m/>
    <n v="0"/>
    <n v="0"/>
    <n v="0"/>
    <n v="0"/>
    <n v="0"/>
    <n v="0"/>
    <n v="0"/>
    <n v="0"/>
    <n v="0"/>
    <n v="0"/>
    <n v="42"/>
    <n v="303702"/>
    <n v="0"/>
    <n v="0"/>
    <n v="0"/>
    <n v="0"/>
    <n v="0"/>
    <n v="0"/>
    <n v="0"/>
    <n v="0"/>
    <n v="0"/>
    <n v="0"/>
    <n v="0"/>
    <n v="42"/>
    <n v="303702"/>
    <n v="0"/>
    <n v="0"/>
    <n v="0"/>
    <n v="0"/>
    <n v="0"/>
    <n v="0"/>
    <n v="62099.99999999999"/>
    <n v="0"/>
    <n v="0"/>
    <n v="0"/>
    <n v="42"/>
    <n v="303702"/>
    <n v="0"/>
    <n v="0"/>
    <n v="0"/>
    <n v="0"/>
    <n v="0"/>
    <n v="0"/>
    <n v="0"/>
    <n v="0"/>
    <n v="0"/>
    <n v="0"/>
    <n v="42"/>
    <n v="303702"/>
    <n v="0"/>
    <n v="8"/>
    <n v="42"/>
    <n v="8"/>
    <m/>
    <n v="0"/>
    <n v="0"/>
    <n v="303702"/>
    <n v="62099.99999999999"/>
    <n v="0"/>
    <n v="0"/>
    <n v="42"/>
    <n v="303702"/>
    <n v="147831.9327731093"/>
    <n v="36"/>
    <n v="60"/>
    <n v="18"/>
    <m/>
    <n v="0"/>
    <n v="0"/>
    <n v="433860"/>
    <n v="139725"/>
    <n v="0"/>
    <n v="0"/>
    <n v="60"/>
    <n v="303702"/>
    <n v="332621.8487394959"/>
    <n v="28"/>
    <n v="54"/>
    <n v="12"/>
    <n v="0"/>
    <n v="0"/>
    <n v="0"/>
    <n v="390474"/>
    <n v="93149.99999999999"/>
    <n v="0"/>
    <n v="0"/>
    <n v="54"/>
    <n v="303702"/>
    <n v="221747.8991596639"/>
    <n v="20"/>
    <n v="42"/>
    <n v="20"/>
    <n v="0"/>
    <n v="0"/>
    <n v="0"/>
    <n v="303702"/>
    <n v="155250"/>
    <n v="0"/>
    <n v="0"/>
    <n v="42"/>
    <n v="303702"/>
    <n v="369579.8319327732"/>
    <n v="6"/>
    <n v="22"/>
    <n v="6"/>
    <n v="0"/>
    <n v="0"/>
    <n v="0"/>
    <n v="170775"/>
    <n v="46574.99999999999"/>
    <n v="0"/>
    <n v="0"/>
    <n v="22"/>
    <n v="170775"/>
    <n v="110873.9495798319"/>
    <n v="0"/>
    <n v="16"/>
    <n v="0"/>
    <n v="0"/>
    <n v="0"/>
    <n v="0"/>
    <m/>
    <n v="124200"/>
    <n v="0"/>
    <n v="0"/>
    <n v="0"/>
    <n v="16"/>
    <n v="124200"/>
    <n v="0"/>
    <n v="0"/>
    <n v="16"/>
    <n v="0"/>
    <n v="0"/>
    <n v="0"/>
    <n v="124200"/>
    <n v="0"/>
    <n v="0"/>
    <n v="0"/>
    <n v="16"/>
    <n v="124200"/>
    <n v="0"/>
    <n v="0"/>
    <n v="16"/>
    <n v="0"/>
    <n v="0"/>
    <n v="0"/>
    <n v="124200"/>
    <n v="0"/>
    <n v="0"/>
    <n v="16"/>
    <n v="124200"/>
    <n v="0"/>
    <n v="0"/>
    <n v="16"/>
    <n v="0"/>
    <n v="0"/>
    <m/>
    <n v="124200"/>
    <n v="0"/>
    <n v="0"/>
    <n v="16"/>
    <n v="124200"/>
    <n v="0"/>
  </r>
  <r>
    <m/>
    <x v="4"/>
    <x v="14"/>
    <x v="34"/>
    <s v="LHPANIMBKCM36-37"/>
    <x v="169"/>
    <x v="160"/>
    <x v="0"/>
    <x v="4"/>
    <n v="1"/>
    <x v="3"/>
    <n v="28"/>
    <m/>
    <n v="0"/>
    <n v="7232"/>
    <n v="202496"/>
    <n v="7.5"/>
    <n v="8193.75"/>
    <n v="19319.32773109244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2"/>
    <n v="0.4934402589758681"/>
    <n v="0.1818181818181818"/>
    <n v="0"/>
    <s v="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28"/>
    <n v="202496"/>
    <n v="0"/>
    <n v="0"/>
    <n v="0"/>
    <n v="0"/>
    <n v="0"/>
    <n v="0"/>
    <n v="0"/>
    <n v="0"/>
    <n v="0"/>
    <n v="0"/>
    <n v="0"/>
    <n v="28"/>
    <n v="202496"/>
    <n v="0"/>
    <n v="0"/>
    <n v="0"/>
    <n v="0"/>
    <n v="0"/>
    <n v="0"/>
    <n v="23287.5"/>
    <n v="0"/>
    <n v="0"/>
    <n v="0"/>
    <n v="28"/>
    <n v="202496"/>
    <n v="0"/>
    <n v="0"/>
    <n v="0"/>
    <n v="0"/>
    <n v="0"/>
    <n v="0"/>
    <n v="0"/>
    <n v="0"/>
    <n v="0"/>
    <n v="0"/>
    <n v="28"/>
    <n v="202496"/>
    <n v="0"/>
    <n v="3"/>
    <n v="28"/>
    <n v="3"/>
    <m/>
    <n v="0"/>
    <n v="0"/>
    <n v="202496"/>
    <n v="23287.5"/>
    <n v="0"/>
    <n v="0"/>
    <n v="28"/>
    <n v="202496"/>
    <n v="57957.98319327732"/>
    <n v="14"/>
    <n v="28"/>
    <n v="0"/>
    <m/>
    <n v="0"/>
    <n v="0"/>
    <n v="202496"/>
    <n v="0"/>
    <n v="0"/>
    <n v="0"/>
    <n v="28"/>
    <n v="202496"/>
    <n v="0"/>
    <n v="11"/>
    <n v="30"/>
    <n v="2"/>
    <n v="0"/>
    <n v="0"/>
    <n v="0"/>
    <n v="216960"/>
    <n v="15525"/>
    <n v="0"/>
    <n v="0"/>
    <n v="30"/>
    <n v="202496"/>
    <n v="38638.65546218488"/>
    <n v="7"/>
    <n v="28"/>
    <n v="7"/>
    <n v="0"/>
    <n v="0"/>
    <n v="0"/>
    <n v="202496"/>
    <n v="54337.49999999999"/>
    <n v="0"/>
    <n v="0"/>
    <n v="28"/>
    <n v="202496"/>
    <n v="135235.2941176471"/>
    <n v="2"/>
    <n v="21"/>
    <n v="2"/>
    <n v="0"/>
    <n v="0"/>
    <n v="0"/>
    <n v="163012.5"/>
    <n v="15525"/>
    <n v="0"/>
    <n v="0"/>
    <n v="21"/>
    <n v="163012.5"/>
    <n v="38638.65546218488"/>
    <n v="0"/>
    <n v="19"/>
    <n v="0"/>
    <n v="0"/>
    <n v="0"/>
    <n v="0"/>
    <m/>
    <n v="147487.5"/>
    <n v="0"/>
    <n v="0"/>
    <n v="0"/>
    <n v="19"/>
    <n v="147487.5"/>
    <n v="0"/>
    <n v="0"/>
    <n v="19"/>
    <n v="0"/>
    <n v="0"/>
    <n v="0"/>
    <n v="147487.5"/>
    <n v="0"/>
    <n v="0"/>
    <n v="0"/>
    <n v="19"/>
    <n v="147487.5"/>
    <n v="0"/>
    <n v="0"/>
    <n v="19"/>
    <n v="0"/>
    <n v="0"/>
    <n v="0"/>
    <n v="147487.5"/>
    <n v="0"/>
    <n v="0"/>
    <n v="19"/>
    <n v="147487.5"/>
    <n v="0"/>
    <n v="0"/>
    <n v="19"/>
    <n v="0"/>
    <n v="0"/>
    <m/>
    <n v="147487.5"/>
    <n v="0"/>
    <n v="0"/>
    <n v="19"/>
    <n v="147487.5"/>
    <n v="0"/>
  </r>
  <r>
    <m/>
    <x v="4"/>
    <x v="14"/>
    <x v="34"/>
    <s v="LHPANIMBKCM38-39"/>
    <x v="170"/>
    <x v="161"/>
    <x v="0"/>
    <x v="4"/>
    <n v="1"/>
    <x v="3"/>
    <n v="63"/>
    <m/>
    <n v="0"/>
    <n v="7232"/>
    <n v="455616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1"/>
    <n v="0.2970535267633817"/>
    <n v="0.03125"/>
    <n v="3"/>
    <n v="0.4934402589758681"/>
    <n v="0.12"/>
    <n v="2"/>
    <n v="0.4781064948453609"/>
    <n v="0.1176470588235294"/>
    <m/>
    <m/>
    <m/>
    <m/>
    <m/>
    <m/>
    <m/>
    <m/>
    <m/>
    <m/>
    <m/>
    <m/>
    <n v="0"/>
    <n v="0"/>
    <n v="0"/>
    <n v="0"/>
    <n v="0"/>
    <n v="0"/>
    <n v="0"/>
    <n v="0"/>
    <n v="0"/>
    <n v="0"/>
    <n v="63"/>
    <n v="455616"/>
    <n v="0"/>
    <n v="0"/>
    <n v="0"/>
    <n v="0"/>
    <n v="0"/>
    <n v="0"/>
    <n v="0"/>
    <n v="0"/>
    <n v="0"/>
    <n v="0"/>
    <n v="0"/>
    <n v="63"/>
    <n v="455616"/>
    <n v="0"/>
    <n v="0"/>
    <n v="0"/>
    <n v="0"/>
    <n v="0"/>
    <n v="0"/>
    <n v="54337.49999999999"/>
    <n v="0"/>
    <n v="0"/>
    <n v="0"/>
    <n v="63"/>
    <n v="455616"/>
    <n v="0"/>
    <n v="0"/>
    <n v="0"/>
    <n v="0"/>
    <n v="0"/>
    <n v="0"/>
    <n v="0"/>
    <n v="0"/>
    <n v="0"/>
    <n v="0"/>
    <n v="63"/>
    <n v="455616"/>
    <n v="0"/>
    <n v="7"/>
    <n v="63"/>
    <n v="7"/>
    <m/>
    <n v="0"/>
    <n v="0"/>
    <n v="455616"/>
    <n v="54337.49999999999"/>
    <n v="0"/>
    <n v="0"/>
    <n v="63"/>
    <n v="455616"/>
    <n v="129352.9411764706"/>
    <n v="32"/>
    <n v="64"/>
    <n v="1"/>
    <m/>
    <n v="0"/>
    <n v="0"/>
    <n v="462848"/>
    <n v="7762.499999999999"/>
    <n v="0"/>
    <n v="0"/>
    <n v="64"/>
    <n v="455616"/>
    <n v="18478.99159663866"/>
    <n v="25"/>
    <n v="66"/>
    <n v="3"/>
    <n v="0"/>
    <n v="0"/>
    <n v="0"/>
    <n v="477312"/>
    <n v="23287.5"/>
    <n v="0"/>
    <n v="0"/>
    <n v="66"/>
    <n v="455616"/>
    <n v="55436.97478991597"/>
    <n v="17"/>
    <n v="63"/>
    <n v="17"/>
    <n v="0"/>
    <n v="0"/>
    <n v="0"/>
    <n v="455616"/>
    <n v="131962.5"/>
    <n v="0"/>
    <n v="0"/>
    <n v="63"/>
    <n v="455616"/>
    <n v="314142.8571428572"/>
    <n v="5"/>
    <n v="46"/>
    <n v="5"/>
    <n v="0"/>
    <n v="0"/>
    <n v="0"/>
    <n v="357074.9999999999"/>
    <n v="38812.49999999999"/>
    <n v="0"/>
    <n v="0"/>
    <n v="46"/>
    <n v="357074.9999999999"/>
    <n v="92394.95798319329"/>
    <n v="0"/>
    <n v="41"/>
    <n v="0"/>
    <n v="0"/>
    <n v="0"/>
    <n v="0"/>
    <m/>
    <n v="318262.4999999999"/>
    <n v="0"/>
    <n v="0"/>
    <n v="0"/>
    <n v="41"/>
    <n v="318262.4999999999"/>
    <n v="0"/>
    <n v="0"/>
    <n v="41"/>
    <n v="0"/>
    <n v="0"/>
    <n v="0"/>
    <n v="318262.4999999999"/>
    <n v="0"/>
    <n v="0"/>
    <n v="0"/>
    <n v="41"/>
    <n v="318262.4999999999"/>
    <n v="0"/>
    <n v="0"/>
    <n v="41"/>
    <n v="0"/>
    <n v="0"/>
    <n v="0"/>
    <n v="318262.4999999999"/>
    <n v="0"/>
    <n v="0"/>
    <n v="41"/>
    <n v="318262.4999999999"/>
    <n v="0"/>
    <n v="0"/>
    <n v="41"/>
    <n v="0"/>
    <n v="0"/>
    <m/>
    <n v="318262.4999999999"/>
    <n v="0"/>
    <n v="0"/>
    <n v="41"/>
    <n v="318262.4999999999"/>
    <n v="0"/>
  </r>
  <r>
    <s v="Lhotse-Accesorio Vestuario"/>
    <x v="4"/>
    <x v="14"/>
    <x v="34"/>
    <s v="LHPANIMBKCM40-41"/>
    <x v="171"/>
    <x v="162"/>
    <x v="0"/>
    <x v="4"/>
    <n v="1"/>
    <x v="3"/>
    <n v="144"/>
    <m/>
    <n v="0"/>
    <n v="7232"/>
    <n v="1041408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4"/>
    <n v="0.3029884685450518"/>
    <n v="0.05882352941176471"/>
    <n v="3"/>
    <n v="0.5032026168943621"/>
    <n v="0.05660377358490566"/>
    <n v="0"/>
    <s v="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144"/>
    <n v="1041408"/>
    <n v="0"/>
    <n v="0"/>
    <n v="0"/>
    <n v="0"/>
    <n v="0"/>
    <n v="0"/>
    <n v="0"/>
    <n v="0"/>
    <n v="0"/>
    <n v="0"/>
    <n v="0"/>
    <n v="144"/>
    <n v="1041408"/>
    <n v="0"/>
    <n v="0"/>
    <n v="0"/>
    <n v="0"/>
    <n v="0"/>
    <n v="0"/>
    <n v="124200"/>
    <n v="0"/>
    <n v="0"/>
    <n v="0"/>
    <n v="144"/>
    <n v="1041408"/>
    <n v="0"/>
    <n v="0"/>
    <n v="0"/>
    <n v="0"/>
    <n v="0"/>
    <n v="0"/>
    <n v="0"/>
    <n v="0"/>
    <n v="0"/>
    <n v="0"/>
    <n v="144"/>
    <n v="1041408"/>
    <n v="0"/>
    <n v="16"/>
    <n v="144"/>
    <n v="16"/>
    <m/>
    <n v="0"/>
    <n v="0"/>
    <n v="1041408"/>
    <n v="124200"/>
    <n v="0"/>
    <n v="0"/>
    <n v="144"/>
    <n v="1041408"/>
    <n v="295663.8655462185"/>
    <n v="68"/>
    <n v="148"/>
    <n v="4"/>
    <m/>
    <n v="0"/>
    <n v="0"/>
    <n v="1070336"/>
    <n v="31050"/>
    <n v="0"/>
    <n v="0"/>
    <n v="148"/>
    <n v="1041408"/>
    <n v="73915.96638655463"/>
    <n v="53"/>
    <n v="147"/>
    <n v="3"/>
    <n v="0"/>
    <n v="0"/>
    <n v="0"/>
    <n v="1063104"/>
    <n v="23287.5"/>
    <n v="0"/>
    <n v="0"/>
    <n v="147"/>
    <n v="1041408"/>
    <n v="55436.97478991597"/>
    <n v="37"/>
    <n v="144"/>
    <n v="37"/>
    <n v="0"/>
    <n v="0"/>
    <n v="0"/>
    <n v="1041408"/>
    <n v="287212.4999999999"/>
    <n v="0"/>
    <n v="0"/>
    <n v="144"/>
    <n v="1041408"/>
    <n v="683722.6890756304"/>
    <n v="11"/>
    <n v="107"/>
    <n v="11"/>
    <n v="0"/>
    <n v="0"/>
    <n v="0"/>
    <n v="830587.4999999999"/>
    <n v="85387.49999999999"/>
    <n v="0"/>
    <n v="0"/>
    <n v="107"/>
    <n v="830587.4999999999"/>
    <n v="203268.9075630252"/>
    <n v="0"/>
    <n v="96"/>
    <n v="0"/>
    <n v="0"/>
    <n v="0"/>
    <n v="0"/>
    <m/>
    <n v="745199.9999999999"/>
    <n v="0"/>
    <n v="0"/>
    <n v="0"/>
    <n v="96"/>
    <n v="745199.9999999999"/>
    <n v="0"/>
    <n v="0"/>
    <n v="96"/>
    <n v="0"/>
    <n v="0"/>
    <n v="0"/>
    <n v="745199.9999999999"/>
    <n v="0"/>
    <n v="0"/>
    <n v="0"/>
    <n v="96"/>
    <n v="745199.9999999999"/>
    <n v="0"/>
    <n v="0"/>
    <n v="96"/>
    <n v="0"/>
    <n v="0"/>
    <n v="0"/>
    <n v="745199.9999999999"/>
    <n v="0"/>
    <n v="0"/>
    <n v="96"/>
    <n v="745199.9999999999"/>
    <n v="0"/>
    <n v="0"/>
    <n v="96"/>
    <n v="0"/>
    <n v="0"/>
    <m/>
    <n v="745199.9999999999"/>
    <n v="0"/>
    <n v="0"/>
    <n v="96"/>
    <n v="745199.9999999999"/>
    <n v="0"/>
  </r>
  <r>
    <s v="Lhotse-Accesorio Vestuario"/>
    <x v="4"/>
    <x v="14"/>
    <x v="34"/>
    <s v="LHPANIMBKCM42-43"/>
    <x v="172"/>
    <x v="163"/>
    <x v="0"/>
    <x v="4"/>
    <n v="1"/>
    <x v="3"/>
    <n v="153"/>
    <m/>
    <n v="0"/>
    <n v="7232"/>
    <n v="1106496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7"/>
    <n v="0.171643535390742"/>
    <n v="0.09090909090909091"/>
    <n v="9"/>
    <n v="0.4808161630671103"/>
    <n v="0.15"/>
    <n v="3"/>
    <n v="0.4727771793139431"/>
    <n v="0.07142857142857142"/>
    <m/>
    <m/>
    <m/>
    <m/>
    <m/>
    <m/>
    <m/>
    <m/>
    <m/>
    <m/>
    <m/>
    <m/>
    <n v="0"/>
    <n v="0"/>
    <n v="0"/>
    <n v="0"/>
    <n v="0"/>
    <n v="0"/>
    <n v="0"/>
    <n v="0"/>
    <n v="0"/>
    <n v="0"/>
    <n v="153"/>
    <n v="1106496"/>
    <n v="0"/>
    <n v="0"/>
    <n v="0"/>
    <n v="0"/>
    <n v="0"/>
    <n v="0"/>
    <n v="0"/>
    <n v="0"/>
    <n v="0"/>
    <n v="0"/>
    <n v="0"/>
    <n v="153"/>
    <n v="1106496"/>
    <n v="0"/>
    <n v="0"/>
    <n v="0"/>
    <n v="0"/>
    <n v="0"/>
    <n v="0"/>
    <n v="139725"/>
    <n v="0"/>
    <n v="0"/>
    <n v="0"/>
    <n v="153"/>
    <n v="1106496"/>
    <n v="0"/>
    <n v="0"/>
    <n v="0"/>
    <n v="0"/>
    <n v="0"/>
    <n v="0"/>
    <n v="0"/>
    <n v="0"/>
    <n v="0"/>
    <n v="0"/>
    <n v="153"/>
    <n v="1106496"/>
    <n v="0"/>
    <n v="18"/>
    <n v="153"/>
    <n v="18"/>
    <m/>
    <n v="0"/>
    <n v="0"/>
    <n v="1106496"/>
    <n v="139725"/>
    <n v="0"/>
    <n v="0"/>
    <n v="153"/>
    <n v="1106496"/>
    <n v="332621.8487394959"/>
    <n v="77"/>
    <n v="160"/>
    <n v="7"/>
    <m/>
    <n v="0"/>
    <n v="0"/>
    <n v="1157120"/>
    <n v="54337.49999999999"/>
    <n v="0"/>
    <n v="0"/>
    <n v="160"/>
    <n v="1106496"/>
    <n v="129352.9411764706"/>
    <n v="60"/>
    <n v="162"/>
    <n v="9"/>
    <n v="0"/>
    <n v="0"/>
    <n v="0"/>
    <n v="1171584"/>
    <n v="69862.49999999999"/>
    <n v="0"/>
    <n v="0"/>
    <n v="162"/>
    <n v="1106496"/>
    <n v="166310.9243697479"/>
    <n v="42"/>
    <n v="153"/>
    <n v="42"/>
    <n v="0"/>
    <n v="0"/>
    <n v="0"/>
    <n v="1106496"/>
    <n v="326024.9999999999"/>
    <n v="0"/>
    <n v="0"/>
    <n v="153"/>
    <n v="1106496"/>
    <n v="776117.6470588236"/>
    <n v="12"/>
    <n v="111"/>
    <n v="12"/>
    <n v="0"/>
    <n v="0"/>
    <n v="0"/>
    <n v="861637.4999999999"/>
    <n v="93149.99999999999"/>
    <n v="0"/>
    <n v="0"/>
    <n v="111"/>
    <n v="861637.4999999999"/>
    <n v="221747.8991596639"/>
    <n v="0"/>
    <n v="99"/>
    <n v="0"/>
    <n v="0"/>
    <n v="0"/>
    <n v="0"/>
    <m/>
    <n v="768487.4999999999"/>
    <n v="0"/>
    <n v="0"/>
    <n v="0"/>
    <n v="99"/>
    <n v="768487.4999999999"/>
    <n v="0"/>
    <n v="0"/>
    <n v="99"/>
    <n v="0"/>
    <n v="0"/>
    <n v="0"/>
    <n v="768487.4999999999"/>
    <n v="0"/>
    <n v="0"/>
    <n v="0"/>
    <n v="99"/>
    <n v="768487.4999999999"/>
    <n v="0"/>
    <n v="0"/>
    <n v="99"/>
    <n v="0"/>
    <n v="0"/>
    <n v="0"/>
    <n v="768487.4999999999"/>
    <n v="0"/>
    <n v="0"/>
    <n v="99"/>
    <n v="768487.4999999999"/>
    <n v="0"/>
    <n v="0"/>
    <n v="99"/>
    <n v="0"/>
    <n v="0"/>
    <m/>
    <n v="768487.4999999999"/>
    <n v="0"/>
    <n v="0"/>
    <n v="99"/>
    <n v="768487.4999999999"/>
    <n v="0"/>
  </r>
  <r>
    <s v="Lhotse-Accesorio Vestuario"/>
    <x v="4"/>
    <x v="14"/>
    <x v="34"/>
    <s v="LHPANIMBKCM44-45"/>
    <x v="173"/>
    <x v="164"/>
    <x v="0"/>
    <x v="4"/>
    <n v="1"/>
    <x v="3"/>
    <n v="69"/>
    <m/>
    <n v="0"/>
    <n v="7232"/>
    <n v="499008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5"/>
    <n v="0.3495387695600748"/>
    <n v="0.1388888888888889"/>
    <n v="1"/>
    <n v="0.4934402589758681"/>
    <n v="0.03571428571428571"/>
    <n v="4"/>
    <n v="0.4934670018910135"/>
    <n v="0.2"/>
    <m/>
    <m/>
    <m/>
    <m/>
    <m/>
    <m/>
    <m/>
    <m/>
    <m/>
    <m/>
    <m/>
    <m/>
    <n v="0"/>
    <n v="0"/>
    <n v="0"/>
    <n v="0"/>
    <n v="0"/>
    <n v="0"/>
    <n v="0"/>
    <n v="0"/>
    <n v="0"/>
    <n v="0"/>
    <n v="69"/>
    <n v="499008"/>
    <n v="0"/>
    <n v="0"/>
    <n v="0"/>
    <n v="0"/>
    <n v="0"/>
    <n v="0"/>
    <n v="0"/>
    <n v="0"/>
    <n v="0"/>
    <n v="0"/>
    <n v="0"/>
    <n v="69"/>
    <n v="499008"/>
    <n v="0"/>
    <n v="0"/>
    <n v="0"/>
    <n v="0"/>
    <n v="0"/>
    <n v="0"/>
    <n v="62099.99999999999"/>
    <n v="0"/>
    <n v="0"/>
    <n v="0"/>
    <n v="69"/>
    <n v="499008"/>
    <n v="0"/>
    <n v="0"/>
    <n v="0"/>
    <n v="0"/>
    <n v="0"/>
    <n v="0"/>
    <n v="0"/>
    <n v="0"/>
    <n v="0"/>
    <n v="0"/>
    <n v="69"/>
    <n v="499008"/>
    <n v="0"/>
    <n v="8"/>
    <n v="69"/>
    <n v="8"/>
    <m/>
    <n v="0"/>
    <n v="0"/>
    <n v="499008"/>
    <n v="62099.99999999999"/>
    <n v="0"/>
    <n v="0"/>
    <n v="69"/>
    <n v="499008"/>
    <n v="147831.9327731093"/>
    <n v="36"/>
    <n v="74"/>
    <n v="5"/>
    <m/>
    <n v="0"/>
    <n v="0"/>
    <n v="535168"/>
    <n v="38812.49999999999"/>
    <n v="0"/>
    <n v="0"/>
    <n v="74"/>
    <n v="499008"/>
    <n v="92394.95798319329"/>
    <n v="28"/>
    <n v="70"/>
    <n v="1"/>
    <n v="0"/>
    <n v="0"/>
    <n v="0"/>
    <n v="506240"/>
    <n v="7762.499999999999"/>
    <n v="0"/>
    <n v="0"/>
    <n v="70"/>
    <n v="499008"/>
    <n v="18478.99159663866"/>
    <n v="20"/>
    <n v="69"/>
    <n v="20"/>
    <n v="0"/>
    <n v="0"/>
    <n v="0"/>
    <n v="499008"/>
    <n v="155250"/>
    <n v="0"/>
    <n v="0"/>
    <n v="69"/>
    <n v="499008"/>
    <n v="369579.8319327732"/>
    <n v="6"/>
    <n v="49"/>
    <n v="6"/>
    <n v="0"/>
    <n v="0"/>
    <n v="0"/>
    <n v="380362.4999999999"/>
    <n v="46574.99999999999"/>
    <n v="0"/>
    <n v="0"/>
    <n v="49"/>
    <n v="380362.4999999999"/>
    <n v="110873.9495798319"/>
    <n v="0"/>
    <n v="43"/>
    <n v="0"/>
    <n v="0"/>
    <n v="0"/>
    <n v="0"/>
    <m/>
    <n v="333787.4999999999"/>
    <n v="0"/>
    <n v="0"/>
    <n v="0"/>
    <n v="43"/>
    <n v="333787.4999999999"/>
    <n v="0"/>
    <n v="0"/>
    <n v="43"/>
    <n v="0"/>
    <n v="0"/>
    <n v="0"/>
    <n v="333787.4999999999"/>
    <n v="0"/>
    <n v="0"/>
    <n v="0"/>
    <n v="43"/>
    <n v="333787.4999999999"/>
    <n v="0"/>
    <n v="0"/>
    <n v="43"/>
    <n v="0"/>
    <n v="0"/>
    <n v="0"/>
    <n v="333787.4999999999"/>
    <n v="0"/>
    <n v="0"/>
    <n v="43"/>
    <n v="333787.4999999999"/>
    <n v="0"/>
    <n v="0"/>
    <n v="43"/>
    <n v="0"/>
    <n v="0"/>
    <m/>
    <n v="333787.4999999999"/>
    <n v="0"/>
    <n v="0"/>
    <n v="43"/>
    <n v="333787.4999999999"/>
    <n v="0"/>
  </r>
  <r>
    <m/>
    <x v="4"/>
    <x v="14"/>
    <x v="34"/>
    <s v="LHPANIMPK34-35"/>
    <x v="174"/>
    <x v="165"/>
    <x v="0"/>
    <x v="4"/>
    <n v="1"/>
    <x v="3"/>
    <n v="37"/>
    <m/>
    <n v="0"/>
    <n v="7232"/>
    <n v="267584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1"/>
    <n v="0.2620786224489796"/>
    <n v="0.05555555555555555"/>
    <n v="1"/>
    <n v="0.4934402589758681"/>
    <n v="0.07142857142857142"/>
    <n v="0"/>
    <s v="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37"/>
    <n v="267584"/>
    <n v="0"/>
    <n v="0"/>
    <n v="0"/>
    <n v="0"/>
    <n v="0"/>
    <n v="0"/>
    <n v="0"/>
    <n v="0"/>
    <n v="0"/>
    <n v="0"/>
    <n v="0"/>
    <n v="37"/>
    <n v="267584"/>
    <n v="0"/>
    <n v="0"/>
    <n v="0"/>
    <n v="0"/>
    <n v="0"/>
    <n v="0"/>
    <n v="31050"/>
    <n v="0"/>
    <n v="0"/>
    <n v="0"/>
    <n v="37"/>
    <n v="267584"/>
    <n v="0"/>
    <n v="0"/>
    <n v="0"/>
    <n v="0"/>
    <n v="0"/>
    <n v="0"/>
    <n v="0"/>
    <n v="0"/>
    <n v="0"/>
    <n v="0"/>
    <n v="37"/>
    <n v="267584"/>
    <n v="0"/>
    <n v="4"/>
    <n v="37"/>
    <n v="4"/>
    <m/>
    <n v="0"/>
    <n v="0"/>
    <n v="267584"/>
    <n v="31050"/>
    <n v="0"/>
    <n v="0"/>
    <n v="37"/>
    <n v="267584"/>
    <n v="73915.96638655463"/>
    <n v="18"/>
    <n v="38"/>
    <n v="1"/>
    <m/>
    <n v="0"/>
    <n v="0"/>
    <n v="274816"/>
    <n v="7762.499999999999"/>
    <n v="0"/>
    <n v="0"/>
    <n v="38"/>
    <n v="267584"/>
    <n v="18478.99159663866"/>
    <n v="14"/>
    <n v="38"/>
    <n v="1"/>
    <n v="0"/>
    <n v="0"/>
    <n v="0"/>
    <n v="274816"/>
    <n v="7762.499999999999"/>
    <n v="0"/>
    <n v="0"/>
    <n v="38"/>
    <n v="267584"/>
    <n v="18478.99159663866"/>
    <n v="10"/>
    <n v="37"/>
    <n v="10"/>
    <n v="0"/>
    <n v="0"/>
    <n v="0"/>
    <n v="267584"/>
    <n v="77624.99999999999"/>
    <n v="0"/>
    <n v="0"/>
    <n v="37"/>
    <n v="267584"/>
    <n v="184789.9159663866"/>
    <n v="3"/>
    <n v="27"/>
    <n v="3"/>
    <n v="0"/>
    <n v="0"/>
    <n v="0"/>
    <n v="209587.5"/>
    <n v="23287.5"/>
    <n v="0"/>
    <n v="0"/>
    <n v="27"/>
    <n v="209587.5"/>
    <n v="55436.97478991597"/>
    <n v="0"/>
    <n v="24"/>
    <n v="0"/>
    <n v="0"/>
    <n v="0"/>
    <n v="0"/>
    <m/>
    <n v="186300"/>
    <n v="0"/>
    <n v="0"/>
    <n v="0"/>
    <n v="24"/>
    <n v="186300"/>
    <n v="0"/>
    <n v="0"/>
    <n v="24"/>
    <n v="0"/>
    <n v="0"/>
    <n v="0"/>
    <n v="186300"/>
    <n v="0"/>
    <n v="0"/>
    <n v="0"/>
    <n v="24"/>
    <n v="186300"/>
    <n v="0"/>
    <n v="0"/>
    <n v="24"/>
    <n v="0"/>
    <n v="0"/>
    <n v="0"/>
    <n v="186300"/>
    <n v="0"/>
    <n v="0"/>
    <n v="24"/>
    <n v="186300"/>
    <n v="0"/>
    <n v="0"/>
    <n v="24"/>
    <n v="0"/>
    <n v="0"/>
    <m/>
    <n v="186300"/>
    <n v="0"/>
    <n v="0"/>
    <n v="24"/>
    <n v="186300"/>
    <n v="0"/>
  </r>
  <r>
    <m/>
    <x v="4"/>
    <x v="14"/>
    <x v="34"/>
    <s v="LHPANIMPK36-37"/>
    <x v="175"/>
    <x v="166"/>
    <x v="0"/>
    <x v="4"/>
    <n v="1"/>
    <x v="3"/>
    <n v="125"/>
    <m/>
    <n v="0"/>
    <n v="7232"/>
    <n v="904000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8"/>
    <n v="0.359693013725453"/>
    <n v="0.125"/>
    <n v="9"/>
    <n v="0.4856349364465872"/>
    <n v="0.1836734693877551"/>
    <n v="1"/>
    <n v="0.4618141794232847"/>
    <n v="0.02941176470588235"/>
    <m/>
    <m/>
    <m/>
    <m/>
    <m/>
    <m/>
    <m/>
    <m/>
    <m/>
    <m/>
    <m/>
    <m/>
    <n v="0"/>
    <n v="0"/>
    <n v="0"/>
    <n v="0"/>
    <n v="0"/>
    <n v="0"/>
    <n v="0"/>
    <n v="0"/>
    <n v="0"/>
    <n v="0"/>
    <n v="125"/>
    <n v="904000"/>
    <n v="0"/>
    <n v="0"/>
    <n v="0"/>
    <n v="0"/>
    <n v="0"/>
    <n v="0"/>
    <n v="0"/>
    <n v="0"/>
    <n v="0"/>
    <n v="0"/>
    <n v="0"/>
    <n v="125"/>
    <n v="904000"/>
    <n v="0"/>
    <n v="0"/>
    <n v="0"/>
    <n v="0"/>
    <n v="0"/>
    <n v="0"/>
    <n v="116437.5"/>
    <n v="0"/>
    <n v="0"/>
    <n v="0"/>
    <n v="125"/>
    <n v="904000"/>
    <n v="0"/>
    <n v="0"/>
    <n v="0"/>
    <n v="0"/>
    <n v="0"/>
    <n v="0"/>
    <n v="0"/>
    <n v="0"/>
    <n v="0"/>
    <n v="0"/>
    <n v="125"/>
    <n v="904000"/>
    <n v="0"/>
    <n v="15"/>
    <n v="125"/>
    <n v="15"/>
    <m/>
    <n v="0"/>
    <n v="0"/>
    <n v="904000"/>
    <n v="116437.5"/>
    <n v="0"/>
    <n v="0"/>
    <n v="125"/>
    <n v="904000"/>
    <n v="277184.8739495799"/>
    <n v="64"/>
    <n v="133"/>
    <n v="8"/>
    <m/>
    <n v="0"/>
    <n v="0"/>
    <n v="961856"/>
    <n v="62099.99999999999"/>
    <n v="0"/>
    <n v="0"/>
    <n v="133"/>
    <n v="904000"/>
    <n v="147831.9327731093"/>
    <n v="49"/>
    <n v="134"/>
    <n v="9"/>
    <n v="0"/>
    <n v="0"/>
    <n v="0"/>
    <n v="969088"/>
    <n v="69862.49999999999"/>
    <n v="0"/>
    <n v="0"/>
    <n v="134"/>
    <n v="904000"/>
    <n v="166310.9243697479"/>
    <n v="34"/>
    <n v="125"/>
    <n v="34"/>
    <n v="0"/>
    <n v="0"/>
    <n v="0"/>
    <n v="904000"/>
    <n v="263924.9999999999"/>
    <n v="0"/>
    <n v="0"/>
    <n v="125"/>
    <n v="904000"/>
    <n v="628285.7142857143"/>
    <n v="10"/>
    <n v="91"/>
    <n v="10"/>
    <n v="0"/>
    <n v="0"/>
    <n v="0"/>
    <n v="706387.4999999999"/>
    <n v="77624.99999999999"/>
    <n v="0"/>
    <n v="0"/>
    <n v="91"/>
    <n v="706387.4999999999"/>
    <n v="184789.9159663866"/>
    <n v="0"/>
    <n v="81"/>
    <n v="0"/>
    <n v="0"/>
    <n v="0"/>
    <n v="0"/>
    <m/>
    <n v="628762.4999999999"/>
    <n v="0"/>
    <n v="0"/>
    <n v="0"/>
    <n v="81"/>
    <n v="628762.4999999999"/>
    <n v="0"/>
    <n v="0"/>
    <n v="81"/>
    <n v="0"/>
    <n v="0"/>
    <n v="0"/>
    <n v="628762.4999999999"/>
    <n v="0"/>
    <n v="0"/>
    <n v="0"/>
    <n v="81"/>
    <n v="628762.4999999999"/>
    <n v="0"/>
    <n v="0"/>
    <n v="81"/>
    <n v="0"/>
    <n v="0"/>
    <n v="0"/>
    <n v="628762.4999999999"/>
    <n v="0"/>
    <n v="0"/>
    <n v="81"/>
    <n v="628762.4999999999"/>
    <n v="0"/>
    <n v="0"/>
    <n v="81"/>
    <n v="0"/>
    <n v="0"/>
    <m/>
    <n v="628762.4999999999"/>
    <n v="0"/>
    <n v="0"/>
    <n v="81"/>
    <n v="628762.4999999999"/>
    <n v="0"/>
  </r>
  <r>
    <m/>
    <x v="4"/>
    <x v="14"/>
    <x v="34"/>
    <s v="LHPANIMPK38-39"/>
    <x v="176"/>
    <x v="167"/>
    <x v="0"/>
    <x v="4"/>
    <n v="1"/>
    <x v="3"/>
    <n v="139"/>
    <m/>
    <n v="0"/>
    <n v="7232"/>
    <n v="1005248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6"/>
    <n v="0.1921981568915469"/>
    <n v="0.0821917808219178"/>
    <n v="9"/>
    <n v="0.4762317586118286"/>
    <n v="0.1607142857142857"/>
    <n v="5"/>
    <n v="0.4812526788817603"/>
    <n v="0.1282051282051282"/>
    <m/>
    <m/>
    <m/>
    <m/>
    <m/>
    <m/>
    <m/>
    <m/>
    <m/>
    <m/>
    <m/>
    <m/>
    <n v="0"/>
    <n v="0"/>
    <n v="0"/>
    <n v="0"/>
    <n v="0"/>
    <n v="0"/>
    <n v="0"/>
    <n v="0"/>
    <n v="0"/>
    <n v="0"/>
    <n v="139"/>
    <n v="1005248"/>
    <n v="0"/>
    <n v="0"/>
    <n v="0"/>
    <n v="0"/>
    <n v="0"/>
    <n v="0"/>
    <n v="0"/>
    <n v="0"/>
    <n v="0"/>
    <n v="0"/>
    <n v="0"/>
    <n v="139"/>
    <n v="1005248"/>
    <n v="0"/>
    <n v="0"/>
    <n v="0"/>
    <n v="0"/>
    <n v="0"/>
    <n v="0"/>
    <n v="131962.5"/>
    <n v="0"/>
    <n v="0"/>
    <n v="0"/>
    <n v="139"/>
    <n v="1005248"/>
    <n v="0"/>
    <n v="0"/>
    <n v="0"/>
    <n v="0"/>
    <n v="0"/>
    <n v="0"/>
    <n v="0"/>
    <n v="0"/>
    <n v="0"/>
    <n v="0"/>
    <n v="139"/>
    <n v="1005248"/>
    <n v="0"/>
    <n v="17"/>
    <n v="139"/>
    <n v="17"/>
    <m/>
    <n v="0"/>
    <n v="0"/>
    <n v="1005248"/>
    <n v="131962.5"/>
    <n v="0"/>
    <n v="0"/>
    <n v="139"/>
    <n v="1005248"/>
    <n v="314142.8571428572"/>
    <n v="73"/>
    <n v="145"/>
    <n v="6"/>
    <m/>
    <n v="0"/>
    <n v="0"/>
    <n v="1048640"/>
    <n v="46574.99999999999"/>
    <n v="0"/>
    <n v="0"/>
    <n v="145"/>
    <n v="1005248"/>
    <n v="110873.9495798319"/>
    <n v="56"/>
    <n v="148"/>
    <n v="9"/>
    <n v="0"/>
    <n v="0"/>
    <n v="0"/>
    <n v="1070336"/>
    <n v="69862.49999999999"/>
    <n v="0"/>
    <n v="0"/>
    <n v="148"/>
    <n v="1005248"/>
    <n v="166310.9243697479"/>
    <n v="39"/>
    <n v="139"/>
    <n v="39"/>
    <n v="0"/>
    <n v="0"/>
    <n v="0"/>
    <n v="1005248"/>
    <n v="302737.4999999999"/>
    <n v="0"/>
    <n v="0"/>
    <n v="139"/>
    <n v="1005248"/>
    <n v="720680.6722689077"/>
    <n v="11"/>
    <n v="100"/>
    <n v="11"/>
    <n v="0"/>
    <n v="0"/>
    <n v="0"/>
    <n v="776249.9999999999"/>
    <n v="85387.49999999999"/>
    <n v="0"/>
    <n v="0"/>
    <n v="100"/>
    <n v="776249.9999999999"/>
    <n v="203268.9075630252"/>
    <n v="0"/>
    <n v="89"/>
    <n v="0"/>
    <n v="0"/>
    <n v="0"/>
    <n v="0"/>
    <m/>
    <n v="690862.4999999999"/>
    <n v="0"/>
    <n v="0"/>
    <n v="0"/>
    <n v="89"/>
    <n v="690862.4999999999"/>
    <n v="0"/>
    <n v="0"/>
    <n v="89"/>
    <n v="0"/>
    <n v="0"/>
    <n v="0"/>
    <n v="690862.4999999999"/>
    <n v="0"/>
    <n v="0"/>
    <n v="0"/>
    <n v="89"/>
    <n v="690862.4999999999"/>
    <n v="0"/>
    <n v="0"/>
    <n v="89"/>
    <n v="0"/>
    <n v="0"/>
    <n v="0"/>
    <n v="690862.4999999999"/>
    <n v="0"/>
    <n v="0"/>
    <n v="89"/>
    <n v="690862.4999999999"/>
    <n v="0"/>
    <n v="0"/>
    <n v="89"/>
    <n v="0"/>
    <n v="0"/>
    <m/>
    <n v="690862.4999999999"/>
    <n v="0"/>
    <n v="0"/>
    <n v="89"/>
    <n v="690862.4999999999"/>
    <n v="0"/>
  </r>
  <r>
    <m/>
    <x v="4"/>
    <x v="14"/>
    <x v="34"/>
    <s v="LHPANIMPK40-41"/>
    <x v="177"/>
    <x v="168"/>
    <x v="0"/>
    <x v="4"/>
    <n v="1"/>
    <x v="3"/>
    <n v="53"/>
    <m/>
    <n v="0"/>
    <n v="7232"/>
    <n v="383296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4"/>
    <n v="0.2744094460768309"/>
    <n v="0.1481481481481481"/>
    <n v="0"/>
    <s v=""/>
    <n v="0"/>
    <n v="3"/>
    <n v="0.4934402589758681"/>
    <n v="0.2"/>
    <m/>
    <m/>
    <m/>
    <m/>
    <m/>
    <m/>
    <m/>
    <m/>
    <m/>
    <m/>
    <m/>
    <m/>
    <n v="0"/>
    <n v="0"/>
    <n v="0"/>
    <n v="0"/>
    <n v="0"/>
    <n v="0"/>
    <n v="0"/>
    <n v="0"/>
    <n v="0"/>
    <n v="0"/>
    <n v="53"/>
    <n v="383296"/>
    <n v="0"/>
    <n v="0"/>
    <n v="0"/>
    <n v="0"/>
    <n v="0"/>
    <n v="0"/>
    <n v="0"/>
    <n v="0"/>
    <n v="0"/>
    <n v="0"/>
    <n v="0"/>
    <n v="53"/>
    <n v="383296"/>
    <n v="0"/>
    <n v="0"/>
    <n v="0"/>
    <n v="0"/>
    <n v="0"/>
    <n v="0"/>
    <n v="46574.99999999999"/>
    <n v="0"/>
    <n v="0"/>
    <n v="0"/>
    <n v="53"/>
    <n v="383296"/>
    <n v="0"/>
    <n v="0"/>
    <n v="0"/>
    <n v="0"/>
    <n v="0"/>
    <n v="0"/>
    <n v="0"/>
    <n v="0"/>
    <n v="0"/>
    <n v="0"/>
    <n v="53"/>
    <n v="383296"/>
    <n v="0"/>
    <n v="6"/>
    <n v="53"/>
    <n v="6"/>
    <m/>
    <n v="0"/>
    <n v="0"/>
    <n v="383296"/>
    <n v="46574.99999999999"/>
    <n v="0"/>
    <n v="0"/>
    <n v="53"/>
    <n v="383296"/>
    <n v="110873.9495798319"/>
    <n v="27"/>
    <n v="57"/>
    <n v="4"/>
    <m/>
    <n v="0"/>
    <n v="0"/>
    <n v="412224"/>
    <n v="31050"/>
    <n v="0"/>
    <n v="0"/>
    <n v="57"/>
    <n v="383296"/>
    <n v="73915.96638655463"/>
    <n v="21"/>
    <n v="53"/>
    <n v="0"/>
    <n v="0"/>
    <n v="0"/>
    <n v="0"/>
    <n v="383296"/>
    <n v="0"/>
    <n v="0"/>
    <n v="0"/>
    <n v="53"/>
    <n v="383296"/>
    <n v="0"/>
    <n v="15"/>
    <n v="53"/>
    <n v="15"/>
    <n v="0"/>
    <n v="0"/>
    <n v="0"/>
    <n v="383296"/>
    <n v="116437.5"/>
    <n v="0"/>
    <n v="0"/>
    <n v="53"/>
    <n v="383296"/>
    <n v="277184.8739495799"/>
    <n v="4"/>
    <n v="38"/>
    <n v="4"/>
    <n v="0"/>
    <n v="0"/>
    <n v="0"/>
    <n v="294974.9999999999"/>
    <n v="31050"/>
    <n v="0"/>
    <n v="0"/>
    <n v="38"/>
    <n v="294974.9999999999"/>
    <n v="73915.96638655463"/>
    <n v="0"/>
    <n v="34"/>
    <n v="0"/>
    <n v="0"/>
    <n v="0"/>
    <n v="0"/>
    <m/>
    <n v="263924.9999999999"/>
    <n v="0"/>
    <n v="0"/>
    <n v="0"/>
    <n v="34"/>
    <n v="263924.9999999999"/>
    <n v="0"/>
    <n v="0"/>
    <n v="34"/>
    <n v="0"/>
    <n v="0"/>
    <n v="0"/>
    <n v="263924.9999999999"/>
    <n v="0"/>
    <n v="0"/>
    <n v="0"/>
    <n v="34"/>
    <n v="263924.9999999999"/>
    <n v="0"/>
    <n v="0"/>
    <n v="34"/>
    <n v="0"/>
    <n v="0"/>
    <n v="0"/>
    <n v="263924.9999999999"/>
    <n v="0"/>
    <n v="0"/>
    <n v="34"/>
    <n v="263924.9999999999"/>
    <n v="0"/>
    <n v="0"/>
    <n v="34"/>
    <n v="0"/>
    <n v="0"/>
    <m/>
    <n v="263924.9999999999"/>
    <n v="0"/>
    <n v="0"/>
    <n v="34"/>
    <n v="263924.9999999999"/>
    <n v="0"/>
  </r>
  <r>
    <m/>
    <x v="4"/>
    <x v="14"/>
    <x v="34"/>
    <s v="LHPANIMSGR36-37"/>
    <x v="178"/>
    <x v="169"/>
    <x v="0"/>
    <x v="4"/>
    <n v="1"/>
    <x v="3"/>
    <n v="10"/>
    <m/>
    <n v="0"/>
    <n v="7232"/>
    <n v="72320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1"/>
    <n v="0.4934402589758681"/>
    <n v="0.1111111111111111"/>
    <n v="2"/>
    <n v="0.5079442538593482"/>
    <n v="0.2857142857142857"/>
    <n v="2"/>
    <n v="0.3992555493508307"/>
    <n v="0.4"/>
    <m/>
    <m/>
    <m/>
    <m/>
    <m/>
    <m/>
    <m/>
    <m/>
    <m/>
    <m/>
    <m/>
    <m/>
    <n v="0"/>
    <n v="0"/>
    <n v="0"/>
    <n v="0"/>
    <n v="0"/>
    <n v="0"/>
    <n v="0"/>
    <n v="0"/>
    <n v="0"/>
    <n v="0"/>
    <n v="10"/>
    <n v="72320"/>
    <n v="0"/>
    <n v="0"/>
    <n v="0"/>
    <n v="0"/>
    <n v="0"/>
    <n v="0"/>
    <n v="0"/>
    <n v="0"/>
    <n v="0"/>
    <n v="0"/>
    <n v="0"/>
    <n v="10"/>
    <n v="72320"/>
    <n v="0"/>
    <n v="0"/>
    <n v="0"/>
    <n v="0"/>
    <n v="0"/>
    <n v="0"/>
    <n v="15525"/>
    <n v="0"/>
    <n v="0"/>
    <n v="0"/>
    <n v="10"/>
    <n v="72320"/>
    <n v="0"/>
    <n v="0"/>
    <n v="0"/>
    <n v="0"/>
    <n v="0"/>
    <n v="0"/>
    <n v="0"/>
    <n v="0"/>
    <n v="0"/>
    <n v="0"/>
    <n v="10"/>
    <n v="72320"/>
    <n v="0"/>
    <n v="2"/>
    <n v="10"/>
    <n v="2"/>
    <m/>
    <n v="0"/>
    <n v="0"/>
    <n v="72320"/>
    <n v="15525"/>
    <n v="0"/>
    <n v="0"/>
    <n v="10"/>
    <n v="72320"/>
    <n v="36957.98319327732"/>
    <n v="9"/>
    <n v="11"/>
    <n v="1"/>
    <m/>
    <n v="0"/>
    <n v="0"/>
    <n v="79552"/>
    <n v="7762.499999999999"/>
    <n v="0"/>
    <n v="0"/>
    <n v="11"/>
    <n v="72320"/>
    <n v="18478.99159663866"/>
    <n v="7"/>
    <n v="12"/>
    <n v="2"/>
    <n v="0"/>
    <n v="0"/>
    <n v="0"/>
    <n v="86784"/>
    <n v="15525"/>
    <n v="0"/>
    <n v="0"/>
    <n v="12"/>
    <n v="72320"/>
    <n v="36957.98319327732"/>
    <n v="5"/>
    <n v="10"/>
    <n v="5"/>
    <n v="0"/>
    <n v="0"/>
    <n v="0"/>
    <n v="72320"/>
    <n v="38812.49999999999"/>
    <n v="0"/>
    <n v="0"/>
    <n v="10"/>
    <n v="72320"/>
    <n v="92394.95798319329"/>
    <n v="1"/>
    <n v="5"/>
    <n v="1"/>
    <n v="0"/>
    <n v="0"/>
    <n v="0"/>
    <n v="38812.49999999999"/>
    <n v="7762.499999999999"/>
    <n v="0"/>
    <n v="0"/>
    <n v="5"/>
    <n v="38812.49999999999"/>
    <n v="18478.99159663866"/>
    <n v="0"/>
    <n v="4"/>
    <n v="0"/>
    <n v="0"/>
    <n v="0"/>
    <n v="0"/>
    <m/>
    <n v="31050"/>
    <n v="0"/>
    <n v="0"/>
    <n v="0"/>
    <n v="4"/>
    <n v="31050"/>
    <n v="0"/>
    <n v="0"/>
    <n v="4"/>
    <n v="0"/>
    <n v="0"/>
    <n v="0"/>
    <n v="31050"/>
    <n v="0"/>
    <n v="0"/>
    <n v="0"/>
    <n v="4"/>
    <n v="31050"/>
    <n v="0"/>
    <n v="0"/>
    <n v="4"/>
    <n v="0"/>
    <n v="0"/>
    <n v="0"/>
    <n v="31050"/>
    <n v="0"/>
    <n v="0"/>
    <n v="4"/>
    <n v="31050"/>
    <n v="0"/>
    <n v="0"/>
    <n v="4"/>
    <n v="0"/>
    <n v="0"/>
    <m/>
    <n v="31050"/>
    <n v="0"/>
    <n v="0"/>
    <n v="4"/>
    <n v="31050"/>
    <n v="0"/>
  </r>
  <r>
    <m/>
    <x v="4"/>
    <x v="14"/>
    <x v="34"/>
    <s v="LHPANIMSGR38-39"/>
    <x v="179"/>
    <x v="170"/>
    <x v="0"/>
    <x v="4"/>
    <n v="1"/>
    <x v="3"/>
    <n v="26"/>
    <m/>
    <n v="0"/>
    <n v="7231"/>
    <n v="188006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6"/>
    <n v="0.1197423670876023"/>
    <n v="0.3333333333333333"/>
    <n v="6"/>
    <n v="0.4580957978254481"/>
    <n v="0.4285714285714285"/>
    <n v="3"/>
    <n v="0.4934684465772182"/>
    <n v="0.3"/>
    <m/>
    <m/>
    <m/>
    <m/>
    <m/>
    <m/>
    <m/>
    <m/>
    <m/>
    <m/>
    <m/>
    <m/>
    <n v="0"/>
    <n v="0"/>
    <n v="0"/>
    <n v="0"/>
    <n v="0"/>
    <n v="0"/>
    <n v="0"/>
    <n v="0"/>
    <n v="0"/>
    <n v="0"/>
    <n v="26"/>
    <n v="188006"/>
    <n v="0"/>
    <n v="0"/>
    <n v="0"/>
    <n v="0"/>
    <n v="0"/>
    <n v="0"/>
    <n v="0"/>
    <n v="0"/>
    <n v="0"/>
    <n v="0"/>
    <n v="0"/>
    <n v="26"/>
    <n v="188006"/>
    <n v="0"/>
    <n v="0"/>
    <n v="0"/>
    <n v="0"/>
    <n v="0"/>
    <n v="0"/>
    <n v="31050"/>
    <n v="0"/>
    <n v="0"/>
    <n v="0"/>
    <n v="26"/>
    <n v="188006"/>
    <n v="0"/>
    <n v="0"/>
    <n v="0"/>
    <n v="0"/>
    <n v="0"/>
    <n v="0"/>
    <n v="0"/>
    <n v="0"/>
    <n v="0"/>
    <n v="0"/>
    <n v="26"/>
    <n v="188006"/>
    <n v="0"/>
    <n v="4"/>
    <n v="26"/>
    <n v="4"/>
    <m/>
    <n v="0"/>
    <n v="0"/>
    <n v="188006"/>
    <n v="31050"/>
    <n v="0"/>
    <n v="0"/>
    <n v="26"/>
    <n v="188006"/>
    <n v="73915.96638655463"/>
    <n v="18"/>
    <n v="32"/>
    <n v="6"/>
    <m/>
    <n v="0"/>
    <n v="0"/>
    <n v="231392"/>
    <n v="46574.99999999999"/>
    <n v="0"/>
    <n v="0"/>
    <n v="32"/>
    <n v="188006"/>
    <n v="110873.9495798319"/>
    <n v="14"/>
    <n v="32"/>
    <n v="6"/>
    <n v="0"/>
    <n v="0"/>
    <n v="0"/>
    <n v="231392"/>
    <n v="46574.99999999999"/>
    <n v="0"/>
    <n v="0"/>
    <n v="32"/>
    <n v="188006"/>
    <n v="110873.9495798319"/>
    <n v="10"/>
    <n v="26"/>
    <n v="10"/>
    <n v="0"/>
    <n v="0"/>
    <n v="0"/>
    <n v="188006"/>
    <n v="77624.99999999999"/>
    <n v="0"/>
    <n v="0"/>
    <n v="26"/>
    <n v="188006"/>
    <n v="184789.9159663866"/>
    <n v="3"/>
    <n v="16"/>
    <n v="3"/>
    <n v="0"/>
    <n v="0"/>
    <n v="0"/>
    <n v="124200"/>
    <n v="23287.5"/>
    <n v="0"/>
    <n v="0"/>
    <n v="16"/>
    <n v="124200"/>
    <n v="55436.97478991597"/>
    <n v="0"/>
    <n v="13"/>
    <n v="0"/>
    <n v="0"/>
    <n v="0"/>
    <n v="0"/>
    <m/>
    <n v="100912.5"/>
    <n v="0"/>
    <n v="0"/>
    <n v="0"/>
    <n v="13"/>
    <n v="100912.5"/>
    <n v="0"/>
    <n v="0"/>
    <n v="13"/>
    <n v="0"/>
    <n v="0"/>
    <n v="0"/>
    <n v="100912.5"/>
    <n v="0"/>
    <n v="0"/>
    <n v="0"/>
    <n v="13"/>
    <n v="100912.5"/>
    <n v="0"/>
    <n v="0"/>
    <n v="13"/>
    <n v="0"/>
    <n v="0"/>
    <n v="0"/>
    <n v="100912.5"/>
    <n v="0"/>
    <n v="0"/>
    <n v="13"/>
    <n v="100912.5"/>
    <n v="0"/>
    <n v="0"/>
    <n v="13"/>
    <n v="0"/>
    <n v="0"/>
    <m/>
    <n v="100912.5"/>
    <n v="0"/>
    <n v="0"/>
    <n v="13"/>
    <n v="100912.5"/>
    <n v="0"/>
  </r>
  <r>
    <m/>
    <x v="4"/>
    <x v="14"/>
    <x v="34"/>
    <s v="LHPANIMSGR40-41"/>
    <x v="180"/>
    <x v="171"/>
    <x v="0"/>
    <x v="4"/>
    <n v="1"/>
    <x v="3"/>
    <n v="81"/>
    <m/>
    <n v="0"/>
    <n v="7232"/>
    <n v="585792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3"/>
    <n v="0.2937929888685828"/>
    <n v="0.07317073170731707"/>
    <n v="4"/>
    <n v="0.4874391387859025"/>
    <n v="0.125"/>
    <n v="0"/>
    <s v="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81"/>
    <n v="585792"/>
    <n v="0"/>
    <n v="0"/>
    <n v="0"/>
    <n v="0"/>
    <n v="0"/>
    <n v="0"/>
    <n v="0"/>
    <n v="0"/>
    <n v="0"/>
    <n v="0"/>
    <n v="0"/>
    <n v="81"/>
    <n v="585792"/>
    <n v="0"/>
    <n v="0"/>
    <n v="0"/>
    <n v="0"/>
    <n v="0"/>
    <n v="0"/>
    <n v="69862.49999999999"/>
    <n v="0"/>
    <n v="0"/>
    <n v="0"/>
    <n v="81"/>
    <n v="585792"/>
    <n v="0"/>
    <n v="0"/>
    <n v="0"/>
    <n v="0"/>
    <n v="0"/>
    <n v="0"/>
    <n v="0"/>
    <n v="0"/>
    <n v="0"/>
    <n v="0"/>
    <n v="81"/>
    <n v="585792"/>
    <n v="0"/>
    <n v="9"/>
    <n v="81"/>
    <n v="9"/>
    <m/>
    <n v="0"/>
    <n v="0"/>
    <n v="585792"/>
    <n v="69862.49999999999"/>
    <n v="0"/>
    <n v="0"/>
    <n v="81"/>
    <n v="585792"/>
    <n v="166310.9243697479"/>
    <n v="41"/>
    <n v="84"/>
    <n v="3"/>
    <m/>
    <n v="0"/>
    <n v="0"/>
    <n v="607488"/>
    <n v="23287.5"/>
    <n v="0"/>
    <n v="0"/>
    <n v="84"/>
    <n v="585792"/>
    <n v="55436.97478991597"/>
    <n v="32"/>
    <n v="85"/>
    <n v="4"/>
    <n v="0"/>
    <n v="0"/>
    <n v="0"/>
    <n v="614720"/>
    <n v="31050"/>
    <n v="0"/>
    <n v="0"/>
    <n v="85"/>
    <n v="585792"/>
    <n v="73915.96638655463"/>
    <n v="22"/>
    <n v="81"/>
    <n v="22"/>
    <n v="0"/>
    <n v="0"/>
    <n v="0"/>
    <n v="585792"/>
    <n v="170775"/>
    <n v="0"/>
    <n v="0"/>
    <n v="81"/>
    <n v="585792"/>
    <n v="406537.8151260505"/>
    <n v="6"/>
    <n v="59"/>
    <n v="6"/>
    <n v="0"/>
    <n v="0"/>
    <n v="0"/>
    <n v="457987.4999999999"/>
    <n v="46574.99999999999"/>
    <n v="0"/>
    <n v="0"/>
    <n v="59"/>
    <n v="457987.4999999999"/>
    <n v="110873.9495798319"/>
    <n v="0"/>
    <n v="53"/>
    <n v="0"/>
    <n v="0"/>
    <n v="0"/>
    <n v="0"/>
    <m/>
    <n v="411412.4999999999"/>
    <n v="0"/>
    <n v="0"/>
    <n v="0"/>
    <n v="53"/>
    <n v="411412.4999999999"/>
    <n v="0"/>
    <n v="0"/>
    <n v="53"/>
    <n v="0"/>
    <n v="0"/>
    <n v="0"/>
    <n v="411412.4999999999"/>
    <n v="0"/>
    <n v="0"/>
    <n v="0"/>
    <n v="53"/>
    <n v="411412.4999999999"/>
    <n v="0"/>
    <n v="0"/>
    <n v="53"/>
    <n v="0"/>
    <n v="0"/>
    <n v="0"/>
    <n v="411412.4999999999"/>
    <n v="0"/>
    <n v="0"/>
    <n v="53"/>
    <n v="411412.4999999999"/>
    <n v="0"/>
    <n v="0"/>
    <n v="53"/>
    <n v="0"/>
    <n v="0"/>
    <m/>
    <n v="411412.4999999999"/>
    <n v="0"/>
    <n v="0"/>
    <n v="53"/>
    <n v="411412.4999999999"/>
    <n v="0"/>
  </r>
  <r>
    <m/>
    <x v="4"/>
    <x v="14"/>
    <x v="34"/>
    <s v="LHPANIMSGR42-43"/>
    <x v="181"/>
    <x v="172"/>
    <x v="0"/>
    <x v="4"/>
    <n v="1"/>
    <x v="3"/>
    <n v="86"/>
    <m/>
    <n v="0"/>
    <n v="7232"/>
    <n v="621952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12"/>
    <n v="0.2866553830922119"/>
    <n v="0.2307692307692308"/>
    <n v="13"/>
    <n v="0.467074191016053"/>
    <n v="0.325"/>
    <n v="5"/>
    <n v="0.4768445590254699"/>
    <n v="0.1785714285714286"/>
    <m/>
    <m/>
    <m/>
    <m/>
    <m/>
    <m/>
    <m/>
    <m/>
    <m/>
    <m/>
    <m/>
    <m/>
    <n v="0"/>
    <n v="0"/>
    <n v="0"/>
    <n v="0"/>
    <n v="0"/>
    <n v="0"/>
    <n v="0"/>
    <n v="0"/>
    <n v="0"/>
    <n v="0"/>
    <n v="86"/>
    <n v="621952"/>
    <n v="0"/>
    <n v="0"/>
    <n v="0"/>
    <n v="0"/>
    <n v="0"/>
    <n v="0"/>
    <n v="0"/>
    <n v="0"/>
    <n v="0"/>
    <n v="0"/>
    <n v="0"/>
    <n v="86"/>
    <n v="621952"/>
    <n v="0"/>
    <n v="0"/>
    <n v="0"/>
    <n v="0"/>
    <n v="0"/>
    <n v="0"/>
    <n v="93149.99999999999"/>
    <n v="0"/>
    <n v="0"/>
    <n v="0"/>
    <n v="86"/>
    <n v="621952"/>
    <n v="0"/>
    <n v="0"/>
    <n v="0"/>
    <n v="0"/>
    <n v="0"/>
    <n v="0"/>
    <n v="0"/>
    <n v="0"/>
    <n v="0"/>
    <n v="0"/>
    <n v="86"/>
    <n v="621952"/>
    <n v="0"/>
    <n v="12"/>
    <n v="86"/>
    <n v="12"/>
    <m/>
    <n v="0"/>
    <n v="0"/>
    <n v="621952"/>
    <n v="93149.99999999999"/>
    <n v="0"/>
    <n v="0"/>
    <n v="86"/>
    <n v="621952"/>
    <n v="221747.8991596639"/>
    <n v="52"/>
    <n v="98"/>
    <n v="12"/>
    <m/>
    <n v="0"/>
    <n v="0"/>
    <n v="708736"/>
    <n v="93149.99999999999"/>
    <n v="0"/>
    <n v="0"/>
    <n v="98"/>
    <n v="621952"/>
    <n v="221747.8991596639"/>
    <n v="40"/>
    <n v="99"/>
    <n v="13"/>
    <n v="0"/>
    <n v="0"/>
    <n v="0"/>
    <n v="715968"/>
    <n v="100912.5"/>
    <n v="0"/>
    <n v="0"/>
    <n v="99"/>
    <n v="621952"/>
    <n v="240226.8907563025"/>
    <n v="28"/>
    <n v="86"/>
    <n v="28"/>
    <n v="0"/>
    <n v="0"/>
    <n v="0"/>
    <n v="621952"/>
    <n v="217350"/>
    <n v="0"/>
    <n v="0"/>
    <n v="86"/>
    <n v="621952"/>
    <n v="517411.7647058824"/>
    <n v="8"/>
    <n v="58"/>
    <n v="8"/>
    <n v="0"/>
    <n v="0"/>
    <n v="0"/>
    <n v="450224.9999999999"/>
    <n v="62099.99999999999"/>
    <n v="0"/>
    <n v="0"/>
    <n v="58"/>
    <n v="450224.9999999999"/>
    <n v="147831.9327731093"/>
    <n v="0"/>
    <n v="50"/>
    <n v="0"/>
    <n v="0"/>
    <n v="0"/>
    <n v="0"/>
    <m/>
    <n v="388124.9999999999"/>
    <n v="0"/>
    <n v="0"/>
    <n v="0"/>
    <n v="50"/>
    <n v="388124.9999999999"/>
    <n v="0"/>
    <n v="0"/>
    <n v="50"/>
    <n v="0"/>
    <n v="0"/>
    <n v="0"/>
    <n v="388124.9999999999"/>
    <n v="0"/>
    <n v="0"/>
    <n v="0"/>
    <n v="50"/>
    <n v="388124.9999999999"/>
    <n v="0"/>
    <n v="0"/>
    <n v="50"/>
    <n v="0"/>
    <n v="0"/>
    <n v="0"/>
    <n v="388124.9999999999"/>
    <n v="0"/>
    <n v="0"/>
    <n v="50"/>
    <n v="388124.9999999999"/>
    <n v="0"/>
    <n v="0"/>
    <n v="50"/>
    <n v="0"/>
    <n v="0"/>
    <m/>
    <n v="388124.9999999999"/>
    <n v="0"/>
    <n v="0"/>
    <n v="50"/>
    <n v="388124.9999999999"/>
    <n v="0"/>
  </r>
  <r>
    <m/>
    <x v="4"/>
    <x v="14"/>
    <x v="34"/>
    <s v="LHPANIMSGR44-45"/>
    <x v="182"/>
    <x v="173"/>
    <x v="0"/>
    <x v="4"/>
    <n v="1"/>
    <x v="3"/>
    <n v="22"/>
    <m/>
    <n v="0"/>
    <n v="7231"/>
    <n v="159082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9"/>
    <n v="0.2402283716956218"/>
    <n v="0.5"/>
    <n v="8"/>
    <n v="0.4795566514975129"/>
    <n v="0.5714285714285714"/>
    <n v="2"/>
    <n v="0.4617710881801126"/>
    <n v="0.2"/>
    <m/>
    <m/>
    <m/>
    <m/>
    <m/>
    <m/>
    <m/>
    <m/>
    <m/>
    <m/>
    <m/>
    <m/>
    <n v="0"/>
    <n v="0"/>
    <n v="0"/>
    <n v="0"/>
    <n v="0"/>
    <n v="0"/>
    <n v="0"/>
    <n v="0"/>
    <n v="0"/>
    <n v="0"/>
    <n v="22"/>
    <n v="159082"/>
    <n v="0"/>
    <n v="0"/>
    <n v="0"/>
    <n v="0"/>
    <n v="0"/>
    <n v="0"/>
    <n v="0"/>
    <n v="0"/>
    <n v="0"/>
    <n v="0"/>
    <n v="0"/>
    <n v="22"/>
    <n v="159082"/>
    <n v="0"/>
    <n v="0"/>
    <n v="0"/>
    <n v="0"/>
    <n v="0"/>
    <n v="0"/>
    <n v="31050"/>
    <n v="0"/>
    <n v="0"/>
    <n v="0"/>
    <n v="22"/>
    <n v="159082"/>
    <n v="0"/>
    <n v="0"/>
    <n v="0"/>
    <n v="0"/>
    <n v="0"/>
    <n v="0"/>
    <n v="0"/>
    <n v="0"/>
    <n v="0"/>
    <n v="0"/>
    <n v="22"/>
    <n v="159082"/>
    <n v="0"/>
    <n v="4"/>
    <n v="22"/>
    <n v="4"/>
    <m/>
    <n v="0"/>
    <n v="0"/>
    <n v="159082"/>
    <n v="31050"/>
    <n v="0"/>
    <n v="0"/>
    <n v="22"/>
    <n v="159082"/>
    <n v="73915.96638655463"/>
    <n v="18"/>
    <n v="31"/>
    <n v="9"/>
    <m/>
    <n v="0"/>
    <n v="0"/>
    <n v="224161"/>
    <n v="69862.49999999999"/>
    <n v="0"/>
    <n v="0"/>
    <n v="31"/>
    <n v="159082"/>
    <n v="166310.9243697479"/>
    <n v="14"/>
    <n v="30"/>
    <n v="8"/>
    <n v="0"/>
    <n v="0"/>
    <n v="0"/>
    <n v="216930"/>
    <n v="62099.99999999999"/>
    <n v="0"/>
    <n v="0"/>
    <n v="30"/>
    <n v="159082"/>
    <n v="147831.9327731093"/>
    <n v="10"/>
    <n v="22"/>
    <n v="10"/>
    <n v="0"/>
    <n v="0"/>
    <n v="0"/>
    <n v="159082"/>
    <n v="77624.99999999999"/>
    <n v="0"/>
    <n v="0"/>
    <n v="22"/>
    <n v="159082"/>
    <n v="184789.9159663866"/>
    <n v="3"/>
    <n v="12"/>
    <n v="3"/>
    <n v="0"/>
    <n v="0"/>
    <n v="0"/>
    <n v="93149.99999999999"/>
    <n v="23287.5"/>
    <n v="0"/>
    <n v="0"/>
    <n v="12"/>
    <n v="93149.99999999999"/>
    <n v="55436.97478991597"/>
    <n v="0"/>
    <n v="9"/>
    <n v="0"/>
    <n v="0"/>
    <n v="0"/>
    <n v="0"/>
    <m/>
    <n v="69862.49999999999"/>
    <n v="0"/>
    <n v="0"/>
    <n v="0"/>
    <n v="9"/>
    <n v="69862.49999999999"/>
    <n v="0"/>
    <n v="0"/>
    <n v="9"/>
    <n v="0"/>
    <n v="0"/>
    <n v="0"/>
    <n v="69862.49999999999"/>
    <n v="0"/>
    <n v="0"/>
    <n v="0"/>
    <n v="9"/>
    <n v="69862.49999999999"/>
    <n v="0"/>
    <n v="0"/>
    <n v="9"/>
    <n v="0"/>
    <n v="0"/>
    <n v="0"/>
    <n v="69862.49999999999"/>
    <n v="0"/>
    <n v="0"/>
    <n v="9"/>
    <n v="69862.49999999999"/>
    <n v="0"/>
    <n v="0"/>
    <n v="9"/>
    <n v="0"/>
    <n v="0"/>
    <m/>
    <n v="69862.49999999999"/>
    <n v="0"/>
    <n v="0"/>
    <n v="9"/>
    <n v="69862.49999999999"/>
    <n v="0"/>
  </r>
  <r>
    <m/>
    <x v="4"/>
    <x v="14"/>
    <x v="34"/>
    <s v="LHPANIMSLIL34-35"/>
    <x v="183"/>
    <x v="174"/>
    <x v="0"/>
    <x v="4"/>
    <n v="1"/>
    <x v="3"/>
    <n v="25"/>
    <m/>
    <n v="0"/>
    <n v="7232"/>
    <n v="180800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1"/>
    <n v="0.5216420233463035"/>
    <n v="0.07142857142857142"/>
    <n v="2"/>
    <n v="0.4334863471792509"/>
    <n v="0.1818181818181818"/>
    <n v="2"/>
    <n v="0.4780927835051547"/>
    <n v="0.2857142857142857"/>
    <m/>
    <m/>
    <m/>
    <m/>
    <m/>
    <m/>
    <m/>
    <m/>
    <m/>
    <m/>
    <m/>
    <m/>
    <n v="0"/>
    <n v="0"/>
    <n v="0"/>
    <n v="0"/>
    <n v="0"/>
    <n v="0"/>
    <n v="0"/>
    <n v="0"/>
    <n v="0"/>
    <n v="0"/>
    <n v="25"/>
    <n v="180800"/>
    <n v="0"/>
    <n v="0"/>
    <n v="0"/>
    <n v="0"/>
    <n v="0"/>
    <n v="0"/>
    <n v="0"/>
    <n v="0"/>
    <n v="0"/>
    <n v="0"/>
    <n v="0"/>
    <n v="25"/>
    <n v="180800"/>
    <n v="0"/>
    <n v="0"/>
    <n v="0"/>
    <n v="0"/>
    <n v="0"/>
    <n v="0"/>
    <n v="23287.5"/>
    <n v="0"/>
    <n v="0"/>
    <n v="0"/>
    <n v="25"/>
    <n v="180800"/>
    <n v="0"/>
    <n v="0"/>
    <n v="0"/>
    <n v="0"/>
    <n v="0"/>
    <n v="0"/>
    <n v="0"/>
    <n v="0"/>
    <n v="0"/>
    <n v="0"/>
    <n v="25"/>
    <n v="180800"/>
    <n v="0"/>
    <n v="3"/>
    <n v="25"/>
    <n v="3"/>
    <m/>
    <n v="0"/>
    <n v="0"/>
    <n v="180800"/>
    <n v="23287.5"/>
    <n v="0"/>
    <n v="0"/>
    <n v="25"/>
    <n v="180800"/>
    <n v="55436.97478991597"/>
    <n v="14"/>
    <n v="26"/>
    <n v="1"/>
    <m/>
    <n v="0"/>
    <n v="0"/>
    <n v="188032"/>
    <n v="7762.499999999999"/>
    <n v="0"/>
    <n v="0"/>
    <n v="26"/>
    <n v="180800"/>
    <n v="18478.99159663866"/>
    <n v="11"/>
    <n v="27"/>
    <n v="2"/>
    <n v="0"/>
    <n v="0"/>
    <n v="0"/>
    <n v="195264"/>
    <n v="15525"/>
    <n v="0"/>
    <n v="0"/>
    <n v="27"/>
    <n v="180800"/>
    <n v="36957.98319327732"/>
    <n v="7"/>
    <n v="25"/>
    <n v="7"/>
    <n v="0"/>
    <n v="0"/>
    <n v="0"/>
    <n v="180800"/>
    <n v="54337.49999999999"/>
    <n v="0"/>
    <n v="0"/>
    <n v="25"/>
    <n v="180800"/>
    <n v="129352.9411764706"/>
    <n v="2"/>
    <n v="18"/>
    <n v="2"/>
    <n v="0"/>
    <n v="0"/>
    <n v="0"/>
    <n v="139725"/>
    <n v="15525"/>
    <n v="0"/>
    <n v="0"/>
    <n v="18"/>
    <n v="139725"/>
    <n v="36957.98319327732"/>
    <n v="0"/>
    <n v="16"/>
    <n v="0"/>
    <n v="0"/>
    <n v="0"/>
    <n v="0"/>
    <m/>
    <n v="124200"/>
    <n v="0"/>
    <n v="0"/>
    <n v="0"/>
    <n v="16"/>
    <n v="124200"/>
    <n v="0"/>
    <n v="0"/>
    <n v="16"/>
    <n v="0"/>
    <n v="0"/>
    <n v="0"/>
    <n v="124200"/>
    <n v="0"/>
    <n v="0"/>
    <n v="0"/>
    <n v="16"/>
    <n v="124200"/>
    <n v="0"/>
    <n v="0"/>
    <n v="16"/>
    <n v="0"/>
    <n v="0"/>
    <n v="0"/>
    <n v="124200"/>
    <n v="0"/>
    <n v="0"/>
    <n v="16"/>
    <n v="124200"/>
    <n v="0"/>
    <n v="0"/>
    <n v="16"/>
    <n v="0"/>
    <n v="0"/>
    <m/>
    <n v="124200"/>
    <n v="0"/>
    <n v="0"/>
    <n v="16"/>
    <n v="124200"/>
    <n v="0"/>
  </r>
  <r>
    <m/>
    <x v="4"/>
    <x v="14"/>
    <x v="34"/>
    <s v="LHPANIMSLIL36-37"/>
    <x v="184"/>
    <x v="175"/>
    <x v="0"/>
    <x v="4"/>
    <n v="1"/>
    <x v="3"/>
    <n v="80"/>
    <m/>
    <n v="0"/>
    <n v="7232"/>
    <n v="578560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7"/>
    <n v="0.4156455174175654"/>
    <n v="0.1521739130434783"/>
    <n v="8"/>
    <n v="0.5051048367967452"/>
    <n v="0.2285714285714286"/>
    <n v="3"/>
    <n v="0.4934492619187758"/>
    <n v="0.12"/>
    <m/>
    <m/>
    <m/>
    <m/>
    <m/>
    <m/>
    <m/>
    <m/>
    <m/>
    <m/>
    <m/>
    <m/>
    <n v="0"/>
    <n v="0"/>
    <n v="0"/>
    <n v="0"/>
    <n v="0"/>
    <n v="0"/>
    <n v="0"/>
    <n v="0"/>
    <n v="0"/>
    <n v="0"/>
    <n v="80"/>
    <n v="578560"/>
    <n v="0"/>
    <n v="0"/>
    <n v="0"/>
    <n v="0"/>
    <n v="0"/>
    <n v="0"/>
    <n v="0"/>
    <n v="0"/>
    <n v="0"/>
    <n v="0"/>
    <n v="0"/>
    <n v="80"/>
    <n v="578560"/>
    <n v="0"/>
    <n v="0"/>
    <n v="0"/>
    <n v="0"/>
    <n v="0"/>
    <n v="0"/>
    <n v="85387.49999999999"/>
    <n v="0"/>
    <n v="0"/>
    <n v="0"/>
    <n v="80"/>
    <n v="578560"/>
    <n v="0"/>
    <n v="0"/>
    <n v="0"/>
    <n v="0"/>
    <n v="0"/>
    <n v="0"/>
    <n v="0"/>
    <n v="0"/>
    <n v="0"/>
    <n v="0"/>
    <n v="80"/>
    <n v="578560"/>
    <n v="0"/>
    <n v="11"/>
    <n v="80"/>
    <n v="11"/>
    <m/>
    <n v="0"/>
    <n v="0"/>
    <n v="578560"/>
    <n v="85387.49999999999"/>
    <n v="0"/>
    <n v="0"/>
    <n v="80"/>
    <n v="578560"/>
    <n v="203268.9075630252"/>
    <n v="46"/>
    <n v="87"/>
    <n v="7"/>
    <m/>
    <n v="0"/>
    <n v="0"/>
    <n v="629184"/>
    <n v="54337.49999999999"/>
    <n v="0"/>
    <n v="0"/>
    <n v="87"/>
    <n v="578560"/>
    <n v="129352.9411764706"/>
    <n v="35"/>
    <n v="88"/>
    <n v="8"/>
    <n v="0"/>
    <n v="0"/>
    <n v="0"/>
    <n v="636416"/>
    <n v="62099.99999999999"/>
    <n v="0"/>
    <n v="0"/>
    <n v="88"/>
    <n v="578560"/>
    <n v="147831.9327731093"/>
    <n v="25"/>
    <n v="80"/>
    <n v="25"/>
    <n v="0"/>
    <n v="0"/>
    <n v="0"/>
    <n v="578560"/>
    <n v="194062.5"/>
    <n v="0"/>
    <n v="0"/>
    <n v="80"/>
    <n v="578560"/>
    <n v="461974.7899159665"/>
    <n v="7"/>
    <n v="55"/>
    <n v="7"/>
    <n v="0"/>
    <n v="0"/>
    <n v="0"/>
    <n v="426937.4999999999"/>
    <n v="54337.49999999999"/>
    <n v="0"/>
    <n v="0"/>
    <n v="55"/>
    <n v="426937.4999999999"/>
    <n v="129352.9411764706"/>
    <n v="0"/>
    <n v="48"/>
    <n v="0"/>
    <n v="0"/>
    <n v="0"/>
    <n v="0"/>
    <m/>
    <n v="372599.9999999999"/>
    <n v="0"/>
    <n v="0"/>
    <n v="0"/>
    <n v="48"/>
    <n v="372599.9999999999"/>
    <n v="0"/>
    <n v="0"/>
    <n v="48"/>
    <n v="0"/>
    <n v="0"/>
    <n v="0"/>
    <n v="372599.9999999999"/>
    <n v="0"/>
    <n v="0"/>
    <n v="0"/>
    <n v="48"/>
    <n v="372599.9999999999"/>
    <n v="0"/>
    <n v="0"/>
    <n v="48"/>
    <n v="0"/>
    <n v="0"/>
    <n v="0"/>
    <n v="372599.9999999999"/>
    <n v="0"/>
    <n v="0"/>
    <n v="48"/>
    <n v="372599.9999999999"/>
    <n v="0"/>
    <n v="0"/>
    <n v="48"/>
    <n v="0"/>
    <n v="0"/>
    <m/>
    <n v="372599.9999999999"/>
    <n v="0"/>
    <n v="0"/>
    <n v="48"/>
    <n v="372599.9999999999"/>
    <n v="0"/>
  </r>
  <r>
    <m/>
    <x v="4"/>
    <x v="14"/>
    <x v="34"/>
    <s v="LHPANIMSLIL38-39"/>
    <x v="185"/>
    <x v="176"/>
    <x v="0"/>
    <x v="4"/>
    <n v="1"/>
    <x v="3"/>
    <n v="91"/>
    <m/>
    <n v="0"/>
    <n v="7232"/>
    <n v="658112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10"/>
    <n v="0.2038222219086059"/>
    <n v="0.1818181818181818"/>
    <n v="8"/>
    <n v="0.4857924611443465"/>
    <n v="0.1904761904761905"/>
    <n v="6"/>
    <n v="0.4884303056865464"/>
    <n v="0.2068965517241379"/>
    <m/>
    <m/>
    <m/>
    <m/>
    <m/>
    <m/>
    <m/>
    <m/>
    <m/>
    <m/>
    <m/>
    <m/>
    <n v="0"/>
    <n v="0"/>
    <n v="0"/>
    <n v="0"/>
    <n v="0"/>
    <n v="0"/>
    <n v="0"/>
    <n v="0"/>
    <n v="0"/>
    <n v="0"/>
    <n v="91"/>
    <n v="658112"/>
    <n v="0"/>
    <n v="0"/>
    <n v="0"/>
    <n v="0"/>
    <n v="0"/>
    <n v="0"/>
    <n v="0"/>
    <n v="0"/>
    <n v="0"/>
    <n v="0"/>
    <n v="0"/>
    <n v="91"/>
    <n v="658112"/>
    <n v="0"/>
    <n v="0"/>
    <n v="0"/>
    <n v="0"/>
    <n v="0"/>
    <n v="0"/>
    <n v="100912.5"/>
    <n v="0"/>
    <n v="0"/>
    <n v="0"/>
    <n v="91"/>
    <n v="658112"/>
    <n v="0"/>
    <n v="0"/>
    <n v="0"/>
    <n v="0"/>
    <n v="0"/>
    <n v="0"/>
    <n v="0"/>
    <n v="0"/>
    <n v="0"/>
    <n v="0"/>
    <n v="91"/>
    <n v="658112"/>
    <n v="0"/>
    <n v="13"/>
    <n v="91"/>
    <n v="13"/>
    <m/>
    <n v="0"/>
    <n v="0"/>
    <n v="658112"/>
    <n v="100912.5"/>
    <n v="0"/>
    <n v="0"/>
    <n v="91"/>
    <n v="658112"/>
    <n v="240226.8907563025"/>
    <n v="55"/>
    <n v="101"/>
    <n v="10"/>
    <m/>
    <n v="0"/>
    <n v="0"/>
    <n v="730432"/>
    <n v="77624.99999999999"/>
    <n v="0"/>
    <n v="0"/>
    <n v="101"/>
    <n v="658112"/>
    <n v="184789.9159663866"/>
    <n v="42"/>
    <n v="99"/>
    <n v="8"/>
    <n v="0"/>
    <n v="0"/>
    <n v="0"/>
    <n v="715968"/>
    <n v="62099.99999999999"/>
    <n v="0"/>
    <n v="0"/>
    <n v="99"/>
    <n v="658112"/>
    <n v="147831.9327731093"/>
    <n v="29"/>
    <n v="91"/>
    <n v="29"/>
    <n v="0"/>
    <n v="0"/>
    <n v="0"/>
    <n v="658112"/>
    <n v="225112.5"/>
    <n v="0"/>
    <n v="0"/>
    <n v="91"/>
    <n v="658112"/>
    <n v="535890.7563025211"/>
    <n v="8"/>
    <n v="62"/>
    <n v="8"/>
    <n v="0"/>
    <n v="0"/>
    <n v="0"/>
    <n v="481274.9999999999"/>
    <n v="62099.99999999999"/>
    <n v="0"/>
    <n v="0"/>
    <n v="62"/>
    <n v="481274.9999999999"/>
    <n v="147831.9327731093"/>
    <n v="0"/>
    <n v="54"/>
    <n v="0"/>
    <n v="0"/>
    <n v="0"/>
    <n v="0"/>
    <m/>
    <n v="419174.9999999999"/>
    <n v="0"/>
    <n v="0"/>
    <n v="0"/>
    <n v="54"/>
    <n v="419174.9999999999"/>
    <n v="0"/>
    <n v="0"/>
    <n v="54"/>
    <n v="0"/>
    <n v="0"/>
    <n v="0"/>
    <n v="419174.9999999999"/>
    <n v="0"/>
    <n v="0"/>
    <n v="0"/>
    <n v="54"/>
    <n v="419174.9999999999"/>
    <n v="0"/>
    <n v="0"/>
    <n v="54"/>
    <n v="0"/>
    <n v="0"/>
    <n v="0"/>
    <n v="419174.9999999999"/>
    <n v="0"/>
    <n v="0"/>
    <n v="54"/>
    <n v="419174.9999999999"/>
    <n v="0"/>
    <n v="0"/>
    <n v="54"/>
    <n v="0"/>
    <n v="0"/>
    <m/>
    <n v="419174.9999999999"/>
    <n v="0"/>
    <n v="0"/>
    <n v="54"/>
    <n v="419174.9999999999"/>
    <n v="0"/>
  </r>
  <r>
    <m/>
    <x v="4"/>
    <x v="14"/>
    <x v="34"/>
    <s v="LHPANIMSLIL40-41"/>
    <x v="186"/>
    <x v="177"/>
    <x v="0"/>
    <x v="4"/>
    <n v="1"/>
    <x v="3"/>
    <n v="41"/>
    <m/>
    <n v="0"/>
    <n v="7232"/>
    <n v="296512"/>
    <n v="7.5"/>
    <n v="8193.75"/>
    <n v="18478.99159663866"/>
    <n v="0"/>
    <s v="Shenzhen"/>
    <s v="30/70"/>
    <n v="30"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4"/>
    <n v="0.3753196445045192"/>
    <n v="0.1739130434782609"/>
    <n v="4"/>
    <n v="0.4934402589758681"/>
    <n v="0.2222222222222222"/>
    <n v="2"/>
    <n v="0.4934540992255086"/>
    <n v="0.1666666666666667"/>
    <m/>
    <m/>
    <m/>
    <m/>
    <m/>
    <m/>
    <m/>
    <m/>
    <m/>
    <m/>
    <m/>
    <m/>
    <n v="0"/>
    <n v="0"/>
    <n v="0"/>
    <n v="0"/>
    <n v="0"/>
    <n v="0"/>
    <n v="0"/>
    <n v="0"/>
    <n v="0"/>
    <n v="0"/>
    <n v="41"/>
    <n v="296512"/>
    <n v="0"/>
    <n v="0"/>
    <n v="0"/>
    <n v="0"/>
    <n v="0"/>
    <n v="0"/>
    <n v="0"/>
    <n v="0"/>
    <n v="0"/>
    <n v="0"/>
    <n v="0"/>
    <n v="41"/>
    <n v="296512"/>
    <n v="0"/>
    <n v="0"/>
    <n v="0"/>
    <n v="0"/>
    <n v="0"/>
    <n v="0"/>
    <n v="38812.49999999999"/>
    <n v="0"/>
    <n v="0"/>
    <n v="0"/>
    <n v="41"/>
    <n v="296512"/>
    <n v="0"/>
    <n v="0"/>
    <n v="0"/>
    <n v="0"/>
    <n v="0"/>
    <n v="0"/>
    <n v="0"/>
    <n v="0"/>
    <n v="0"/>
    <n v="0"/>
    <n v="41"/>
    <n v="296512"/>
    <n v="0"/>
    <n v="5"/>
    <n v="41"/>
    <n v="5"/>
    <m/>
    <n v="0"/>
    <n v="0"/>
    <n v="296512"/>
    <n v="38812.49999999999"/>
    <n v="0"/>
    <n v="0"/>
    <n v="41"/>
    <n v="296512"/>
    <n v="92394.95798319329"/>
    <n v="23"/>
    <n v="45"/>
    <n v="4"/>
    <m/>
    <n v="0"/>
    <n v="0"/>
    <n v="325440"/>
    <n v="31050"/>
    <n v="0"/>
    <n v="0"/>
    <n v="45"/>
    <n v="296512"/>
    <n v="73915.96638655463"/>
    <n v="18"/>
    <n v="45"/>
    <n v="4"/>
    <n v="0"/>
    <n v="0"/>
    <n v="0"/>
    <n v="325440"/>
    <n v="31050"/>
    <n v="0"/>
    <n v="0"/>
    <n v="45"/>
    <n v="296512"/>
    <n v="73915.96638655463"/>
    <n v="12"/>
    <n v="41"/>
    <n v="12"/>
    <n v="0"/>
    <n v="0"/>
    <n v="0"/>
    <n v="296512"/>
    <n v="93149.99999999999"/>
    <n v="0"/>
    <n v="0"/>
    <n v="41"/>
    <n v="296512"/>
    <n v="221747.8991596639"/>
    <n v="4"/>
    <n v="29"/>
    <n v="4"/>
    <n v="0"/>
    <n v="0"/>
    <n v="0"/>
    <n v="225112.5"/>
    <n v="31050"/>
    <n v="0"/>
    <n v="0"/>
    <n v="29"/>
    <n v="225112.5"/>
    <n v="73915.96638655463"/>
    <n v="0"/>
    <n v="25"/>
    <n v="0"/>
    <n v="0"/>
    <n v="0"/>
    <n v="0"/>
    <m/>
    <n v="194062.5"/>
    <n v="0"/>
    <n v="0"/>
    <n v="0"/>
    <n v="25"/>
    <n v="194062.5"/>
    <n v="0"/>
    <n v="0"/>
    <n v="25"/>
    <n v="0"/>
    <n v="0"/>
    <n v="0"/>
    <n v="194062.5"/>
    <n v="0"/>
    <n v="0"/>
    <n v="0"/>
    <n v="25"/>
    <n v="194062.5"/>
    <n v="0"/>
    <n v="0"/>
    <n v="25"/>
    <n v="0"/>
    <n v="0"/>
    <n v="0"/>
    <n v="194062.5"/>
    <n v="0"/>
    <n v="0"/>
    <n v="25"/>
    <n v="194062.5"/>
    <n v="0"/>
    <n v="0"/>
    <n v="25"/>
    <n v="0"/>
    <n v="0"/>
    <m/>
    <n v="194062.5"/>
    <n v="0"/>
    <n v="0"/>
    <n v="25"/>
    <n v="194062.5"/>
    <n v="0"/>
  </r>
  <r>
    <m/>
    <x v="4"/>
    <x v="14"/>
    <x v="35"/>
    <s v="LHTOAMIC"/>
    <x v="187"/>
    <x v="178"/>
    <x v="0"/>
    <x v="2"/>
    <n v="1"/>
    <x v="3"/>
    <n v="3"/>
    <m/>
    <n v="0"/>
    <n v="3310"/>
    <n v="9930"/>
    <n v="2.4"/>
    <n v="2622"/>
    <n v="8394.957983193277"/>
    <n v="6714.285714285715"/>
    <s v="Shenzhen"/>
    <s v="30/70"/>
    <n v="30"/>
    <n v="200"/>
    <n v="30"/>
    <n v="0.6025456292026897"/>
    <n v="24"/>
    <n v="0.5443374186678327"/>
    <n v="19"/>
    <n v="0.5158732602537258"/>
    <n v="11"/>
    <n v="0.4696359516364844"/>
    <n v="7"/>
    <n v="0.6005929909844685"/>
    <n v="16"/>
    <n v="0.5610758724335315"/>
    <n v="48"/>
    <n v="0.4559649363100945"/>
    <n v="11"/>
    <n v="0.5671350785838267"/>
    <n v="12"/>
    <n v="0.5070142838905517"/>
    <n v="24"/>
    <n v="0.5178391201656453"/>
    <n v="24"/>
    <n v="0.4623604973030043"/>
    <n v="8"/>
    <n v="0.5031894934333959"/>
    <n v="4"/>
    <n v="0.2827812950461087"/>
    <n v="1"/>
    <n v="0.3456589276185063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11"/>
    <n v="0"/>
    <n v="0"/>
    <n v="0"/>
    <n v="0"/>
    <n v="4965"/>
    <n v="27324"/>
    <n v="0"/>
    <n v="0"/>
    <n v="3"/>
    <n v="9930"/>
    <n v="0"/>
    <n v="0"/>
    <n v="4"/>
    <n v="1.5"/>
    <n v="0"/>
    <n v="0"/>
    <n v="0"/>
    <n v="4965"/>
    <n v="9936"/>
    <n v="4965"/>
    <n v="0"/>
    <n v="3"/>
    <n v="9930"/>
    <n v="10581.87981074783"/>
    <n v="0"/>
    <n v="2"/>
    <n v="0"/>
    <n v="0"/>
    <n v="0"/>
    <n v="0"/>
    <n v="6620"/>
    <n v="0"/>
    <n v="0"/>
    <n v="3"/>
    <n v="9930"/>
    <n v="0"/>
    <n v="0"/>
    <n v="2"/>
    <n v="0"/>
    <n v="0"/>
    <n v="0"/>
    <n v="4968"/>
    <n v="0"/>
    <n v="0"/>
    <n v="0"/>
    <n v="3"/>
    <n v="9930"/>
    <n v="0"/>
    <n v="0"/>
    <n v="3"/>
    <n v="0"/>
    <m/>
    <n v="0"/>
    <n v="0"/>
    <n v="9930"/>
    <n v="0"/>
    <n v="0"/>
    <n v="0"/>
    <n v="3"/>
    <n v="9930"/>
    <n v="0"/>
    <n v="0"/>
    <n v="3"/>
    <n v="0"/>
    <m/>
    <n v="0"/>
    <n v="0"/>
    <n v="9930"/>
    <n v="0"/>
    <n v="0"/>
    <n v="0"/>
    <n v="3"/>
    <n v="9930"/>
    <n v="0"/>
    <n v="0"/>
    <n v="3"/>
    <n v="0"/>
    <n v="0"/>
    <n v="0"/>
    <n v="0"/>
    <n v="9930"/>
    <n v="0"/>
    <n v="0"/>
    <n v="0"/>
    <n v="3"/>
    <n v="9930"/>
    <n v="0"/>
    <n v="0"/>
    <n v="3"/>
    <n v="0"/>
    <n v="0"/>
    <n v="0"/>
    <n v="0"/>
    <n v="9930"/>
    <n v="0"/>
    <n v="0"/>
    <n v="0"/>
    <n v="3"/>
    <n v="9930"/>
    <n v="0"/>
    <n v="0"/>
    <n v="3"/>
    <n v="0"/>
    <n v="0"/>
    <n v="0"/>
    <n v="0"/>
    <n v="7452"/>
    <n v="0"/>
    <n v="0"/>
    <n v="0"/>
    <n v="3"/>
    <n v="7452"/>
    <n v="0"/>
    <n v="0"/>
    <n v="3"/>
    <n v="0"/>
    <n v="0"/>
    <n v="0"/>
    <n v="0"/>
    <m/>
    <n v="7452"/>
    <n v="0"/>
    <n v="0"/>
    <n v="0"/>
    <n v="3"/>
    <n v="7452"/>
    <n v="0"/>
    <n v="0"/>
    <n v="3"/>
    <n v="0"/>
    <n v="0"/>
    <n v="0"/>
    <n v="7452"/>
    <n v="0"/>
    <n v="0"/>
    <n v="0"/>
    <n v="3"/>
    <n v="7452"/>
    <n v="0"/>
    <n v="0"/>
    <n v="3"/>
    <n v="0"/>
    <n v="0"/>
    <n v="0"/>
    <n v="7452"/>
    <n v="0"/>
    <n v="0"/>
    <n v="3"/>
    <n v="7452"/>
    <n v="0"/>
    <n v="0"/>
    <n v="3"/>
    <n v="0"/>
    <n v="0"/>
    <m/>
    <n v="7452"/>
    <n v="0"/>
    <n v="0"/>
    <n v="3"/>
    <n v="7452"/>
    <n v="0"/>
  </r>
  <r>
    <m/>
    <x v="4"/>
    <x v="14"/>
    <x v="35"/>
    <s v="LHTOAMIC"/>
    <x v="188"/>
    <x v="178"/>
    <x v="0"/>
    <x v="2"/>
    <n v="1"/>
    <x v="3"/>
    <n v="6"/>
    <m/>
    <n v="0"/>
    <n v="3310"/>
    <n v="19860"/>
    <n v="2.4"/>
    <n v="2622"/>
    <n v="8394.957983193277"/>
    <n v="6714.285714285715"/>
    <s v="Shenzhen"/>
    <s v="30/70"/>
    <n v="30"/>
    <n v="200"/>
    <n v="13"/>
    <n v="0.5942259952802722"/>
    <n v="30"/>
    <n v="0.6045337241533119"/>
    <n v="31"/>
    <n v="0.4898610713578018"/>
    <n v="3"/>
    <n v="0.4597976281144598"/>
    <n v="3"/>
    <n v="0.5468236582694413"/>
    <n v="2"/>
    <n v="0.561850552650738"/>
    <n v="28"/>
    <n v="0.4532669482526723"/>
    <n v="8"/>
    <n v="0.5506402455284631"/>
    <n v="9"/>
    <n v="0.4856013774526007"/>
    <n v="36"/>
    <n v="0.5106364658665584"/>
    <n v="8"/>
    <n v="0.5031704590192728"/>
    <n v="50"/>
    <n v="0.4067857362308748"/>
    <n v="26"/>
    <n v="0.4300885675566792"/>
    <n v="8"/>
    <n v="0.408712706160875"/>
    <n v="1"/>
    <n v="0.4598245966843136"/>
    <n v="0"/>
    <s v=""/>
    <n v="0"/>
    <n v="1"/>
    <n v="0.6967775211701308"/>
    <n v="0"/>
    <n v="0"/>
    <s v=""/>
    <n v="0"/>
    <n v="1"/>
    <n v="0.4528611111111111"/>
    <n v="0"/>
    <n v="0"/>
    <s v=""/>
    <n v="0"/>
    <m/>
    <m/>
    <m/>
    <m/>
    <m/>
    <m/>
    <m/>
    <m/>
    <m/>
    <m/>
    <m/>
    <m/>
    <n v="20"/>
    <n v="35"/>
    <n v="35"/>
    <n v="0"/>
    <n v="0"/>
    <n v="0"/>
    <n v="158880"/>
    <n v="86940"/>
    <n v="115850"/>
    <n v="0"/>
    <n v="6"/>
    <n v="19860"/>
    <n v="246910.5289174494"/>
    <n v="0"/>
    <n v="13"/>
    <n v="12"/>
    <n v="0"/>
    <n v="0"/>
    <n v="0"/>
    <n v="43030"/>
    <n v="32292"/>
    <n v="39720"/>
    <n v="0"/>
    <n v="6"/>
    <n v="19860"/>
    <n v="84655.03848598263"/>
    <n v="20"/>
    <n v="5"/>
    <n v="1"/>
    <n v="0"/>
    <n v="0"/>
    <n v="3310"/>
    <n v="16550"/>
    <n v="3310"/>
    <n v="0"/>
    <n v="6"/>
    <n v="19860"/>
    <n v="8394.957983193277"/>
    <n v="0"/>
    <n v="4"/>
    <n v="0"/>
    <n v="0"/>
    <n v="0"/>
    <n v="9936"/>
    <n v="0"/>
    <n v="0"/>
    <n v="0"/>
    <n v="6"/>
    <n v="19860"/>
    <n v="0"/>
    <n v="0"/>
    <n v="7"/>
    <n v="0"/>
    <m/>
    <n v="0"/>
    <n v="0"/>
    <n v="23170"/>
    <n v="0"/>
    <n v="0"/>
    <n v="0"/>
    <n v="6"/>
    <n v="19860"/>
    <n v="0"/>
    <n v="0"/>
    <n v="6"/>
    <n v="0"/>
    <m/>
    <n v="0"/>
    <n v="0"/>
    <n v="19860"/>
    <n v="0"/>
    <n v="0"/>
    <n v="0"/>
    <n v="6"/>
    <n v="19860"/>
    <n v="0"/>
    <n v="0"/>
    <n v="7"/>
    <n v="1"/>
    <n v="0"/>
    <n v="0"/>
    <n v="0"/>
    <n v="23170"/>
    <n v="2484"/>
    <n v="0"/>
    <n v="0"/>
    <n v="7"/>
    <n v="19860"/>
    <n v="8394.957983193277"/>
    <n v="0"/>
    <n v="6"/>
    <n v="0"/>
    <n v="0"/>
    <n v="0"/>
    <n v="0"/>
    <n v="19860"/>
    <n v="0"/>
    <n v="0"/>
    <n v="0"/>
    <n v="6"/>
    <n v="19860"/>
    <n v="0"/>
    <n v="0"/>
    <n v="6"/>
    <n v="0"/>
    <n v="0"/>
    <n v="0"/>
    <n v="0"/>
    <n v="14904"/>
    <n v="0"/>
    <n v="0"/>
    <n v="0"/>
    <n v="6"/>
    <n v="14904"/>
    <n v="0"/>
    <n v="0"/>
    <n v="6"/>
    <n v="0"/>
    <n v="0"/>
    <n v="0"/>
    <n v="0"/>
    <m/>
    <n v="14904"/>
    <n v="0"/>
    <n v="0"/>
    <n v="0"/>
    <n v="6"/>
    <n v="14904"/>
    <n v="0"/>
    <n v="0"/>
    <n v="6"/>
    <n v="0"/>
    <n v="0"/>
    <n v="0"/>
    <n v="14904"/>
    <n v="0"/>
    <n v="0"/>
    <n v="0"/>
    <n v="6"/>
    <n v="14904"/>
    <n v="0"/>
    <n v="0"/>
    <n v="6"/>
    <n v="0"/>
    <n v="0"/>
    <n v="0"/>
    <n v="14904"/>
    <n v="0"/>
    <n v="0"/>
    <n v="6"/>
    <n v="14904"/>
    <n v="0"/>
    <n v="0"/>
    <n v="6"/>
    <n v="0"/>
    <n v="0"/>
    <m/>
    <n v="14904"/>
    <n v="0"/>
    <n v="0"/>
    <n v="6"/>
    <n v="14904"/>
    <n v="0"/>
  </r>
  <r>
    <m/>
    <x v="4"/>
    <x v="14"/>
    <x v="35"/>
    <s v="LHTOASECRAP-BL"/>
    <x v="189"/>
    <x v="179"/>
    <x v="0"/>
    <x v="4"/>
    <n v="1"/>
    <x v="50"/>
    <n v="0"/>
    <m/>
    <n v="0"/>
    <n v="3208.5"/>
    <n v="0"/>
    <n v="3"/>
    <n v="3208.5"/>
    <n v="8088.655462184873"/>
    <n v="6875.357142857141"/>
    <s v="Shenzhen"/>
    <s v="30/70"/>
    <n v="45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00"/>
    <n v="100"/>
    <n v="100"/>
    <n v="0"/>
    <n v="0"/>
    <n v="0"/>
    <n v="310499.9999999999"/>
    <n v="310499.9999999999"/>
    <n v="100"/>
    <n v="310499.9999999999"/>
    <n v="0"/>
    <n v="20"/>
    <n v="100"/>
    <n v="20"/>
    <n v="0"/>
    <n v="0"/>
    <n v="310499.9999999999"/>
    <n v="62099.99999999999"/>
    <n v="0"/>
    <n v="0"/>
    <n v="100"/>
    <n v="310499.9999999999"/>
    <n v="144382.5"/>
    <n v="50"/>
    <n v="80"/>
    <n v="50"/>
    <n v="100"/>
    <n v="100"/>
    <n v="248400"/>
    <n v="155250"/>
    <n v="310499.9999999999"/>
    <n v="180"/>
    <n v="558899.9999999999"/>
    <n v="404432.7731092437"/>
    <n v="12"/>
    <n v="130"/>
    <n v="12"/>
    <n v="0"/>
    <m/>
    <n v="403649.9999999999"/>
    <n v="38501.99999999999"/>
    <n v="0"/>
    <n v="130"/>
    <n v="403649.9999999999"/>
    <n v="97063.86554621847"/>
  </r>
  <r>
    <s v="Lhotse-Accesorio Vestuario"/>
    <x v="4"/>
    <x v="14"/>
    <x v="35"/>
    <s v="LHTOASECRAP-PK"/>
    <x v="190"/>
    <x v="180"/>
    <x v="0"/>
    <x v="4"/>
    <n v="1"/>
    <x v="50"/>
    <n v="0"/>
    <m/>
    <n v="0"/>
    <n v="3208.5"/>
    <n v="0"/>
    <n v="3"/>
    <n v="3208.5"/>
    <n v="8088.655462184873"/>
    <n v="6875.357142857141"/>
    <s v="Shenzhen"/>
    <s v="30/70"/>
    <n v="45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00"/>
    <n v="100"/>
    <n v="100"/>
    <n v="0"/>
    <n v="0"/>
    <n v="0"/>
    <n v="310499.9999999999"/>
    <n v="310499.9999999999"/>
    <n v="100"/>
    <n v="310499.9999999999"/>
    <n v="0"/>
    <n v="20"/>
    <n v="100"/>
    <n v="20"/>
    <n v="0"/>
    <n v="0"/>
    <n v="310499.9999999999"/>
    <n v="62099.99999999999"/>
    <n v="0"/>
    <n v="0"/>
    <n v="100"/>
    <n v="310499.9999999999"/>
    <n v="144382.5"/>
    <n v="50"/>
    <n v="80"/>
    <n v="50"/>
    <n v="100"/>
    <n v="100"/>
    <n v="248400"/>
    <n v="155250"/>
    <n v="310499.9999999999"/>
    <n v="180"/>
    <n v="558899.9999999999"/>
    <n v="404432.7731092437"/>
    <n v="12"/>
    <n v="130"/>
    <n v="12"/>
    <n v="0"/>
    <m/>
    <n v="403649.9999999999"/>
    <n v="38501.99999999999"/>
    <n v="0"/>
    <n v="130"/>
    <n v="403649.9999999999"/>
    <n v="97063.86554621847"/>
  </r>
  <r>
    <s v="Lhotse-Audio Menor"/>
    <x v="4"/>
    <x v="15"/>
    <x v="36"/>
    <n v="1564150627423"/>
    <x v="191"/>
    <x v="181"/>
    <x v="0"/>
    <x v="1"/>
    <n v="1"/>
    <x v="97"/>
    <n v="4159"/>
    <n v="1000"/>
    <n v="2147000"/>
    <n v="2458"/>
    <n v="10222822"/>
    <n v="2.26"/>
    <n v="2469.05"/>
    <n v="5000"/>
    <n v="6714.285714285715"/>
    <s v="Shenzhen"/>
    <s v="20/80 Credit"/>
    <n v="30"/>
    <n v="1000"/>
    <n v="2906"/>
    <n v="0.46613455786472"/>
    <n v="430"/>
    <n v="0.5007049326798886"/>
    <n v="3601"/>
    <n v="0.4706497173276107"/>
    <n v="2076"/>
    <n v="0.4970463435229336"/>
    <n v="1919"/>
    <n v="0.4961229749814805"/>
    <n v="2613"/>
    <n v="0.4728290841137501"/>
    <n v="1554"/>
    <n v="0.4774927026006522"/>
    <n v="151"/>
    <n v="0.5399184642780156"/>
    <n v="1617"/>
    <n v="0.4780149881910536"/>
    <n v="1727"/>
    <n v="0.4506891843273475"/>
    <n v="1667"/>
    <n v="0.446281742476553"/>
    <n v="158"/>
    <n v="0.5951062973692118"/>
    <n v="2067"/>
    <n v="0.4896175351132414"/>
    <n v="43"/>
    <n v="0.3683206617084109"/>
    <n v="1849"/>
    <n v="0.4899847435571587"/>
    <n v="50"/>
    <n v="0.5380459157157442"/>
    <n v="0.06157635467980296"/>
    <n v="23"/>
    <n v="0.6431543340247229"/>
    <n v="0.01119221411192214"/>
    <n v="306"/>
    <n v="0.2873621951633742"/>
    <n v="0.7463414634146341"/>
    <n v="0"/>
    <s v=""/>
    <n v="0"/>
    <n v="0"/>
    <s v=""/>
    <n v="0"/>
    <m/>
    <m/>
    <m/>
    <m/>
    <m/>
    <m/>
    <m/>
    <m/>
    <m/>
    <m/>
    <m/>
    <m/>
    <n v="711"/>
    <n v="6226"/>
    <n v="711"/>
    <n v="0"/>
    <n v="0"/>
    <n v="0"/>
    <n v="6451021"/>
    <n v="14563236.6"/>
    <n v="1747638"/>
    <n v="0"/>
    <n v="4159"/>
    <n v="10222822"/>
    <n v="2987394.957983193"/>
    <n v="733"/>
    <n v="4745"/>
    <n v="64.5"/>
    <n v="0"/>
    <n v="0"/>
    <n v="0"/>
    <n v="4826283"/>
    <n v="11099029.5"/>
    <n v="158541"/>
    <n v="0"/>
    <n v="4159"/>
    <n v="10222822"/>
    <n v="271008.4033613446"/>
    <n v="1060"/>
    <n v="4677"/>
    <n v="1849"/>
    <n v="0"/>
    <n v="0"/>
    <n v="9474592.5"/>
    <n v="11496066"/>
    <n v="4544842"/>
    <n v="0"/>
    <n v="4159"/>
    <n v="10222822"/>
    <n v="9245000"/>
    <n v="812"/>
    <n v="5592"/>
    <n v="50"/>
    <n v="0"/>
    <n v="0"/>
    <n v="13080247.2"/>
    <n v="122900"/>
    <n v="0"/>
    <n v="0"/>
    <n v="4159"/>
    <n v="10222822"/>
    <n v="250000"/>
    <n v="2055"/>
    <n v="4182"/>
    <n v="2055"/>
    <m/>
    <n v="0"/>
    <n v="0"/>
    <n v="10279356"/>
    <n v="4806850.499999999"/>
    <n v="0"/>
    <n v="0"/>
    <n v="4159"/>
    <n v="10222822"/>
    <n v="10275000"/>
    <n v="410"/>
    <n v="4465"/>
    <n v="306"/>
    <m/>
    <n v="0"/>
    <n v="0"/>
    <n v="10974970"/>
    <n v="715764.5999999999"/>
    <n v="0"/>
    <n v="0"/>
    <n v="4465"/>
    <n v="10222822"/>
    <n v="1530000"/>
    <n v="75"/>
    <n v="4159"/>
    <n v="0"/>
    <n v="0"/>
    <n v="0"/>
    <n v="0"/>
    <n v="10222822"/>
    <n v="0"/>
    <n v="0"/>
    <n v="0"/>
    <n v="4159"/>
    <n v="10222822"/>
    <n v="0"/>
    <n v="75"/>
    <n v="4159"/>
    <n v="75"/>
    <n v="1000"/>
    <n v="1000"/>
    <n v="0"/>
    <n v="10222822"/>
    <n v="175432.5"/>
    <n v="2339100"/>
    <n v="0"/>
    <n v="4159"/>
    <n v="10222822"/>
    <n v="375000"/>
    <n v="75"/>
    <n v="4084"/>
    <n v="75"/>
    <n v="0"/>
    <n v="0"/>
    <n v="0"/>
    <n v="9552884.399999999"/>
    <n v="175432.5"/>
    <n v="0"/>
    <n v="0"/>
    <n v="4084"/>
    <n v="9552884.399999999"/>
    <n v="375000"/>
    <n v="75"/>
    <n v="4009"/>
    <n v="75"/>
    <n v="0"/>
    <n v="0"/>
    <n v="0"/>
    <m/>
    <n v="9377451.899999999"/>
    <n v="175432.5"/>
    <n v="0"/>
    <n v="0"/>
    <n v="4009"/>
    <n v="9377451.899999999"/>
    <n v="503571.4285714286"/>
    <n v="75"/>
    <n v="3934"/>
    <n v="75"/>
    <n v="0"/>
    <n v="0"/>
    <n v="9202019.399999999"/>
    <n v="175432.5"/>
    <n v="0"/>
    <n v="0"/>
    <n v="3934"/>
    <n v="9202019.399999999"/>
    <n v="528750"/>
    <n v="75"/>
    <n v="3859"/>
    <n v="75"/>
    <n v="0"/>
    <n v="0"/>
    <n v="9026586.899999999"/>
    <n v="175432.5"/>
    <n v="0"/>
    <n v="3859"/>
    <n v="9026586.899999999"/>
    <n v="375000"/>
    <n v="45"/>
    <n v="3784"/>
    <n v="45"/>
    <n v="0"/>
    <m/>
    <n v="8851154.399999999"/>
    <n v="110610"/>
    <n v="0"/>
    <n v="3784"/>
    <n v="8851154.399999999"/>
    <n v="225000"/>
  </r>
  <r>
    <s v="Lhotse-Audio Menor"/>
    <x v="4"/>
    <x v="15"/>
    <x v="36"/>
    <n v="1564150661249"/>
    <x v="192"/>
    <x v="182"/>
    <x v="0"/>
    <x v="1"/>
    <n v="1"/>
    <x v="98"/>
    <n v="135"/>
    <n v="1500"/>
    <n v="3363000"/>
    <n v="2502"/>
    <n v="337770"/>
    <n v="2.36"/>
    <n v="2578.3"/>
    <n v="5000"/>
    <n v="6714.285714285715"/>
    <s v="Shenzhen"/>
    <s v="20/80 Credit"/>
    <n v="30"/>
    <n v="1000"/>
    <n v="3238"/>
    <n v="0.4762297014601477"/>
    <n v="928"/>
    <n v="0.5124410677279823"/>
    <n v="4022"/>
    <n v="0.4765162019315586"/>
    <n v="1994"/>
    <n v="0.5012280285803149"/>
    <n v="1663"/>
    <n v="0.5021250221484074"/>
    <n v="3320"/>
    <n v="0.4779407758342745"/>
    <n v="2164"/>
    <n v="0.4789012487635569"/>
    <n v="218"/>
    <n v="0.5344332189485476"/>
    <n v="2809"/>
    <n v="0.4736602284836606"/>
    <n v="1641"/>
    <n v="0.4282857926074516"/>
    <n v="2515"/>
    <n v="0.4201260394180786"/>
    <n v="345"/>
    <n v="0.6197023500919836"/>
    <n v="2097"/>
    <n v="0.4802844417587449"/>
    <n v="77"/>
    <n v="0.3735032118337657"/>
    <n v="1978"/>
    <n v="0.4763688013765837"/>
    <n v="95"/>
    <n v="0.5216399680166577"/>
    <n v="0.1117647058823529"/>
    <n v="1661"/>
    <n v="0.4891209714390906"/>
    <n v="0.8024154589371981"/>
    <n v="337"/>
    <n v="0.314916322763923"/>
    <n v="0.7326086956521739"/>
    <n v="0"/>
    <s v=""/>
    <n v="0"/>
    <n v="0"/>
    <s v=""/>
    <n v="0"/>
    <m/>
    <m/>
    <m/>
    <m/>
    <m/>
    <m/>
    <m/>
    <m/>
    <m/>
    <m/>
    <m/>
    <m/>
    <n v="815"/>
    <n v="2232"/>
    <n v="815"/>
    <n v="0"/>
    <n v="0"/>
    <n v="0"/>
    <n v="7277067"/>
    <n v="5451883.200000001"/>
    <n v="2039130"/>
    <n v="0"/>
    <n v="135"/>
    <n v="337770"/>
    <n v="3424369.74789916"/>
    <n v="800"/>
    <n v="3639"/>
    <n v="115.5"/>
    <n v="0"/>
    <n v="0"/>
    <n v="0"/>
    <n v="5475627"/>
    <n v="8888621.400000002"/>
    <n v="288981"/>
    <n v="0"/>
    <n v="135"/>
    <n v="337770"/>
    <n v="485294.1176470589"/>
    <n v="1200"/>
    <n v="3558"/>
    <n v="1978"/>
    <n v="0"/>
    <n v="0"/>
    <n v="10242828"/>
    <n v="8902116"/>
    <n v="4948956"/>
    <n v="0"/>
    <n v="135"/>
    <n v="337770"/>
    <n v="9890000"/>
    <n v="850"/>
    <n v="3507"/>
    <n v="95"/>
    <n v="0"/>
    <n v="0"/>
    <n v="8566198.200000001"/>
    <n v="237690"/>
    <n v="0"/>
    <n v="0"/>
    <n v="135"/>
    <n v="337770"/>
    <n v="475000"/>
    <n v="2070"/>
    <n v="1796"/>
    <n v="2070"/>
    <m/>
    <n v="0"/>
    <n v="0"/>
    <n v="4493592"/>
    <n v="5056182.000000001"/>
    <n v="0"/>
    <n v="0"/>
    <n v="135"/>
    <n v="337770"/>
    <n v="10350000"/>
    <n v="460"/>
    <n v="472"/>
    <n v="337"/>
    <m/>
    <n v="0"/>
    <n v="0"/>
    <n v="1180944"/>
    <n v="823156.2000000001"/>
    <n v="0"/>
    <n v="0"/>
    <n v="472"/>
    <n v="337770"/>
    <n v="1685000"/>
    <n v="100"/>
    <n v="135"/>
    <n v="0"/>
    <n v="0"/>
    <n v="0"/>
    <n v="0"/>
    <n v="337770"/>
    <n v="0"/>
    <n v="0"/>
    <n v="0"/>
    <n v="135"/>
    <n v="337770"/>
    <n v="0"/>
    <n v="100"/>
    <n v="135"/>
    <n v="100"/>
    <n v="1500"/>
    <n v="1500"/>
    <n v="0"/>
    <n v="337770"/>
    <n v="244260"/>
    <n v="3663900"/>
    <n v="0"/>
    <n v="135"/>
    <n v="337770"/>
    <n v="500000"/>
    <n v="100"/>
    <n v="35"/>
    <n v="100"/>
    <n v="0"/>
    <n v="0"/>
    <n v="0"/>
    <n v="85491.00000000001"/>
    <n v="244260"/>
    <n v="0"/>
    <n v="0"/>
    <n v="35"/>
    <n v="85491.00000000001"/>
    <n v="500000"/>
    <n v="100"/>
    <n v="0"/>
    <n v="0"/>
    <n v="0"/>
    <n v="0"/>
    <n v="0"/>
    <m/>
    <n v="0"/>
    <n v="0"/>
    <n v="0"/>
    <n v="0"/>
    <n v="0"/>
    <n v="0"/>
    <n v="0"/>
    <n v="100"/>
    <n v="0"/>
    <n v="100"/>
    <n v="0"/>
    <n v="0"/>
    <n v="0"/>
    <n v="244260"/>
    <n v="0"/>
    <n v="0"/>
    <n v="0"/>
    <n v="0"/>
    <n v="705000.0000000001"/>
    <n v="100"/>
    <n v="0"/>
    <n v="100"/>
    <n v="0"/>
    <n v="0"/>
    <n v="0"/>
    <n v="244260"/>
    <n v="0"/>
    <n v="0"/>
    <n v="0"/>
    <n v="500000"/>
    <n v="60"/>
    <n v="0"/>
    <n v="60"/>
    <n v="0"/>
    <m/>
    <n v="0"/>
    <n v="150120"/>
    <n v="0"/>
    <n v="0"/>
    <n v="0"/>
    <n v="300000"/>
  </r>
  <r>
    <s v="Lhotse-Audio Menor"/>
    <x v="4"/>
    <x v="15"/>
    <x v="36"/>
    <n v="1566335721736"/>
    <x v="193"/>
    <x v="183"/>
    <x v="0"/>
    <x v="1"/>
    <n v="1"/>
    <x v="99"/>
    <n v="6767"/>
    <m/>
    <n v="0"/>
    <n v="2555"/>
    <n v="17289685"/>
    <n v="2.36"/>
    <n v="2578.3"/>
    <n v="5000"/>
    <n v="4193.27731092437"/>
    <s v="Shenzhen"/>
    <s v="20/80 Credit"/>
    <n v="30"/>
    <n v="1000"/>
    <n v="923"/>
    <n v="0.476149999676109"/>
    <n v="340"/>
    <n v="0.4947502966438635"/>
    <n v="1240"/>
    <n v="0.488385264984064"/>
    <n v="1683"/>
    <n v="0.4875221024697001"/>
    <n v="1333"/>
    <n v="0.4875268985746032"/>
    <n v="562"/>
    <n v="0.5090268589079442"/>
    <n v="1466"/>
    <n v="0.4644385791138296"/>
    <n v="-88"/>
    <n v="0.5180656757752938"/>
    <n v="1039"/>
    <n v="0.4604095481436603"/>
    <n v="1604"/>
    <n v="0.4496275216442682"/>
    <n v="1294"/>
    <n v="0.4514658621510608"/>
    <n v="139"/>
    <n v="0.6116720164192466"/>
    <n v="36"/>
    <n v="0.5193458895788878"/>
    <n v="36"/>
    <n v="0.3495980264136146"/>
    <n v="190"/>
    <n v="0.4630755666040332"/>
    <n v="20"/>
    <n v="0.4502729344281885"/>
    <n v="0.0273972602739726"/>
    <n v="17"/>
    <n v="0.6754461978218318"/>
    <n v="0.0425"/>
    <n v="102"/>
    <n v="0.3109975458291003"/>
    <n v="0.2873239436619718"/>
    <n v="0"/>
    <s v=""/>
    <n v="0"/>
    <n v="0"/>
    <s v=""/>
    <n v="0"/>
    <m/>
    <m/>
    <m/>
    <m/>
    <m/>
    <m/>
    <m/>
    <m/>
    <m/>
    <m/>
    <m/>
    <m/>
    <n v="600"/>
    <n v="6803"/>
    <n v="600"/>
    <n v="0"/>
    <n v="1500"/>
    <n v="0"/>
    <n v="2156420"/>
    <n v="16617007.8"/>
    <n v="1533000"/>
    <n v="0"/>
    <n v="6767"/>
    <n v="17289685"/>
    <n v="2521008.403361345"/>
    <n v="600"/>
    <n v="6556"/>
    <n v="54"/>
    <n v="0"/>
    <n v="0"/>
    <n v="0"/>
    <n v="674520"/>
    <n v="16013685.6"/>
    <n v="137970"/>
    <n v="0"/>
    <n v="6767"/>
    <n v="17289685"/>
    <n v="226890.756302521"/>
    <n v="930"/>
    <n v="6492"/>
    <n v="190"/>
    <n v="0"/>
    <n v="0"/>
    <n v="1513590"/>
    <n v="16587060"/>
    <n v="485450"/>
    <n v="0"/>
    <n v="6767"/>
    <n v="17289685"/>
    <n v="950000"/>
    <n v="730"/>
    <n v="7189"/>
    <n v="20"/>
    <n v="0"/>
    <n v="0"/>
    <n v="17559851.4"/>
    <n v="51100"/>
    <n v="0"/>
    <n v="0"/>
    <n v="6767"/>
    <n v="17289685"/>
    <n v="100000"/>
    <n v="400"/>
    <n v="6784"/>
    <n v="400"/>
    <m/>
    <n v="0"/>
    <n v="0"/>
    <n v="17333120"/>
    <n v="977040.0000000001"/>
    <n v="0"/>
    <n v="0"/>
    <n v="6767"/>
    <n v="17289685"/>
    <n v="2000000"/>
    <n v="355"/>
    <n v="6869"/>
    <n v="102"/>
    <m/>
    <n v="0"/>
    <n v="0"/>
    <n v="17550295"/>
    <n v="249145.2"/>
    <n v="0"/>
    <n v="0"/>
    <n v="6869"/>
    <n v="17289685"/>
    <n v="510000"/>
    <n v="50"/>
    <n v="6767"/>
    <n v="0"/>
    <n v="0"/>
    <n v="0"/>
    <n v="0"/>
    <n v="17289685"/>
    <n v="0"/>
    <n v="0"/>
    <n v="0"/>
    <n v="6767"/>
    <n v="17289685"/>
    <n v="0"/>
    <n v="50"/>
    <n v="6767"/>
    <n v="50"/>
    <n v="0"/>
    <n v="0"/>
    <n v="0"/>
    <n v="17289685"/>
    <n v="122130"/>
    <n v="0"/>
    <n v="0"/>
    <n v="6767"/>
    <n v="17289685"/>
    <n v="250000"/>
    <n v="50"/>
    <n v="6717"/>
    <n v="50"/>
    <n v="0"/>
    <n v="0"/>
    <n v="0"/>
    <n v="16406944.2"/>
    <n v="122130"/>
    <n v="0"/>
    <n v="0"/>
    <n v="6717"/>
    <n v="16406944.2"/>
    <n v="250000"/>
    <n v="50"/>
    <n v="6667"/>
    <n v="50"/>
    <n v="0"/>
    <n v="0"/>
    <n v="0"/>
    <m/>
    <n v="16284814.2"/>
    <n v="122130"/>
    <n v="0"/>
    <n v="0"/>
    <n v="6667"/>
    <n v="16284814.2"/>
    <n v="209663.8655462185"/>
    <n v="50"/>
    <n v="6617"/>
    <n v="50"/>
    <n v="0"/>
    <n v="0"/>
    <n v="16162684.2"/>
    <n v="122130"/>
    <n v="0"/>
    <n v="0"/>
    <n v="6617"/>
    <n v="16162684.2"/>
    <n v="220147.0588235294"/>
    <n v="50"/>
    <n v="6567"/>
    <n v="50"/>
    <n v="0"/>
    <n v="0"/>
    <n v="16040554.2"/>
    <n v="122130"/>
    <n v="0"/>
    <n v="6567"/>
    <n v="16040554.2"/>
    <n v="250000"/>
    <n v="30"/>
    <n v="6517"/>
    <n v="30"/>
    <n v="0"/>
    <m/>
    <n v="15918424.2"/>
    <n v="76650"/>
    <n v="0"/>
    <n v="6517"/>
    <n v="15918424.2"/>
    <n v="150000"/>
  </r>
  <r>
    <s v="Lhotse-Audio Menor"/>
    <x v="4"/>
    <x v="15"/>
    <x v="36"/>
    <n v="1592492799236"/>
    <x v="194"/>
    <x v="184"/>
    <x v="0"/>
    <x v="1"/>
    <n v="1"/>
    <x v="100"/>
    <n v="5405"/>
    <m/>
    <n v="0"/>
    <n v="2635"/>
    <n v="14242175"/>
    <n v="2.36"/>
    <n v="2578.3"/>
    <n v="5000"/>
    <n v="4193.27731092437"/>
    <s v="Shenzhen"/>
    <s v="20/80 Credit"/>
    <n v="30"/>
    <n v="1000"/>
    <n v="719"/>
    <n v="0.4950787864384171"/>
    <n v="397"/>
    <n v="0.4744891509653849"/>
    <n v="1346"/>
    <n v="0.4899817956517373"/>
    <n v="1705"/>
    <n v="0.4922861227482009"/>
    <n v="1509"/>
    <n v="0.4894002777805773"/>
    <n v="1029"/>
    <n v="0.5074930352605262"/>
    <n v="1623"/>
    <n v="0.46640710223369"/>
    <n v="-228"/>
    <n v="0.5379367108602939"/>
    <n v="1545"/>
    <n v="0.4726589490429013"/>
    <n v="1434"/>
    <n v="0.4424163414202415"/>
    <n v="1609"/>
    <n v="0.443034013502581"/>
    <n v="136"/>
    <n v="0.592555830034988"/>
    <n v="30"/>
    <n v="0.4917350087704717"/>
    <n v="42"/>
    <n v="0.4763338005176184"/>
    <n v="256"/>
    <n v="0.4620427373761852"/>
    <n v="40"/>
    <n v="0.4710295519702166"/>
    <n v="0.05714285714285714"/>
    <n v="18"/>
    <n v="0.5692303348062672"/>
    <n v="0.05454545454545454"/>
    <n v="150"/>
    <n v="0.2919272886135301"/>
    <n v="0.5084745762711864"/>
    <n v="0"/>
    <s v=""/>
    <n v="0"/>
    <n v="0"/>
    <s v=""/>
    <n v="0"/>
    <m/>
    <m/>
    <m/>
    <m/>
    <m/>
    <m/>
    <m/>
    <m/>
    <m/>
    <m/>
    <m/>
    <m/>
    <n v="620"/>
    <n v="5435"/>
    <n v="620"/>
    <n v="0"/>
    <n v="0"/>
    <n v="0"/>
    <n v="2474265"/>
    <n v="13275531"/>
    <n v="1633700"/>
    <n v="0"/>
    <n v="5405"/>
    <n v="14242175"/>
    <n v="2605042.016806723"/>
    <n v="670"/>
    <n v="5880"/>
    <n v="63"/>
    <n v="0"/>
    <n v="0"/>
    <n v="0"/>
    <n v="945965"/>
    <n v="14362488"/>
    <n v="166005"/>
    <n v="0"/>
    <n v="5405"/>
    <n v="14242175"/>
    <n v="264705.8823529412"/>
    <n v="950"/>
    <n v="5838"/>
    <n v="256"/>
    <n v="0"/>
    <n v="0"/>
    <n v="1586018"/>
    <n v="15383130"/>
    <n v="674560"/>
    <n v="0"/>
    <n v="5405"/>
    <n v="14242175"/>
    <n v="1280000"/>
    <n v="700"/>
    <n v="6513"/>
    <n v="40"/>
    <n v="0"/>
    <n v="0"/>
    <n v="15908653.8"/>
    <n v="105400"/>
    <n v="0"/>
    <n v="0"/>
    <n v="5405"/>
    <n v="14242175"/>
    <n v="200000"/>
    <n v="330"/>
    <n v="5423"/>
    <n v="330"/>
    <m/>
    <n v="0"/>
    <n v="0"/>
    <n v="14289605"/>
    <n v="806058.0000000001"/>
    <n v="0"/>
    <n v="0"/>
    <n v="5405"/>
    <n v="14242175"/>
    <n v="1650000"/>
    <n v="295"/>
    <n v="5555"/>
    <n v="150"/>
    <m/>
    <n v="0"/>
    <n v="0"/>
    <n v="14637425"/>
    <n v="366390.0000000001"/>
    <n v="0"/>
    <n v="0"/>
    <n v="5555"/>
    <n v="14242175"/>
    <n v="750000"/>
    <n v="40"/>
    <n v="5405"/>
    <n v="0"/>
    <n v="0"/>
    <n v="0"/>
    <n v="0"/>
    <n v="14242175"/>
    <n v="0"/>
    <n v="0"/>
    <n v="0"/>
    <n v="5405"/>
    <n v="14242175"/>
    <n v="0"/>
    <n v="40"/>
    <n v="5405"/>
    <n v="40"/>
    <n v="0"/>
    <n v="0"/>
    <n v="0"/>
    <n v="14242175"/>
    <n v="97704.00000000001"/>
    <n v="0"/>
    <n v="0"/>
    <n v="5405"/>
    <n v="14242175"/>
    <n v="200000"/>
    <n v="40"/>
    <n v="5365"/>
    <n v="40"/>
    <n v="0"/>
    <n v="0"/>
    <n v="0"/>
    <n v="13104549"/>
    <n v="97704.00000000001"/>
    <n v="0"/>
    <n v="0"/>
    <n v="5365"/>
    <n v="13104549"/>
    <n v="200000"/>
    <n v="40"/>
    <n v="5325"/>
    <n v="40"/>
    <n v="0"/>
    <n v="0"/>
    <n v="0"/>
    <m/>
    <n v="13006845"/>
    <n v="97704.00000000001"/>
    <n v="0"/>
    <n v="0"/>
    <n v="5325"/>
    <n v="13006845"/>
    <n v="167731.0924369748"/>
    <n v="40"/>
    <n v="5285"/>
    <n v="40"/>
    <n v="0"/>
    <n v="0"/>
    <n v="12909141"/>
    <n v="97704.00000000001"/>
    <n v="0"/>
    <n v="0"/>
    <n v="5285"/>
    <n v="12909141"/>
    <n v="176117.6470588236"/>
    <n v="40"/>
    <n v="5245"/>
    <n v="40"/>
    <n v="0"/>
    <n v="0"/>
    <n v="12811437"/>
    <n v="97704.00000000001"/>
    <n v="0"/>
    <n v="5245"/>
    <n v="12811437"/>
    <n v="200000"/>
    <n v="24"/>
    <n v="5205"/>
    <n v="24"/>
    <n v="0"/>
    <m/>
    <n v="12713733"/>
    <n v="63240"/>
    <n v="0"/>
    <n v="5205"/>
    <n v="12713733"/>
    <n v="120000"/>
  </r>
  <r>
    <s v="Lhotse-Audio Menor"/>
    <x v="4"/>
    <x v="15"/>
    <x v="36"/>
    <n v="1597086499840"/>
    <x v="195"/>
    <x v="185"/>
    <x v="0"/>
    <x v="1"/>
    <n v="1"/>
    <x v="101"/>
    <n v="2904"/>
    <m/>
    <n v="0"/>
    <n v="4411"/>
    <n v="12809544"/>
    <n v="4.600000000000001"/>
    <n v="5025.500000000001"/>
    <n v="9500"/>
    <n v="8394.957983193277"/>
    <s v="Shenzhen"/>
    <s v="20/80 Credit"/>
    <n v="30"/>
    <n v="1000"/>
    <n v="878"/>
    <n v="0.4419275105736837"/>
    <n v="527"/>
    <n v="0.4536051846334934"/>
    <n v="916"/>
    <n v="0.449001129962689"/>
    <n v="1237"/>
    <n v="0.4623936115224451"/>
    <n v="1193"/>
    <n v="0.4723553817154035"/>
    <n v="517"/>
    <n v="0.4855970668755209"/>
    <n v="1388"/>
    <n v="0.4634571260654328"/>
    <n v="586"/>
    <n v="0.467854668696904"/>
    <n v="660"/>
    <n v="0.4548079356903199"/>
    <n v="1791"/>
    <n v="0.4476062230615359"/>
    <n v="1434"/>
    <n v="0.4516184969481835"/>
    <n v="156"/>
    <n v="0.5322447664867962"/>
    <n v="98"/>
    <n v="0.4018490802024882"/>
    <n v="57"/>
    <n v="0.4160366283926243"/>
    <n v="507"/>
    <n v="0.4225130715169697"/>
    <n v="532"/>
    <n v="0.4375699551123138"/>
    <n v="0.9672727272727273"/>
    <n v="106"/>
    <n v="0.5710527256901148"/>
    <n v="0.212"/>
    <n v="452"/>
    <n v="0.3082762996475435"/>
    <n v="0.837037037037037"/>
    <n v="0"/>
    <s v=""/>
    <n v="0"/>
    <n v="0"/>
    <s v=""/>
    <n v="0"/>
    <m/>
    <m/>
    <m/>
    <m/>
    <m/>
    <m/>
    <m/>
    <m/>
    <m/>
    <m/>
    <m/>
    <m/>
    <n v="740"/>
    <n v="2408"/>
    <n v="740"/>
    <n v="0"/>
    <n v="0"/>
    <n v="0"/>
    <n v="5877657.5"/>
    <n v="11464488"/>
    <n v="3264140"/>
    <n v="0"/>
    <n v="2904"/>
    <n v="12809544"/>
    <n v="5907563.025210084"/>
    <n v="680"/>
    <n v="2455"/>
    <n v="85.5"/>
    <n v="0"/>
    <n v="0"/>
    <n v="0"/>
    <n v="4960169.5"/>
    <n v="11688255"/>
    <n v="377140.5"/>
    <n v="0"/>
    <n v="2904"/>
    <n v="12809544"/>
    <n v="682563.025210084"/>
    <n v="750"/>
    <n v="2377"/>
    <n v="507"/>
    <n v="0"/>
    <n v="0"/>
    <n v="6963529"/>
    <n v="10484947"/>
    <n v="2236377"/>
    <n v="0"/>
    <n v="2904"/>
    <n v="12809544"/>
    <n v="4816500"/>
    <n v="550"/>
    <n v="3364"/>
    <n v="532"/>
    <n v="1500"/>
    <n v="0"/>
    <n v="16016004"/>
    <n v="2346652"/>
    <n v="7141500.000000001"/>
    <n v="0"/>
    <n v="2904"/>
    <n v="12809544"/>
    <n v="5054000"/>
    <n v="500"/>
    <n v="3010"/>
    <n v="500"/>
    <m/>
    <n v="0"/>
    <n v="0"/>
    <n v="13277110"/>
    <n v="2380500"/>
    <n v="0"/>
    <n v="0"/>
    <n v="2904"/>
    <n v="12809544"/>
    <n v="4750000"/>
    <n v="540"/>
    <n v="3356"/>
    <n v="452"/>
    <m/>
    <n v="0"/>
    <n v="0"/>
    <n v="14803316"/>
    <n v="2151972"/>
    <n v="0"/>
    <n v="0"/>
    <n v="3356"/>
    <n v="12809544"/>
    <n v="4294000"/>
    <n v="70"/>
    <n v="2904"/>
    <n v="0"/>
    <n v="1000"/>
    <n v="1000"/>
    <n v="0"/>
    <n v="12809544"/>
    <n v="0"/>
    <n v="4602300"/>
    <n v="0"/>
    <n v="2904"/>
    <n v="12809544"/>
    <n v="0"/>
    <n v="70"/>
    <n v="2904"/>
    <n v="70"/>
    <n v="0"/>
    <n v="0"/>
    <n v="0"/>
    <n v="12809544"/>
    <n v="333270.0000000001"/>
    <n v="0"/>
    <n v="0"/>
    <n v="2904"/>
    <n v="12809544"/>
    <n v="665000"/>
    <n v="70"/>
    <n v="2834"/>
    <n v="70"/>
    <n v="0"/>
    <n v="0"/>
    <n v="0"/>
    <n v="13492674"/>
    <n v="333270.0000000001"/>
    <n v="0"/>
    <n v="0"/>
    <n v="2834"/>
    <n v="13492674"/>
    <n v="665000"/>
    <n v="70"/>
    <n v="2764"/>
    <n v="70"/>
    <n v="0"/>
    <n v="0"/>
    <n v="0"/>
    <m/>
    <n v="13159404"/>
    <n v="333270.0000000001"/>
    <n v="0"/>
    <n v="0"/>
    <n v="2764"/>
    <n v="13159404"/>
    <n v="587647.0588235294"/>
    <n v="70"/>
    <n v="2694"/>
    <n v="70"/>
    <n v="0"/>
    <n v="0"/>
    <n v="12826134"/>
    <n v="333270.0000000001"/>
    <n v="0"/>
    <n v="0"/>
    <n v="2694"/>
    <n v="12826134"/>
    <n v="617029.4117647059"/>
    <n v="70"/>
    <n v="2624"/>
    <n v="70"/>
    <n v="0"/>
    <n v="0"/>
    <n v="12492864"/>
    <n v="333270.0000000001"/>
    <n v="0"/>
    <n v="2624"/>
    <n v="12492864"/>
    <n v="665000"/>
    <n v="42"/>
    <n v="2554"/>
    <n v="42"/>
    <n v="0"/>
    <m/>
    <n v="12159594"/>
    <n v="185262"/>
    <n v="0"/>
    <n v="2554"/>
    <n v="12159594"/>
    <n v="399000"/>
  </r>
  <r>
    <s v="Lhotse-Audio Menor"/>
    <x v="4"/>
    <x v="15"/>
    <x v="36"/>
    <n v="1597098592591"/>
    <x v="196"/>
    <x v="186"/>
    <x v="0"/>
    <x v="1"/>
    <n v="1"/>
    <x v="102"/>
    <n v="1408"/>
    <m/>
    <n v="0"/>
    <n v="4652"/>
    <n v="6550016"/>
    <n v="5.100000000000001"/>
    <n v="5571.750000000001"/>
    <n v="9500"/>
    <n v="10915.96638655462"/>
    <s v="Shenzhen"/>
    <s v="20/80 Credit"/>
    <n v="30"/>
    <n v="1000"/>
    <n v="750"/>
    <n v="0.4204238118962116"/>
    <n v="746"/>
    <n v="0.4115490643331546"/>
    <n v="1293"/>
    <n v="0.4050822139990194"/>
    <n v="1399"/>
    <n v="0.4241434363866313"/>
    <n v="1596"/>
    <n v="0.4180787241799711"/>
    <n v="742"/>
    <n v="0.4096150033979371"/>
    <n v="1744"/>
    <n v="0.4080531110599299"/>
    <n v="263"/>
    <n v="0.4272646742086561"/>
    <n v="899"/>
    <n v="0.4117679202485105"/>
    <n v="1776"/>
    <n v="0.4100784307932825"/>
    <n v="2509"/>
    <n v="0.4165326047562559"/>
    <n v="187"/>
    <n v="0.4876715142370648"/>
    <n v="104"/>
    <n v="0.3899555705850252"/>
    <n v="83"/>
    <n v="0.3250792362123771"/>
    <n v="594"/>
    <n v="0.4244398074135078"/>
    <n v="113"/>
    <n v="0.4183225791477159"/>
    <n v="0.14125"/>
    <n v="1452"/>
    <n v="0.4809503726953809"/>
    <n v="2.503448275862069"/>
    <n v="424"/>
    <n v="0.2715754278509016"/>
    <n v="0.7008264462809918"/>
    <n v="0"/>
    <s v=""/>
    <n v="0"/>
    <n v="0"/>
    <s v=""/>
    <n v="0"/>
    <m/>
    <m/>
    <m/>
    <m/>
    <m/>
    <m/>
    <m/>
    <m/>
    <m/>
    <m/>
    <m/>
    <m/>
    <n v="900"/>
    <n v="2882"/>
    <n v="900"/>
    <n v="0"/>
    <n v="0"/>
    <n v="0"/>
    <n v="7529262"/>
    <n v="15212637"/>
    <n v="4186800"/>
    <n v="0"/>
    <n v="1408"/>
    <n v="6550016"/>
    <n v="7184873.949579832"/>
    <n v="880"/>
    <n v="2755"/>
    <n v="124.5"/>
    <n v="1000"/>
    <n v="1000"/>
    <n v="0"/>
    <n v="3868138"/>
    <n v="14542267.5"/>
    <n v="579174"/>
    <n v="0"/>
    <n v="1408"/>
    <n v="6550016"/>
    <n v="993907.5630252102"/>
    <n v="900"/>
    <n v="2002"/>
    <n v="594"/>
    <n v="0"/>
    <n v="0"/>
    <n v="6350494"/>
    <n v="9313304"/>
    <n v="2763288"/>
    <n v="0"/>
    <n v="1408"/>
    <n v="6550016"/>
    <n v="5643000"/>
    <n v="800"/>
    <n v="4562"/>
    <n v="113"/>
    <n v="1500"/>
    <n v="0"/>
    <n v="24080517"/>
    <n v="525676"/>
    <n v="7917750.000000001"/>
    <n v="0"/>
    <n v="1408"/>
    <n v="6550016"/>
    <n v="1073500"/>
    <n v="580"/>
    <n v="2860"/>
    <n v="580"/>
    <m/>
    <n v="0"/>
    <n v="0"/>
    <n v="13304720"/>
    <n v="3061530"/>
    <n v="0"/>
    <n v="0"/>
    <n v="1408"/>
    <n v="6550016"/>
    <n v="5510000"/>
    <n v="605"/>
    <n v="1832"/>
    <n v="424"/>
    <m/>
    <n v="0"/>
    <n v="0"/>
    <n v="8522464"/>
    <n v="2238084"/>
    <n v="0"/>
    <n v="0"/>
    <n v="1832"/>
    <n v="6550016"/>
    <n v="4028000"/>
    <n v="100"/>
    <n v="1408"/>
    <n v="0"/>
    <n v="0"/>
    <n v="0"/>
    <n v="0"/>
    <n v="6550016"/>
    <n v="0"/>
    <n v="0"/>
    <n v="0"/>
    <n v="1408"/>
    <n v="6550016"/>
    <n v="0"/>
    <n v="100"/>
    <n v="1408"/>
    <n v="100"/>
    <n v="0"/>
    <n v="0"/>
    <n v="0"/>
    <n v="6550016"/>
    <n v="527850.0000000001"/>
    <n v="0"/>
    <n v="0"/>
    <n v="1408"/>
    <n v="6550016"/>
    <n v="950000"/>
    <n v="100"/>
    <n v="1308"/>
    <n v="100"/>
    <n v="0"/>
    <n v="0"/>
    <n v="0"/>
    <n v="6904278.000000001"/>
    <n v="527850.0000000001"/>
    <n v="0"/>
    <n v="0"/>
    <n v="1308"/>
    <n v="6904278.000000001"/>
    <n v="950000"/>
    <n v="100"/>
    <n v="1208"/>
    <n v="100"/>
    <n v="0"/>
    <n v="0"/>
    <n v="0"/>
    <m/>
    <n v="6376428.000000001"/>
    <n v="527850.0000000001"/>
    <n v="0"/>
    <n v="0"/>
    <n v="1208"/>
    <n v="6376428.000000001"/>
    <n v="1091596.638655462"/>
    <n v="100"/>
    <n v="1108"/>
    <n v="100"/>
    <n v="0"/>
    <n v="0"/>
    <n v="5848578.000000001"/>
    <n v="527850.0000000001"/>
    <n v="0"/>
    <n v="0"/>
    <n v="1108"/>
    <n v="5848578.000000001"/>
    <n v="1146176.470588235"/>
    <n v="100"/>
    <n v="1008"/>
    <n v="100"/>
    <n v="0"/>
    <n v="0"/>
    <n v="5320728.000000001"/>
    <n v="527850.0000000001"/>
    <n v="0"/>
    <n v="1008"/>
    <n v="5320728.000000001"/>
    <n v="950000"/>
    <n v="60"/>
    <n v="908"/>
    <n v="60"/>
    <n v="0"/>
    <m/>
    <n v="4792878.000000001"/>
    <n v="279120"/>
    <n v="0"/>
    <n v="908"/>
    <n v="4792878.000000001"/>
    <n v="570000"/>
  </r>
  <r>
    <s v="Lhotse-Audio Menor"/>
    <x v="4"/>
    <x v="15"/>
    <x v="36"/>
    <n v="68658866289861"/>
    <x v="197"/>
    <x v="187"/>
    <x v="0"/>
    <x v="1"/>
    <n v="1"/>
    <x v="103"/>
    <n v="2263"/>
    <m/>
    <n v="0"/>
    <n v="4638"/>
    <n v="10495794"/>
    <n v="5.100000000000001"/>
    <n v="5571.750000000001"/>
    <n v="9500"/>
    <n v="8394.957983193277"/>
    <s v="Shenzhen"/>
    <s v="20/80 Credit"/>
    <n v="30"/>
    <n v="1000"/>
    <n v="512"/>
    <n v="0.3779718615233285"/>
    <n v="381"/>
    <n v="0.3839611382930574"/>
    <n v="436"/>
    <n v="0.3834713409299398"/>
    <n v="1259"/>
    <n v="0.3757156194404719"/>
    <n v="440"/>
    <n v="0.3951645528587056"/>
    <n v="329"/>
    <n v="0.3851175140475353"/>
    <n v="1140"/>
    <n v="0.3763717055394533"/>
    <n v="140"/>
    <n v="0.3857833580459398"/>
    <n v="426"/>
    <n v="0.3828887395517573"/>
    <n v="985"/>
    <n v="0.382361509283402"/>
    <n v="1908"/>
    <n v="0.3930169852760671"/>
    <n v="95"/>
    <n v="0.478183512929947"/>
    <n v="585"/>
    <n v="0.4932827373706217"/>
    <n v="22"/>
    <n v="0.4866933081865556"/>
    <n v="302"/>
    <n v="0.4911310234127298"/>
    <n v="28"/>
    <n v="0.4593186476492211"/>
    <n v="0.056"/>
    <n v="43"/>
    <n v="0.5761680072276905"/>
    <n v="0.1131578947368421"/>
    <n v="42"/>
    <n v="0.4350160208823468"/>
    <n v="0.12"/>
    <n v="0"/>
    <s v=""/>
    <n v="0"/>
    <n v="0"/>
    <s v=""/>
    <n v="0"/>
    <m/>
    <m/>
    <m/>
    <m/>
    <m/>
    <m/>
    <m/>
    <m/>
    <m/>
    <m/>
    <m/>
    <m/>
    <n v="580"/>
    <n v="1154"/>
    <n v="580"/>
    <n v="0"/>
    <n v="0"/>
    <n v="0"/>
    <n v="4243770"/>
    <n v="6091389.000000001"/>
    <n v="2690040"/>
    <n v="0"/>
    <n v="2263"/>
    <n v="10495794"/>
    <n v="4630252.100840337"/>
    <n v="520"/>
    <n v="587"/>
    <n v="33"/>
    <n v="1000"/>
    <n v="1000"/>
    <n v="0"/>
    <n v="1683594"/>
    <n v="3098479.5"/>
    <n v="153054"/>
    <n v="0"/>
    <n v="2263"/>
    <n v="10495794"/>
    <n v="263445.3781512605"/>
    <n v="590"/>
    <n v="2565"/>
    <n v="302"/>
    <n v="0"/>
    <n v="0"/>
    <n v="3536370"/>
    <n v="11896470"/>
    <n v="1400676"/>
    <n v="0"/>
    <n v="2263"/>
    <n v="10495794"/>
    <n v="2869000"/>
    <n v="500"/>
    <n v="2249"/>
    <n v="28"/>
    <n v="1000"/>
    <n v="0"/>
    <n v="11871346.5"/>
    <n v="129864"/>
    <n v="5278500.000000001"/>
    <n v="0"/>
    <n v="2263"/>
    <n v="10495794"/>
    <n v="266000"/>
    <n v="380"/>
    <n v="2306"/>
    <n v="380"/>
    <m/>
    <n v="0"/>
    <n v="0"/>
    <n v="10695228"/>
    <n v="2005830"/>
    <n v="0"/>
    <n v="0"/>
    <n v="2263"/>
    <n v="10495794"/>
    <n v="3610000"/>
    <n v="350"/>
    <n v="2305"/>
    <n v="42"/>
    <m/>
    <n v="0"/>
    <n v="0"/>
    <n v="10690590"/>
    <n v="221697"/>
    <n v="0"/>
    <n v="0"/>
    <n v="2305"/>
    <n v="10495794"/>
    <n v="399000"/>
    <n v="50"/>
    <n v="2263"/>
    <n v="0"/>
    <n v="1000"/>
    <n v="1000"/>
    <n v="0"/>
    <n v="10495794"/>
    <n v="0"/>
    <n v="5102550.000000001"/>
    <n v="0"/>
    <n v="2263"/>
    <n v="10495794"/>
    <n v="0"/>
    <n v="50"/>
    <n v="2263"/>
    <n v="50"/>
    <n v="0"/>
    <n v="0"/>
    <n v="0"/>
    <n v="10495794"/>
    <n v="263925.0000000001"/>
    <n v="0"/>
    <n v="0"/>
    <n v="2263"/>
    <n v="10495794"/>
    <n v="475000"/>
    <n v="50"/>
    <n v="2213"/>
    <n v="50"/>
    <n v="0"/>
    <n v="0"/>
    <n v="0"/>
    <n v="11681320.5"/>
    <n v="263925.0000000001"/>
    <n v="0"/>
    <n v="0"/>
    <n v="2213"/>
    <n v="11681320.5"/>
    <n v="475000"/>
    <n v="50"/>
    <n v="2163"/>
    <n v="50"/>
    <n v="0"/>
    <n v="0"/>
    <n v="0"/>
    <m/>
    <n v="11417395.5"/>
    <n v="263925.0000000001"/>
    <n v="0"/>
    <n v="0"/>
    <n v="2163"/>
    <n v="11417395.5"/>
    <n v="419747.8991596638"/>
    <n v="50"/>
    <n v="2113"/>
    <n v="50"/>
    <n v="0"/>
    <n v="0"/>
    <n v="11153470.5"/>
    <n v="263925.0000000001"/>
    <n v="0"/>
    <n v="0"/>
    <n v="2113"/>
    <n v="11153470.5"/>
    <n v="440735.294117647"/>
    <n v="50"/>
    <n v="2063"/>
    <n v="50"/>
    <n v="0"/>
    <n v="0"/>
    <n v="10889545.5"/>
    <n v="263925.0000000001"/>
    <n v="0"/>
    <n v="2063"/>
    <n v="10889545.5"/>
    <n v="475000"/>
    <n v="30"/>
    <n v="2013"/>
    <n v="30"/>
    <n v="0"/>
    <m/>
    <n v="10625620.5"/>
    <n v="139140"/>
    <n v="0"/>
    <n v="2013"/>
    <n v="10625620.5"/>
    <n v="285000"/>
  </r>
  <r>
    <s v="Lhotse-Audio Menor"/>
    <x v="4"/>
    <x v="15"/>
    <x v="36"/>
    <n v="68658868763602"/>
    <x v="198"/>
    <x v="188"/>
    <x v="0"/>
    <x v="1"/>
    <n v="1"/>
    <x v="104"/>
    <n v="2419"/>
    <m/>
    <n v="0"/>
    <n v="4708"/>
    <n v="11388652"/>
    <n v="5.100000000000001"/>
    <n v="5571.750000000001"/>
    <n v="9500"/>
    <n v="8394.957983193277"/>
    <s v="Shenzhen"/>
    <s v="20/80 Credit"/>
    <n v="30"/>
    <n v="1000"/>
    <n v="503"/>
    <n v="0.3606369344694459"/>
    <n v="313"/>
    <n v="0.365385961067986"/>
    <n v="429"/>
    <n v="0.3720994625555269"/>
    <n v="969"/>
    <n v="0.3692012257454234"/>
    <n v="464"/>
    <n v="0.3743090273595796"/>
    <n v="318"/>
    <n v="0.3735973563747491"/>
    <n v="1171"/>
    <n v="0.3676943736977534"/>
    <n v="152"/>
    <n v="0.376890439214531"/>
    <n v="302"/>
    <n v="0.3721319034793662"/>
    <n v="921"/>
    <n v="0.3686009736475608"/>
    <n v="2206"/>
    <n v="0.3874041038350883"/>
    <n v="58"/>
    <n v="0.4189494924382468"/>
    <n v="2"/>
    <n v="0.5514843220297305"/>
    <n v="4"/>
    <n v="0.2968059425565861"/>
    <n v="253"/>
    <n v="0.4877555163232641"/>
    <n v="23"/>
    <n v="0.4483748807289396"/>
    <n v="0.05111111111111111"/>
    <n v="12"/>
    <n v="0.5603842455324946"/>
    <n v="0.02553191489361702"/>
    <n v="30"/>
    <n v="0.3988487282158255"/>
    <n v="0.07058823529411765"/>
    <n v="0"/>
    <s v=""/>
    <n v="0"/>
    <n v="0"/>
    <s v=""/>
    <n v="0"/>
    <m/>
    <m/>
    <m/>
    <m/>
    <m/>
    <m/>
    <m/>
    <m/>
    <m/>
    <m/>
    <m/>
    <m/>
    <n v="0"/>
    <n v="17"/>
    <n v="0"/>
    <n v="0"/>
    <n v="0"/>
    <n v="0"/>
    <n v="1219372"/>
    <n v="89734.50000000001"/>
    <n v="0"/>
    <n v="0"/>
    <n v="2419"/>
    <n v="11388652"/>
    <n v="0"/>
    <n v="500"/>
    <n v="22"/>
    <n v="6"/>
    <n v="500"/>
    <n v="500"/>
    <n v="0"/>
    <n v="1327656"/>
    <n v="116127"/>
    <n v="28248"/>
    <n v="0"/>
    <n v="2419"/>
    <n v="11388652"/>
    <n v="47899.15966386555"/>
    <n v="500"/>
    <n v="2672"/>
    <n v="253"/>
    <n v="0"/>
    <n v="0"/>
    <n v="3780303"/>
    <n v="12579776"/>
    <n v="1191124"/>
    <n v="0"/>
    <n v="2419"/>
    <n v="11388652"/>
    <n v="2403500"/>
    <n v="450"/>
    <n v="1735"/>
    <n v="23"/>
    <n v="1500"/>
    <n v="0"/>
    <n v="9158197.500000002"/>
    <n v="108284"/>
    <n v="7917750.000000001"/>
    <n v="0"/>
    <n v="2419"/>
    <n v="11388652"/>
    <n v="218500"/>
    <n v="470"/>
    <n v="2431"/>
    <n v="470"/>
    <m/>
    <n v="0"/>
    <n v="0"/>
    <n v="11445148"/>
    <n v="2480895"/>
    <n v="0"/>
    <n v="0"/>
    <n v="2419"/>
    <n v="11388652"/>
    <n v="4465000"/>
    <n v="425"/>
    <n v="2449"/>
    <n v="30"/>
    <m/>
    <n v="0"/>
    <n v="0"/>
    <n v="11529892"/>
    <n v="158355"/>
    <n v="0"/>
    <n v="0"/>
    <n v="2449"/>
    <n v="11388652"/>
    <n v="285000"/>
    <n v="40"/>
    <n v="2419"/>
    <n v="0"/>
    <n v="1000"/>
    <n v="1000"/>
    <n v="0"/>
    <n v="11388652"/>
    <n v="0"/>
    <n v="5102550.000000001"/>
    <n v="0"/>
    <n v="2419"/>
    <n v="11388652"/>
    <n v="0"/>
    <n v="40"/>
    <n v="2419"/>
    <n v="40"/>
    <n v="0"/>
    <n v="0"/>
    <n v="0"/>
    <n v="11388652"/>
    <n v="211140"/>
    <n v="0"/>
    <n v="0"/>
    <n v="2419"/>
    <n v="11388652"/>
    <n v="380000"/>
    <n v="40"/>
    <n v="2379"/>
    <n v="40"/>
    <n v="0"/>
    <n v="0"/>
    <n v="0"/>
    <n v="12557551.5"/>
    <n v="211140"/>
    <n v="0"/>
    <n v="0"/>
    <n v="2379"/>
    <n v="12557551.5"/>
    <n v="380000"/>
    <n v="40"/>
    <n v="2339"/>
    <n v="40"/>
    <n v="0"/>
    <n v="0"/>
    <n v="0"/>
    <m/>
    <n v="12346411.5"/>
    <n v="211140"/>
    <n v="0"/>
    <n v="0"/>
    <n v="2339"/>
    <n v="12346411.5"/>
    <n v="335798.3193277311"/>
    <n v="40"/>
    <n v="2299"/>
    <n v="40"/>
    <n v="0"/>
    <n v="0"/>
    <n v="12135271.5"/>
    <n v="211140"/>
    <n v="0"/>
    <n v="0"/>
    <n v="2299"/>
    <n v="12135271.5"/>
    <n v="352588.2352941177"/>
    <n v="40"/>
    <n v="2259"/>
    <n v="40"/>
    <n v="0"/>
    <n v="0"/>
    <n v="11924131.5"/>
    <n v="211140"/>
    <n v="0"/>
    <n v="2259"/>
    <n v="11924131.5"/>
    <n v="380000"/>
    <n v="24"/>
    <n v="2219"/>
    <n v="24"/>
    <n v="0"/>
    <m/>
    <n v="11712991.5"/>
    <n v="112992"/>
    <n v="0"/>
    <n v="2219"/>
    <n v="11712991.5"/>
    <n v="228000"/>
  </r>
  <r>
    <s v="Lhotse-Audio Menor"/>
    <x v="4"/>
    <x v="15"/>
    <x v="36"/>
    <s v="LHAUDFIBUD-BK"/>
    <x v="199"/>
    <x v="189"/>
    <x v="0"/>
    <x v="3"/>
    <n v="1"/>
    <x v="105"/>
    <n v="25"/>
    <m/>
    <n v="0"/>
    <n v="4766"/>
    <n v="119150"/>
    <n v="5.8"/>
    <n v="6336.499999999999"/>
    <n v="14277.31092436975"/>
    <n v="10915.96638655462"/>
    <s v="Shenzhen"/>
    <s v="30/70"/>
    <n v="30"/>
    <n v="300"/>
    <n v="7"/>
    <n v="0.5347488910205401"/>
    <n v="27"/>
    <n v="0.4701034981246504"/>
    <n v="45"/>
    <n v="0.5382060658129043"/>
    <n v="40"/>
    <n v="0.5330057253489557"/>
    <n v="55"/>
    <n v="0.5561249179363249"/>
    <n v="80"/>
    <n v="0.5447379429002762"/>
    <n v="20"/>
    <n v="0.5559898686330733"/>
    <n v="11"/>
    <n v="0.6333924096818676"/>
    <n v="21"/>
    <n v="0.6615529314565941"/>
    <n v="63"/>
    <n v="0.6234509808362674"/>
    <n v="28"/>
    <n v="0.6262765601727524"/>
    <n v="55"/>
    <n v="0.6396998234132321"/>
    <n v="69"/>
    <n v="0.4314920951766975"/>
    <n v="20"/>
    <n v="0.5462120160597235"/>
    <n v="27"/>
    <n v="0.5652369974536182"/>
    <n v="25"/>
    <n v="0.5998821502484656"/>
    <n v="0.7142857142857143"/>
    <n v="35"/>
    <n v="0.637686711407926"/>
    <n v="0.7"/>
    <n v="73"/>
    <n v="0.4811791313145637"/>
    <n v="1.216666666666667"/>
    <n v="40"/>
    <n v="0.633509846790831"/>
    <n v="1"/>
    <n v="18"/>
    <n v="0.6453095370480244"/>
    <n v="0.4"/>
    <m/>
    <m/>
    <m/>
    <m/>
    <m/>
    <m/>
    <m/>
    <m/>
    <m/>
    <m/>
    <m/>
    <m/>
    <n v="40"/>
    <n v="331"/>
    <n v="40"/>
    <n v="0"/>
    <n v="200"/>
    <n v="0"/>
    <n v="462302"/>
    <n v="1986993"/>
    <n v="190640"/>
    <n v="0"/>
    <n v="25"/>
    <n v="119150"/>
    <n v="479909.6109031849"/>
    <n v="40"/>
    <n v="264"/>
    <n v="30"/>
    <n v="0"/>
    <n v="0"/>
    <n v="0"/>
    <n v="390812"/>
    <n v="1584792"/>
    <n v="142980"/>
    <n v="0"/>
    <n v="25"/>
    <n v="119150"/>
    <n v="359932.2081773886"/>
    <n v="36"/>
    <n v="244"/>
    <n v="27"/>
    <n v="0"/>
    <n v="0"/>
    <n v="547982"/>
    <n v="1162904"/>
    <n v="128682"/>
    <n v="0"/>
    <n v="25"/>
    <n v="119150"/>
    <n v="385487.3949579832"/>
    <n v="35"/>
    <n v="216"/>
    <n v="25"/>
    <n v="0"/>
    <n v="0"/>
    <n v="1296648"/>
    <n v="119150"/>
    <n v="0"/>
    <n v="0"/>
    <n v="25"/>
    <n v="119150"/>
    <n v="356932.7731092437"/>
    <n v="50"/>
    <n v="60"/>
    <n v="50"/>
    <m/>
    <n v="0"/>
    <n v="0"/>
    <n v="285960"/>
    <n v="300149.9999999999"/>
    <n v="0"/>
    <n v="0"/>
    <n v="25"/>
    <n v="119150"/>
    <n v="713865.5462184874"/>
    <n v="60"/>
    <n v="98"/>
    <n v="73"/>
    <m/>
    <n v="0"/>
    <n v="0"/>
    <n v="467068"/>
    <n v="438218.9999999999"/>
    <n v="0"/>
    <n v="0"/>
    <n v="98"/>
    <n v="119150"/>
    <n v="1042243.697478992"/>
    <n v="40"/>
    <n v="65"/>
    <n v="40"/>
    <n v="150"/>
    <n v="150"/>
    <n v="0"/>
    <n v="309790"/>
    <n v="240120"/>
    <n v="870435"/>
    <n v="0"/>
    <n v="65"/>
    <n v="119150"/>
    <n v="571092.4369747899"/>
    <n v="45"/>
    <n v="25"/>
    <n v="45"/>
    <n v="0"/>
    <n v="200"/>
    <n v="0"/>
    <n v="119150"/>
    <n v="270134.9999999999"/>
    <n v="0"/>
    <n v="0"/>
    <n v="25"/>
    <n v="119150"/>
    <n v="642478.9915966387"/>
    <n v="40"/>
    <n v="0"/>
    <n v="40"/>
    <n v="0"/>
    <n v="0"/>
    <n v="150"/>
    <n v="0"/>
    <n v="240120"/>
    <n v="0"/>
    <n v="900449.9999999999"/>
    <n v="150"/>
    <n v="900449.9999999999"/>
    <n v="571092.4369747899"/>
    <n v="60"/>
    <n v="110"/>
    <n v="60"/>
    <n v="200"/>
    <n v="200"/>
    <n v="200"/>
    <n v="0"/>
    <n v="660329.9999999999"/>
    <n v="360179.9999999999"/>
    <n v="1200600"/>
    <n v="1200600"/>
    <n v="310"/>
    <n v="1860930"/>
    <n v="654957.9831932774"/>
    <n v="50"/>
    <n v="250"/>
    <n v="50"/>
    <n v="0"/>
    <n v="0"/>
    <n v="1500750"/>
    <n v="300149.9999999999"/>
    <n v="0"/>
    <n v="0"/>
    <n v="250"/>
    <n v="1500750"/>
    <n v="573088.2352941177"/>
    <n v="90"/>
    <n v="200"/>
    <n v="90"/>
    <n v="0"/>
    <n v="0"/>
    <n v="1200600"/>
    <n v="540269.9999999999"/>
    <n v="0"/>
    <n v="200"/>
    <n v="1200600"/>
    <n v="1284957.983193277"/>
    <n v="30"/>
    <n v="110"/>
    <n v="30"/>
    <n v="0"/>
    <m/>
    <n v="660329.9999999999"/>
    <n v="142980"/>
    <n v="0"/>
    <n v="110"/>
    <n v="660329.9999999999"/>
    <n v="428319.3277310925"/>
  </r>
  <r>
    <s v="Lhotse-Audio Menor"/>
    <x v="4"/>
    <x v="15"/>
    <x v="36"/>
    <s v="LHAUDTUNAIR-BK"/>
    <x v="200"/>
    <x v="190"/>
    <x v="0"/>
    <x v="3"/>
    <n v="1.2"/>
    <x v="106"/>
    <n v="110"/>
    <m/>
    <n v="0"/>
    <n v="2593"/>
    <n v="285230"/>
    <n v="4.6"/>
    <n v="5025.5"/>
    <n v="9235.294117647059"/>
    <n v="8394.957983193277"/>
    <s v="Shenzhen"/>
    <s v="30/70"/>
    <n v="30"/>
    <n v="300"/>
    <n v="15"/>
    <n v="0.6260849963634191"/>
    <n v="13"/>
    <n v="0.5129547443148449"/>
    <n v="42"/>
    <n v="0.5206501330698874"/>
    <n v="88"/>
    <n v="0.4969294029037882"/>
    <n v="114"/>
    <n v="0.5549536161324886"/>
    <n v="1"/>
    <n v="1"/>
    <n v="4"/>
    <n v="0.5439467748182916"/>
    <n v="2"/>
    <n v="0.5415958226456578"/>
    <n v="4"/>
    <n v="0.5415949065591792"/>
    <n v="3"/>
    <n v="0.3451097151332723"/>
    <n v="0"/>
    <s v=""/>
    <n v="4"/>
    <n v="0.7636496885305973"/>
    <n v="15"/>
    <n v="0.5922693190843398"/>
    <n v="21"/>
    <n v="0.5827131489254967"/>
    <n v="45"/>
    <n v="0.5578918761512554"/>
    <n v="69"/>
    <n v="0.546550035792614"/>
    <n v="0.9857142857142858"/>
    <n v="116"/>
    <n v="0.7123108216434895"/>
    <n v="3.222222222222222"/>
    <n v="157"/>
    <n v="0.4172032519529492"/>
    <n v="1.9625"/>
    <n v="140"/>
    <n v="0.6953341154460916"/>
    <n v="2.8"/>
    <n v="42"/>
    <n v="0.6930423404655602"/>
    <n v="0.84"/>
    <m/>
    <m/>
    <m/>
    <m/>
    <m/>
    <m/>
    <m/>
    <m/>
    <m/>
    <m/>
    <m/>
    <m/>
    <n v="50"/>
    <n v="496"/>
    <n v="40"/>
    <n v="0"/>
    <n v="0"/>
    <n v="0"/>
    <n v="302084.5"/>
    <n v="2361456"/>
    <n v="103720"/>
    <n v="0"/>
    <n v="110"/>
    <n v="285230"/>
    <n v="310430.0543746911"/>
    <n v="45"/>
    <n v="481"/>
    <n v="31.5"/>
    <n v="200"/>
    <n v="0"/>
    <n v="0"/>
    <n v="377281.5"/>
    <n v="2290041"/>
    <n v="81679.5"/>
    <n v="0"/>
    <n v="110"/>
    <n v="285230"/>
    <n v="244463.6678200692"/>
    <n v="48"/>
    <n v="450"/>
    <n v="45"/>
    <n v="0"/>
    <n v="0"/>
    <n v="501277.2"/>
    <n v="1166850"/>
    <n v="116685"/>
    <n v="0"/>
    <n v="110"/>
    <n v="285230"/>
    <n v="415588.2352941177"/>
    <n v="70"/>
    <n v="610"/>
    <n v="69"/>
    <n v="0"/>
    <n v="0"/>
    <n v="2904210"/>
    <n v="178917"/>
    <n v="0"/>
    <n v="0"/>
    <n v="110"/>
    <n v="285230"/>
    <n v="637235.2941176471"/>
    <n v="36"/>
    <n v="226"/>
    <n v="43.2"/>
    <m/>
    <n v="0"/>
    <n v="0"/>
    <n v="586018"/>
    <n v="205675.2"/>
    <n v="0"/>
    <n v="0"/>
    <n v="110"/>
    <n v="285230"/>
    <n v="398964.705882353"/>
    <n v="80"/>
    <n v="267"/>
    <n v="157"/>
    <m/>
    <n v="0"/>
    <n v="0"/>
    <n v="692331"/>
    <n v="747477"/>
    <n v="0"/>
    <n v="0"/>
    <n v="267"/>
    <n v="285230"/>
    <n v="1449941.176470588"/>
    <n v="50"/>
    <n v="250"/>
    <n v="140"/>
    <n v="0"/>
    <n v="0"/>
    <n v="0"/>
    <n v="648250"/>
    <n v="666540"/>
    <n v="0"/>
    <n v="0"/>
    <n v="250"/>
    <n v="285230"/>
    <n v="1292941.176470588"/>
    <n v="50"/>
    <n v="110"/>
    <n v="60"/>
    <n v="0"/>
    <n v="0"/>
    <n v="0"/>
    <n v="285230"/>
    <n v="285660"/>
    <n v="0"/>
    <n v="0"/>
    <n v="110"/>
    <n v="285230"/>
    <n v="554117.6470588236"/>
    <n v="40"/>
    <n v="50"/>
    <n v="48"/>
    <n v="0"/>
    <n v="0"/>
    <n v="0"/>
    <n v="238050"/>
    <n v="228528"/>
    <n v="0"/>
    <n v="0"/>
    <n v="50"/>
    <n v="238050"/>
    <n v="443294.1176470589"/>
    <n v="120"/>
    <n v="2"/>
    <n v="2"/>
    <n v="0"/>
    <n v="0"/>
    <n v="0"/>
    <m/>
    <n v="9522"/>
    <n v="9522"/>
    <n v="0"/>
    <n v="0"/>
    <n v="2"/>
    <n v="9522"/>
    <n v="16789.91596638655"/>
    <n v="70"/>
    <n v="0"/>
    <n v="84"/>
    <n v="500"/>
    <n v="500"/>
    <n v="0"/>
    <n v="399924"/>
    <n v="2380500"/>
    <n v="2380500"/>
    <n v="500"/>
    <n v="2380500"/>
    <n v="740435.2941176471"/>
    <n v="150"/>
    <n v="416"/>
    <n v="180"/>
    <n v="0"/>
    <n v="0"/>
    <n v="1980576"/>
    <n v="856980"/>
    <n v="0"/>
    <n v="416"/>
    <n v="1980576"/>
    <n v="1662352.941176471"/>
    <n v="42"/>
    <n v="236"/>
    <n v="50.4"/>
    <n v="0"/>
    <m/>
    <n v="1123596"/>
    <n v="130687.2"/>
    <n v="0"/>
    <n v="236"/>
    <n v="1123596"/>
    <n v="465458.8235294118"/>
  </r>
  <r>
    <s v="Lhotse-Audio Menor"/>
    <x v="4"/>
    <x v="15"/>
    <x v="36"/>
    <s v="LHHEDBEMA"/>
    <x v="201"/>
    <x v="191"/>
    <x v="0"/>
    <x v="1"/>
    <n v="1"/>
    <x v="107"/>
    <n v="637"/>
    <m/>
    <n v="0"/>
    <n v="8551"/>
    <n v="5446987"/>
    <n v="8.199999999999999"/>
    <n v="8958.499999999998"/>
    <n v="18478.99159663866"/>
    <n v="16798.31932773109"/>
    <s v="Shenzhen"/>
    <s v="30/70"/>
    <n v="45"/>
    <n v="1000"/>
    <n v="15"/>
    <n v="0.5771681485858779"/>
    <n v="41"/>
    <n v="0.5383638080255733"/>
    <n v="97"/>
    <n v="0.543617731238349"/>
    <n v="80"/>
    <n v="0.5258880548012903"/>
    <n v="81"/>
    <n v="0.3677022519929081"/>
    <n v="95"/>
    <n v="0.4971426103492972"/>
    <n v="141"/>
    <n v="0.4834779049722371"/>
    <n v="54"/>
    <n v="0.5141776440267081"/>
    <n v="46"/>
    <n v="0.5160043860550709"/>
    <n v="243"/>
    <n v="0.4457404960332642"/>
    <n v="145"/>
    <n v="0.4748537835993065"/>
    <n v="244"/>
    <n v="0.4672125596319324"/>
    <n v="91"/>
    <n v="0.2588478089413043"/>
    <n v="172"/>
    <n v="0.1867212895833107"/>
    <n v="134"/>
    <n v="0.2563660070270701"/>
    <n v="46"/>
    <n v="0.360236776165408"/>
    <n v="0.5111111111111111"/>
    <n v="121"/>
    <n v="0.4278057382151127"/>
    <n v="1.423529411764706"/>
    <n v="205"/>
    <n v="0.3622457529205037"/>
    <n v="1.025"/>
    <n v="49"/>
    <n v="0.5316781192617018"/>
    <n v="0.4083333333333333"/>
    <n v="21"/>
    <n v="0.4622164984889173"/>
    <n v="0.175"/>
    <m/>
    <m/>
    <m/>
    <m/>
    <m/>
    <m/>
    <m/>
    <m/>
    <m/>
    <m/>
    <m/>
    <m/>
    <n v="80"/>
    <n v="490"/>
    <n v="80"/>
    <n v="0"/>
    <n v="0"/>
    <n v="0"/>
    <n v="4036072"/>
    <n v="4158629.999999999"/>
    <n v="684080"/>
    <n v="0"/>
    <n v="637"/>
    <n v="5446987"/>
    <n v="1242285.149353859"/>
    <n v="70"/>
    <n v="388"/>
    <n v="258"/>
    <n v="0"/>
    <n v="0"/>
    <n v="0"/>
    <n v="3745338"/>
    <n v="3292955.999999999"/>
    <n v="2206158"/>
    <n v="0"/>
    <n v="637"/>
    <n v="5446987"/>
    <n v="4006369.606666197"/>
    <n v="200"/>
    <n v="149"/>
    <n v="134"/>
    <n v="0"/>
    <n v="0"/>
    <n v="2260575"/>
    <n v="1274099"/>
    <n v="1145834"/>
    <n v="0"/>
    <n v="637"/>
    <n v="5446987"/>
    <n v="2476184.87394958"/>
    <n v="90"/>
    <n v="580"/>
    <n v="46"/>
    <n v="1000"/>
    <n v="0"/>
    <n v="4922459.999999999"/>
    <n v="393346"/>
    <n v="8486999.999999998"/>
    <n v="0"/>
    <n v="637"/>
    <n v="5446987"/>
    <n v="850033.6134453783"/>
    <n v="85"/>
    <n v="758"/>
    <n v="85"/>
    <m/>
    <n v="1000"/>
    <n v="0"/>
    <n v="6481658"/>
    <n v="721394.9999999999"/>
    <n v="0"/>
    <n v="0"/>
    <n v="637"/>
    <n v="5446987"/>
    <n v="1570714.285714286"/>
    <n v="200"/>
    <n v="842"/>
    <n v="205"/>
    <m/>
    <n v="500"/>
    <n v="0"/>
    <n v="7199942"/>
    <n v="1739835"/>
    <n v="0"/>
    <n v="0"/>
    <n v="842"/>
    <n v="5446987"/>
    <n v="3788193.277310925"/>
    <n v="120"/>
    <n v="686"/>
    <n v="49"/>
    <n v="0"/>
    <n v="0"/>
    <n v="0"/>
    <n v="5865986"/>
    <n v="415862.9999999999"/>
    <n v="0"/>
    <n v="0"/>
    <n v="686"/>
    <n v="5446987"/>
    <n v="905470.5882352942"/>
    <n v="120"/>
    <n v="637"/>
    <n v="120"/>
    <n v="0"/>
    <n v="0"/>
    <n v="0"/>
    <n v="5446987"/>
    <n v="1018440"/>
    <n v="0"/>
    <n v="0"/>
    <n v="637"/>
    <n v="5446987"/>
    <n v="2217478.991596639"/>
    <n v="80"/>
    <n v="517"/>
    <n v="80"/>
    <n v="0"/>
    <n v="0"/>
    <n v="0"/>
    <n v="4387778.999999999"/>
    <n v="678959.9999999999"/>
    <n v="0"/>
    <n v="0"/>
    <n v="517"/>
    <n v="4387778.999999999"/>
    <n v="1478319.327731093"/>
    <n v="250"/>
    <n v="437"/>
    <n v="250"/>
    <n v="0"/>
    <n v="0"/>
    <n v="0"/>
    <m/>
    <n v="3708818.999999999"/>
    <n v="2121750"/>
    <n v="0"/>
    <n v="0"/>
    <n v="437"/>
    <n v="3708818.999999999"/>
    <n v="4199579.831932773"/>
    <n v="150"/>
    <n v="187"/>
    <n v="150"/>
    <n v="0"/>
    <n v="0"/>
    <n v="1587069"/>
    <n v="1273050"/>
    <n v="0"/>
    <n v="0"/>
    <n v="187"/>
    <n v="1587069"/>
    <n v="2645735.294117647"/>
    <n v="250"/>
    <n v="37"/>
    <n v="250"/>
    <n v="0"/>
    <n v="0"/>
    <n v="314018.9999999999"/>
    <n v="2121750"/>
    <n v="0"/>
    <n v="37"/>
    <n v="314018.9999999999"/>
    <n v="4619747.899159664"/>
    <n v="90"/>
    <n v="0"/>
    <n v="90"/>
    <n v="0"/>
    <m/>
    <n v="0"/>
    <n v="769590"/>
    <n v="0"/>
    <n v="0"/>
    <n v="0"/>
    <n v="1663109.243697479"/>
  </r>
  <r>
    <s v="Lhotse-Audio Menor"/>
    <x v="4"/>
    <x v="15"/>
    <x v="36"/>
    <s v="LHHEDBEMA"/>
    <x v="202"/>
    <x v="192"/>
    <x v="0"/>
    <x v="1"/>
    <n v="0.8"/>
    <x v="108"/>
    <n v="18"/>
    <m/>
    <n v="0"/>
    <n v="9467"/>
    <n v="170406"/>
    <n v="8.199999999999999"/>
    <n v="8958.499999999998"/>
    <n v="18478.99159663866"/>
    <n v="16798.31932773109"/>
    <s v="Shenzhen"/>
    <s v="30/70"/>
    <n v="45"/>
    <n v="1000"/>
    <n v="11"/>
    <n v="0.5892659117532215"/>
    <n v="11"/>
    <n v="0.5149600368890256"/>
    <n v="27"/>
    <n v="0.5610381003736876"/>
    <n v="31"/>
    <n v="0.5110088824980961"/>
    <n v="29"/>
    <n v="0.4076211919500969"/>
    <n v="57"/>
    <n v="0.4764877943565184"/>
    <n v="32"/>
    <n v="0.4337852118137282"/>
    <n v="37"/>
    <n v="0.5340214514104699"/>
    <n v="50"/>
    <n v="0.3586965147129297"/>
    <n v="108"/>
    <n v="0.4519980194370845"/>
    <n v="61"/>
    <n v="0.4961192491715136"/>
    <n v="86"/>
    <n v="0.4848751516087537"/>
    <n v="25"/>
    <n v="0.3086741828880224"/>
    <n v="27"/>
    <n v="0.3289736029890136"/>
    <n v="123"/>
    <n v="0.3157181263143571"/>
    <n v="18"/>
    <n v="0.3206146105626472"/>
    <n v="0.5142857142857142"/>
    <n v="22"/>
    <n v="0.4511906786416538"/>
    <n v="0.5238095238095238"/>
    <n v="26"/>
    <n v="0.21610272048941"/>
    <n v="0.4727272727272727"/>
    <n v="10"/>
    <n v="0.5234586539315671"/>
    <n v="0.1666666666666667"/>
    <n v="0"/>
    <s v=""/>
    <n v="0"/>
    <m/>
    <m/>
    <m/>
    <m/>
    <m/>
    <m/>
    <m/>
    <m/>
    <m/>
    <m/>
    <m/>
    <m/>
    <n v="35"/>
    <n v="250"/>
    <n v="35"/>
    <n v="0"/>
    <n v="0"/>
    <n v="0"/>
    <n v="1879199.5"/>
    <n v="2121750"/>
    <n v="331345"/>
    <n v="0"/>
    <n v="18"/>
    <n v="170406"/>
    <n v="543499.7528423135"/>
    <n v="35"/>
    <n v="237"/>
    <n v="40.5"/>
    <n v="0"/>
    <n v="0"/>
    <n v="0"/>
    <n v="1718260.5"/>
    <n v="2011419"/>
    <n v="383413.5"/>
    <n v="0"/>
    <n v="18"/>
    <n v="170406"/>
    <n v="628906.8568603913"/>
    <n v="55"/>
    <n v="199"/>
    <n v="123"/>
    <n v="0"/>
    <n v="0"/>
    <n v="1620010.2"/>
    <n v="1883933"/>
    <n v="1164441"/>
    <n v="0"/>
    <n v="18"/>
    <n v="170406"/>
    <n v="2272915.966386555"/>
    <n v="35"/>
    <n v="87"/>
    <n v="18"/>
    <n v="0"/>
    <n v="0"/>
    <n v="738368.9999999999"/>
    <n v="170406"/>
    <n v="0"/>
    <n v="0"/>
    <n v="18"/>
    <n v="170406"/>
    <n v="332621.8487394959"/>
    <n v="42"/>
    <n v="40"/>
    <n v="33.6"/>
    <m/>
    <n v="0"/>
    <n v="0"/>
    <n v="378680"/>
    <n v="285163.2"/>
    <n v="0"/>
    <n v="0"/>
    <n v="18"/>
    <n v="170406"/>
    <n v="620894.1176470589"/>
    <n v="55"/>
    <n v="44"/>
    <n v="26"/>
    <m/>
    <n v="0"/>
    <n v="0"/>
    <n v="416548"/>
    <n v="220661.9999999999"/>
    <n v="0"/>
    <n v="0"/>
    <n v="44"/>
    <n v="170406"/>
    <n v="480453.7815126051"/>
    <n v="60"/>
    <n v="28"/>
    <n v="10"/>
    <n v="0"/>
    <n v="0"/>
    <n v="0"/>
    <n v="265076"/>
    <n v="84869.99999999999"/>
    <n v="0"/>
    <n v="0"/>
    <n v="28"/>
    <n v="170406"/>
    <n v="184789.9159663866"/>
    <n v="45"/>
    <n v="18"/>
    <n v="36"/>
    <n v="0"/>
    <n v="0"/>
    <n v="0"/>
    <n v="170406"/>
    <n v="305531.9999999999"/>
    <n v="0"/>
    <n v="0"/>
    <n v="18"/>
    <n v="170406"/>
    <n v="665243.6974789917"/>
    <n v="45"/>
    <n v="0"/>
    <n v="36"/>
    <n v="0"/>
    <n v="0"/>
    <n v="0"/>
    <n v="0"/>
    <n v="305531.9999999999"/>
    <n v="0"/>
    <n v="0"/>
    <n v="0"/>
    <n v="0"/>
    <n v="665243.6974789917"/>
    <n v="120"/>
    <n v="0"/>
    <n v="0"/>
    <n v="0"/>
    <n v="0"/>
    <n v="0"/>
    <m/>
    <n v="0"/>
    <n v="0"/>
    <n v="0"/>
    <n v="0"/>
    <n v="0"/>
    <n v="0"/>
    <n v="0"/>
    <n v="70"/>
    <n v="0"/>
    <n v="56"/>
    <n v="0"/>
    <n v="0"/>
    <n v="0"/>
    <n v="475271.9999999999"/>
    <n v="0"/>
    <n v="0"/>
    <n v="0"/>
    <n v="0"/>
    <n v="987741.1764705883"/>
    <n v="100"/>
    <n v="0"/>
    <n v="80"/>
    <n v="0"/>
    <n v="0"/>
    <n v="0"/>
    <n v="678959.9999999999"/>
    <n v="0"/>
    <n v="0"/>
    <n v="0"/>
    <n v="1478319.327731093"/>
    <n v="42"/>
    <n v="0"/>
    <n v="33.6"/>
    <n v="0"/>
    <m/>
    <n v="0"/>
    <n v="318091.2"/>
    <n v="0"/>
    <n v="0"/>
    <n v="0"/>
    <n v="620894.1176470589"/>
  </r>
  <r>
    <s v="Lhotse-Audio Menor"/>
    <x v="4"/>
    <x v="15"/>
    <x v="36"/>
    <s v="LHHEDWEPR"/>
    <x v="203"/>
    <x v="193"/>
    <x v="0"/>
    <x v="3"/>
    <n v="0.6"/>
    <x v="109"/>
    <n v="867"/>
    <m/>
    <n v="0"/>
    <n v="5857"/>
    <n v="5078019"/>
    <n v="6.2"/>
    <n v="6773.499999999999"/>
    <n v="12596.63865546219"/>
    <n v="12596.63865546219"/>
    <s v="Shenzhen"/>
    <s v="30/70"/>
    <n v="30"/>
    <n v="1000"/>
    <n v="2"/>
    <n v="0.6030505642624917"/>
    <n v="17"/>
    <n v="0.5096201390887195"/>
    <n v="17"/>
    <n v="0.5528070195048342"/>
    <n v="11"/>
    <n v="0.4966483247788604"/>
    <n v="22"/>
    <n v="0.5876042148031283"/>
    <n v="36"/>
    <n v="0.5104264313925321"/>
    <n v="55"/>
    <n v="0.4571853166875096"/>
    <n v="156"/>
    <n v="0.4429888519314416"/>
    <n v="100"/>
    <n v="0.430036159308054"/>
    <n v="211"/>
    <n v="0.3811520534932222"/>
    <n v="198"/>
    <n v="0.3986282949737506"/>
    <n v="165"/>
    <n v="0.4098987143822438"/>
    <n v="9"/>
    <n v="0.4120312968271945"/>
    <n v="9"/>
    <n v="0.4303970441823981"/>
    <n v="27"/>
    <n v="0.4508467314767887"/>
    <n v="12"/>
    <n v="0.480017008962576"/>
    <n v="0.12"/>
    <n v="19"/>
    <n v="0.5370090452920202"/>
    <n v="0.2375"/>
    <n v="58"/>
    <n v="0.3599962012931068"/>
    <n v="0.29"/>
    <n v="17"/>
    <n v="0.5587738230891257"/>
    <n v="0.1416666666666667"/>
    <n v="18"/>
    <n v="0.5451762097208631"/>
    <n v="0.12"/>
    <m/>
    <m/>
    <m/>
    <m/>
    <m/>
    <m/>
    <m/>
    <m/>
    <m/>
    <m/>
    <m/>
    <m/>
    <n v="100"/>
    <n v="13"/>
    <n v="13"/>
    <n v="800"/>
    <n v="300"/>
    <n v="0"/>
    <n v="313349.5"/>
    <n v="83420.99999999999"/>
    <n v="76141"/>
    <n v="0"/>
    <n v="867"/>
    <n v="5078019"/>
    <n v="137610.3382529482"/>
    <n v="10"/>
    <n v="16"/>
    <n v="13.5"/>
    <n v="0"/>
    <n v="0"/>
    <n v="0"/>
    <n v="307492.5"/>
    <n v="102672"/>
    <n v="79069.5"/>
    <n v="0"/>
    <n v="867"/>
    <n v="5078019"/>
    <n v="142903.0435703693"/>
    <n v="210"/>
    <n v="297"/>
    <n v="27"/>
    <n v="0"/>
    <n v="0"/>
    <n v="536439"/>
    <n v="1739529"/>
    <n v="158139"/>
    <n v="0"/>
    <n v="867"/>
    <n v="5078019"/>
    <n v="340109.243697479"/>
    <n v="100"/>
    <n v="733"/>
    <n v="12"/>
    <n v="0"/>
    <n v="0"/>
    <n v="4703660.999999999"/>
    <n v="70284"/>
    <n v="0"/>
    <n v="0"/>
    <n v="867"/>
    <n v="5078019"/>
    <n v="151159.6638655462"/>
    <n v="80"/>
    <n v="886"/>
    <n v="48"/>
    <m/>
    <n v="0"/>
    <n v="0"/>
    <n v="5189302"/>
    <n v="308015.9999999999"/>
    <n v="0"/>
    <n v="0"/>
    <n v="867"/>
    <n v="5078019"/>
    <n v="604638.6554621849"/>
    <n v="200"/>
    <n v="925"/>
    <n v="58"/>
    <m/>
    <n v="0"/>
    <n v="0"/>
    <n v="5417725"/>
    <n v="372185.9999999999"/>
    <n v="0"/>
    <n v="0"/>
    <n v="925"/>
    <n v="5078019"/>
    <n v="730605.0420168068"/>
    <n v="120"/>
    <n v="884"/>
    <n v="17"/>
    <n v="0"/>
    <n v="200"/>
    <n v="0"/>
    <n v="5177588"/>
    <n v="109089"/>
    <n v="0"/>
    <n v="0"/>
    <n v="884"/>
    <n v="5078019"/>
    <n v="214142.8571428572"/>
    <n v="150"/>
    <n v="867"/>
    <n v="90"/>
    <n v="0"/>
    <n v="0"/>
    <n v="0"/>
    <n v="5078019"/>
    <n v="577529.9999999999"/>
    <n v="0"/>
    <n v="0"/>
    <n v="867"/>
    <n v="5078019"/>
    <n v="1133697.478991597"/>
    <n v="100"/>
    <n v="777"/>
    <n v="60"/>
    <n v="0"/>
    <n v="0"/>
    <n v="0"/>
    <n v="4986008.999999999"/>
    <n v="385019.9999999999"/>
    <n v="0"/>
    <n v="0"/>
    <n v="777"/>
    <n v="4986008.999999999"/>
    <n v="755798.3193277312"/>
    <n v="150"/>
    <n v="717"/>
    <n v="90"/>
    <n v="0"/>
    <n v="0"/>
    <n v="0"/>
    <m/>
    <n v="4600988.999999999"/>
    <n v="577529.9999999999"/>
    <n v="0"/>
    <n v="0"/>
    <n v="717"/>
    <n v="4600988.999999999"/>
    <n v="1133697.478991597"/>
    <n v="120"/>
    <n v="627"/>
    <n v="72"/>
    <n v="0"/>
    <n v="0"/>
    <n v="4023459"/>
    <n v="462023.9999999999"/>
    <n v="0"/>
    <n v="0"/>
    <n v="627"/>
    <n v="4023459"/>
    <n v="952305.8823529413"/>
    <n v="200"/>
    <n v="555"/>
    <n v="120"/>
    <n v="0"/>
    <n v="0"/>
    <n v="3561435"/>
    <n v="770039.9999999999"/>
    <n v="0"/>
    <n v="555"/>
    <n v="3561435"/>
    <n v="1511596.638655462"/>
    <n v="72"/>
    <n v="435"/>
    <n v="43.2"/>
    <n v="0"/>
    <m/>
    <n v="2791395"/>
    <n v="253022.4"/>
    <n v="0"/>
    <n v="435"/>
    <n v="2791395"/>
    <n v="544174.7899159663"/>
  </r>
  <r>
    <s v="Lhotse-Audio Menor"/>
    <x v="4"/>
    <x v="15"/>
    <x v="36"/>
    <s v="LHHEDWEPR"/>
    <x v="204"/>
    <x v="194"/>
    <x v="0"/>
    <x v="1"/>
    <n v="0.6"/>
    <x v="110"/>
    <n v="161"/>
    <m/>
    <n v="0"/>
    <n v="6668"/>
    <n v="1073548"/>
    <n v="6.2"/>
    <n v="6773.499999999999"/>
    <n v="12596.63865546219"/>
    <n v="12596.63865546219"/>
    <s v="Shenzhen"/>
    <s v="30/70"/>
    <n v="30"/>
    <n v="1000"/>
    <n v="4"/>
    <n v="0.6030524507245032"/>
    <n v="22"/>
    <n v="0.5491493834638074"/>
    <n v="17"/>
    <n v="0.5256010403038698"/>
    <n v="18"/>
    <n v="0.5527207958400704"/>
    <n v="13"/>
    <n v="0.5907715890015951"/>
    <n v="26"/>
    <n v="0.4977561381891526"/>
    <n v="35"/>
    <n v="0.4415690872655797"/>
    <n v="35"/>
    <n v="0.4417808064880359"/>
    <n v="15"/>
    <n v="0.4421376947499264"/>
    <n v="74"/>
    <n v="0.4154452726159897"/>
    <n v="152"/>
    <n v="0.3999838810254214"/>
    <n v="250"/>
    <n v="0.4170058191443686"/>
    <n v="37"/>
    <n v="0.3523170158480574"/>
    <n v="37"/>
    <n v="0.3312164621794534"/>
    <n v="30"/>
    <n v="0.3524249619170056"/>
    <n v="13"/>
    <n v="0.3781969484176627"/>
    <n v="0.26"/>
    <n v="17"/>
    <n v="0.4679867563772894"/>
    <n v="0.425"/>
    <n v="19"/>
    <n v="0.3238440322186697"/>
    <n v="0.19"/>
    <n v="14"/>
    <n v="0.5185977570352651"/>
    <n v="0.2333333333333333"/>
    <n v="12"/>
    <n v="0.4904733386400904"/>
    <n v="0.2"/>
    <m/>
    <m/>
    <m/>
    <m/>
    <m/>
    <m/>
    <m/>
    <m/>
    <m/>
    <m/>
    <m/>
    <m/>
    <n v="50"/>
    <n v="316"/>
    <n v="60"/>
    <n v="0"/>
    <n v="0"/>
    <n v="0"/>
    <n v="970194"/>
    <n v="2027772"/>
    <n v="400080"/>
    <n v="0"/>
    <n v="161"/>
    <n v="1073548"/>
    <n v="635124.6380905304"/>
    <n v="60"/>
    <n v="274"/>
    <n v="55.5"/>
    <n v="0"/>
    <n v="0"/>
    <n v="0"/>
    <n v="656798"/>
    <n v="1758258"/>
    <n v="370074"/>
    <n v="0"/>
    <n v="161"/>
    <n v="1073548"/>
    <n v="587490.2902337407"/>
    <n v="64"/>
    <n v="238"/>
    <n v="30"/>
    <n v="0"/>
    <n v="0"/>
    <n v="440732"/>
    <n v="1586984"/>
    <n v="200040"/>
    <n v="0"/>
    <n v="161"/>
    <n v="1073548"/>
    <n v="377899.1596638656"/>
    <n v="50"/>
    <n v="201"/>
    <n v="13"/>
    <n v="0"/>
    <n v="0"/>
    <n v="1289817"/>
    <n v="86684"/>
    <n v="0"/>
    <n v="0"/>
    <n v="161"/>
    <n v="1073548"/>
    <n v="163756.3025210084"/>
    <n v="40"/>
    <n v="178"/>
    <n v="24"/>
    <m/>
    <n v="0"/>
    <n v="0"/>
    <n v="1186904"/>
    <n v="154008"/>
    <n v="0"/>
    <n v="0"/>
    <n v="161"/>
    <n v="1073548"/>
    <n v="302319.3277310925"/>
    <n v="100"/>
    <n v="180"/>
    <n v="19"/>
    <m/>
    <n v="0"/>
    <n v="0"/>
    <n v="1200240"/>
    <n v="121923"/>
    <n v="0"/>
    <n v="0"/>
    <n v="180"/>
    <n v="1073548"/>
    <n v="239336.1344537815"/>
    <n v="60"/>
    <n v="175"/>
    <n v="14"/>
    <n v="0"/>
    <n v="500"/>
    <n v="0"/>
    <n v="1166900"/>
    <n v="89837.99999999999"/>
    <n v="0"/>
    <n v="0"/>
    <n v="175"/>
    <n v="1073548"/>
    <n v="176352.9411764706"/>
    <n v="60"/>
    <n v="161"/>
    <n v="36"/>
    <n v="0"/>
    <n v="0"/>
    <n v="0"/>
    <n v="1073548"/>
    <n v="231012"/>
    <n v="0"/>
    <n v="0"/>
    <n v="161"/>
    <n v="1073548"/>
    <n v="453478.9915966387"/>
    <n v="45"/>
    <n v="125"/>
    <n v="27"/>
    <n v="0"/>
    <n v="0"/>
    <n v="0"/>
    <n v="802124.9999999999"/>
    <n v="173259"/>
    <n v="0"/>
    <n v="0"/>
    <n v="125"/>
    <n v="802124.9999999999"/>
    <n v="340109.243697479"/>
    <n v="80"/>
    <n v="98"/>
    <n v="48"/>
    <n v="0"/>
    <n v="0"/>
    <n v="0"/>
    <m/>
    <n v="628865.9999999999"/>
    <n v="308015.9999999999"/>
    <n v="0"/>
    <n v="0"/>
    <n v="98"/>
    <n v="628865.9999999999"/>
    <n v="604638.6554621849"/>
    <n v="0"/>
    <n v="50"/>
    <n v="0"/>
    <n v="0"/>
    <n v="0"/>
    <n v="320849.9999999999"/>
    <n v="0"/>
    <n v="0"/>
    <n v="0"/>
    <n v="50"/>
    <n v="320849.9999999999"/>
    <n v="0"/>
    <n v="0"/>
    <n v="50"/>
    <n v="0"/>
    <n v="0"/>
    <n v="0"/>
    <n v="320849.9999999999"/>
    <n v="0"/>
    <n v="0"/>
    <n v="50"/>
    <n v="320849.9999999999"/>
    <n v="0"/>
    <n v="0"/>
    <n v="50"/>
    <n v="0"/>
    <n v="0"/>
    <m/>
    <n v="320849.9999999999"/>
    <n v="0"/>
    <n v="0"/>
    <n v="50"/>
    <n v="320849.9999999999"/>
    <n v="0"/>
  </r>
  <r>
    <s v="Lhotse-Audio Menor"/>
    <x v="4"/>
    <x v="15"/>
    <x v="36"/>
    <s v="LHRMPLU"/>
    <x v="205"/>
    <x v="195"/>
    <x v="0"/>
    <x v="1"/>
    <n v="1.1"/>
    <x v="111"/>
    <n v="462"/>
    <m/>
    <n v="0"/>
    <n v="5721"/>
    <n v="2643102"/>
    <n v="4.7"/>
    <n v="5134.75"/>
    <n v="14277.31092436975"/>
    <n v="14277.31092436975"/>
    <s v="Shenzhen"/>
    <s v="30/70"/>
    <n v="30"/>
    <n v="1000"/>
    <n v="0"/>
    <s v=""/>
    <n v="0"/>
    <s v=""/>
    <n v="0"/>
    <s v=""/>
    <n v="0"/>
    <s v=""/>
    <n v="0"/>
    <s v=""/>
    <n v="0"/>
    <s v=""/>
    <n v="0"/>
    <s v=""/>
    <n v="4"/>
    <n v="0.5930937843448528"/>
    <n v="22"/>
    <n v="0.6005480231925867"/>
    <n v="142"/>
    <n v="0.5331758319041657"/>
    <n v="83"/>
    <n v="0.4915335673312401"/>
    <n v="157"/>
    <n v="0.5313721438446796"/>
    <n v="81"/>
    <n v="0.3856277008143669"/>
    <n v="122"/>
    <n v="0.2811047704749747"/>
    <n v="202"/>
    <n v="0.2759607308296207"/>
    <n v="104"/>
    <n v="0.3266067889176531"/>
    <n v="1.3"/>
    <n v="3"/>
    <n v="0.6909164598845664"/>
    <n v="0.0375"/>
    <n v="8"/>
    <n v="0.5529556064632207"/>
    <n v="0.04"/>
    <n v="18"/>
    <n v="0.4310724415103636"/>
    <n v="0.18"/>
    <n v="27"/>
    <n v="0.2744737595158663"/>
    <n v="0.3"/>
    <m/>
    <m/>
    <m/>
    <m/>
    <m/>
    <m/>
    <m/>
    <m/>
    <m/>
    <m/>
    <m/>
    <m/>
    <n v="60"/>
    <n v="569"/>
    <n v="90"/>
    <n v="0"/>
    <n v="0"/>
    <n v="0"/>
    <n v="2717475"/>
    <n v="2767900.5"/>
    <n v="514890"/>
    <n v="0"/>
    <n v="462"/>
    <n v="2643102"/>
    <n v="1079796.624532166"/>
    <n v="75"/>
    <n v="473"/>
    <n v="183"/>
    <n v="0"/>
    <n v="0"/>
    <n v="0"/>
    <n v="2797569"/>
    <n v="2300908.5"/>
    <n v="1046943"/>
    <n v="0"/>
    <n v="462"/>
    <n v="2643102"/>
    <n v="2195586.469882071"/>
    <n v="220"/>
    <n v="278"/>
    <n v="202"/>
    <n v="0"/>
    <n v="0"/>
    <n v="2178702"/>
    <n v="1590438"/>
    <n v="1155642"/>
    <n v="0"/>
    <n v="462"/>
    <n v="2643102"/>
    <n v="2884016.806722689"/>
    <n v="80"/>
    <n v="120"/>
    <n v="104"/>
    <n v="0"/>
    <n v="0"/>
    <n v="583740"/>
    <n v="594984"/>
    <n v="0"/>
    <n v="0"/>
    <n v="462"/>
    <n v="2643102"/>
    <n v="1484840.336134454"/>
    <n v="80"/>
    <n v="465"/>
    <n v="88"/>
    <m/>
    <n v="0"/>
    <n v="0"/>
    <n v="2660265"/>
    <n v="428076"/>
    <n v="0"/>
    <n v="0"/>
    <n v="462"/>
    <n v="2643102"/>
    <n v="1256403.361344538"/>
    <n v="200"/>
    <n v="470"/>
    <n v="8"/>
    <m/>
    <n v="0"/>
    <n v="0"/>
    <n v="2688870"/>
    <n v="38916"/>
    <n v="0"/>
    <n v="0"/>
    <n v="470"/>
    <n v="2643102"/>
    <n v="114218.487394958"/>
    <n v="100"/>
    <n v="480"/>
    <n v="18"/>
    <n v="1000"/>
    <n v="500"/>
    <n v="0"/>
    <n v="2746080"/>
    <n v="87561"/>
    <n v="4702349.999999999"/>
    <n v="0"/>
    <n v="480"/>
    <n v="2643102"/>
    <n v="256991.5966386555"/>
    <n v="90"/>
    <n v="462"/>
    <n v="99.00000000000001"/>
    <n v="0"/>
    <n v="500"/>
    <n v="0"/>
    <n v="2643102"/>
    <n v="481585.5000000001"/>
    <n v="0"/>
    <n v="0"/>
    <n v="462"/>
    <n v="2643102"/>
    <n v="1413453.781512605"/>
    <n v="70"/>
    <n v="363"/>
    <n v="77"/>
    <n v="0"/>
    <n v="0"/>
    <n v="500"/>
    <n v="1765813.5"/>
    <n v="374566.5"/>
    <n v="0"/>
    <n v="2432250"/>
    <n v="863"/>
    <n v="4198063.5"/>
    <n v="1099352.941176471"/>
    <n v="150"/>
    <n v="786"/>
    <n v="165"/>
    <n v="0"/>
    <n v="0"/>
    <n v="0"/>
    <m/>
    <n v="3823497"/>
    <n v="802642.5"/>
    <n v="0"/>
    <n v="0"/>
    <n v="786"/>
    <n v="3823497"/>
    <n v="2355756.302521009"/>
    <n v="120"/>
    <n v="621"/>
    <n v="132"/>
    <n v="0"/>
    <n v="0"/>
    <n v="3020854.5"/>
    <n v="642114"/>
    <n v="0"/>
    <n v="0"/>
    <n v="621"/>
    <n v="3020854.5"/>
    <n v="1978835.294117647"/>
    <n v="200"/>
    <n v="489"/>
    <n v="220"/>
    <n v="0"/>
    <n v="0"/>
    <n v="2378740.5"/>
    <n v="1070190"/>
    <n v="0"/>
    <n v="489"/>
    <n v="2378740.5"/>
    <n v="3141008.403361345"/>
    <n v="72"/>
    <n v="269"/>
    <n v="79.2"/>
    <n v="0"/>
    <m/>
    <n v="1308550.5"/>
    <n v="453103.2"/>
    <n v="0"/>
    <n v="269"/>
    <n v="1308550.5"/>
    <n v="1130763.025210084"/>
  </r>
  <r>
    <s v="Lhotse-Audio Menor"/>
    <x v="4"/>
    <x v="15"/>
    <x v="36"/>
    <s v="LHRMPLU"/>
    <x v="206"/>
    <x v="196"/>
    <x v="0"/>
    <x v="1"/>
    <n v="0.8"/>
    <x v="112"/>
    <n v="459"/>
    <m/>
    <n v="0"/>
    <n v="5324"/>
    <n v="2443716"/>
    <n v="4.7"/>
    <n v="5134.75"/>
    <n v="14277.31092436975"/>
    <n v="14277.31092436975"/>
    <s v="Shenzhen"/>
    <s v="30/70"/>
    <n v="30"/>
    <n v="1000"/>
    <n v="0"/>
    <s v=""/>
    <n v="0"/>
    <s v=""/>
    <n v="0"/>
    <s v=""/>
    <n v="0"/>
    <s v=""/>
    <n v="0"/>
    <s v=""/>
    <n v="0"/>
    <s v=""/>
    <n v="0"/>
    <s v=""/>
    <n v="2"/>
    <n v="0.5879650759003869"/>
    <n v="9"/>
    <n v="0.6291667956668607"/>
    <n v="141"/>
    <n v="0.5647112405837442"/>
    <n v="87"/>
    <n v="0.5742764977981886"/>
    <n v="334"/>
    <n v="0.4555001552381364"/>
    <n v="32"/>
    <n v="0.4808200874060549"/>
    <n v="80"/>
    <n v="0.4322818201892981"/>
    <n v="93"/>
    <n v="0.3792885299443798"/>
    <n v="33"/>
    <n v="0.3966023670761447"/>
    <n v="0.66"/>
    <n v="162"/>
    <n v="0.1660558514041598"/>
    <n v="2.16"/>
    <n v="0"/>
    <s v=""/>
    <n v="0"/>
    <n v="25"/>
    <n v="0.3367502953733524"/>
    <n v="0.25"/>
    <n v="29"/>
    <n v="-1.065786550798571"/>
    <n v="0.3222222222222222"/>
    <m/>
    <m/>
    <m/>
    <m/>
    <m/>
    <m/>
    <m/>
    <m/>
    <m/>
    <m/>
    <m/>
    <m/>
    <n v="60"/>
    <n v="446"/>
    <n v="60"/>
    <n v="0"/>
    <n v="0"/>
    <n v="0"/>
    <n v="1453452"/>
    <n v="2169567"/>
    <n v="319440"/>
    <n v="0"/>
    <n v="459"/>
    <n v="2443716"/>
    <n v="719864.4163547773"/>
    <n v="60"/>
    <n v="394"/>
    <n v="120"/>
    <n v="0"/>
    <n v="0"/>
    <n v="0"/>
    <n v="1309704"/>
    <n v="1916613"/>
    <n v="638880"/>
    <n v="0"/>
    <n v="459"/>
    <n v="2443716"/>
    <n v="1439728.832709555"/>
    <n v="100"/>
    <n v="312"/>
    <n v="93"/>
    <n v="0"/>
    <n v="0"/>
    <n v="962694"/>
    <n v="1661088"/>
    <n v="495132"/>
    <n v="0"/>
    <n v="459"/>
    <n v="2443716"/>
    <n v="1327789.915966387"/>
    <n v="50"/>
    <n v="198"/>
    <n v="33"/>
    <n v="0"/>
    <n v="0"/>
    <n v="963171"/>
    <n v="175692"/>
    <n v="0"/>
    <n v="0"/>
    <n v="459"/>
    <n v="2443716"/>
    <n v="471151.2605042017"/>
    <n v="75"/>
    <n v="621"/>
    <n v="60"/>
    <m/>
    <n v="0"/>
    <n v="0"/>
    <n v="3306204"/>
    <n v="291870"/>
    <n v="0"/>
    <n v="0"/>
    <n v="459"/>
    <n v="2443716"/>
    <n v="856638.6554621849"/>
    <n v="150"/>
    <n v="459"/>
    <n v="0"/>
    <m/>
    <n v="0"/>
    <n v="0"/>
    <n v="2443716"/>
    <n v="0"/>
    <n v="0"/>
    <n v="0"/>
    <n v="459"/>
    <n v="2443716"/>
    <n v="0"/>
    <n v="100"/>
    <n v="484"/>
    <n v="25"/>
    <n v="1000"/>
    <n v="500"/>
    <n v="0"/>
    <n v="2576816"/>
    <n v="121612.5"/>
    <n v="4702349.999999999"/>
    <n v="0"/>
    <n v="484"/>
    <n v="2443716"/>
    <n v="356932.7731092437"/>
    <n v="90"/>
    <n v="459"/>
    <n v="72"/>
    <n v="0"/>
    <n v="500"/>
    <n v="0"/>
    <n v="2443716"/>
    <n v="350244"/>
    <n v="0"/>
    <n v="0"/>
    <n v="459"/>
    <n v="2443716"/>
    <n v="1027966.386554622"/>
    <n v="70"/>
    <n v="387"/>
    <n v="56"/>
    <n v="0"/>
    <n v="0"/>
    <n v="500"/>
    <n v="1882561.5"/>
    <n v="272412"/>
    <n v="0"/>
    <n v="2432250"/>
    <n v="887"/>
    <n v="4314811.5"/>
    <n v="799529.4117647059"/>
    <n v="160"/>
    <n v="831"/>
    <n v="128"/>
    <n v="0"/>
    <n v="0"/>
    <n v="0"/>
    <m/>
    <n v="4042399.5"/>
    <n v="622656"/>
    <n v="0"/>
    <n v="0"/>
    <n v="831"/>
    <n v="4042399.5"/>
    <n v="1827495.798319328"/>
    <n v="140"/>
    <n v="703"/>
    <n v="112"/>
    <n v="0"/>
    <n v="0"/>
    <n v="3419743.5"/>
    <n v="544824"/>
    <n v="0"/>
    <n v="0"/>
    <n v="703"/>
    <n v="3419743.5"/>
    <n v="1679011.764705882"/>
    <n v="250"/>
    <n v="591"/>
    <n v="200"/>
    <n v="0"/>
    <n v="0"/>
    <n v="2874919.5"/>
    <n v="972900"/>
    <n v="0"/>
    <n v="591"/>
    <n v="2874919.5"/>
    <n v="2855462.18487395"/>
    <n v="84"/>
    <n v="391"/>
    <n v="67.2"/>
    <n v="0"/>
    <m/>
    <n v="1902019.5"/>
    <n v="357772.8"/>
    <n v="0"/>
    <n v="391"/>
    <n v="1902019.5"/>
    <n v="959435.2941176472"/>
  </r>
  <r>
    <s v="Lhotse-Audio Menor"/>
    <x v="4"/>
    <x v="15"/>
    <x v="37"/>
    <n v="67898461965813"/>
    <x v="207"/>
    <x v="197"/>
    <x v="0"/>
    <x v="2"/>
    <n v="1"/>
    <x v="3"/>
    <n v="4"/>
    <m/>
    <n v="0"/>
    <n v="4717"/>
    <n v="18868"/>
    <n v="4.75"/>
    <n v="5189.375"/>
    <n v="12596.63865546219"/>
    <n v="6714.285714285715"/>
    <s v="Shenzhen"/>
    <s v="30/70"/>
    <n v="30"/>
    <n v="1000"/>
    <n v="0"/>
    <s v=""/>
    <n v="0"/>
    <s v=""/>
    <n v="0"/>
    <s v=""/>
    <n v="0"/>
    <s v=""/>
    <n v="0"/>
    <s v=""/>
    <n v="0"/>
    <s v=""/>
    <n v="1"/>
    <n v="0.6490512686955875"/>
    <n v="0"/>
    <s v=""/>
    <n v="0"/>
    <s v=""/>
    <n v="0"/>
    <s v=""/>
    <n v="1"/>
    <n v="0.7005460317460318"/>
    <n v="1"/>
    <n v="1"/>
    <n v="0"/>
    <s v=""/>
    <n v="0"/>
    <s v=""/>
    <n v="1"/>
    <n v="-0.003617021276595745"/>
    <n v="0"/>
    <s v=""/>
    <n v="0"/>
    <n v="0"/>
    <s v=""/>
    <n v="0"/>
    <n v="1"/>
    <n v="0.4651581054036024"/>
    <n v="1"/>
    <n v="0"/>
    <s v=""/>
    <n v="0"/>
    <n v="0"/>
    <s v=""/>
    <n v="0"/>
    <m/>
    <m/>
    <m/>
    <m/>
    <m/>
    <m/>
    <m/>
    <m/>
    <m/>
    <m/>
    <m/>
    <m/>
    <n v="0"/>
    <n v="5"/>
    <n v="0"/>
    <n v="0"/>
    <n v="0"/>
    <n v="0"/>
    <n v="4717"/>
    <n v="24581.25"/>
    <n v="0"/>
    <n v="0"/>
    <n v="4"/>
    <n v="18868"/>
    <n v="0"/>
    <n v="0"/>
    <n v="5"/>
    <n v="0"/>
    <n v="0"/>
    <n v="0"/>
    <n v="0"/>
    <n v="4717"/>
    <n v="24581.25"/>
    <n v="0"/>
    <n v="0"/>
    <n v="4"/>
    <n v="18868"/>
    <n v="0"/>
    <n v="0"/>
    <n v="5"/>
    <n v="1"/>
    <n v="0"/>
    <n v="0"/>
    <n v="9633.25"/>
    <n v="23585"/>
    <n v="4717"/>
    <n v="0"/>
    <n v="4"/>
    <n v="18868"/>
    <n v="12596.63865546219"/>
    <n v="0"/>
    <n v="4"/>
    <n v="0"/>
    <n v="0"/>
    <n v="0"/>
    <n v="19665"/>
    <n v="0"/>
    <n v="0"/>
    <n v="0"/>
    <n v="4"/>
    <n v="18868"/>
    <n v="0"/>
    <n v="1"/>
    <n v="4"/>
    <n v="1"/>
    <m/>
    <n v="0"/>
    <n v="0"/>
    <n v="18868"/>
    <n v="4916.25"/>
    <n v="0"/>
    <n v="0"/>
    <n v="4"/>
    <n v="18868"/>
    <n v="12596.63865546219"/>
    <n v="1"/>
    <n v="5"/>
    <n v="1"/>
    <m/>
    <n v="0"/>
    <n v="0"/>
    <n v="23585"/>
    <n v="4916.25"/>
    <n v="0"/>
    <n v="0"/>
    <n v="5"/>
    <n v="18868"/>
    <n v="12596.63865546219"/>
    <n v="1"/>
    <n v="4"/>
    <n v="0"/>
    <n v="0"/>
    <n v="0"/>
    <n v="0"/>
    <n v="18868"/>
    <n v="0"/>
    <n v="0"/>
    <n v="0"/>
    <n v="4"/>
    <n v="18868"/>
    <n v="0"/>
    <n v="0"/>
    <n v="4"/>
    <n v="0"/>
    <n v="0"/>
    <n v="0"/>
    <n v="0"/>
    <n v="18868"/>
    <n v="0"/>
    <n v="0"/>
    <n v="0"/>
    <n v="4"/>
    <n v="18868"/>
    <n v="0"/>
    <n v="0"/>
    <n v="4"/>
    <n v="0"/>
    <n v="0"/>
    <n v="0"/>
    <n v="0"/>
    <n v="19665"/>
    <n v="0"/>
    <n v="0"/>
    <n v="0"/>
    <n v="4"/>
    <n v="19665"/>
    <n v="0"/>
    <n v="0"/>
    <n v="4"/>
    <n v="0"/>
    <n v="0"/>
    <n v="0"/>
    <n v="0"/>
    <m/>
    <n v="19665"/>
    <n v="0"/>
    <n v="0"/>
    <n v="0"/>
    <n v="4"/>
    <n v="19665"/>
    <n v="0"/>
    <n v="0"/>
    <n v="4"/>
    <n v="0"/>
    <n v="0"/>
    <n v="0"/>
    <n v="19665"/>
    <n v="0"/>
    <n v="0"/>
    <n v="0"/>
    <n v="4"/>
    <n v="19665"/>
    <n v="0"/>
    <n v="0"/>
    <n v="4"/>
    <n v="0"/>
    <n v="0"/>
    <n v="0"/>
    <n v="19665"/>
    <n v="0"/>
    <n v="0"/>
    <n v="4"/>
    <n v="19665"/>
    <n v="0"/>
    <n v="0"/>
    <n v="4"/>
    <n v="0"/>
    <n v="0"/>
    <m/>
    <n v="19665"/>
    <n v="0"/>
    <n v="0"/>
    <n v="4"/>
    <n v="19665"/>
    <n v="0"/>
  </r>
  <r>
    <s v="Lhotse-Audio Menor"/>
    <x v="4"/>
    <x v="15"/>
    <x v="37"/>
    <s v="LHPARJOUR"/>
    <x v="208"/>
    <x v="198"/>
    <x v="0"/>
    <x v="3"/>
    <n v="0.8"/>
    <x v="113"/>
    <n v="15"/>
    <m/>
    <n v="0"/>
    <n v="10174"/>
    <n v="152610"/>
    <n v="10.53"/>
    <n v="11504.025"/>
    <n v="21000"/>
    <n v="21000"/>
    <s v="Shenzhen"/>
    <s v="30/70"/>
    <n v="30"/>
    <n v="100"/>
    <n v="4"/>
    <n v="0.5347716838976601"/>
    <n v="14"/>
    <n v="0.54774922954213"/>
    <n v="15"/>
    <n v="0.5875181192944188"/>
    <n v="8"/>
    <n v="0.563924537366592"/>
    <n v="6"/>
    <n v="0.541580648003995"/>
    <n v="34"/>
    <n v="0.4471352679228898"/>
    <n v="2"/>
    <n v="0.478601784103438"/>
    <n v="3"/>
    <n v="0.5045722222222222"/>
    <n v="8"/>
    <n v="0.52660489502835"/>
    <n v="35"/>
    <n v="0.4183054072531482"/>
    <n v="17"/>
    <n v="0.4634072041465219"/>
    <n v="18"/>
    <n v="0.5080811609706802"/>
    <n v="9"/>
    <n v="0.4248734900356886"/>
    <n v="18"/>
    <n v="0.396812339018479"/>
    <n v="20"/>
    <n v="0.3705278585374583"/>
    <n v="18"/>
    <n v="0.4128638411463808"/>
    <n v="1.2"/>
    <n v="8"/>
    <n v="0.4911169664999369"/>
    <n v="0.4705882352941176"/>
    <n v="25"/>
    <n v="0.3939375501296579"/>
    <n v="0.7352941176470589"/>
    <n v="4"/>
    <n v="0.5635555155010814"/>
    <n v="0.25"/>
    <n v="3"/>
    <n v="0.5674533954899811"/>
    <n v="0.25"/>
    <m/>
    <m/>
    <m/>
    <m/>
    <m/>
    <m/>
    <m/>
    <m/>
    <m/>
    <m/>
    <m/>
    <m/>
    <n v="20"/>
    <n v="113"/>
    <n v="15"/>
    <n v="0"/>
    <n v="92"/>
    <n v="0"/>
    <n v="630788"/>
    <n v="1231536.15"/>
    <n v="152610"/>
    <n v="0"/>
    <n v="15"/>
    <n v="152610"/>
    <n v="264705.8823529412"/>
    <n v="15"/>
    <n v="108"/>
    <n v="27"/>
    <n v="0"/>
    <n v="0"/>
    <n v="0"/>
    <n v="661310"/>
    <n v="1177043.4"/>
    <n v="274698"/>
    <n v="0"/>
    <n v="15"/>
    <n v="152610"/>
    <n v="476470.5882352942"/>
    <n v="30"/>
    <n v="90"/>
    <n v="20"/>
    <n v="0"/>
    <n v="0"/>
    <n v="534832.28"/>
    <n v="915660"/>
    <n v="203480"/>
    <n v="0"/>
    <n v="15"/>
    <n v="152610"/>
    <n v="420000"/>
    <n v="15"/>
    <n v="74"/>
    <n v="18"/>
    <n v="0"/>
    <n v="0"/>
    <n v="806492.7"/>
    <n v="183132"/>
    <n v="0"/>
    <n v="0"/>
    <n v="15"/>
    <n v="152610"/>
    <n v="378000"/>
    <n v="17"/>
    <n v="23"/>
    <n v="13.6"/>
    <m/>
    <n v="0"/>
    <n v="0"/>
    <n v="234002"/>
    <n v="148220.28"/>
    <n v="0"/>
    <n v="0"/>
    <n v="15"/>
    <n v="152610"/>
    <n v="285600.0000000001"/>
    <n v="34"/>
    <n v="40"/>
    <n v="25"/>
    <m/>
    <n v="0"/>
    <n v="0"/>
    <n v="406960"/>
    <n v="272463.75"/>
    <n v="0"/>
    <n v="0"/>
    <n v="40"/>
    <n v="152610"/>
    <n v="525000"/>
    <n v="16"/>
    <n v="19"/>
    <n v="4"/>
    <n v="0"/>
    <n v="0"/>
    <n v="0"/>
    <n v="193306"/>
    <n v="43594.2"/>
    <n v="0"/>
    <n v="0"/>
    <n v="19"/>
    <n v="152610"/>
    <n v="84000"/>
    <n v="12"/>
    <n v="15"/>
    <n v="9.600000000000001"/>
    <n v="0"/>
    <n v="0"/>
    <n v="0"/>
    <n v="152610"/>
    <n v="104626.08"/>
    <n v="0"/>
    <n v="0"/>
    <n v="15"/>
    <n v="152610"/>
    <n v="201600"/>
    <n v="20"/>
    <n v="5.399999999999999"/>
    <n v="16"/>
    <n v="0"/>
    <n v="0"/>
    <n v="0"/>
    <n v="58852.16999999998"/>
    <n v="174376.8"/>
    <n v="0"/>
    <n v="0"/>
    <n v="5.399999999999999"/>
    <n v="58852.16999999998"/>
    <n v="336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15"/>
    <x v="37"/>
    <s v="LHPARJOUR"/>
    <x v="209"/>
    <x v="199"/>
    <x v="0"/>
    <x v="3"/>
    <n v="0.8"/>
    <x v="114"/>
    <n v="4"/>
    <m/>
    <n v="0"/>
    <n v="10891"/>
    <n v="43564"/>
    <n v="10.53"/>
    <n v="11504.025"/>
    <n v="21000"/>
    <n v="21000"/>
    <s v="Shenzhen"/>
    <s v="30/70"/>
    <n v="30"/>
    <n v="100"/>
    <n v="12"/>
    <n v="0.6462349610524549"/>
    <n v="24"/>
    <n v="0.5466836991135864"/>
    <n v="8"/>
    <n v="0.5783642963096278"/>
    <n v="10"/>
    <n v="0.4216522831228742"/>
    <n v="4"/>
    <n v="0.4932911034710121"/>
    <n v="11"/>
    <n v="0.4166076477151386"/>
    <n v="2"/>
    <n v="0.4876690476190476"/>
    <n v="5"/>
    <n v="0.4284465608465608"/>
    <n v="21"/>
    <n v="0.423813000755858"/>
    <n v="41"/>
    <n v="0.3712907202389716"/>
    <n v="30"/>
    <n v="0.4727624749247386"/>
    <n v="28"/>
    <n v="0.5206495608165063"/>
    <n v="9"/>
    <n v="0.4161300481571467"/>
    <n v="13"/>
    <n v="0.3336658028690123"/>
    <n v="15"/>
    <n v="0.3750429638447256"/>
    <n v="11"/>
    <n v="0.4555142509275545"/>
    <n v="0.9166666666666666"/>
    <n v="9"/>
    <n v="0.5083302771630308"/>
    <n v="0.5625"/>
    <n v="16"/>
    <n v="0.2947495106292692"/>
    <n v="0.64"/>
    <n v="0"/>
    <s v=""/>
    <n v="0"/>
    <n v="3"/>
    <n v="0.5906270269131955"/>
    <n v="0.1363636363636364"/>
    <m/>
    <m/>
    <m/>
    <m/>
    <m/>
    <m/>
    <m/>
    <m/>
    <m/>
    <m/>
    <m/>
    <m/>
    <n v="20"/>
    <n v="85"/>
    <n v="15"/>
    <n v="0"/>
    <n v="0"/>
    <n v="0"/>
    <n v="539104.5"/>
    <n v="926376.7499999999"/>
    <n v="163365"/>
    <n v="0"/>
    <n v="4"/>
    <n v="43564"/>
    <n v="264705.8823529412"/>
    <n v="15"/>
    <n v="77"/>
    <n v="19.5"/>
    <n v="0"/>
    <n v="0"/>
    <n v="0"/>
    <n v="495540.5"/>
    <n v="839188.35"/>
    <n v="212374.5"/>
    <n v="0"/>
    <n v="4"/>
    <n v="43564"/>
    <n v="344117.6470588236"/>
    <n v="20"/>
    <n v="62"/>
    <n v="15"/>
    <n v="0"/>
    <n v="0"/>
    <n v="422667.44"/>
    <n v="675242"/>
    <n v="163365"/>
    <n v="0"/>
    <n v="4"/>
    <n v="43564"/>
    <n v="315000"/>
    <n v="12"/>
    <n v="48"/>
    <n v="11"/>
    <n v="0"/>
    <n v="0"/>
    <n v="523130.4"/>
    <n v="119801"/>
    <n v="0"/>
    <n v="0"/>
    <n v="4"/>
    <n v="43564"/>
    <n v="231000"/>
    <n v="16"/>
    <n v="13"/>
    <n v="12.8"/>
    <m/>
    <n v="0"/>
    <n v="0"/>
    <n v="141583"/>
    <n v="139501.44"/>
    <n v="0"/>
    <n v="0"/>
    <n v="4"/>
    <n v="43564"/>
    <n v="268800"/>
    <n v="25"/>
    <n v="20"/>
    <n v="16"/>
    <m/>
    <n v="0"/>
    <n v="0"/>
    <n v="217820"/>
    <n v="174376.8"/>
    <n v="0"/>
    <n v="0"/>
    <n v="20"/>
    <n v="43564"/>
    <n v="336000"/>
    <n v="12"/>
    <n v="4"/>
    <n v="0"/>
    <n v="0"/>
    <n v="0"/>
    <n v="0"/>
    <n v="43564"/>
    <n v="0"/>
    <n v="0"/>
    <n v="0"/>
    <n v="4"/>
    <n v="43564"/>
    <n v="0"/>
    <n v="22"/>
    <n v="4"/>
    <n v="17.6"/>
    <n v="0"/>
    <n v="0"/>
    <n v="0"/>
    <n v="43564"/>
    <n v="191814.48"/>
    <n v="0"/>
    <n v="0"/>
    <n v="4"/>
    <n v="43564"/>
    <n v="369600.0000000001"/>
    <n v="30"/>
    <n v="0"/>
    <n v="24"/>
    <n v="0"/>
    <n v="0"/>
    <n v="0"/>
    <n v="0"/>
    <n v="261565.2"/>
    <n v="0"/>
    <n v="0"/>
    <n v="0"/>
    <n v="0"/>
    <n v="504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Audio Menor"/>
    <x v="4"/>
    <x v="15"/>
    <x v="37"/>
    <s v="LHPARPULS"/>
    <x v="210"/>
    <x v="200"/>
    <x v="0"/>
    <x v="0"/>
    <n v="0.7"/>
    <x v="115"/>
    <n v="125"/>
    <m/>
    <n v="0"/>
    <n v="7469"/>
    <n v="933625"/>
    <n v="8.59"/>
    <n v="9384.574999999999"/>
    <n v="16798.31932773109"/>
    <n v="15117.64705882353"/>
    <s v="Shenzhen"/>
    <s v="30/70"/>
    <n v="30"/>
    <n v="200"/>
    <n v="0"/>
    <n v="2.367704510485706e-05"/>
    <n v="5"/>
    <n v="0.6132470101280196"/>
    <n v="10"/>
    <n v="0.5584859216588647"/>
    <n v="7"/>
    <n v="0.54810311967098"/>
    <n v="0"/>
    <s v=""/>
    <n v="37"/>
    <n v="0.4560448168491986"/>
    <n v="29"/>
    <n v="0.4650540687853053"/>
    <n v="16"/>
    <n v="0.4893025786171633"/>
    <n v="23"/>
    <n v="0.492763089215622"/>
    <n v="32"/>
    <n v="0.4554725879746803"/>
    <n v="9"/>
    <n v="0.4959503431168937"/>
    <n v="13"/>
    <n v="0.4971606797326225"/>
    <n v="1"/>
    <n v="0.3761153263051407"/>
    <n v="7"/>
    <n v="0.4051715867415558"/>
    <n v="19"/>
    <n v="0.2692651652984899"/>
    <n v="11"/>
    <n v="0.3245516298478826"/>
    <n v="0.7333333333333333"/>
    <n v="7"/>
    <n v="0.5553531765882941"/>
    <n v="0.2258064516129032"/>
    <n v="30"/>
    <n v="0.4095829913817247"/>
    <n v="0.75"/>
    <n v="15"/>
    <n v="0.5059437317823792"/>
    <n v="0.375"/>
    <n v="2"/>
    <n v="0.5192815035154137"/>
    <n v="0.09090909090909091"/>
    <m/>
    <m/>
    <m/>
    <m/>
    <m/>
    <m/>
    <m/>
    <m/>
    <m/>
    <m/>
    <m/>
    <m/>
    <n v="20"/>
    <n v="7"/>
    <n v="2"/>
    <n v="200"/>
    <n v="200"/>
    <n v="0"/>
    <n v="235273.5"/>
    <n v="62234.55"/>
    <n v="14938"/>
    <n v="0"/>
    <n v="125"/>
    <n v="933625"/>
    <n v="28232.46945837159"/>
    <n v="3"/>
    <n v="11"/>
    <n v="10.5"/>
    <n v="0"/>
    <n v="0"/>
    <n v="0"/>
    <n v="302494.5"/>
    <n v="97797.14999999999"/>
    <n v="78424.5"/>
    <n v="0"/>
    <n v="125"/>
    <n v="933625"/>
    <n v="148220.4646564508"/>
    <n v="30"/>
    <n v="193"/>
    <n v="19"/>
    <n v="0"/>
    <n v="0"/>
    <n v="416997.105"/>
    <n v="1441517"/>
    <n v="141911"/>
    <n v="0"/>
    <n v="125"/>
    <n v="933625"/>
    <n v="319168.0672268908"/>
    <n v="15"/>
    <n v="190"/>
    <n v="11"/>
    <n v="0"/>
    <n v="0"/>
    <n v="1689223.5"/>
    <n v="82159"/>
    <n v="0"/>
    <n v="0"/>
    <n v="125"/>
    <n v="933625"/>
    <n v="184781.512605042"/>
    <n v="31"/>
    <n v="132"/>
    <n v="21.7"/>
    <m/>
    <n v="0"/>
    <n v="0"/>
    <n v="985908"/>
    <n v="192927.105"/>
    <n v="0"/>
    <n v="0"/>
    <n v="125"/>
    <n v="933625"/>
    <n v="364523.5294117647"/>
    <n v="40"/>
    <n v="155"/>
    <n v="30"/>
    <m/>
    <n v="0"/>
    <n v="0"/>
    <n v="1157695"/>
    <n v="266719.5"/>
    <n v="0"/>
    <n v="0"/>
    <n v="155"/>
    <n v="933625"/>
    <n v="503949.5798319328"/>
    <n v="40"/>
    <n v="140"/>
    <n v="15"/>
    <n v="0"/>
    <n v="0"/>
    <n v="0"/>
    <n v="1045660"/>
    <n v="133359.75"/>
    <n v="0"/>
    <n v="0"/>
    <n v="140"/>
    <n v="933625"/>
    <n v="251974.7899159664"/>
    <n v="22"/>
    <n v="125"/>
    <n v="15.4"/>
    <n v="0"/>
    <n v="0"/>
    <n v="0"/>
    <n v="933625"/>
    <n v="136916.01"/>
    <n v="0"/>
    <n v="0"/>
    <n v="125"/>
    <n v="933625"/>
    <n v="258694.1176470588"/>
    <n v="32"/>
    <n v="109.6"/>
    <n v="22.4"/>
    <n v="0"/>
    <n v="0"/>
    <n v="0"/>
    <n v="974415.2399999999"/>
    <n v="199150.56"/>
    <n v="0"/>
    <n v="0"/>
    <n v="109.6"/>
    <n v="974415.2399999999"/>
    <n v="376282.3529411764"/>
    <n v="35"/>
    <n v="87.19999999999999"/>
    <n v="24.5"/>
    <n v="0"/>
    <n v="0"/>
    <n v="0"/>
    <m/>
    <n v="775264.6799999998"/>
    <n v="217820.925"/>
    <n v="0"/>
    <n v="0"/>
    <n v="87.19999999999999"/>
    <n v="775264.6799999998"/>
    <n v="370382.3529411765"/>
    <n v="30"/>
    <n v="62.69999999999999"/>
    <n v="21"/>
    <n v="0"/>
    <n v="0"/>
    <n v="557443.7549999999"/>
    <n v="186703.65"/>
    <n v="0"/>
    <n v="0"/>
    <n v="62.69999999999999"/>
    <n v="557443.7549999999"/>
    <n v="333344.1176470588"/>
    <n v="35"/>
    <n v="41.69999999999999"/>
    <n v="24.5"/>
    <n v="0"/>
    <n v="0"/>
    <n v="370740.1049999999"/>
    <n v="217820.925"/>
    <n v="0"/>
    <n v="41.69999999999999"/>
    <n v="370740.1049999999"/>
    <n v="411558.8235294118"/>
    <n v="18"/>
    <n v="17.19999999999999"/>
    <n v="12.6"/>
    <n v="0"/>
    <m/>
    <n v="152919.1799999999"/>
    <n v="94109.39999999999"/>
    <n v="0"/>
    <n v="17.19999999999999"/>
    <n v="152919.1799999999"/>
    <n v="211658.8235294118"/>
  </r>
  <r>
    <s v="Lhotse-Audio Menor"/>
    <x v="4"/>
    <x v="15"/>
    <x v="37"/>
    <s v="LHPARPULS"/>
    <x v="211"/>
    <x v="201"/>
    <x v="0"/>
    <x v="0"/>
    <n v="1"/>
    <x v="116"/>
    <n v="113"/>
    <m/>
    <n v="0"/>
    <n v="7465"/>
    <n v="843545"/>
    <n v="8.59"/>
    <n v="9384.574999999999"/>
    <n v="16798.31932773109"/>
    <n v="15117.64705882353"/>
    <s v="Shenzhen"/>
    <s v="30/70"/>
    <n v="30"/>
    <n v="200"/>
    <n v="1"/>
    <n v="0.6408826155350538"/>
    <n v="2"/>
    <n v="0.5977714285714286"/>
    <n v="7"/>
    <n v="0.4971580077552196"/>
    <n v="11"/>
    <n v="0.5390810869802466"/>
    <n v="0"/>
    <s v=""/>
    <n v="11"/>
    <n v="0.4946392512628875"/>
    <n v="17"/>
    <n v="0.4690446438248151"/>
    <n v="18"/>
    <n v="0.4999462829848618"/>
    <n v="18"/>
    <n v="0.5236396085361102"/>
    <n v="32"/>
    <n v="0.4432164759907296"/>
    <n v="38"/>
    <n v="0.5072570743637422"/>
    <n v="31"/>
    <n v="0.3764943613857651"/>
    <n v="0"/>
    <s v=""/>
    <n v="0"/>
    <s v=""/>
    <n v="17"/>
    <n v="0.3045704046155124"/>
    <n v="15"/>
    <n v="0.3226979210908845"/>
    <n v="1"/>
    <n v="22"/>
    <n v="0.5419947782147494"/>
    <n v="1.466666666666667"/>
    <n v="18"/>
    <n v="0.4084416890380605"/>
    <n v="1.2"/>
    <n v="17"/>
    <n v="0.4895839143419259"/>
    <n v="0.7391304347826086"/>
    <n v="6"/>
    <n v="0.5700039358772755"/>
    <n v="0.24"/>
    <m/>
    <m/>
    <m/>
    <m/>
    <m/>
    <m/>
    <m/>
    <m/>
    <m/>
    <m/>
    <m/>
    <m/>
    <n v="20"/>
    <n v="3"/>
    <n v="2"/>
    <n v="200"/>
    <n v="200"/>
    <n v="0"/>
    <n v="141835"/>
    <n v="26671.95"/>
    <n v="14930"/>
    <n v="0"/>
    <n v="113"/>
    <n v="843545"/>
    <n v="28232.46945837159"/>
    <n v="3"/>
    <n v="3"/>
    <n v="0"/>
    <n v="0"/>
    <n v="0"/>
    <n v="0"/>
    <n v="238880"/>
    <n v="26671.95"/>
    <n v="0"/>
    <n v="0"/>
    <n v="113"/>
    <n v="843545"/>
    <n v="0"/>
    <n v="10"/>
    <n v="193"/>
    <n v="17"/>
    <n v="0"/>
    <n v="0"/>
    <n v="372239.75"/>
    <n v="1440745"/>
    <n v="126905"/>
    <n v="0"/>
    <n v="113"/>
    <n v="843545"/>
    <n v="285571.4285714286"/>
    <n v="15"/>
    <n v="188"/>
    <n v="15"/>
    <n v="0"/>
    <n v="0"/>
    <n v="1671442.2"/>
    <n v="111975"/>
    <n v="0"/>
    <n v="0"/>
    <n v="113"/>
    <n v="843545"/>
    <n v="251974.7899159664"/>
    <n v="15"/>
    <n v="135"/>
    <n v="15"/>
    <m/>
    <n v="0"/>
    <n v="0"/>
    <n v="1007775"/>
    <n v="133359.75"/>
    <n v="0"/>
    <n v="0"/>
    <n v="113"/>
    <n v="843545"/>
    <n v="251974.7899159664"/>
    <n v="15"/>
    <n v="131"/>
    <n v="18"/>
    <m/>
    <n v="0"/>
    <n v="0"/>
    <n v="977915"/>
    <n v="160031.7"/>
    <n v="0"/>
    <n v="0"/>
    <n v="131"/>
    <n v="843545"/>
    <n v="302369.7478991597"/>
    <n v="23"/>
    <n v="130"/>
    <n v="17"/>
    <n v="0"/>
    <n v="0"/>
    <n v="0"/>
    <n v="970450"/>
    <n v="151141.05"/>
    <n v="0"/>
    <n v="0"/>
    <n v="130"/>
    <n v="843545"/>
    <n v="285571.4285714286"/>
    <n v="25"/>
    <n v="113"/>
    <n v="25"/>
    <n v="0"/>
    <n v="0"/>
    <n v="0"/>
    <n v="843545"/>
    <n v="222266.25"/>
    <n v="0"/>
    <n v="0"/>
    <n v="113"/>
    <n v="843545"/>
    <n v="419957.9831932773"/>
    <n v="25"/>
    <n v="88"/>
    <n v="25"/>
    <n v="0"/>
    <n v="0"/>
    <n v="0"/>
    <n v="782377.2"/>
    <n v="222266.25"/>
    <n v="0"/>
    <n v="0"/>
    <n v="88"/>
    <n v="782377.2"/>
    <n v="419957.9831932773"/>
    <n v="35"/>
    <n v="63"/>
    <n v="35"/>
    <n v="0"/>
    <n v="0"/>
    <n v="0"/>
    <m/>
    <n v="560110.95"/>
    <n v="311172.75"/>
    <n v="0"/>
    <n v="0"/>
    <n v="63"/>
    <n v="560110.95"/>
    <n v="529117.6470588235"/>
    <n v="32"/>
    <n v="28"/>
    <n v="32"/>
    <n v="0"/>
    <n v="0"/>
    <n v="248938.2"/>
    <n v="284500.8"/>
    <n v="0"/>
    <n v="0"/>
    <n v="28"/>
    <n v="248938.2"/>
    <n v="507952.9411764706"/>
    <n v="35"/>
    <n v="0"/>
    <n v="35"/>
    <n v="0"/>
    <n v="0"/>
    <n v="0"/>
    <n v="311172.75"/>
    <n v="0"/>
    <n v="0"/>
    <n v="0"/>
    <n v="587941.1764705882"/>
    <n v="19.2"/>
    <n v="0"/>
    <n v="19.2"/>
    <n v="0"/>
    <m/>
    <n v="0"/>
    <n v="143328"/>
    <n v="0"/>
    <n v="0"/>
    <n v="0"/>
    <n v="322527.731092437"/>
  </r>
  <r>
    <s v="Lhotse-Audio Menor"/>
    <x v="4"/>
    <x v="15"/>
    <x v="37"/>
    <s v="LHPARPULS"/>
    <x v="212"/>
    <x v="202"/>
    <x v="0"/>
    <x v="2"/>
    <n v="1"/>
    <x v="3"/>
    <n v="11"/>
    <m/>
    <n v="0"/>
    <n v="8447"/>
    <n v="92917"/>
    <n v="8.59"/>
    <n v="9384.574999999999"/>
    <n v="16798.31932773109"/>
    <n v="15117.64705882353"/>
    <s v="Shenzhen"/>
    <s v="30/70"/>
    <n v="30"/>
    <n v="200"/>
    <n v="2"/>
    <n v="0.608224981060899"/>
    <n v="0"/>
    <n v="0.5977714285714286"/>
    <n v="7"/>
    <n v="0.4971612509293983"/>
    <n v="1"/>
    <n v="0.6409284135351131"/>
    <n v="2"/>
    <n v="0.5977714285714286"/>
    <n v="17"/>
    <n v="0.4624236037006463"/>
    <n v="12"/>
    <n v="0.4371011913759192"/>
    <n v="12"/>
    <n v="0.4669469305509877"/>
    <n v="4"/>
    <n v="0.4971615923137204"/>
    <n v="14"/>
    <n v="0.3807126206082813"/>
    <n v="15"/>
    <n v="0.4894946334856949"/>
    <n v="97"/>
    <n v="0.4399151797478708"/>
    <n v="1"/>
    <n v="0.4971425383389914"/>
    <n v="2"/>
    <n v="0.2350565051586835"/>
    <n v="3"/>
    <n v="0.3093894628252383"/>
    <n v="2"/>
    <n v="0.23629492600195"/>
    <n v="0"/>
    <n v="0"/>
    <s v=""/>
    <n v="0"/>
    <n v="4"/>
    <n v="0.2089779072102832"/>
    <n v="0"/>
    <n v="0"/>
    <s v=""/>
    <n v="0"/>
    <n v="0"/>
    <s v=""/>
    <n v="0"/>
    <m/>
    <m/>
    <m/>
    <m/>
    <m/>
    <m/>
    <m/>
    <m/>
    <m/>
    <m/>
    <m/>
    <m/>
    <n v="12"/>
    <n v="2"/>
    <n v="2"/>
    <n v="0"/>
    <n v="0"/>
    <n v="0"/>
    <n v="67576"/>
    <n v="17781.3"/>
    <n v="16894"/>
    <n v="0"/>
    <n v="11"/>
    <n v="92917"/>
    <n v="28232.46945837159"/>
    <n v="3"/>
    <n v="5"/>
    <n v="3"/>
    <n v="0"/>
    <n v="0"/>
    <n v="0"/>
    <n v="67576"/>
    <n v="44453.25"/>
    <n v="25341"/>
    <n v="0"/>
    <n v="11"/>
    <n v="92917"/>
    <n v="42348.70418755738"/>
    <n v="0"/>
    <n v="3"/>
    <n v="3"/>
    <n v="0"/>
    <n v="0"/>
    <n v="60016.3"/>
    <n v="25341"/>
    <n v="25341"/>
    <n v="0"/>
    <n v="11"/>
    <n v="92917"/>
    <n v="50394.95798319328"/>
    <n v="0"/>
    <n v="14"/>
    <n v="2"/>
    <n v="0"/>
    <n v="0"/>
    <n v="124469.1"/>
    <n v="16894"/>
    <n v="0"/>
    <n v="0"/>
    <n v="11"/>
    <n v="92917"/>
    <n v="33596.63865546219"/>
    <n v="2"/>
    <n v="11"/>
    <n v="2"/>
    <m/>
    <n v="0"/>
    <n v="0"/>
    <n v="92917"/>
    <n v="17781.3"/>
    <n v="0"/>
    <n v="0"/>
    <n v="11"/>
    <n v="92917"/>
    <n v="33596.63865546219"/>
    <n v="0"/>
    <n v="15"/>
    <n v="4"/>
    <m/>
    <n v="0"/>
    <n v="0"/>
    <n v="126705"/>
    <n v="35562.6"/>
    <n v="0"/>
    <n v="0"/>
    <n v="15"/>
    <n v="92917"/>
    <n v="67193.27731092437"/>
    <n v="0"/>
    <n v="11"/>
    <n v="0"/>
    <n v="0"/>
    <n v="0"/>
    <n v="0"/>
    <n v="92917"/>
    <n v="0"/>
    <n v="0"/>
    <n v="0"/>
    <n v="11"/>
    <n v="92917"/>
    <n v="0"/>
    <n v="0"/>
    <n v="11"/>
    <n v="0"/>
    <n v="0"/>
    <n v="0"/>
    <n v="0"/>
    <n v="92917"/>
    <n v="0"/>
    <n v="0"/>
    <n v="0"/>
    <n v="11"/>
    <n v="92917"/>
    <n v="0"/>
    <n v="0"/>
    <n v="11"/>
    <n v="0"/>
    <n v="0"/>
    <n v="0"/>
    <n v="0"/>
    <n v="97797.14999999999"/>
    <n v="0"/>
    <n v="0"/>
    <n v="0"/>
    <n v="11"/>
    <n v="97797.14999999999"/>
    <n v="0"/>
    <n v="0"/>
    <n v="11"/>
    <n v="0"/>
    <n v="0"/>
    <n v="0"/>
    <n v="0"/>
    <m/>
    <n v="97797.14999999999"/>
    <n v="0"/>
    <n v="0"/>
    <n v="0"/>
    <n v="11"/>
    <n v="97797.14999999999"/>
    <n v="0"/>
    <n v="0"/>
    <n v="11"/>
    <n v="0"/>
    <n v="0"/>
    <n v="0"/>
    <n v="97797.14999999999"/>
    <n v="0"/>
    <n v="0"/>
    <n v="0"/>
    <n v="11"/>
    <n v="97797.14999999999"/>
    <n v="0"/>
    <n v="0"/>
    <n v="11"/>
    <n v="0"/>
    <n v="0"/>
    <n v="0"/>
    <n v="97797.14999999999"/>
    <n v="0"/>
    <n v="0"/>
    <n v="11"/>
    <n v="97797.14999999999"/>
    <n v="0"/>
    <n v="0"/>
    <n v="11"/>
    <n v="0"/>
    <n v="0"/>
    <m/>
    <n v="97797.14999999999"/>
    <n v="0"/>
    <n v="0"/>
    <n v="11"/>
    <n v="97797.14999999999"/>
    <n v="0"/>
  </r>
  <r>
    <s v="Lhotse-Audio Menor"/>
    <x v="4"/>
    <x v="15"/>
    <x v="37"/>
    <s v="LHPARPULS"/>
    <x v="213"/>
    <x v="203"/>
    <x v="0"/>
    <x v="0"/>
    <n v="0.5"/>
    <x v="117"/>
    <n v="108"/>
    <m/>
    <n v="0"/>
    <n v="7589"/>
    <n v="819612"/>
    <n v="8.59"/>
    <n v="9384.574999999999"/>
    <n v="16798.31932773109"/>
    <n v="15117.64705882353"/>
    <s v="Shenzhen"/>
    <s v="30/70"/>
    <n v="30"/>
    <n v="200"/>
    <n v="1"/>
    <n v="0.6409284135351131"/>
    <n v="2"/>
    <n v="0.553059493108048"/>
    <n v="14"/>
    <n v="0.4971619548358831"/>
    <n v="2"/>
    <n v="0.4800582719494429"/>
    <n v="4"/>
    <n v="0.640928413535113"/>
    <n v="21"/>
    <n v="0.4253883792157317"/>
    <n v="11"/>
    <n v="0.4971723971330144"/>
    <n v="14"/>
    <n v="0.4971613407674227"/>
    <n v="12"/>
    <n v="0.4971623888753357"/>
    <n v="35"/>
    <n v="0.4493285880300879"/>
    <n v="8"/>
    <n v="0.4971538363603483"/>
    <n v="26"/>
    <n v="0.4952185006538349"/>
    <n v="0"/>
    <s v=""/>
    <n v="4"/>
    <n v="0.3759454698325391"/>
    <n v="9"/>
    <n v="0.3062676228276371"/>
    <n v="6"/>
    <n v="0.2828332363695565"/>
    <n v="0.4"/>
    <n v="4"/>
    <n v="0.5697453791920732"/>
    <n v="0.3636363636363636"/>
    <n v="6"/>
    <n v="0.3325540905111575"/>
    <n v="0.24"/>
    <n v="7"/>
    <n v="0.534875822090132"/>
    <n v="0.5833333333333334"/>
    <n v="1"/>
    <n v="0.3543631165117941"/>
    <n v="0.1"/>
    <m/>
    <m/>
    <m/>
    <m/>
    <m/>
    <m/>
    <m/>
    <m/>
    <m/>
    <m/>
    <m/>
    <m/>
    <n v="15"/>
    <n v="11"/>
    <n v="2"/>
    <n v="100"/>
    <n v="100"/>
    <n v="0"/>
    <n v="129013"/>
    <n v="97797.14999999999"/>
    <n v="15178"/>
    <n v="0"/>
    <n v="108"/>
    <n v="819612"/>
    <n v="28232.46945837159"/>
    <n v="3"/>
    <n v="17"/>
    <n v="6"/>
    <n v="0"/>
    <n v="0"/>
    <n v="0"/>
    <n v="159369"/>
    <n v="151141.05"/>
    <n v="45534"/>
    <n v="0"/>
    <n v="108"/>
    <n v="819612"/>
    <n v="84697.40837511476"/>
    <n v="20"/>
    <n v="108"/>
    <n v="9"/>
    <n v="0"/>
    <n v="0"/>
    <n v="162733.575"/>
    <n v="819612"/>
    <n v="68301"/>
    <n v="0"/>
    <n v="108"/>
    <n v="819612"/>
    <n v="151184.8739495798"/>
    <n v="15"/>
    <n v="109"/>
    <n v="6"/>
    <n v="0"/>
    <n v="0"/>
    <n v="969080.85"/>
    <n v="45534"/>
    <n v="0"/>
    <n v="0"/>
    <n v="108"/>
    <n v="819612"/>
    <n v="100789.9159663866"/>
    <n v="11"/>
    <n v="112"/>
    <n v="5.5"/>
    <m/>
    <n v="0"/>
    <n v="0"/>
    <n v="849968"/>
    <n v="48898.575"/>
    <n v="0"/>
    <n v="0"/>
    <n v="108"/>
    <n v="819612"/>
    <n v="92390.75630252101"/>
    <n v="25"/>
    <n v="114"/>
    <n v="6"/>
    <m/>
    <n v="0"/>
    <n v="0"/>
    <n v="865146"/>
    <n v="53343.89999999999"/>
    <n v="0"/>
    <n v="0"/>
    <n v="114"/>
    <n v="819612"/>
    <n v="100789.9159663866"/>
    <n v="12"/>
    <n v="115"/>
    <n v="7"/>
    <n v="0"/>
    <n v="0"/>
    <n v="0"/>
    <n v="872735"/>
    <n v="62234.55"/>
    <n v="0"/>
    <n v="0"/>
    <n v="115"/>
    <n v="819612"/>
    <n v="117588.2352941177"/>
    <n v="10"/>
    <n v="108"/>
    <n v="5"/>
    <n v="0"/>
    <n v="0"/>
    <n v="0"/>
    <n v="819612"/>
    <n v="44453.25"/>
    <n v="0"/>
    <n v="0"/>
    <n v="108"/>
    <n v="819612"/>
    <n v="83991.59663865546"/>
    <n v="8"/>
    <n v="103"/>
    <n v="4"/>
    <n v="0"/>
    <n v="0"/>
    <n v="0"/>
    <n v="915736.95"/>
    <n v="35562.6"/>
    <n v="0"/>
    <n v="0"/>
    <n v="103"/>
    <n v="915736.95"/>
    <n v="67193.27731092437"/>
    <n v="35"/>
    <n v="99"/>
    <n v="17.5"/>
    <n v="0"/>
    <n v="0"/>
    <n v="0"/>
    <m/>
    <n v="880174.35"/>
    <n v="155586.375"/>
    <n v="0"/>
    <n v="0"/>
    <n v="99"/>
    <n v="880174.35"/>
    <n v="264558.8235294117"/>
    <n v="30"/>
    <n v="81.5"/>
    <n v="15"/>
    <n v="0"/>
    <n v="0"/>
    <n v="724587.975"/>
    <n v="133359.75"/>
    <n v="0"/>
    <n v="0"/>
    <n v="81.5"/>
    <n v="724587.975"/>
    <n v="238102.9411764706"/>
    <n v="35"/>
    <n v="66.5"/>
    <n v="17.5"/>
    <n v="0"/>
    <n v="0"/>
    <n v="591228.225"/>
    <n v="155586.375"/>
    <n v="0"/>
    <n v="66.5"/>
    <n v="591228.225"/>
    <n v="293970.5882352941"/>
    <n v="18"/>
    <n v="49"/>
    <n v="9"/>
    <n v="0"/>
    <m/>
    <n v="435641.85"/>
    <n v="68301"/>
    <n v="0"/>
    <n v="49"/>
    <n v="435641.85"/>
    <n v="151184.8739495798"/>
  </r>
  <r>
    <s v="Lhotse-Audio Menor"/>
    <x v="4"/>
    <x v="15"/>
    <x v="37"/>
    <s v="LHPARTRGO"/>
    <x v="214"/>
    <x v="204"/>
    <x v="0"/>
    <x v="3"/>
    <n v="1"/>
    <x v="118"/>
    <n v="10"/>
    <m/>
    <n v="0"/>
    <n v="5887"/>
    <n v="58870"/>
    <n v="5.4"/>
    <n v="5899.499999999999"/>
    <n v="12596.63865546219"/>
    <n v="10915.96638655462"/>
    <s v="Shenzhen"/>
    <s v="30/70"/>
    <n v="30"/>
    <n v="1000"/>
    <n v="4"/>
    <n v="0.6115844103825521"/>
    <n v="21"/>
    <n v="0.4946350078858922"/>
    <n v="23"/>
    <n v="0.5487479123031205"/>
    <n v="14"/>
    <n v="0.3819136538504803"/>
    <n v="71"/>
    <n v="0.4269975139606617"/>
    <n v="49"/>
    <n v="0.6762738982198699"/>
    <n v="76"/>
    <n v="0.3681890158980337"/>
    <n v="50"/>
    <n v="0.3453478975957575"/>
    <n v="36"/>
    <n v="0.3227682720799147"/>
    <n v="112"/>
    <n v="0.3378473011752678"/>
    <n v="218"/>
    <n v="0.3131717595547003"/>
    <n v="253"/>
    <n v="0.4419730388902332"/>
    <n v="40"/>
    <n v="0.3159401468996948"/>
    <n v="20"/>
    <n v="0.3029932494653949"/>
    <n v="10"/>
    <n v="0.3399585601120564"/>
    <n v="20"/>
    <n v="0.2933143984311257"/>
    <n v="0"/>
    <n v="1"/>
    <n v="0.5326817878585723"/>
    <n v="0"/>
    <n v="12"/>
    <n v="0.2203414125506213"/>
    <n v="0"/>
    <n v="17"/>
    <n v="0.4261676600542548"/>
    <n v="0"/>
    <n v="6"/>
    <n v="0.2809097752078559"/>
    <n v="0"/>
    <m/>
    <m/>
    <m/>
    <m/>
    <m/>
    <m/>
    <m/>
    <m/>
    <m/>
    <m/>
    <m/>
    <m/>
    <n v="80"/>
    <n v="42"/>
    <n v="42"/>
    <n v="0"/>
    <n v="0"/>
    <n v="0"/>
    <n v="482734"/>
    <n v="234738"/>
    <n v="247254"/>
    <n v="0"/>
    <n v="10"/>
    <n v="58870"/>
    <n v="444587.2466633713"/>
    <n v="0"/>
    <n v="25"/>
    <n v="30"/>
    <n v="0"/>
    <n v="0"/>
    <n v="0"/>
    <n v="353220"/>
    <n v="139725"/>
    <n v="176610"/>
    <n v="0"/>
    <n v="10"/>
    <n v="58870"/>
    <n v="317562.3190452652"/>
    <n v="0"/>
    <n v="5"/>
    <n v="10"/>
    <n v="0"/>
    <n v="0"/>
    <n v="176610"/>
    <n v="29435"/>
    <n v="58870"/>
    <n v="0"/>
    <n v="10"/>
    <n v="58870"/>
    <n v="125966.3865546219"/>
    <n v="0"/>
    <n v="28"/>
    <n v="20"/>
    <n v="0"/>
    <n v="0"/>
    <n v="156492"/>
    <n v="117740"/>
    <n v="0"/>
    <n v="0"/>
    <n v="10"/>
    <n v="58870"/>
    <n v="251932.7731092437"/>
    <n v="0"/>
    <n v="11"/>
    <n v="0"/>
    <m/>
    <n v="0"/>
    <n v="0"/>
    <n v="64757"/>
    <n v="0"/>
    <n v="0"/>
    <n v="0"/>
    <n v="10"/>
    <n v="58870"/>
    <n v="0"/>
    <n v="0"/>
    <n v="22"/>
    <n v="12"/>
    <m/>
    <n v="0"/>
    <n v="0"/>
    <n v="129514"/>
    <n v="67068"/>
    <n v="0"/>
    <n v="0"/>
    <n v="22"/>
    <n v="58870"/>
    <n v="151159.6638655462"/>
    <n v="0"/>
    <n v="27"/>
    <n v="17"/>
    <n v="300"/>
    <n v="300"/>
    <n v="0"/>
    <n v="158949"/>
    <n v="95013"/>
    <n v="1620810"/>
    <n v="0"/>
    <n v="27"/>
    <n v="58870"/>
    <n v="214142.8571428572"/>
    <n v="0"/>
    <n v="10"/>
    <n v="0"/>
    <n v="0"/>
    <n v="0"/>
    <n v="0"/>
    <n v="58870"/>
    <n v="0"/>
    <n v="0"/>
    <n v="0"/>
    <n v="10"/>
    <n v="58870"/>
    <n v="0"/>
    <n v="0"/>
    <n v="10"/>
    <n v="0"/>
    <n v="0"/>
    <n v="0"/>
    <n v="301"/>
    <n v="55890"/>
    <n v="0"/>
    <n v="0"/>
    <n v="1682289"/>
    <n v="311"/>
    <n v="1738179"/>
    <n v="0"/>
    <n v="11"/>
    <n v="311"/>
    <n v="11"/>
    <n v="0"/>
    <n v="0"/>
    <n v="0"/>
    <m/>
    <n v="1738179"/>
    <n v="61479"/>
    <n v="0"/>
    <n v="0"/>
    <n v="311"/>
    <n v="1738179"/>
    <n v="120075.6302521008"/>
    <n v="0"/>
    <n v="300"/>
    <n v="0"/>
    <n v="0"/>
    <n v="0"/>
    <n v="1676700"/>
    <n v="0"/>
    <n v="0"/>
    <n v="0"/>
    <n v="300"/>
    <n v="1676700"/>
    <n v="0"/>
    <n v="0"/>
    <n v="300"/>
    <n v="0"/>
    <n v="0"/>
    <n v="0"/>
    <n v="1676700"/>
    <n v="0"/>
    <n v="0"/>
    <n v="300"/>
    <n v="1676700"/>
    <n v="0"/>
    <n v="0"/>
    <n v="300"/>
    <n v="0"/>
    <n v="0"/>
    <m/>
    <n v="1676700"/>
    <n v="0"/>
    <n v="0"/>
    <n v="300"/>
    <n v="1676700"/>
    <n v="0"/>
  </r>
  <r>
    <s v="Lhotse-Audio Menor"/>
    <x v="4"/>
    <x v="15"/>
    <x v="37"/>
    <s v="LHPARTRGO"/>
    <x v="215"/>
    <x v="205"/>
    <x v="0"/>
    <x v="3"/>
    <n v="1"/>
    <x v="119"/>
    <n v="4"/>
    <m/>
    <n v="0"/>
    <n v="5916"/>
    <n v="23664"/>
    <n v="5.4"/>
    <n v="5899.499999999999"/>
    <n v="12596.63865546219"/>
    <n v="10915.96638655462"/>
    <s v="Shenzhen"/>
    <s v="30/70"/>
    <n v="30"/>
    <n v="1000"/>
    <n v="14"/>
    <n v="0.663427495434891"/>
    <n v="6"/>
    <n v="0.4602507364237137"/>
    <n v="27"/>
    <n v="0.5456180350150328"/>
    <n v="6"/>
    <n v="0.5687016111394619"/>
    <n v="8"/>
    <n v="0.5232395841727778"/>
    <n v="44"/>
    <n v="0.5031311505433685"/>
    <n v="104"/>
    <n v="0.399561732121016"/>
    <n v="107"/>
    <n v="0.305271792835586"/>
    <n v="52"/>
    <n v="0.3233770136394913"/>
    <n v="103"/>
    <n v="0.3955813516722535"/>
    <n v="129"/>
    <n v="0.3808195114583875"/>
    <n v="263"/>
    <n v="0.4486030761187252"/>
    <n v="103"/>
    <n v="0.3546193879600565"/>
    <n v="21"/>
    <n v="0.3030753606901972"/>
    <n v="2"/>
    <n v="0.2352760983570246"/>
    <n v="4"/>
    <n v="0.2257332324707387"/>
    <n v="0"/>
    <n v="0"/>
    <s v=""/>
    <n v="0"/>
    <n v="1"/>
    <n v="0.00806158583525789"/>
    <n v="0"/>
    <n v="0"/>
    <s v=""/>
    <n v="0"/>
    <n v="2"/>
    <n v="0.2257280135913567"/>
    <n v="0"/>
    <m/>
    <m/>
    <m/>
    <m/>
    <m/>
    <m/>
    <m/>
    <m/>
    <m/>
    <m/>
    <m/>
    <m/>
    <n v="60"/>
    <n v="133"/>
    <n v="120"/>
    <n v="0"/>
    <n v="0"/>
    <n v="0"/>
    <n v="908106"/>
    <n v="743337"/>
    <n v="709920"/>
    <n v="0"/>
    <n v="4"/>
    <n v="23664"/>
    <n v="1270249.276181061"/>
    <n v="15"/>
    <n v="27"/>
    <n v="31.5"/>
    <n v="0"/>
    <n v="0"/>
    <n v="0"/>
    <n v="221850"/>
    <n v="150903"/>
    <n v="186354"/>
    <n v="0"/>
    <n v="4"/>
    <n v="23664"/>
    <n v="333440.4349975285"/>
    <n v="0"/>
    <n v="6"/>
    <n v="2"/>
    <n v="0"/>
    <n v="0"/>
    <n v="35496"/>
    <n v="35496"/>
    <n v="11832"/>
    <n v="0"/>
    <n v="4"/>
    <n v="23664"/>
    <n v="25193.27731092437"/>
    <n v="0"/>
    <n v="7"/>
    <n v="4"/>
    <n v="0"/>
    <n v="0"/>
    <n v="39123"/>
    <n v="23664"/>
    <n v="0"/>
    <n v="0"/>
    <n v="4"/>
    <n v="23664"/>
    <n v="50386.55462184874"/>
    <n v="0"/>
    <n v="4"/>
    <n v="0"/>
    <m/>
    <n v="0"/>
    <n v="0"/>
    <n v="23664"/>
    <n v="0"/>
    <n v="0"/>
    <n v="0"/>
    <n v="4"/>
    <n v="23664"/>
    <n v="0"/>
    <n v="0"/>
    <n v="5"/>
    <n v="1"/>
    <m/>
    <n v="0"/>
    <n v="0"/>
    <n v="29580"/>
    <n v="5589"/>
    <n v="0"/>
    <n v="0"/>
    <n v="5"/>
    <n v="23664"/>
    <n v="12596.63865546219"/>
    <n v="0"/>
    <n v="4"/>
    <n v="0"/>
    <n v="300"/>
    <n v="300"/>
    <n v="0"/>
    <n v="23664"/>
    <n v="0"/>
    <n v="1620810"/>
    <n v="0"/>
    <n v="4"/>
    <n v="23664"/>
    <n v="0"/>
    <n v="0"/>
    <n v="4"/>
    <n v="0"/>
    <n v="0"/>
    <n v="0"/>
    <n v="0"/>
    <n v="23664"/>
    <n v="0"/>
    <n v="0"/>
    <n v="0"/>
    <n v="4"/>
    <n v="23664"/>
    <n v="0"/>
    <n v="0"/>
    <n v="4"/>
    <n v="0"/>
    <n v="0"/>
    <n v="0"/>
    <n v="301"/>
    <n v="22356"/>
    <n v="0"/>
    <n v="0"/>
    <n v="1682289"/>
    <n v="305"/>
    <n v="1704645"/>
    <n v="0"/>
    <n v="28"/>
    <n v="305"/>
    <n v="28"/>
    <n v="0"/>
    <n v="0"/>
    <n v="0"/>
    <m/>
    <n v="1704645"/>
    <n v="156492"/>
    <n v="0"/>
    <n v="0"/>
    <n v="305"/>
    <n v="1704645"/>
    <n v="305647.0588235295"/>
    <n v="0"/>
    <n v="277"/>
    <n v="0"/>
    <n v="0"/>
    <n v="0"/>
    <n v="1548153"/>
    <n v="0"/>
    <n v="0"/>
    <n v="0"/>
    <n v="277"/>
    <n v="1548153"/>
    <n v="0"/>
    <n v="0"/>
    <n v="277"/>
    <n v="0"/>
    <n v="0"/>
    <n v="0"/>
    <n v="1548153"/>
    <n v="0"/>
    <n v="0"/>
    <n v="277"/>
    <n v="1548153"/>
    <n v="0"/>
    <n v="0"/>
    <n v="277"/>
    <n v="0"/>
    <n v="0"/>
    <m/>
    <n v="1548153"/>
    <n v="0"/>
    <n v="0"/>
    <n v="277"/>
    <n v="1548153"/>
    <n v="0"/>
  </r>
  <r>
    <s v="Lhotse-Audio Menor"/>
    <x v="4"/>
    <x v="15"/>
    <x v="37"/>
    <s v="LHPARTRGO"/>
    <x v="216"/>
    <x v="206"/>
    <x v="0"/>
    <x v="2"/>
    <n v="1"/>
    <x v="3"/>
    <n v="87"/>
    <m/>
    <n v="0"/>
    <n v="5754"/>
    <n v="500598"/>
    <n v="5.4"/>
    <n v="5899.499999999999"/>
    <n v="12596.63865546219"/>
    <n v="10915.96638655462"/>
    <s v="Shenzhen"/>
    <s v="30/70"/>
    <n v="30"/>
    <n v="1000"/>
    <n v="11"/>
    <n v="0.6621717934415374"/>
    <n v="21"/>
    <n v="0.5996724564180804"/>
    <n v="21"/>
    <n v="0.6187802465174022"/>
    <n v="8"/>
    <n v="0.6196919634990672"/>
    <n v="12"/>
    <n v="0.5713578584235074"/>
    <n v="27"/>
    <n v="0.473601907998448"/>
    <n v="28"/>
    <n v="0.3563764805157799"/>
    <n v="73"/>
    <n v="0.3026517870592004"/>
    <n v="30"/>
    <n v="0.3818515831568092"/>
    <n v="49"/>
    <n v="0.3843328762067197"/>
    <n v="101"/>
    <n v="0.2908155669430335"/>
    <n v="234"/>
    <n v="0.4320948469848493"/>
    <n v="27"/>
    <n v="0.3720362447709842"/>
    <n v="23"/>
    <n v="0.2507368958134085"/>
    <n v="36"/>
    <n v="0.3464558301304961"/>
    <n v="37"/>
    <n v="0.2994630265859846"/>
    <n v="0.6166666666666667"/>
    <n v="49"/>
    <n v="0.5490196226029588"/>
    <n v="1.633333333333333"/>
    <n v="154"/>
    <n v="0.256453734300283"/>
    <n v="3.08"/>
    <n v="23"/>
    <n v="0.4948970048388715"/>
    <n v="0.5476190476190477"/>
    <n v="18"/>
    <n v="0.5122632147900794"/>
    <n v="0.2368421052631579"/>
    <m/>
    <m/>
    <m/>
    <m/>
    <m/>
    <m/>
    <m/>
    <m/>
    <m/>
    <m/>
    <m/>
    <m/>
    <n v="70"/>
    <n v="424"/>
    <n v="90"/>
    <n v="0"/>
    <n v="0"/>
    <n v="0"/>
    <n v="923517"/>
    <n v="2369736"/>
    <n v="517860"/>
    <n v="0"/>
    <n v="87"/>
    <n v="500598"/>
    <n v="952686.9571357956"/>
    <n v="80"/>
    <n v="398"/>
    <n v="34.5"/>
    <n v="0"/>
    <n v="0"/>
    <n v="0"/>
    <n v="618555"/>
    <n v="2224422"/>
    <n v="198513"/>
    <n v="0"/>
    <n v="87"/>
    <n v="500598"/>
    <n v="365196.666902055"/>
    <n v="60"/>
    <n v="373"/>
    <n v="36"/>
    <n v="0"/>
    <n v="0"/>
    <n v="587712"/>
    <n v="2146242"/>
    <n v="207144"/>
    <n v="0"/>
    <n v="87"/>
    <n v="500598"/>
    <n v="453478.9915966387"/>
    <n v="60"/>
    <n v="346"/>
    <n v="37"/>
    <n v="0"/>
    <n v="0"/>
    <n v="1933794"/>
    <n v="212898"/>
    <n v="0"/>
    <n v="0"/>
    <n v="87"/>
    <n v="500598"/>
    <n v="466075.6302521009"/>
    <n v="30"/>
    <n v="136"/>
    <n v="30"/>
    <m/>
    <n v="0"/>
    <n v="0"/>
    <n v="782544"/>
    <n v="167670"/>
    <n v="0"/>
    <n v="0"/>
    <n v="87"/>
    <n v="500598"/>
    <n v="377899.1596638656"/>
    <n v="50"/>
    <n v="241"/>
    <n v="154"/>
    <m/>
    <n v="0"/>
    <n v="0"/>
    <n v="1386714"/>
    <n v="860706"/>
    <n v="0"/>
    <n v="0"/>
    <n v="241"/>
    <n v="500598"/>
    <n v="1939882.352941177"/>
    <n v="42"/>
    <n v="110"/>
    <n v="23"/>
    <n v="0"/>
    <n v="0"/>
    <n v="0"/>
    <n v="632940"/>
    <n v="128547"/>
    <n v="0"/>
    <n v="0"/>
    <n v="110"/>
    <n v="500598"/>
    <n v="289722.6890756303"/>
    <n v="76"/>
    <n v="87"/>
    <n v="76"/>
    <n v="0"/>
    <n v="0"/>
    <n v="0"/>
    <n v="500598"/>
    <n v="424764"/>
    <n v="0"/>
    <n v="0"/>
    <n v="87"/>
    <n v="500598"/>
    <n v="957344.5378151261"/>
    <n v="44"/>
    <n v="11"/>
    <n v="44"/>
    <n v="0"/>
    <n v="0"/>
    <n v="1"/>
    <n v="61479"/>
    <n v="245916"/>
    <n v="0"/>
    <n v="5589"/>
    <n v="12"/>
    <n v="67068"/>
    <n v="554252.1008403362"/>
    <n v="50"/>
    <n v="0"/>
    <n v="0"/>
    <n v="0"/>
    <n v="0"/>
    <n v="0"/>
    <m/>
    <n v="0"/>
    <n v="0"/>
    <n v="0"/>
    <n v="0"/>
    <n v="0"/>
    <n v="0"/>
    <n v="0"/>
    <n v="13"/>
    <n v="0"/>
    <n v="13"/>
    <n v="0"/>
    <n v="0"/>
    <n v="0"/>
    <n v="72657"/>
    <n v="0"/>
    <n v="0"/>
    <n v="0"/>
    <n v="0"/>
    <n v="149002.9411764706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Audio Menor"/>
    <x v="4"/>
    <x v="15"/>
    <x v="37"/>
    <s v="LHPARTRGO"/>
    <x v="217"/>
    <x v="207"/>
    <x v="0"/>
    <x v="3"/>
    <n v="0.8"/>
    <x v="120"/>
    <n v="401"/>
    <m/>
    <n v="0"/>
    <n v="5933"/>
    <n v="2379133"/>
    <n v="5.4"/>
    <n v="5899.499999999999"/>
    <n v="12596.63865546219"/>
    <n v="10915.96638655462"/>
    <s v="Shenzhen"/>
    <s v="30/70"/>
    <n v="30"/>
    <n v="1000"/>
    <n v="4"/>
    <n v="0.5896115107220923"/>
    <n v="5"/>
    <n v="0.5995999977459867"/>
    <n v="5"/>
    <n v="0.5529228224407612"/>
    <n v="8"/>
    <n v="0.5817371268639031"/>
    <n v="6"/>
    <n v="0.5664113193556306"/>
    <n v="75"/>
    <n v="0.4266155280766499"/>
    <n v="38"/>
    <n v="0.3506282080214567"/>
    <n v="66"/>
    <n v="0.250691631645214"/>
    <n v="25"/>
    <n v="0.35176586556298"/>
    <n v="40"/>
    <n v="0.3701580399487472"/>
    <n v="57"/>
    <n v="0.3714736116864659"/>
    <n v="120"/>
    <n v="0.4842158899859959"/>
    <n v="27"/>
    <n v="0.2591723014541069"/>
    <n v="27"/>
    <n v="0.2917367771919111"/>
    <n v="19"/>
    <n v="0.3844044465407076"/>
    <n v="19"/>
    <n v="0.315980672386826"/>
    <n v="0.475"/>
    <n v="12"/>
    <n v="0.4947694161006184"/>
    <n v="0.4"/>
    <n v="18"/>
    <n v="0.3262470630210418"/>
    <n v="0.2571428571428571"/>
    <n v="7"/>
    <n v="0.4314832133557083"/>
    <n v="0.1296296296296296"/>
    <n v="10"/>
    <n v="0.3427075155895975"/>
    <n v="0.1666666666666667"/>
    <m/>
    <m/>
    <m/>
    <m/>
    <m/>
    <m/>
    <m/>
    <m/>
    <m/>
    <m/>
    <m/>
    <m/>
    <n v="40"/>
    <n v="548"/>
    <n v="40"/>
    <n v="0"/>
    <n v="0"/>
    <n v="0"/>
    <n v="590333.5"/>
    <n v="3062772"/>
    <n v="237320"/>
    <n v="0"/>
    <n v="401"/>
    <n v="2379133"/>
    <n v="423416.425393687"/>
    <n v="40"/>
    <n v="517"/>
    <n v="40.5"/>
    <n v="0"/>
    <n v="0"/>
    <n v="0"/>
    <n v="465740.5"/>
    <n v="2889513"/>
    <n v="240286.5"/>
    <n v="0"/>
    <n v="401"/>
    <n v="2379133"/>
    <n v="428709.130711108"/>
    <n v="60"/>
    <n v="488"/>
    <n v="19"/>
    <n v="0"/>
    <n v="0"/>
    <n v="359590"/>
    <n v="2895304"/>
    <n v="112727"/>
    <n v="0"/>
    <n v="401"/>
    <n v="2379133"/>
    <n v="239336.1344537815"/>
    <n v="40"/>
    <n v="474"/>
    <n v="19"/>
    <n v="0"/>
    <n v="0"/>
    <n v="2649186"/>
    <n v="112727"/>
    <n v="0"/>
    <n v="0"/>
    <n v="401"/>
    <n v="2379133"/>
    <n v="239336.1344537815"/>
    <n v="30"/>
    <n v="413"/>
    <n v="24"/>
    <m/>
    <n v="0"/>
    <n v="0"/>
    <n v="2450329"/>
    <n v="134136"/>
    <n v="0"/>
    <n v="0"/>
    <n v="401"/>
    <n v="2379133"/>
    <n v="302319.3277310925"/>
    <n v="70"/>
    <n v="419"/>
    <n v="18"/>
    <m/>
    <n v="0"/>
    <n v="0"/>
    <n v="2485927"/>
    <n v="100602"/>
    <n v="0"/>
    <n v="0"/>
    <n v="419"/>
    <n v="2379133"/>
    <n v="226739.4957983193"/>
    <n v="54"/>
    <n v="408"/>
    <n v="7"/>
    <n v="0"/>
    <n v="0"/>
    <n v="0"/>
    <n v="2420664"/>
    <n v="39123"/>
    <n v="0"/>
    <n v="0"/>
    <n v="408"/>
    <n v="2379133"/>
    <n v="88176.4705882353"/>
    <n v="60"/>
    <n v="401"/>
    <n v="48"/>
    <n v="0"/>
    <n v="0"/>
    <n v="0"/>
    <n v="2379133"/>
    <n v="268272"/>
    <n v="0"/>
    <n v="0"/>
    <n v="401"/>
    <n v="2379133"/>
    <n v="604638.6554621849"/>
    <n v="25"/>
    <n v="353"/>
    <n v="20"/>
    <n v="0"/>
    <n v="0"/>
    <n v="0"/>
    <n v="1972917"/>
    <n v="111780"/>
    <n v="0"/>
    <n v="0"/>
    <n v="353"/>
    <n v="1972917"/>
    <n v="251932.7731092437"/>
    <n v="50"/>
    <n v="333"/>
    <n v="40"/>
    <n v="0"/>
    <n v="0"/>
    <n v="0"/>
    <m/>
    <n v="1861137"/>
    <n v="223560"/>
    <n v="0"/>
    <n v="0"/>
    <n v="333"/>
    <n v="1861137"/>
    <n v="436638.6554621849"/>
    <n v="60"/>
    <n v="293"/>
    <n v="48"/>
    <n v="0"/>
    <n v="0"/>
    <n v="1637577"/>
    <n v="268272"/>
    <n v="0"/>
    <n v="0"/>
    <n v="293"/>
    <n v="1637577"/>
    <n v="550164.705882353"/>
    <n v="120"/>
    <n v="245"/>
    <n v="96"/>
    <n v="0"/>
    <n v="0"/>
    <n v="1369305"/>
    <n v="536544"/>
    <n v="0"/>
    <n v="245"/>
    <n v="1369305"/>
    <n v="1209277.31092437"/>
    <n v="36"/>
    <n v="149"/>
    <n v="28.8"/>
    <n v="0"/>
    <m/>
    <n v="832761"/>
    <n v="170870.4"/>
    <n v="0"/>
    <n v="149"/>
    <n v="832761"/>
    <n v="362783.193277311"/>
  </r>
  <r>
    <s v="Lhotse-Audio Menor"/>
    <x v="4"/>
    <x v="15"/>
    <x v="37"/>
    <s v="LHPARTUNUP"/>
    <x v="218"/>
    <x v="208"/>
    <x v="0"/>
    <x v="1"/>
    <n v="1"/>
    <x v="121"/>
    <n v="1700"/>
    <m/>
    <n v="0"/>
    <n v="4512"/>
    <n v="7670400"/>
    <n v="4.72"/>
    <n v="5156.599999999999"/>
    <n v="10915.96638655462"/>
    <n v="8394.957983193277"/>
    <s v="Shenzhen"/>
    <s v="20/80 Credit"/>
    <n v="30"/>
    <n v="1000"/>
    <n v="588"/>
    <n v="0.1953477516031303"/>
    <n v="2"/>
    <s v=""/>
    <n v="1691"/>
    <n v="0.30266943955273"/>
    <n v="849"/>
    <n v="0.3168892347687237"/>
    <n v="6"/>
    <n v="0.4411828749645591"/>
    <n v="995"/>
    <n v="0.3590932274536139"/>
    <n v="1944"/>
    <n v="0.3354810009673722"/>
    <n v="68"/>
    <n v="0.4002606099968394"/>
    <n v="603"/>
    <n v="0.2393049775623526"/>
    <n v="929"/>
    <n v="0.3537692803311155"/>
    <n v="2880"/>
    <n v="0.3357965327878982"/>
    <n v="313"/>
    <n v="0.5202077121205168"/>
    <n v="392"/>
    <n v="0.3675496919169323"/>
    <n v="304"/>
    <n v="0.3353068024130339"/>
    <n v="224"/>
    <n v="0.3505641257688021"/>
    <n v="140"/>
    <n v="0.3758079725551162"/>
    <n v="0.2153846153846154"/>
    <n v="75"/>
    <n v="0.5844523703894764"/>
    <n v="0.5"/>
    <n v="439"/>
    <n v="0.3463677470137566"/>
    <n v="2.926666666666667"/>
    <n v="0"/>
    <s v=""/>
    <n v="0"/>
    <n v="0"/>
    <s v=""/>
    <n v="0"/>
    <m/>
    <m/>
    <m/>
    <m/>
    <m/>
    <m/>
    <m/>
    <m/>
    <m/>
    <m/>
    <m/>
    <m/>
    <n v="850"/>
    <n v="3473"/>
    <n v="850"/>
    <n v="0"/>
    <n v="0"/>
    <n v="0"/>
    <n v="6903360"/>
    <n v="16966299.6"/>
    <n v="3835200"/>
    <n v="0"/>
    <n v="1700"/>
    <n v="7670400"/>
    <n v="7797118.847539017"/>
    <n v="460"/>
    <n v="3006"/>
    <n v="456"/>
    <n v="0"/>
    <n v="0"/>
    <n v="0"/>
    <n v="3699840"/>
    <n v="14684911.2"/>
    <n v="2057472"/>
    <n v="0"/>
    <n v="1700"/>
    <n v="7670400"/>
    <n v="4182924.934679755"/>
    <n v="650"/>
    <n v="2630"/>
    <n v="224"/>
    <n v="0"/>
    <n v="0"/>
    <n v="2375148"/>
    <n v="11866560"/>
    <n v="1010688"/>
    <n v="0"/>
    <n v="1700"/>
    <n v="7670400"/>
    <n v="2445176.470588236"/>
    <n v="650"/>
    <n v="2508"/>
    <n v="140"/>
    <n v="0"/>
    <n v="0"/>
    <n v="12252081.6"/>
    <n v="631680"/>
    <n v="0"/>
    <n v="0"/>
    <n v="1700"/>
    <n v="7670400"/>
    <n v="1528235.294117647"/>
    <n v="150"/>
    <n v="1775"/>
    <n v="150"/>
    <m/>
    <n v="0"/>
    <n v="0"/>
    <n v="8008800"/>
    <n v="732780"/>
    <n v="0"/>
    <n v="0"/>
    <n v="1700"/>
    <n v="7670400"/>
    <n v="1637394.957983193"/>
    <n v="150"/>
    <n v="2139"/>
    <n v="439"/>
    <m/>
    <n v="0"/>
    <n v="0"/>
    <n v="9651168"/>
    <n v="2144602.8"/>
    <n v="0"/>
    <n v="0"/>
    <n v="2139"/>
    <n v="7670400"/>
    <n v="4792109.243697479"/>
    <n v="150"/>
    <n v="1700"/>
    <n v="0"/>
    <n v="0"/>
    <n v="0"/>
    <n v="0"/>
    <n v="7670400"/>
    <n v="0"/>
    <n v="0"/>
    <n v="0"/>
    <n v="1700"/>
    <n v="7670400"/>
    <n v="0"/>
    <n v="150"/>
    <n v="1700"/>
    <n v="150"/>
    <n v="1500"/>
    <n v="1500"/>
    <n v="0"/>
    <n v="7670400"/>
    <n v="732780"/>
    <n v="7327800"/>
    <n v="0"/>
    <n v="1700"/>
    <n v="7670400"/>
    <n v="1637394.957983193"/>
    <n v="150"/>
    <n v="1550"/>
    <n v="150"/>
    <n v="0"/>
    <n v="0"/>
    <n v="0"/>
    <n v="7572060"/>
    <n v="732780"/>
    <n v="0"/>
    <n v="0"/>
    <n v="1550"/>
    <n v="7572060"/>
    <n v="1637394.957983193"/>
    <n v="300"/>
    <n v="1400"/>
    <n v="300"/>
    <n v="0"/>
    <n v="0"/>
    <n v="0"/>
    <m/>
    <n v="6839280"/>
    <n v="1465560"/>
    <n v="0"/>
    <n v="0"/>
    <n v="1400"/>
    <n v="6839280"/>
    <n v="2518487.394957983"/>
    <n v="150"/>
    <n v="1100"/>
    <n v="150"/>
    <n v="0"/>
    <n v="0"/>
    <n v="5373720"/>
    <n v="732780"/>
    <n v="0"/>
    <n v="0"/>
    <n v="1100"/>
    <n v="5373720"/>
    <n v="1322205.882352941"/>
    <n v="300"/>
    <n v="950"/>
    <n v="300"/>
    <n v="0"/>
    <n v="0"/>
    <n v="4640940"/>
    <n v="1465560"/>
    <n v="0"/>
    <n v="950"/>
    <n v="4640940"/>
    <n v="3274789.915966387"/>
    <n v="90"/>
    <n v="650"/>
    <n v="90"/>
    <n v="0"/>
    <m/>
    <n v="3175380"/>
    <n v="406080"/>
    <n v="0"/>
    <n v="650"/>
    <n v="3175380"/>
    <n v="982436.9747899161"/>
  </r>
  <r>
    <s v="Lhotse-Audio Menor"/>
    <x v="4"/>
    <x v="15"/>
    <x v="37"/>
    <s v="LHPARTUNUP"/>
    <x v="219"/>
    <x v="209"/>
    <x v="0"/>
    <x v="1"/>
    <n v="1"/>
    <x v="122"/>
    <n v="2723"/>
    <m/>
    <n v="0"/>
    <n v="4448"/>
    <n v="12111904"/>
    <n v="4.72"/>
    <n v="5156.599999999999"/>
    <n v="10915.96638655462"/>
    <n v="8394.957983193277"/>
    <s v="Shenzhen"/>
    <s v="20/80 Credit"/>
    <n v="30"/>
    <n v="1000"/>
    <n v="725"/>
    <n v="0.1998600738643375"/>
    <n v="642"/>
    <n v="0.2002053926164686"/>
    <n v="1391"/>
    <n v="0.2962694847731738"/>
    <n v="85"/>
    <n v="0.3168799041749571"/>
    <n v="6"/>
    <n v="0.4073535582648143"/>
    <n v="916"/>
    <n v="0.3535725487110687"/>
    <n v="1447"/>
    <n v="0.3317075074077027"/>
    <n v="77"/>
    <n v="0.3977647111190803"/>
    <n v="438"/>
    <n v="0.2382009372690522"/>
    <n v="986"/>
    <n v="0.3264336536496523"/>
    <n v="2367"/>
    <n v="0.3295698152847742"/>
    <n v="395"/>
    <n v="0.4184229674265489"/>
    <n v="450"/>
    <n v="0.4175111621469312"/>
    <n v="113"/>
    <n v="0.3706893475089347"/>
    <n v="167"/>
    <n v="0.3636903115085005"/>
    <n v="56"/>
    <n v="0.4019193792677859"/>
    <n v="0.16"/>
    <n v="25"/>
    <n v="0.5878548743505593"/>
    <n v="0.3571428571428572"/>
    <n v="64"/>
    <n v="0.2629812156046148"/>
    <n v="0.9142857142857143"/>
    <n v="0"/>
    <s v=""/>
    <n v="0"/>
    <n v="0"/>
    <s v=""/>
    <n v="0"/>
    <m/>
    <m/>
    <m/>
    <m/>
    <m/>
    <m/>
    <m/>
    <m/>
    <m/>
    <m/>
    <m/>
    <m/>
    <n v="850"/>
    <n v="2713"/>
    <n v="850"/>
    <n v="0"/>
    <n v="1000"/>
    <n v="0"/>
    <n v="5277552"/>
    <n v="13253547.6"/>
    <n v="3780800"/>
    <n v="0"/>
    <n v="2723"/>
    <n v="12111904"/>
    <n v="7797118.847539017"/>
    <n v="620"/>
    <n v="2233"/>
    <n v="169.5"/>
    <n v="0"/>
    <n v="0"/>
    <n v="0"/>
    <n v="1745840"/>
    <n v="10908651.6"/>
    <n v="753936"/>
    <n v="0"/>
    <n v="2723"/>
    <n v="12111904"/>
    <n v="1554837.229009251"/>
    <n v="350"/>
    <n v="2088"/>
    <n v="167"/>
    <n v="0"/>
    <n v="0"/>
    <n v="1333868"/>
    <n v="9287424"/>
    <n v="742816"/>
    <n v="0"/>
    <n v="2723"/>
    <n v="12111904"/>
    <n v="1822966.386554622"/>
    <n v="350"/>
    <n v="2843"/>
    <n v="56"/>
    <n v="1000"/>
    <n v="0"/>
    <n v="13888623.6"/>
    <n v="249088"/>
    <n v="4885200"/>
    <n v="0"/>
    <n v="2723"/>
    <n v="12111904"/>
    <n v="611294.1176470589"/>
    <n v="70"/>
    <n v="2748"/>
    <n v="70"/>
    <m/>
    <n v="1000"/>
    <n v="0"/>
    <n v="12223104"/>
    <n v="341964"/>
    <n v="0"/>
    <n v="0"/>
    <n v="2723"/>
    <n v="12111904"/>
    <n v="764117.6470588236"/>
    <n v="70"/>
    <n v="2787"/>
    <n v="64"/>
    <m/>
    <n v="0"/>
    <n v="0"/>
    <n v="12396576"/>
    <n v="312652.8"/>
    <n v="0"/>
    <n v="0"/>
    <n v="2787"/>
    <n v="12111904"/>
    <n v="698621.8487394959"/>
    <n v="70"/>
    <n v="2723"/>
    <n v="0"/>
    <n v="1000"/>
    <n v="1000"/>
    <n v="0"/>
    <n v="12111904"/>
    <n v="0"/>
    <n v="4722359.999999999"/>
    <n v="0"/>
    <n v="2723"/>
    <n v="12111904"/>
    <n v="0"/>
    <n v="70"/>
    <n v="2723"/>
    <n v="70"/>
    <n v="0"/>
    <n v="0"/>
    <n v="0"/>
    <n v="12111904"/>
    <n v="341964"/>
    <n v="0"/>
    <n v="0"/>
    <n v="2723"/>
    <n v="12111904"/>
    <n v="764117.6470588236"/>
    <n v="70"/>
    <n v="2653"/>
    <n v="70"/>
    <n v="0"/>
    <n v="0"/>
    <n v="1000"/>
    <n v="12960435.6"/>
    <n v="341964"/>
    <n v="0"/>
    <n v="4885200"/>
    <n v="3653"/>
    <n v="17845635.6"/>
    <n v="764117.6470588236"/>
    <n v="140"/>
    <n v="3583"/>
    <n v="140"/>
    <n v="0"/>
    <n v="0"/>
    <n v="0"/>
    <m/>
    <n v="17503671.6"/>
    <n v="683928"/>
    <n v="0"/>
    <n v="0"/>
    <n v="3583"/>
    <n v="17503671.6"/>
    <n v="1175294.117647059"/>
    <n v="140"/>
    <n v="3443"/>
    <n v="140"/>
    <n v="0"/>
    <n v="0"/>
    <n v="16819743.6"/>
    <n v="683928"/>
    <n v="0"/>
    <n v="0"/>
    <n v="3443"/>
    <n v="16819743.6"/>
    <n v="1234058.823529412"/>
    <n v="280"/>
    <n v="3303"/>
    <n v="280"/>
    <n v="0"/>
    <n v="0"/>
    <n v="16135815.6"/>
    <n v="1367856"/>
    <n v="0"/>
    <n v="3303"/>
    <n v="16135815.6"/>
    <n v="3056470.588235294"/>
    <n v="84"/>
    <n v="3023"/>
    <n v="84"/>
    <n v="0"/>
    <m/>
    <n v="14767959.6"/>
    <n v="373632"/>
    <n v="0"/>
    <n v="3023"/>
    <n v="14767959.6"/>
    <n v="916941.1764705883"/>
  </r>
  <r>
    <s v="Lhotse-Audio Menor"/>
    <x v="4"/>
    <x v="15"/>
    <x v="37"/>
    <s v="LHPARTUNUP"/>
    <x v="220"/>
    <x v="210"/>
    <x v="0"/>
    <x v="1"/>
    <n v="1"/>
    <x v="123"/>
    <n v="2574"/>
    <m/>
    <n v="0"/>
    <n v="4617"/>
    <n v="11884158"/>
    <n v="4.72"/>
    <n v="5156.599999999999"/>
    <n v="10915.96638655462"/>
    <n v="8394.957983193277"/>
    <s v="Shenzhen"/>
    <s v="20/80 Credit"/>
    <n v="30"/>
    <n v="1000"/>
    <n v="762"/>
    <n v="0.198634354336263"/>
    <n v="31"/>
    <n v="0.1971967479674798"/>
    <n v="1511"/>
    <n v="0.3120288121897262"/>
    <n v="772"/>
    <n v="0.3036656115012853"/>
    <n v="20"/>
    <n v="0.5792289295880984"/>
    <n v="813"/>
    <n v="0.3161573184282453"/>
    <n v="2071"/>
    <n v="0.3437337830155852"/>
    <n v="-17"/>
    <n v="0.4165457078156267"/>
    <n v="549"/>
    <n v="0.2387161127861703"/>
    <n v="898"/>
    <n v="0.3414448039568791"/>
    <n v="2423"/>
    <n v="0.3307690664666177"/>
    <n v="507"/>
    <n v="0.4341614983088727"/>
    <n v="409"/>
    <n v="0.3543029063483772"/>
    <n v="155"/>
    <n v="0.3066342401433442"/>
    <n v="305"/>
    <n v="0.3617089950794995"/>
    <n v="55"/>
    <n v="0.3667423044646503"/>
    <n v="0.08870967741935484"/>
    <n v="46"/>
    <n v="0.5624081551380833"/>
    <n v="0.46"/>
    <n v="433"/>
    <n v="0.2615075574045535"/>
    <n v="4.33"/>
    <n v="0"/>
    <s v=""/>
    <n v="0"/>
    <n v="0"/>
    <s v=""/>
    <n v="0"/>
    <m/>
    <m/>
    <m/>
    <m/>
    <m/>
    <m/>
    <m/>
    <m/>
    <m/>
    <m/>
    <m/>
    <m/>
    <n v="820"/>
    <n v="4083"/>
    <n v="820"/>
    <n v="0"/>
    <n v="1000"/>
    <n v="0"/>
    <n v="6267577.5"/>
    <n v="19946271.6"/>
    <n v="3785940"/>
    <n v="0"/>
    <n v="2574"/>
    <n v="11884158"/>
    <n v="7521926.417625875"/>
    <n v="620"/>
    <n v="3706"/>
    <n v="232.5"/>
    <n v="0"/>
    <n v="0"/>
    <n v="0"/>
    <n v="2735572.5"/>
    <n v="18104551.2"/>
    <n v="1073452.5"/>
    <n v="0"/>
    <n v="2574"/>
    <n v="11884158"/>
    <n v="2132741.331826849"/>
    <n v="620"/>
    <n v="3491"/>
    <n v="305"/>
    <n v="0"/>
    <n v="0"/>
    <n v="2150640"/>
    <n v="16117947"/>
    <n v="1408185"/>
    <n v="0"/>
    <n v="2574"/>
    <n v="11884158"/>
    <n v="3329369.74789916"/>
    <n v="620"/>
    <n v="3138"/>
    <n v="55"/>
    <n v="0"/>
    <n v="0"/>
    <n v="15329757.6"/>
    <n v="253935"/>
    <n v="0"/>
    <n v="0"/>
    <n v="2574"/>
    <n v="11884158"/>
    <n v="600378.1512605043"/>
    <n v="100"/>
    <n v="2620"/>
    <n v="100"/>
    <m/>
    <n v="0"/>
    <n v="0"/>
    <n v="12096540"/>
    <n v="488520"/>
    <n v="0"/>
    <n v="0"/>
    <n v="2574"/>
    <n v="11884158"/>
    <n v="1091596.638655462"/>
    <n v="100"/>
    <n v="3007"/>
    <n v="433"/>
    <m/>
    <n v="0"/>
    <n v="0"/>
    <n v="13883319"/>
    <n v="2115291.6"/>
    <n v="0"/>
    <n v="0"/>
    <n v="3007"/>
    <n v="11884158"/>
    <n v="4726613.445378152"/>
    <n v="100"/>
    <n v="2574"/>
    <n v="0"/>
    <n v="1000"/>
    <n v="1000"/>
    <n v="0"/>
    <n v="11884158"/>
    <n v="0"/>
    <n v="4722359.999999999"/>
    <n v="0"/>
    <n v="2574"/>
    <n v="11884158"/>
    <n v="0"/>
    <n v="100"/>
    <n v="2574"/>
    <n v="100"/>
    <n v="0"/>
    <n v="0"/>
    <n v="0"/>
    <n v="11884158"/>
    <n v="488520"/>
    <n v="0"/>
    <n v="0"/>
    <n v="2574"/>
    <n v="11884158"/>
    <n v="1091596.638655462"/>
    <n v="100"/>
    <n v="2474"/>
    <n v="100"/>
    <n v="0"/>
    <n v="0"/>
    <n v="1000"/>
    <n v="12085984.8"/>
    <n v="488520"/>
    <n v="0"/>
    <n v="4885200"/>
    <n v="3474"/>
    <n v="16971184.8"/>
    <n v="1091596.638655462"/>
    <n v="200"/>
    <n v="3374"/>
    <n v="200"/>
    <n v="0"/>
    <n v="0"/>
    <n v="0"/>
    <m/>
    <n v="16482664.8"/>
    <n v="977040"/>
    <n v="0"/>
    <n v="0"/>
    <n v="3374"/>
    <n v="16482664.8"/>
    <n v="1678991.596638655"/>
    <n v="150"/>
    <n v="3174"/>
    <n v="150"/>
    <n v="0"/>
    <n v="0"/>
    <n v="15505624.8"/>
    <n v="732780"/>
    <n v="0"/>
    <n v="0"/>
    <n v="3174"/>
    <n v="15505624.8"/>
    <n v="1322205.882352941"/>
    <n v="300"/>
    <n v="3024"/>
    <n v="300"/>
    <n v="0"/>
    <n v="0"/>
    <n v="14772844.8"/>
    <n v="1465560"/>
    <n v="0"/>
    <n v="3024"/>
    <n v="14772844.8"/>
    <n v="3274789.915966387"/>
    <n v="90"/>
    <n v="2724"/>
    <n v="90"/>
    <n v="0"/>
    <m/>
    <n v="13307284.8"/>
    <n v="415530"/>
    <n v="0"/>
    <n v="2724"/>
    <n v="13307284.8"/>
    <n v="982436.9747899161"/>
  </r>
  <r>
    <s v="Lhotse-Audio Menor"/>
    <x v="4"/>
    <x v="15"/>
    <x v="37"/>
    <s v="LHPARTUNUP"/>
    <x v="221"/>
    <x v="211"/>
    <x v="0"/>
    <x v="1"/>
    <n v="1"/>
    <x v="124"/>
    <n v="2394"/>
    <m/>
    <n v="0"/>
    <n v="4535"/>
    <n v="10856790"/>
    <n v="4.72"/>
    <n v="5156.599999999999"/>
    <n v="10915.96638655462"/>
    <n v="8394.957983193277"/>
    <s v="Shenzhen"/>
    <s v="20/80 Credit"/>
    <n v="30"/>
    <n v="1000"/>
    <n v="201"/>
    <n v="0.2002201398317245"/>
    <n v="10"/>
    <n v="0.1975040650406504"/>
    <n v="1402"/>
    <n v="0.3015856478259986"/>
    <n v="87"/>
    <n v="0.3380293624270921"/>
    <n v="6"/>
    <n v="0.4068749645591154"/>
    <n v="571"/>
    <n v="0.2774712076419144"/>
    <n v="1947"/>
    <n v="0.3447740714706369"/>
    <n v="22"/>
    <n v="0.4111070568430013"/>
    <n v="435"/>
    <n v="0.2386028170305345"/>
    <n v="860"/>
    <n v="0.3246023890424332"/>
    <n v="2150"/>
    <n v="0.33069346825652"/>
    <n v="260"/>
    <n v="0.4321907939998754"/>
    <n v="125"/>
    <n v="0.3440354225068605"/>
    <n v="135"/>
    <n v="0.3714409895901034"/>
    <n v="135"/>
    <n v="0.3279096170274396"/>
    <n v="34"/>
    <n v="0.371362504038357"/>
    <n v="0.1133333333333333"/>
    <n v="13"/>
    <n v="0.5795749985018278"/>
    <n v="0.26"/>
    <n v="52"/>
    <n v="0.3384495555567464"/>
    <n v="1.04"/>
    <n v="0"/>
    <s v=""/>
    <n v="0"/>
    <n v="0"/>
    <s v=""/>
    <n v="0"/>
    <m/>
    <m/>
    <m/>
    <m/>
    <m/>
    <m/>
    <m/>
    <m/>
    <m/>
    <m/>
    <m/>
    <m/>
    <n v="600"/>
    <n v="2817"/>
    <n v="600"/>
    <n v="0"/>
    <n v="1000"/>
    <n v="0"/>
    <n v="4251562.5"/>
    <n v="13761608.4"/>
    <n v="2721000"/>
    <n v="0"/>
    <n v="2394"/>
    <n v="10856790"/>
    <n v="5503848.598262835"/>
    <n v="400"/>
    <n v="2703"/>
    <n v="202.5"/>
    <n v="0"/>
    <n v="0"/>
    <n v="0"/>
    <n v="1684752.5"/>
    <n v="13204695.6"/>
    <n v="918337.5"/>
    <n v="0"/>
    <n v="2394"/>
    <n v="10856790"/>
    <n v="1857548.901913707"/>
    <n v="300"/>
    <n v="2542"/>
    <n v="135"/>
    <n v="0"/>
    <n v="0"/>
    <n v="1010675"/>
    <n v="11527970"/>
    <n v="612225"/>
    <n v="0"/>
    <n v="2394"/>
    <n v="10856790"/>
    <n v="1473655.462184874"/>
    <n v="300"/>
    <n v="2352"/>
    <n v="34"/>
    <n v="0"/>
    <n v="0"/>
    <n v="11489990.4"/>
    <n v="154190"/>
    <n v="0"/>
    <n v="0"/>
    <n v="2394"/>
    <n v="10856790"/>
    <n v="371142.8571428572"/>
    <n v="50"/>
    <n v="2407"/>
    <n v="50"/>
    <m/>
    <n v="0"/>
    <n v="0"/>
    <n v="10915745"/>
    <n v="244260"/>
    <n v="0"/>
    <n v="0"/>
    <n v="2394"/>
    <n v="10856790"/>
    <n v="545798.3193277312"/>
    <n v="50"/>
    <n v="2446"/>
    <n v="52"/>
    <m/>
    <n v="0"/>
    <n v="0"/>
    <n v="11092610"/>
    <n v="254030.4"/>
    <n v="0"/>
    <n v="0"/>
    <n v="2446"/>
    <n v="10856790"/>
    <n v="567630.2521008403"/>
    <n v="50"/>
    <n v="2394"/>
    <n v="0"/>
    <n v="1000"/>
    <n v="1000"/>
    <n v="0"/>
    <n v="10856790"/>
    <n v="0"/>
    <n v="4722359.999999999"/>
    <n v="0"/>
    <n v="2394"/>
    <n v="10856790"/>
    <n v="0"/>
    <n v="50"/>
    <n v="2394"/>
    <n v="50"/>
    <n v="0"/>
    <n v="0"/>
    <n v="0"/>
    <n v="10856790"/>
    <n v="244260"/>
    <n v="0"/>
    <n v="0"/>
    <n v="2394"/>
    <n v="10856790"/>
    <n v="545798.3193277312"/>
    <n v="50"/>
    <n v="2344"/>
    <n v="50"/>
    <n v="0"/>
    <n v="0"/>
    <n v="1000"/>
    <n v="11450908.8"/>
    <n v="244260"/>
    <n v="0"/>
    <n v="4885200"/>
    <n v="3344"/>
    <n v="16336108.8"/>
    <n v="545798.3193277312"/>
    <n v="100"/>
    <n v="3294"/>
    <n v="100"/>
    <n v="0"/>
    <n v="0"/>
    <n v="0"/>
    <m/>
    <n v="16091848.8"/>
    <n v="488520"/>
    <n v="0"/>
    <n v="0"/>
    <n v="3294"/>
    <n v="16091848.8"/>
    <n v="839495.7983193276"/>
    <n v="100"/>
    <n v="3194"/>
    <n v="100"/>
    <n v="0"/>
    <n v="0"/>
    <n v="15603328.8"/>
    <n v="488520"/>
    <n v="0"/>
    <n v="0"/>
    <n v="3194"/>
    <n v="15603328.8"/>
    <n v="881470.5882352941"/>
    <n v="200"/>
    <n v="3094"/>
    <n v="200"/>
    <n v="0"/>
    <n v="0"/>
    <n v="15114808.8"/>
    <n v="977040"/>
    <n v="0"/>
    <n v="3094"/>
    <n v="15114808.8"/>
    <n v="2183193.277310925"/>
    <n v="60"/>
    <n v="2894"/>
    <n v="60"/>
    <n v="0"/>
    <m/>
    <n v="14137768.8"/>
    <n v="272100"/>
    <n v="0"/>
    <n v="2894"/>
    <n v="14137768.8"/>
    <n v="654957.9831932774"/>
  </r>
  <r>
    <s v="Lhotse-Camping y Outdoor"/>
    <x v="4"/>
    <x v="16"/>
    <x v="38"/>
    <n v="1571423280815"/>
    <x v="222"/>
    <x v="212"/>
    <x v="0"/>
    <x v="1"/>
    <n v="1"/>
    <x v="125"/>
    <n v="11"/>
    <m/>
    <n v="0"/>
    <n v="26557"/>
    <n v="292127"/>
    <n v="26.5"/>
    <n v="28951.25"/>
    <n v="54613.44537815126"/>
    <n v="46210.08403361345"/>
    <s v="Shenzhen"/>
    <s v="20/80"/>
    <n v="30"/>
    <n v="100"/>
    <n v="84"/>
    <n v="0.3688824534987359"/>
    <n v="43"/>
    <n v="0.3906628645205781"/>
    <n v="49"/>
    <n v="0.3826836429355521"/>
    <n v="25"/>
    <n v="0.4877172644697637"/>
    <n v="7"/>
    <n v="0.4553675424494863"/>
    <n v="48"/>
    <n v="0.3552170193815653"/>
    <n v="76"/>
    <n v="0.3482577435260585"/>
    <n v="50"/>
    <n v="0.3877855526806444"/>
    <n v="38"/>
    <n v="0.4351800755289659"/>
    <n v="59"/>
    <n v="0.3448968652944397"/>
    <n v="70"/>
    <n v="0.4066808736672256"/>
    <n v="97"/>
    <n v="0.3874757894108669"/>
    <n v="94"/>
    <n v="0.2592134258878578"/>
    <n v="13"/>
    <n v="0.3121293972050805"/>
    <n v="38"/>
    <n v="0.2803940728856628"/>
    <n v="56"/>
    <n v="0.2915160745936706"/>
    <n v="1.4"/>
    <n v="53"/>
    <n v="0.4485183054411215"/>
    <n v="1.766666666666667"/>
    <n v="75"/>
    <n v="0.1292947190743476"/>
    <n v="1.25"/>
    <n v="0"/>
    <s v=""/>
    <n v="0"/>
    <n v="0"/>
    <s v=""/>
    <n v="0"/>
    <m/>
    <m/>
    <m/>
    <m/>
    <m/>
    <m/>
    <m/>
    <m/>
    <m/>
    <m/>
    <m/>
    <m/>
    <n v="80"/>
    <n v="112"/>
    <n v="80"/>
    <n v="100"/>
    <n v="100"/>
    <n v="0"/>
    <n v="3651587.5"/>
    <n v="3071880"/>
    <n v="2124560"/>
    <n v="0"/>
    <n v="11"/>
    <n v="292127"/>
    <n v="3671492.12626227"/>
    <n v="50"/>
    <n v="111"/>
    <n v="19.5"/>
    <n v="100"/>
    <n v="50"/>
    <n v="0"/>
    <n v="3014219.5"/>
    <n v="3044452.5"/>
    <n v="517861.5"/>
    <n v="0"/>
    <n v="11"/>
    <n v="292127"/>
    <n v="894926.2057764283"/>
    <n v="50"/>
    <n v="77"/>
    <n v="38"/>
    <n v="0"/>
    <n v="0"/>
    <n v="3319183"/>
    <n v="2044889"/>
    <n v="1009166"/>
    <n v="0"/>
    <n v="11"/>
    <n v="292127"/>
    <n v="2075310.924369748"/>
    <n v="40"/>
    <n v="160"/>
    <n v="56"/>
    <n v="0"/>
    <n v="0"/>
    <n v="4388399.999999999"/>
    <n v="1487192"/>
    <n v="0"/>
    <n v="0"/>
    <n v="11"/>
    <n v="292127"/>
    <n v="3058352.941176471"/>
    <n v="30"/>
    <n v="64"/>
    <n v="30"/>
    <m/>
    <n v="0"/>
    <n v="0"/>
    <n v="1699648"/>
    <n v="822824.9999999999"/>
    <n v="0"/>
    <n v="0"/>
    <n v="11"/>
    <n v="292127"/>
    <n v="1638403.361344538"/>
    <n v="60"/>
    <n v="86"/>
    <n v="75"/>
    <m/>
    <n v="0"/>
    <n v="0"/>
    <n v="2283902"/>
    <n v="2057062.5"/>
    <n v="0"/>
    <n v="0"/>
    <n v="86"/>
    <n v="292127"/>
    <n v="4096008.403361345"/>
    <n v="52"/>
    <n v="11"/>
    <n v="0"/>
    <n v="100"/>
    <n v="100"/>
    <n v="0"/>
    <n v="292127"/>
    <n v="0"/>
    <n v="2651325"/>
    <n v="0"/>
    <n v="11"/>
    <n v="292127"/>
    <n v="0"/>
    <n v="36"/>
    <n v="11"/>
    <n v="36"/>
    <n v="0"/>
    <n v="0"/>
    <n v="0"/>
    <n v="292127"/>
    <n v="987389.9999999999"/>
    <n v="0"/>
    <n v="0"/>
    <n v="11"/>
    <n v="292127"/>
    <n v="1966084.033613445"/>
    <n v="35"/>
    <n v="0"/>
    <n v="35"/>
    <n v="100"/>
    <n v="100"/>
    <n v="0"/>
    <n v="0"/>
    <n v="959962.4999999999"/>
    <n v="2742750"/>
    <n v="0"/>
    <n v="0"/>
    <n v="0"/>
    <n v="1911470.588235294"/>
    <n v="60"/>
    <n v="100"/>
    <n v="60"/>
    <n v="0"/>
    <n v="0"/>
    <n v="0"/>
    <n v="100"/>
    <n v="2742750"/>
    <n v="1645650"/>
    <n v="0"/>
    <n v="2742750"/>
    <n v="100"/>
    <n v="5485499.999999999"/>
    <n v="2772605.042016807"/>
    <n v="70"/>
    <n v="40"/>
    <n v="70"/>
    <n v="150"/>
    <n v="150"/>
    <n v="1097100"/>
    <n v="1919925"/>
    <n v="4114125"/>
    <n v="4114125"/>
    <n v="190"/>
    <n v="5211224.999999999"/>
    <n v="3396441.176470589"/>
    <n v="100"/>
    <n v="120"/>
    <n v="100"/>
    <n v="0"/>
    <n v="0"/>
    <n v="3291300"/>
    <n v="2742750"/>
    <n v="0"/>
    <n v="120"/>
    <n v="3291300"/>
    <n v="5461344.537815127"/>
    <n v="42"/>
    <n v="20"/>
    <n v="42"/>
    <n v="0"/>
    <m/>
    <n v="548549.9999999999"/>
    <n v="1115394"/>
    <n v="0"/>
    <n v="20"/>
    <n v="548549.9999999999"/>
    <n v="2293764.705882353"/>
  </r>
  <r>
    <s v="Lhotse-Camping y Outdoor"/>
    <x v="4"/>
    <x v="16"/>
    <x v="38"/>
    <n v="1615383366170"/>
    <x v="223"/>
    <x v="213"/>
    <x v="0"/>
    <x v="3"/>
    <n v="1"/>
    <x v="126"/>
    <n v="44"/>
    <m/>
    <n v="0"/>
    <n v="34386"/>
    <n v="1512984"/>
    <n v="33.5"/>
    <n v="36598.75"/>
    <n v="58815.12605042017"/>
    <n v="57134.45378151261"/>
    <s v="Shenzhen"/>
    <s v="20/80"/>
    <n v="30"/>
    <n v="100"/>
    <n v="29"/>
    <n v="0.3208984136676198"/>
    <n v="15"/>
    <n v="0.3452554428421761"/>
    <n v="17"/>
    <n v="0.3503741387690457"/>
    <n v="7"/>
    <n v="0.4140506758240824"/>
    <n v="8"/>
    <n v="0.2962340112016625"/>
    <n v="93"/>
    <n v="0.2092622831722602"/>
    <n v="4"/>
    <n v="0.4815710448398335"/>
    <n v="2"/>
    <n v="0.3422560840071651"/>
    <n v="4"/>
    <n v="0.3759484312688441"/>
    <n v="14"/>
    <n v="0.3124678265022636"/>
    <n v="5"/>
    <n v="0.3895942983986933"/>
    <n v="9"/>
    <n v="0.4667616595107798"/>
    <n v="39"/>
    <n v="0.2315366212874688"/>
    <n v="27"/>
    <n v="0.2090796268530142"/>
    <n v="40"/>
    <n v="0.1395222216236859"/>
    <n v="23"/>
    <n v="0.2318635759121722"/>
    <n v="1.533333333333333"/>
    <n v="31"/>
    <n v="0.3520245291905438"/>
    <n v="1.55"/>
    <n v="19"/>
    <n v="0.2018559021231928"/>
    <n v="0.3166666666666667"/>
    <n v="0"/>
    <s v=""/>
    <n v="0"/>
    <n v="0"/>
    <s v=""/>
    <n v="0"/>
    <m/>
    <m/>
    <m/>
    <m/>
    <m/>
    <m/>
    <m/>
    <m/>
    <m/>
    <m/>
    <m/>
    <m/>
    <n v="25"/>
    <n v="189"/>
    <n v="25"/>
    <n v="0"/>
    <n v="0"/>
    <n v="0"/>
    <n v="3627723"/>
    <n v="6553102.5"/>
    <n v="859650"/>
    <n v="0"/>
    <n v="44"/>
    <n v="1512984"/>
    <n v="1235611.89181555"/>
    <n v="20"/>
    <n v="185"/>
    <n v="40.5"/>
    <n v="0"/>
    <n v="0"/>
    <n v="0"/>
    <n v="3558951"/>
    <n v="6414412.5"/>
    <n v="1392633"/>
    <n v="0"/>
    <n v="44"/>
    <n v="1512984"/>
    <n v="2001691.264741191"/>
    <n v="20"/>
    <n v="138"/>
    <n v="40"/>
    <n v="0"/>
    <n v="0"/>
    <n v="2859768"/>
    <n v="4745268"/>
    <n v="1375440"/>
    <n v="0"/>
    <n v="44"/>
    <n v="1512984"/>
    <n v="2352605.042016807"/>
    <n v="15"/>
    <n v="117"/>
    <n v="23"/>
    <n v="0"/>
    <n v="0"/>
    <n v="4056682.5"/>
    <n v="790878"/>
    <n v="0"/>
    <n v="0"/>
    <n v="44"/>
    <n v="1512984"/>
    <n v="1352747.899159664"/>
    <n v="20"/>
    <n v="75"/>
    <n v="20"/>
    <m/>
    <n v="0"/>
    <n v="0"/>
    <n v="2578950"/>
    <n v="693450"/>
    <n v="0"/>
    <n v="0"/>
    <n v="44"/>
    <n v="1512984"/>
    <n v="1176302.521008404"/>
    <n v="60"/>
    <n v="63"/>
    <n v="19"/>
    <m/>
    <n v="0"/>
    <n v="0"/>
    <n v="2166318"/>
    <n v="658777.5"/>
    <n v="0"/>
    <n v="0"/>
    <n v="63"/>
    <n v="1512984"/>
    <n v="1117487.394957983"/>
    <n v="20"/>
    <n v="44"/>
    <n v="0"/>
    <n v="0"/>
    <n v="0"/>
    <n v="0"/>
    <n v="1512984"/>
    <n v="0"/>
    <n v="0"/>
    <n v="0"/>
    <n v="44"/>
    <n v="1512984"/>
    <n v="0"/>
    <n v="24"/>
    <n v="44"/>
    <n v="24"/>
    <n v="100"/>
    <n v="100"/>
    <n v="0"/>
    <n v="1512984"/>
    <n v="832140"/>
    <n v="3467250"/>
    <n v="0"/>
    <n v="44"/>
    <n v="1512984"/>
    <n v="1411563.025210084"/>
    <n v="25"/>
    <n v="20"/>
    <n v="25"/>
    <n v="100"/>
    <n v="0"/>
    <n v="100"/>
    <n v="693450"/>
    <n v="866812.5"/>
    <n v="3467250"/>
    <n v="3467250"/>
    <n v="120"/>
    <n v="4160700"/>
    <n v="1470378.151260504"/>
    <n v="40"/>
    <n v="195"/>
    <n v="40"/>
    <n v="0"/>
    <n v="0"/>
    <n v="0"/>
    <n v="100"/>
    <n v="6761137.5"/>
    <n v="1386900"/>
    <n v="0"/>
    <n v="3467250"/>
    <n v="195"/>
    <n v="10228387.5"/>
    <n v="2285378.151260504"/>
    <n v="35"/>
    <n v="155"/>
    <n v="35"/>
    <n v="0"/>
    <n v="0"/>
    <n v="5374237.5"/>
    <n v="1213537.5"/>
    <n v="0"/>
    <n v="0"/>
    <n v="155"/>
    <n v="5374237.5"/>
    <n v="2099691.176470588"/>
    <n v="60"/>
    <n v="120"/>
    <n v="60"/>
    <n v="0"/>
    <n v="0"/>
    <n v="4160700"/>
    <n v="2080350"/>
    <n v="0"/>
    <n v="120"/>
    <n v="4160700"/>
    <n v="3528907.56302521"/>
    <n v="21"/>
    <n v="60"/>
    <n v="21"/>
    <n v="0"/>
    <m/>
    <n v="2080350"/>
    <n v="722106"/>
    <n v="0"/>
    <n v="60"/>
    <n v="2080350"/>
    <n v="1235117.647058824"/>
  </r>
  <r>
    <m/>
    <x v="4"/>
    <x v="16"/>
    <x v="38"/>
    <n v="1615383407099"/>
    <x v="224"/>
    <x v="214"/>
    <x v="0"/>
    <x v="1"/>
    <n v="1"/>
    <x v="127"/>
    <n v="113"/>
    <m/>
    <n v="0"/>
    <n v="15008"/>
    <n v="1695904"/>
    <n v="14.5"/>
    <n v="15841.25"/>
    <n v="42008.40336134454"/>
    <n v="37806.72268907564"/>
    <s v="Shenzhen"/>
    <s v="30/70"/>
    <n v="30"/>
    <n v="100"/>
    <n v="22"/>
    <n v="0.4301766860755283"/>
    <n v="1"/>
    <n v="0.4336783146408003"/>
    <n v="20"/>
    <n v="0.3783573742257766"/>
    <n v="21"/>
    <n v="0.5091441580272558"/>
    <n v="26"/>
    <n v="0.5197240615466581"/>
    <n v="37"/>
    <n v="0.3849394264191077"/>
    <n v="39"/>
    <n v="0.3766609920830142"/>
    <n v="32"/>
    <n v="0.4425416990156049"/>
    <n v="39"/>
    <n v="0.446271899163219"/>
    <n v="40"/>
    <n v="0.435497322189514"/>
    <n v="57"/>
    <n v="0.4458842195195147"/>
    <n v="18"/>
    <n v="0.539857461715305"/>
    <n v="38"/>
    <n v="0.4202075868445031"/>
    <n v="32"/>
    <n v="0.4477341907324596"/>
    <n v="31"/>
    <n v="0.4088255920240318"/>
    <n v="33"/>
    <n v="0.4603909166202538"/>
    <n v="1.65"/>
    <n v="20"/>
    <n v="0.6499137936981784"/>
    <n v="0.5714285714285714"/>
    <n v="34"/>
    <n v="0.3488462584019057"/>
    <n v="0.7083333333333334"/>
    <n v="0"/>
    <s v=""/>
    <n v="0"/>
    <n v="0"/>
    <s v=""/>
    <n v="0"/>
    <m/>
    <m/>
    <m/>
    <m/>
    <m/>
    <m/>
    <m/>
    <m/>
    <m/>
    <m/>
    <m/>
    <m/>
    <n v="30"/>
    <n v="60"/>
    <n v="30"/>
    <n v="50"/>
    <n v="50"/>
    <n v="0"/>
    <n v="1635872"/>
    <n v="900449.9999999999"/>
    <n v="450240"/>
    <n v="0"/>
    <n v="113"/>
    <n v="1695904"/>
    <n v="1059035.378857425"/>
    <n v="15"/>
    <n v="129"/>
    <n v="48"/>
    <n v="100"/>
    <n v="0"/>
    <n v="0"/>
    <n v="1680896"/>
    <n v="1935967.5"/>
    <n v="720384"/>
    <n v="0"/>
    <n v="113"/>
    <n v="1695904"/>
    <n v="1694456.606171881"/>
    <n v="30"/>
    <n v="75"/>
    <n v="31"/>
    <n v="0"/>
    <n v="0"/>
    <n v="1485774.5"/>
    <n v="1125600"/>
    <n v="465248"/>
    <n v="0"/>
    <n v="113"/>
    <n v="1695904"/>
    <n v="1302260.504201681"/>
    <n v="20"/>
    <n v="110"/>
    <n v="33"/>
    <n v="0"/>
    <n v="0"/>
    <n v="1650825"/>
    <n v="495264"/>
    <n v="0"/>
    <n v="0"/>
    <n v="113"/>
    <n v="1695904"/>
    <n v="1386277.31092437"/>
    <n v="35"/>
    <n v="133"/>
    <n v="35"/>
    <m/>
    <n v="0"/>
    <n v="0"/>
    <n v="1996064"/>
    <n v="525262.4999999999"/>
    <n v="0"/>
    <n v="0"/>
    <n v="113"/>
    <n v="1695904"/>
    <n v="1470294.117647059"/>
    <n v="48"/>
    <n v="147"/>
    <n v="34"/>
    <m/>
    <n v="100"/>
    <n v="0"/>
    <n v="2206176"/>
    <n v="510254.9999999999"/>
    <n v="0"/>
    <n v="0"/>
    <n v="147"/>
    <n v="1695904"/>
    <n v="1428285.714285715"/>
    <n v="51"/>
    <n v="113"/>
    <n v="0"/>
    <n v="0"/>
    <n v="0"/>
    <n v="0"/>
    <n v="1695904"/>
    <n v="0"/>
    <n v="0"/>
    <n v="0"/>
    <n v="113"/>
    <n v="1695904"/>
    <n v="0"/>
    <n v="42"/>
    <n v="113"/>
    <n v="42"/>
    <n v="100"/>
    <n v="100"/>
    <n v="0"/>
    <n v="1695904"/>
    <n v="630314.9999999999"/>
    <n v="1500750"/>
    <n v="0"/>
    <n v="113"/>
    <n v="1695904"/>
    <n v="1764352.941176471"/>
    <n v="51"/>
    <n v="71"/>
    <n v="51"/>
    <n v="0"/>
    <n v="0"/>
    <n v="104"/>
    <n v="1065532.5"/>
    <n v="765382.4999999999"/>
    <n v="0"/>
    <n v="1560780"/>
    <n v="175"/>
    <n v="2626312.5"/>
    <n v="2142428.571428572"/>
    <n v="45"/>
    <n v="124"/>
    <n v="45"/>
    <n v="0"/>
    <n v="0"/>
    <n v="0"/>
    <m/>
    <n v="1860930"/>
    <n v="675337.4999999999"/>
    <n v="0"/>
    <n v="0"/>
    <n v="124"/>
    <n v="1860930"/>
    <n v="1701302.521008404"/>
    <n v="55"/>
    <n v="79"/>
    <n v="55"/>
    <n v="0"/>
    <n v="0"/>
    <n v="1185592.5"/>
    <n v="825412.4999999999"/>
    <n v="0"/>
    <n v="0"/>
    <n v="79"/>
    <n v="1185592.5"/>
    <n v="2183338.235294118"/>
    <n v="52"/>
    <n v="24"/>
    <n v="52"/>
    <n v="0"/>
    <n v="0"/>
    <n v="360179.9999999999"/>
    <n v="780389.9999999999"/>
    <n v="0"/>
    <n v="24"/>
    <n v="360179.9999999999"/>
    <n v="2184436.974789916"/>
    <n v="33"/>
    <n v="0"/>
    <n v="33"/>
    <n v="0"/>
    <m/>
    <n v="0"/>
    <n v="495264"/>
    <n v="0"/>
    <n v="0"/>
    <n v="0"/>
    <n v="1386277.31092437"/>
  </r>
  <r>
    <m/>
    <x v="4"/>
    <x v="17"/>
    <x v="39"/>
    <n v="1627416841030"/>
    <x v="225"/>
    <x v="215"/>
    <x v="0"/>
    <x v="2"/>
    <n v="1"/>
    <x v="3"/>
    <n v="8"/>
    <m/>
    <n v="0"/>
    <n v="5510"/>
    <n v="44080"/>
    <n v="5.05"/>
    <n v="5517.125"/>
    <n v="12596.63865546219"/>
    <n v="10915.96638655462"/>
    <s v="Shenzhen"/>
    <s v="30/70"/>
    <n v="30"/>
    <n v="100"/>
    <n v="39"/>
    <n v="0.6272418658957861"/>
    <n v="45"/>
    <n v="0.6064965656189232"/>
    <n v="55"/>
    <n v="0.5592795075781238"/>
    <n v="34"/>
    <n v="0.5665929276206098"/>
    <n v="73"/>
    <n v="0.5103565552268434"/>
    <n v="62"/>
    <n v="0.552272409541357"/>
    <n v="47"/>
    <n v="0.5773997572050751"/>
    <n v="32"/>
    <n v="0.5784551529988674"/>
    <n v="16"/>
    <n v="0.5946158116688712"/>
    <n v="80"/>
    <n v="0.5310620918872152"/>
    <n v="60"/>
    <n v="0.5323660007753729"/>
    <n v="130"/>
    <n v="0.5505760310825636"/>
    <n v="54"/>
    <n v="0.275372213460663"/>
    <n v="24"/>
    <n v="0.3892470442775787"/>
    <n v="38"/>
    <n v="0.2904094616319453"/>
    <n v="30"/>
    <n v="0.4049894763402924"/>
    <n v="1"/>
    <n v="23"/>
    <n v="0.507748355397398"/>
    <n v="0.4509803921568628"/>
    <n v="10"/>
    <n v="0.3422061176970276"/>
    <n v="0.5263157894736842"/>
    <n v="0"/>
    <s v=""/>
    <n v="0"/>
    <n v="0"/>
    <s v=""/>
    <n v="0"/>
    <m/>
    <m/>
    <m/>
    <m/>
    <m/>
    <m/>
    <m/>
    <m/>
    <m/>
    <m/>
    <m/>
    <m/>
    <n v="40"/>
    <n v="145"/>
    <n v="40"/>
    <n v="0"/>
    <n v="0"/>
    <n v="0"/>
    <n v="628140"/>
    <n v="757878.75"/>
    <n v="220400"/>
    <n v="0"/>
    <n v="8"/>
    <n v="44080"/>
    <n v="423416.425393687"/>
    <n v="50"/>
    <n v="139"/>
    <n v="36"/>
    <n v="0"/>
    <n v="0"/>
    <n v="0"/>
    <n v="573040"/>
    <n v="726518.25"/>
    <n v="198360"/>
    <n v="0"/>
    <n v="8"/>
    <n v="44080"/>
    <n v="381074.7828543183"/>
    <n v="30"/>
    <n v="114"/>
    <n v="38"/>
    <n v="0"/>
    <n v="0"/>
    <n v="641244.25"/>
    <n v="628140"/>
    <n v="209380"/>
    <n v="0"/>
    <n v="8"/>
    <n v="44080"/>
    <n v="478672.2689075631"/>
    <n v="30"/>
    <n v="76"/>
    <n v="30"/>
    <n v="0"/>
    <n v="0"/>
    <n v="397233"/>
    <n v="165300"/>
    <n v="0"/>
    <n v="0"/>
    <n v="8"/>
    <n v="44080"/>
    <n v="377899.1596638656"/>
    <n v="51"/>
    <n v="31"/>
    <n v="51"/>
    <m/>
    <n v="0"/>
    <n v="0"/>
    <n v="170810"/>
    <n v="266564.25"/>
    <n v="0"/>
    <n v="0"/>
    <n v="8"/>
    <n v="44080"/>
    <n v="642428.5714285715"/>
    <n v="19"/>
    <n v="18"/>
    <n v="10"/>
    <m/>
    <n v="0"/>
    <n v="0"/>
    <n v="99180"/>
    <n v="52267.5"/>
    <n v="0"/>
    <n v="0"/>
    <n v="18"/>
    <n v="44080"/>
    <n v="125966.3865546219"/>
    <n v="0"/>
    <n v="8"/>
    <n v="0"/>
    <n v="0"/>
    <n v="0"/>
    <n v="0"/>
    <n v="44080"/>
    <n v="0"/>
    <n v="0"/>
    <n v="0"/>
    <n v="8"/>
    <n v="44080"/>
    <n v="0"/>
    <n v="0"/>
    <n v="8"/>
    <n v="0"/>
    <n v="0"/>
    <n v="0"/>
    <n v="0"/>
    <n v="44080"/>
    <n v="0"/>
    <n v="0"/>
    <n v="0"/>
    <n v="8"/>
    <n v="44080"/>
    <n v="0"/>
    <n v="0"/>
    <n v="8"/>
    <n v="0"/>
    <n v="0"/>
    <n v="0"/>
    <n v="0"/>
    <n v="41814"/>
    <n v="0"/>
    <n v="0"/>
    <n v="0"/>
    <n v="8"/>
    <n v="41814"/>
    <n v="0"/>
    <n v="0"/>
    <n v="8"/>
    <n v="0"/>
    <n v="0"/>
    <n v="0"/>
    <n v="0"/>
    <m/>
    <n v="41814"/>
    <n v="0"/>
    <n v="0"/>
    <n v="0"/>
    <n v="8"/>
    <n v="41814"/>
    <n v="0"/>
    <n v="0"/>
    <n v="8"/>
    <n v="0"/>
    <n v="0"/>
    <n v="0"/>
    <n v="41814"/>
    <n v="0"/>
    <n v="0"/>
    <n v="0"/>
    <n v="8"/>
    <n v="41814"/>
    <n v="0"/>
    <n v="0"/>
    <n v="8"/>
    <n v="0"/>
    <n v="0"/>
    <n v="0"/>
    <n v="41814"/>
    <n v="0"/>
    <n v="0"/>
    <n v="8"/>
    <n v="41814"/>
    <n v="0"/>
    <n v="0"/>
    <n v="8"/>
    <n v="0"/>
    <n v="0"/>
    <m/>
    <n v="41814"/>
    <n v="0"/>
    <n v="0"/>
    <n v="8"/>
    <n v="41814"/>
    <n v="0"/>
  </r>
  <r>
    <m/>
    <x v="4"/>
    <x v="18"/>
    <x v="40"/>
    <n v="1623703942966"/>
    <x v="226"/>
    <x v="216"/>
    <x v="0"/>
    <x v="1"/>
    <n v="1"/>
    <x v="128"/>
    <n v="158"/>
    <m/>
    <n v="0"/>
    <n v="2574"/>
    <n v="406692"/>
    <n v="2.5"/>
    <n v="2731.25"/>
    <n v="10915.96638655462"/>
    <n v="8394.957983193277"/>
    <s v="Shenzhen"/>
    <s v="30/70"/>
    <n v="30"/>
    <n v="300"/>
    <n v="90"/>
    <n v="0.7430663549076114"/>
    <n v="107"/>
    <n v="0.7573820440402506"/>
    <n v="518"/>
    <n v="0.7136858946480397"/>
    <n v="24"/>
    <n v="0.7556707441268664"/>
    <n v="4"/>
    <n v="1"/>
    <n v="10"/>
    <n v="0.7692329334324238"/>
    <n v="43"/>
    <n v="0.7535017925044702"/>
    <n v="96"/>
    <n v="0.7573322240443797"/>
    <n v="116"/>
    <n v="0.7595225088256387"/>
    <n v="167"/>
    <n v="0.7116419860940777"/>
    <n v="204"/>
    <n v="0.7122622637310793"/>
    <n v="181"/>
    <n v="0.7107170253180662"/>
    <n v="53"/>
    <n v="0.5905112267132052"/>
    <n v="75"/>
    <n v="0.5791509629155431"/>
    <n v="168"/>
    <n v="0.5556182806973445"/>
    <n v="164"/>
    <n v="0.5571027960108159"/>
    <n v="2.733333333333333"/>
    <n v="181"/>
    <n v="0.7516416042747255"/>
    <n v="1.81"/>
    <n v="184"/>
    <n v="0.4938478695602929"/>
    <n v="0.92"/>
    <n v="0"/>
    <s v=""/>
    <n v="0"/>
    <n v="0"/>
    <s v=""/>
    <n v="0"/>
    <m/>
    <m/>
    <m/>
    <m/>
    <m/>
    <m/>
    <m/>
    <m/>
    <m/>
    <m/>
    <m/>
    <m/>
    <n v="100"/>
    <n v="116"/>
    <n v="90"/>
    <n v="200"/>
    <n v="200"/>
    <n v="0"/>
    <n v="953667"/>
    <n v="300150"/>
    <n v="231660"/>
    <n v="0"/>
    <n v="158"/>
    <n v="406692"/>
    <n v="825577.2897394253"/>
    <n v="100"/>
    <n v="347"/>
    <n v="112.5"/>
    <n v="100"/>
    <n v="100"/>
    <n v="0"/>
    <n v="1144143"/>
    <n v="897862.5"/>
    <n v="289575"/>
    <n v="0"/>
    <n v="158"/>
    <n v="406692"/>
    <n v="1031971.612174282"/>
    <n v="250"/>
    <n v="507"/>
    <n v="168"/>
    <n v="0"/>
    <n v="0"/>
    <n v="1113318"/>
    <n v="1305018"/>
    <n v="432432"/>
    <n v="0"/>
    <n v="158"/>
    <n v="406692"/>
    <n v="1833882.352941177"/>
    <n v="60"/>
    <n v="700"/>
    <n v="164"/>
    <n v="300"/>
    <n v="0"/>
    <n v="1811250"/>
    <n v="422136"/>
    <n v="776250"/>
    <n v="0"/>
    <n v="158"/>
    <n v="406692"/>
    <n v="1790218.487394958"/>
    <n v="100"/>
    <n v="339"/>
    <n v="100"/>
    <m/>
    <n v="0"/>
    <n v="0"/>
    <n v="872586"/>
    <n v="258750"/>
    <n v="0"/>
    <n v="0"/>
    <n v="158"/>
    <n v="406692"/>
    <n v="1091596.638655462"/>
    <n v="200"/>
    <n v="342"/>
    <n v="184"/>
    <m/>
    <n v="0"/>
    <n v="0"/>
    <n v="880308"/>
    <n v="476100"/>
    <n v="0"/>
    <n v="0"/>
    <n v="342"/>
    <n v="406692"/>
    <n v="2008537.81512605"/>
    <n v="120"/>
    <n v="158"/>
    <n v="0"/>
    <n v="0"/>
    <n v="0"/>
    <n v="0"/>
    <n v="406692"/>
    <n v="0"/>
    <n v="0"/>
    <n v="0"/>
    <n v="158"/>
    <n v="406692"/>
    <n v="0"/>
    <n v="120"/>
    <n v="158"/>
    <n v="120"/>
    <n v="300"/>
    <n v="300"/>
    <n v="0"/>
    <n v="406692"/>
    <n v="310500"/>
    <n v="776250"/>
    <n v="0"/>
    <n v="158"/>
    <n v="406692"/>
    <n v="1309915.966386555"/>
    <n v="120"/>
    <n v="38"/>
    <n v="120"/>
    <n v="0"/>
    <n v="0"/>
    <n v="0"/>
    <n v="98325"/>
    <n v="310500"/>
    <n v="0"/>
    <n v="0"/>
    <n v="38"/>
    <n v="98325"/>
    <n v="1309915.966386555"/>
    <n v="200"/>
    <n v="0"/>
    <n v="0"/>
    <n v="300"/>
    <n v="300"/>
    <n v="300"/>
    <n v="0"/>
    <n v="0"/>
    <n v="0"/>
    <n v="776250"/>
    <n v="776250"/>
    <n v="300"/>
    <n v="776250"/>
    <n v="0"/>
    <n v="204"/>
    <n v="300"/>
    <n v="204"/>
    <n v="0"/>
    <n v="0"/>
    <n v="776250"/>
    <n v="527850"/>
    <n v="0"/>
    <n v="0"/>
    <n v="300"/>
    <n v="776250"/>
    <n v="1798200"/>
    <n v="300"/>
    <n v="96"/>
    <n v="300"/>
    <n v="0"/>
    <n v="0"/>
    <n v="248400"/>
    <n v="776250"/>
    <n v="0"/>
    <n v="96"/>
    <n v="248400"/>
    <n v="3274789.915966387"/>
    <n v="122.4"/>
    <n v="0"/>
    <n v="122.4"/>
    <n v="0"/>
    <m/>
    <n v="0"/>
    <n v="315057.6"/>
    <n v="0"/>
    <n v="0"/>
    <n v="0"/>
    <n v="1336114.285714286"/>
  </r>
  <r>
    <s v="Lhotse-Equipamiento"/>
    <x v="4"/>
    <x v="18"/>
    <x v="40"/>
    <s v="LHBANHIM"/>
    <x v="227"/>
    <x v="217"/>
    <x v="0"/>
    <x v="3"/>
    <n v="1"/>
    <x v="129"/>
    <n v="189"/>
    <m/>
    <n v="0"/>
    <n v="3412"/>
    <n v="644868"/>
    <n v="3.75"/>
    <n v="4096.875"/>
    <n v="8394.957983193277"/>
    <n v="7554.621848739496"/>
    <s v="Shenzhen"/>
    <s v="30/70"/>
    <n v="45"/>
    <n v="300"/>
    <n v="49"/>
    <n v="0.5284249935310033"/>
    <n v="34"/>
    <n v="0.5146444993332804"/>
    <n v="36"/>
    <n v="0.5148314170131792"/>
    <n v="24"/>
    <n v="0.5274345566074897"/>
    <n v="387"/>
    <n v="0.3034573361452524"/>
    <n v="18"/>
    <n v="2.815199476213945"/>
    <n v="31"/>
    <n v="0.456439183098661"/>
    <n v="16"/>
    <n v="0.5247369851221778"/>
    <n v="20"/>
    <n v="0.5366840909083102"/>
    <n v="77"/>
    <n v="0.5062085399313548"/>
    <n v="10"/>
    <n v="0.5128172144564745"/>
    <n v="7"/>
    <n v="0.3984185441941074"/>
    <n v="59"/>
    <n v="0.04235984330248096"/>
    <n v="82"/>
    <n v="0.2154661834792796"/>
    <n v="40"/>
    <n v="0.3899167772515684"/>
    <n v="4"/>
    <n v="0.6085394843129507"/>
    <n v="0.16"/>
    <n v="36"/>
    <n v="0.5866905221726135"/>
    <n v="1.028571428571428"/>
    <n v="25"/>
    <n v="0.4236556245706529"/>
    <n v="0.625"/>
    <n v="42"/>
    <n v="0.5826247968593973"/>
    <n v="1.4"/>
    <n v="12"/>
    <n v="0.5444754630895823"/>
    <n v="0.4"/>
    <m/>
    <m/>
    <m/>
    <m/>
    <m/>
    <m/>
    <m/>
    <m/>
    <m/>
    <m/>
    <m/>
    <m/>
    <n v="5"/>
    <n v="4"/>
    <n v="5"/>
    <n v="0"/>
    <n v="150"/>
    <n v="0"/>
    <n v="573216"/>
    <n v="15525"/>
    <n v="17060"/>
    <n v="0"/>
    <n v="189"/>
    <n v="644868"/>
    <n v="35272.93270249276"/>
    <n v="35"/>
    <n v="455"/>
    <n v="123"/>
    <n v="0"/>
    <n v="0"/>
    <n v="0"/>
    <n v="569804"/>
    <n v="1765968.75"/>
    <n v="419676"/>
    <n v="0"/>
    <n v="189"/>
    <n v="644868"/>
    <n v="867714.1444813219"/>
    <n v="87.5"/>
    <n v="286"/>
    <n v="40"/>
    <n v="0"/>
    <n v="0"/>
    <n v="285971.75"/>
    <n v="975832"/>
    <n v="136480"/>
    <n v="0"/>
    <n v="189"/>
    <n v="644868"/>
    <n v="335798.3193277311"/>
    <n v="25"/>
    <n v="335"/>
    <n v="4"/>
    <n v="0"/>
    <n v="0"/>
    <n v="1300218.75"/>
    <n v="13648"/>
    <n v="0"/>
    <n v="0"/>
    <n v="189"/>
    <n v="644868"/>
    <n v="33579.83193277311"/>
    <n v="35"/>
    <n v="225"/>
    <n v="35"/>
    <m/>
    <n v="0"/>
    <n v="0"/>
    <n v="767700"/>
    <n v="135843.75"/>
    <n v="0"/>
    <n v="0"/>
    <n v="189"/>
    <n v="644868"/>
    <n v="293823.5294117647"/>
    <n v="40"/>
    <n v="214"/>
    <n v="25"/>
    <m/>
    <n v="0"/>
    <n v="0"/>
    <n v="730168"/>
    <n v="97031.24999999999"/>
    <n v="0"/>
    <n v="0"/>
    <n v="214"/>
    <n v="644868"/>
    <n v="209873.9495798319"/>
    <n v="30"/>
    <n v="231"/>
    <n v="42"/>
    <n v="0"/>
    <n v="0"/>
    <n v="0"/>
    <n v="788172"/>
    <n v="163012.5"/>
    <n v="0"/>
    <n v="0"/>
    <n v="231"/>
    <n v="644868"/>
    <n v="352588.2352941177"/>
    <n v="30"/>
    <n v="189"/>
    <n v="30"/>
    <n v="0"/>
    <n v="0"/>
    <n v="0"/>
    <n v="644868"/>
    <n v="116437.5"/>
    <n v="0"/>
    <n v="0"/>
    <n v="189"/>
    <n v="644868"/>
    <n v="251848.7394957983"/>
    <n v="35"/>
    <n v="159"/>
    <n v="35"/>
    <n v="0"/>
    <n v="0"/>
    <n v="0"/>
    <n v="617118.7499999999"/>
    <n v="135843.75"/>
    <n v="0"/>
    <n v="0"/>
    <n v="159"/>
    <n v="617118.7499999999"/>
    <n v="293823.5294117647"/>
    <n v="70"/>
    <n v="124"/>
    <n v="70"/>
    <n v="0"/>
    <n v="0"/>
    <n v="0"/>
    <m/>
    <n v="481274.9999999999"/>
    <n v="271687.4999999999"/>
    <n v="0"/>
    <n v="0"/>
    <n v="124"/>
    <n v="481274.9999999999"/>
    <n v="528823.5294117647"/>
    <n v="60"/>
    <n v="54"/>
    <n v="60"/>
    <n v="0"/>
    <n v="0"/>
    <n v="209587.5"/>
    <n v="232875"/>
    <n v="0"/>
    <n v="0"/>
    <n v="54"/>
    <n v="209587.5"/>
    <n v="475941.1764705883"/>
    <n v="100"/>
    <n v="0"/>
    <n v="100"/>
    <n v="0"/>
    <n v="0"/>
    <n v="0"/>
    <n v="388124.9999999999"/>
    <n v="0"/>
    <n v="0"/>
    <n v="0"/>
    <n v="839495.7983193276"/>
    <n v="36"/>
    <n v="0"/>
    <n v="36"/>
    <n v="0"/>
    <m/>
    <n v="0"/>
    <n v="122832"/>
    <n v="0"/>
    <n v="0"/>
    <n v="0"/>
    <n v="302218.487394958"/>
  </r>
  <r>
    <s v="Lhotse-Equipamiento"/>
    <x v="4"/>
    <x v="18"/>
    <x v="40"/>
    <s v="LHBANHIM"/>
    <x v="228"/>
    <x v="217"/>
    <x v="0"/>
    <x v="2"/>
    <n v="1"/>
    <x v="3"/>
    <n v="16"/>
    <m/>
    <n v="0"/>
    <n v="3821"/>
    <n v="61136"/>
    <n v="3.75"/>
    <n v="4096.875"/>
    <n v="8394.957983193277"/>
    <n v="8394.957983193277"/>
    <s v="Shenzhen"/>
    <s v="30/70"/>
    <n v="45"/>
    <n v="300"/>
    <n v="11"/>
    <n v="0.543564504382456"/>
    <n v="7"/>
    <n v="0.5448318323127919"/>
    <n v="5"/>
    <n v="0.5448298004812794"/>
    <n v="5"/>
    <n v="0.5448298004812794"/>
    <n v="3"/>
    <n v="0.5448302561048244"/>
    <n v="1"/>
    <n v="0.2303051666834525"/>
    <n v="10"/>
    <n v="0.4636226482753576"/>
    <n v="0"/>
    <s v=""/>
    <n v="3"/>
    <n v="0.5090800982019343"/>
    <n v="13"/>
    <n v="0.485900034048467"/>
    <n v="16"/>
    <n v="0.5248440515571985"/>
    <n v="144"/>
    <n v="0.4433677075862258"/>
    <n v="52"/>
    <n v="0.1335333063513562"/>
    <n v="16"/>
    <n v="0.1534688126412545"/>
    <n v="11"/>
    <n v="0.3154791017607547"/>
    <n v="7"/>
    <n v="0.3438562281884568"/>
    <n v="0.7"/>
    <n v="8"/>
    <n v="0.5448508508508508"/>
    <n v="2"/>
    <n v="4"/>
    <n v="0.2782392309219295"/>
    <n v="0.4"/>
    <n v="4"/>
    <n v="0.5208601159114857"/>
    <n v="0.2857142857142857"/>
    <n v="2"/>
    <n v="0.6207999286501913"/>
    <n v="0.6666666666666666"/>
    <m/>
    <m/>
    <m/>
    <m/>
    <m/>
    <m/>
    <m/>
    <m/>
    <m/>
    <m/>
    <m/>
    <m/>
    <n v="25"/>
    <n v="90"/>
    <n v="25"/>
    <n v="0"/>
    <n v="0"/>
    <n v="0"/>
    <n v="229260"/>
    <n v="349312.4999999999"/>
    <n v="95525"/>
    <n v="0"/>
    <n v="16"/>
    <n v="61136"/>
    <n v="176364.6635124638"/>
    <n v="15"/>
    <n v="58"/>
    <n v="24"/>
    <n v="0"/>
    <n v="0"/>
    <n v="0"/>
    <n v="160482"/>
    <n v="225112.5"/>
    <n v="91704"/>
    <n v="0"/>
    <n v="16"/>
    <n v="61136"/>
    <n v="169310.0769719653"/>
    <n v="9"/>
    <n v="34"/>
    <n v="11"/>
    <n v="0"/>
    <n v="0"/>
    <n v="84303"/>
    <n v="129914"/>
    <n v="42031"/>
    <n v="0"/>
    <n v="16"/>
    <n v="61136"/>
    <n v="92344.53781512605"/>
    <n v="10"/>
    <n v="32"/>
    <n v="7"/>
    <n v="0"/>
    <n v="0"/>
    <n v="124200"/>
    <n v="26747"/>
    <n v="0"/>
    <n v="0"/>
    <n v="16"/>
    <n v="61136"/>
    <n v="58764.70588235294"/>
    <n v="4"/>
    <n v="24"/>
    <n v="4"/>
    <m/>
    <n v="0"/>
    <n v="0"/>
    <n v="91704"/>
    <n v="15525"/>
    <n v="0"/>
    <n v="0"/>
    <n v="16"/>
    <n v="61136"/>
    <n v="33579.83193277311"/>
    <n v="10"/>
    <n v="20"/>
    <n v="4"/>
    <m/>
    <n v="0"/>
    <n v="0"/>
    <n v="76420"/>
    <n v="15525"/>
    <n v="0"/>
    <n v="0"/>
    <n v="20"/>
    <n v="61136"/>
    <n v="33579.83193277311"/>
    <n v="14"/>
    <n v="20"/>
    <n v="4"/>
    <n v="0"/>
    <n v="0"/>
    <n v="0"/>
    <n v="76420"/>
    <n v="15525"/>
    <n v="0"/>
    <n v="0"/>
    <n v="20"/>
    <n v="61136"/>
    <n v="33579.83193277311"/>
    <n v="3"/>
    <n v="16"/>
    <n v="3"/>
    <n v="0"/>
    <n v="0"/>
    <n v="0"/>
    <n v="61136"/>
    <n v="11643.75"/>
    <n v="0"/>
    <n v="0"/>
    <n v="16"/>
    <n v="61136"/>
    <n v="25184.87394957983"/>
    <n v="0"/>
    <n v="13"/>
    <n v="0"/>
    <n v="0"/>
    <n v="0"/>
    <n v="0"/>
    <n v="50456.24999999999"/>
    <n v="0"/>
    <n v="0"/>
    <n v="0"/>
    <n v="13"/>
    <n v="50456.24999999999"/>
    <n v="0"/>
    <n v="0"/>
    <n v="13"/>
    <n v="0"/>
    <n v="0"/>
    <n v="0"/>
    <n v="0"/>
    <m/>
    <n v="50456.24999999999"/>
    <n v="0"/>
    <n v="0"/>
    <n v="0"/>
    <n v="13"/>
    <n v="50456.24999999999"/>
    <n v="0"/>
    <n v="0"/>
    <n v="13"/>
    <n v="0"/>
    <n v="0"/>
    <n v="0"/>
    <n v="50456.24999999999"/>
    <n v="0"/>
    <n v="0"/>
    <n v="0"/>
    <n v="13"/>
    <n v="50456.24999999999"/>
    <n v="0"/>
    <n v="0"/>
    <n v="13"/>
    <n v="0"/>
    <n v="0"/>
    <n v="0"/>
    <n v="50456.24999999999"/>
    <n v="0"/>
    <n v="0"/>
    <n v="13"/>
    <n v="50456.24999999999"/>
    <n v="0"/>
    <n v="0"/>
    <n v="13"/>
    <n v="0"/>
    <n v="0"/>
    <m/>
    <n v="50456.24999999999"/>
    <n v="0"/>
    <n v="0"/>
    <n v="13"/>
    <n v="50456.24999999999"/>
    <n v="0"/>
  </r>
  <r>
    <s v="Lhotse-Equipamiento"/>
    <x v="4"/>
    <x v="18"/>
    <x v="40"/>
    <s v="LHBANHIM"/>
    <x v="229"/>
    <x v="217"/>
    <x v="0"/>
    <x v="2"/>
    <n v="1"/>
    <x v="3"/>
    <n v="12"/>
    <m/>
    <n v="0"/>
    <n v="3821"/>
    <n v="45852"/>
    <n v="3.75"/>
    <n v="4096.875"/>
    <n v="8394.957983193277"/>
    <n v="8394.957983193277"/>
    <s v="Shenzhen"/>
    <s v="30/70"/>
    <n v="45"/>
    <n v="300"/>
    <n v="9"/>
    <n v="0.5461091712361824"/>
    <n v="9"/>
    <n v="0.4807160952106729"/>
    <n v="5"/>
    <n v="0.43959909595909"/>
    <n v="9"/>
    <n v="0.5244732355100874"/>
    <n v="4"/>
    <n v="0.5984857082807903"/>
    <n v="7"/>
    <n v="0.4645084436970079"/>
    <n v="16"/>
    <n v="0.4938233289621331"/>
    <n v="5"/>
    <n v="0.5448703008196164"/>
    <n v="11"/>
    <n v="0.5411227556928202"/>
    <n v="23"/>
    <n v="0.5241628510069476"/>
    <n v="20"/>
    <n v="0.516296660034802"/>
    <n v="109"/>
    <n v="0.42641330732664"/>
    <n v="65"/>
    <n v="0.1924360799184347"/>
    <n v="18"/>
    <n v="0.2974045873078441"/>
    <n v="11"/>
    <n v="0.3271197478194816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25"/>
    <n v="85"/>
    <n v="30"/>
    <n v="0"/>
    <n v="0"/>
    <n v="0"/>
    <n v="259828"/>
    <n v="329906.2499999999"/>
    <n v="114630"/>
    <n v="0"/>
    <n v="12"/>
    <n v="45852"/>
    <n v="211637.5962149566"/>
    <n v="15"/>
    <n v="32"/>
    <n v="27"/>
    <n v="0"/>
    <n v="0"/>
    <n v="0"/>
    <n v="145198"/>
    <n v="124200"/>
    <n v="103167"/>
    <n v="0"/>
    <n v="12"/>
    <n v="45852"/>
    <n v="190473.8365934609"/>
    <n v="9"/>
    <n v="15"/>
    <n v="11"/>
    <n v="0"/>
    <n v="0"/>
    <n v="42031"/>
    <n v="57315"/>
    <n v="42031"/>
    <n v="0"/>
    <n v="12"/>
    <n v="45852"/>
    <n v="92344.53781512605"/>
    <n v="10"/>
    <n v="4"/>
    <n v="0"/>
    <n v="0"/>
    <n v="0"/>
    <n v="15525"/>
    <n v="0"/>
    <n v="0"/>
    <n v="0"/>
    <n v="12"/>
    <n v="45852"/>
    <n v="0"/>
    <n v="0"/>
    <n v="12"/>
    <n v="0"/>
    <m/>
    <n v="0"/>
    <n v="0"/>
    <n v="45852"/>
    <n v="0"/>
    <n v="0"/>
    <n v="0"/>
    <n v="12"/>
    <n v="45852"/>
    <n v="0"/>
    <n v="0"/>
    <n v="12"/>
    <n v="0"/>
    <m/>
    <n v="0"/>
    <n v="0"/>
    <n v="45852"/>
    <n v="0"/>
    <n v="0"/>
    <n v="0"/>
    <n v="12"/>
    <n v="45852"/>
    <n v="0"/>
    <n v="0"/>
    <n v="12"/>
    <n v="0"/>
    <n v="0"/>
    <n v="0"/>
    <n v="0"/>
    <n v="45852"/>
    <n v="0"/>
    <n v="0"/>
    <n v="0"/>
    <n v="12"/>
    <n v="45852"/>
    <n v="0"/>
    <n v="0"/>
    <n v="12"/>
    <n v="0"/>
    <n v="0"/>
    <n v="0"/>
    <n v="0"/>
    <n v="45852"/>
    <n v="0"/>
    <n v="0"/>
    <n v="0"/>
    <n v="12"/>
    <n v="45852"/>
    <n v="0"/>
    <n v="0"/>
    <n v="12"/>
    <n v="0"/>
    <n v="0"/>
    <n v="0"/>
    <n v="0"/>
    <n v="46574.99999999999"/>
    <n v="0"/>
    <n v="0"/>
    <n v="0"/>
    <n v="12"/>
    <n v="46574.99999999999"/>
    <n v="0"/>
    <n v="0"/>
    <n v="12"/>
    <n v="0"/>
    <n v="0"/>
    <n v="0"/>
    <n v="0"/>
    <m/>
    <n v="46574.99999999999"/>
    <n v="0"/>
    <n v="0"/>
    <n v="0"/>
    <n v="12"/>
    <n v="46574.99999999999"/>
    <n v="0"/>
    <n v="0"/>
    <n v="12"/>
    <n v="0"/>
    <n v="0"/>
    <n v="0"/>
    <n v="46574.99999999999"/>
    <n v="0"/>
    <n v="0"/>
    <n v="0"/>
    <n v="12"/>
    <n v="46574.99999999999"/>
    <n v="0"/>
    <n v="0"/>
    <n v="12"/>
    <n v="0"/>
    <n v="0"/>
    <n v="0"/>
    <n v="46574.99999999999"/>
    <n v="0"/>
    <n v="0"/>
    <n v="12"/>
    <n v="46574.99999999999"/>
    <n v="0"/>
    <n v="0"/>
    <n v="12"/>
    <n v="0"/>
    <n v="0"/>
    <m/>
    <n v="46574.99999999999"/>
    <n v="0"/>
    <n v="0"/>
    <n v="12"/>
    <n v="46574.99999999999"/>
    <n v="0"/>
  </r>
  <r>
    <s v="Lhotse-Equipamiento"/>
    <x v="4"/>
    <x v="18"/>
    <x v="40"/>
    <s v="LHBANK2"/>
    <x v="230"/>
    <x v="218"/>
    <x v="0"/>
    <x v="1"/>
    <n v="1"/>
    <x v="130"/>
    <n v="275"/>
    <m/>
    <n v="0"/>
    <n v="4575"/>
    <n v="1258125"/>
    <n v="4.7"/>
    <n v="5134.75"/>
    <n v="16798.31932773109"/>
    <n v="15117.64705882353"/>
    <s v="Shenzhen"/>
    <s v="30/70"/>
    <n v="45"/>
    <n v="300"/>
    <n v="0"/>
    <s v=""/>
    <n v="0"/>
    <s v=""/>
    <n v="0"/>
    <s v=""/>
    <n v="0"/>
    <s v=""/>
    <n v="0"/>
    <s v=""/>
    <n v="0"/>
    <s v=""/>
    <n v="0"/>
    <s v=""/>
    <n v="0"/>
    <s v=""/>
    <n v="2"/>
    <n v="0.5362385111344826"/>
    <n v="26"/>
    <n v="0.6111112653368858"/>
    <n v="53"/>
    <n v="0.5776687518383767"/>
    <n v="44"/>
    <n v="0.7174523198914226"/>
    <n v="32"/>
    <n v="0.4726864153261313"/>
    <n v="35"/>
    <n v="0.4939392351833359"/>
    <n v="1"/>
    <n v="0.4459069561007496"/>
    <n v="0"/>
    <s v=""/>
    <n v="0"/>
    <n v="2"/>
    <n v="0.7134986835176408"/>
    <n v="0.05714285714285714"/>
    <n v="10"/>
    <n v="0.5281681858237127"/>
    <n v="0.1666666666666667"/>
    <n v="17"/>
    <n v="0.7115148106400352"/>
    <n v="0.4722222222222222"/>
    <n v="8"/>
    <n v="0.6909127164348566"/>
    <n v="0.2285714285714286"/>
    <m/>
    <m/>
    <m/>
    <m/>
    <m/>
    <m/>
    <m/>
    <m/>
    <m/>
    <m/>
    <m/>
    <m/>
    <n v="30"/>
    <n v="54"/>
    <n v="35"/>
    <n v="0"/>
    <n v="0"/>
    <n v="0"/>
    <n v="404887.5"/>
    <n v="262683"/>
    <n v="160125"/>
    <n v="0"/>
    <n v="275"/>
    <n v="1258125"/>
    <n v="494068.2155215028"/>
    <n v="19"/>
    <n v="36"/>
    <n v="52.5"/>
    <n v="0"/>
    <n v="0"/>
    <n v="0"/>
    <n v="244762.5"/>
    <n v="175122"/>
    <n v="240187.5"/>
    <n v="0"/>
    <n v="275"/>
    <n v="1258125"/>
    <n v="741102.3232822542"/>
    <n v="0"/>
    <n v="1"/>
    <n v="1"/>
    <n v="0"/>
    <n v="0"/>
    <n v="174832.5"/>
    <n v="4575"/>
    <n v="4575"/>
    <n v="0"/>
    <n v="275"/>
    <n v="1258125"/>
    <n v="16798.31932773109"/>
    <n v="20"/>
    <n v="0"/>
    <n v="0"/>
    <n v="300"/>
    <n v="0"/>
    <n v="0"/>
    <n v="0"/>
    <n v="1459350"/>
    <n v="0"/>
    <n v="275"/>
    <n v="1258125"/>
    <n v="0"/>
    <n v="35"/>
    <n v="277"/>
    <n v="35"/>
    <m/>
    <n v="0"/>
    <n v="0"/>
    <n v="1267275"/>
    <n v="170257.5"/>
    <n v="0"/>
    <n v="0"/>
    <n v="275"/>
    <n v="1258125"/>
    <n v="587941.1764705882"/>
    <n v="60"/>
    <n v="285"/>
    <n v="10"/>
    <m/>
    <n v="0"/>
    <n v="0"/>
    <n v="1303875"/>
    <n v="48645"/>
    <n v="0"/>
    <n v="0"/>
    <n v="285"/>
    <n v="1258125"/>
    <n v="167983.1932773109"/>
    <n v="36"/>
    <n v="292"/>
    <n v="17"/>
    <n v="0"/>
    <n v="0"/>
    <n v="0"/>
    <n v="1335900"/>
    <n v="82696.5"/>
    <n v="0"/>
    <n v="0"/>
    <n v="292"/>
    <n v="1258125"/>
    <n v="285571.4285714286"/>
    <n v="35"/>
    <n v="275"/>
    <n v="35"/>
    <n v="0"/>
    <n v="0"/>
    <n v="0"/>
    <n v="1258125"/>
    <n v="170257.5"/>
    <n v="0"/>
    <n v="0"/>
    <n v="275"/>
    <n v="1258125"/>
    <n v="587941.1764705882"/>
    <n v="35"/>
    <n v="240"/>
    <n v="35"/>
    <n v="300"/>
    <n v="0"/>
    <n v="0"/>
    <n v="1167480"/>
    <n v="170257.5"/>
    <n v="1459350"/>
    <n v="0"/>
    <n v="240"/>
    <n v="1167480"/>
    <n v="587941.1764705882"/>
    <n v="100"/>
    <n v="505"/>
    <n v="100"/>
    <n v="0"/>
    <n v="0"/>
    <n v="0"/>
    <n v="300"/>
    <n v="2456572.5"/>
    <n v="486450"/>
    <n v="0"/>
    <n v="1459350"/>
    <n v="505"/>
    <n v="3915922.5"/>
    <n v="1511764.705882353"/>
    <n v="80"/>
    <n v="405"/>
    <n v="80"/>
    <n v="0"/>
    <n v="0"/>
    <n v="1970122.5"/>
    <n v="389160"/>
    <n v="0"/>
    <n v="0"/>
    <n v="405"/>
    <n v="1970122.5"/>
    <n v="1269882.352941177"/>
    <n v="150"/>
    <n v="325"/>
    <n v="150"/>
    <n v="300"/>
    <n v="300"/>
    <n v="1580962.5"/>
    <n v="729675"/>
    <n v="1459350"/>
    <n v="625"/>
    <n v="3040312.5"/>
    <n v="2519747.899159664"/>
    <n v="48"/>
    <n v="475"/>
    <n v="48"/>
    <n v="0"/>
    <m/>
    <n v="2310637.5"/>
    <n v="219600"/>
    <n v="0"/>
    <n v="475"/>
    <n v="2310637.5"/>
    <n v="806319.3277310925"/>
  </r>
  <r>
    <s v="Lhotse-Equipamiento"/>
    <x v="4"/>
    <x v="18"/>
    <x v="41"/>
    <n v="1623703861303"/>
    <x v="231"/>
    <x v="219"/>
    <x v="0"/>
    <x v="1"/>
    <n v="1"/>
    <x v="131"/>
    <n v="166"/>
    <m/>
    <n v="0"/>
    <n v="9703"/>
    <n v="1610698"/>
    <n v="9.5"/>
    <n v="10378.75"/>
    <n v="19319.32773109244"/>
    <n v="19319.32773109244"/>
    <s v="Shenzhen"/>
    <s v="30/70"/>
    <n v="30"/>
    <n v="300"/>
    <n v="77"/>
    <n v="0.5009014691954732"/>
    <n v="37"/>
    <n v="0.5469024166165475"/>
    <n v="81"/>
    <n v="0.4953455446884243"/>
    <n v="47"/>
    <n v="0.5266830299511194"/>
    <n v="34"/>
    <n v="0.5278007470112905"/>
    <n v="90"/>
    <n v="0.4403121228967078"/>
    <n v="213"/>
    <n v="0.3628952773748706"/>
    <n v="18"/>
    <n v="0.5595646426846337"/>
    <n v="5"/>
    <n v="0.5353224478506228"/>
    <n v="50"/>
    <n v="0.5005234055552678"/>
    <n v="160"/>
    <n v="0.4890051985377151"/>
    <n v="95"/>
    <n v="0.4769995595733175"/>
    <n v="72"/>
    <n v="0.2570438335241711"/>
    <n v="25"/>
    <n v="0.2983189448829067"/>
    <n v="46"/>
    <n v="0.2453558095130068"/>
    <n v="40"/>
    <n v="0.2681002825881917"/>
    <n v="0.8"/>
    <n v="124"/>
    <n v="0.3387299141627927"/>
    <n v="3.542857142857143"/>
    <n v="78"/>
    <n v="-0.1019724679373378"/>
    <n v="0.78"/>
    <n v="0"/>
    <s v=""/>
    <n v="0"/>
    <n v="0"/>
    <s v=""/>
    <n v="0"/>
    <m/>
    <m/>
    <m/>
    <m/>
    <m/>
    <m/>
    <m/>
    <m/>
    <m/>
    <m/>
    <m/>
    <m/>
    <n v="100"/>
    <n v="461"/>
    <n v="60"/>
    <n v="100"/>
    <n v="100"/>
    <n v="0"/>
    <n v="1392380.5"/>
    <n v="4532782.5"/>
    <n v="582180"/>
    <n v="0"/>
    <n v="166"/>
    <n v="1610698"/>
    <n v="974083.7511475179"/>
    <n v="60"/>
    <n v="522"/>
    <n v="37.5"/>
    <n v="0"/>
    <n v="0"/>
    <n v="0"/>
    <n v="1198320.5"/>
    <n v="5132565"/>
    <n v="363862.5"/>
    <n v="0"/>
    <n v="166"/>
    <n v="1610698"/>
    <n v="608802.3444671987"/>
    <n v="72"/>
    <n v="494"/>
    <n v="46"/>
    <n v="0"/>
    <n v="0"/>
    <n v="1178595.5"/>
    <n v="4793282"/>
    <n v="446338"/>
    <n v="0"/>
    <n v="166"/>
    <n v="1610698"/>
    <n v="888689.0756302521"/>
    <n v="50"/>
    <n v="451"/>
    <n v="40"/>
    <n v="0"/>
    <n v="0"/>
    <n v="4434457.5"/>
    <n v="388120"/>
    <n v="0"/>
    <n v="0"/>
    <n v="166"/>
    <n v="1610698"/>
    <n v="772773.1092436975"/>
    <n v="35"/>
    <n v="290"/>
    <n v="35"/>
    <m/>
    <n v="0"/>
    <n v="0"/>
    <n v="2813870"/>
    <n v="344137.5"/>
    <n v="0"/>
    <n v="0"/>
    <n v="166"/>
    <n v="1610698"/>
    <n v="676176.4705882353"/>
    <n v="100"/>
    <n v="244"/>
    <n v="78"/>
    <m/>
    <n v="0"/>
    <n v="0"/>
    <n v="2367532"/>
    <n v="766935"/>
    <n v="0"/>
    <n v="0"/>
    <n v="244"/>
    <n v="1610698"/>
    <n v="1506907.56302521"/>
    <n v="100"/>
    <n v="166"/>
    <n v="0"/>
    <n v="0"/>
    <n v="0"/>
    <n v="0"/>
    <n v="1610698"/>
    <n v="0"/>
    <n v="0"/>
    <n v="0"/>
    <n v="166"/>
    <n v="1610698"/>
    <n v="0"/>
    <n v="73"/>
    <n v="166"/>
    <n v="73"/>
    <n v="0"/>
    <n v="0"/>
    <n v="0"/>
    <n v="1610698"/>
    <n v="717772.5"/>
    <n v="0"/>
    <n v="0"/>
    <n v="166"/>
    <n v="1610698"/>
    <n v="1410310.924369748"/>
    <n v="55"/>
    <n v="93"/>
    <n v="55"/>
    <n v="300"/>
    <n v="300"/>
    <n v="0"/>
    <n v="914422.5"/>
    <n v="540787.5"/>
    <n v="2949750"/>
    <n v="0"/>
    <n v="93"/>
    <n v="914422.5"/>
    <n v="1062563.025210084"/>
    <n v="70"/>
    <n v="38"/>
    <n v="38"/>
    <n v="0"/>
    <n v="0"/>
    <n v="0"/>
    <n v="300"/>
    <n v="373635"/>
    <n v="373635"/>
    <n v="0"/>
    <n v="2949750"/>
    <n v="38"/>
    <n v="3323385"/>
    <n v="734134.4537815127"/>
    <n v="120"/>
    <n v="0"/>
    <n v="120"/>
    <n v="0"/>
    <n v="0"/>
    <n v="0"/>
    <n v="1179900"/>
    <n v="0"/>
    <n v="0"/>
    <n v="0"/>
    <n v="0"/>
    <n v="2434235.294117647"/>
    <n v="150"/>
    <n v="0"/>
    <n v="150"/>
    <n v="0"/>
    <n v="0"/>
    <n v="0"/>
    <n v="1474875"/>
    <n v="0"/>
    <n v="0"/>
    <n v="0"/>
    <n v="2897899.159663866"/>
    <n v="72"/>
    <n v="0"/>
    <n v="72"/>
    <n v="0"/>
    <m/>
    <n v="0"/>
    <n v="698616"/>
    <n v="0"/>
    <n v="0"/>
    <n v="0"/>
    <n v="1390991.596638656"/>
  </r>
  <r>
    <s v="Lhotse-Equipamiento"/>
    <x v="4"/>
    <x v="18"/>
    <x v="41"/>
    <s v="LHBOLDUF30"/>
    <x v="232"/>
    <x v="220"/>
    <x v="0"/>
    <x v="1"/>
    <n v="0.7"/>
    <x v="132"/>
    <n v="18"/>
    <m/>
    <n v="0"/>
    <n v="10699"/>
    <n v="192582"/>
    <n v="10.33"/>
    <n v="11285.525"/>
    <n v="21000"/>
    <n v="23521.00840336135"/>
    <s v="Shenzhen"/>
    <s v="30/70"/>
    <n v="45"/>
    <n v="300"/>
    <n v="22"/>
    <n v="0.5868064647278917"/>
    <n v="25"/>
    <n v="0.578315329478824"/>
    <n v="47"/>
    <n v="0.5472730260061021"/>
    <n v="31"/>
    <n v="0.5148283318940193"/>
    <n v="111"/>
    <n v="0.3967182788582671"/>
    <n v="39"/>
    <n v="-0.0923965538047984"/>
    <n v="30"/>
    <n v="0.5028299898461932"/>
    <n v="20"/>
    <n v="0.5476892267442554"/>
    <n v="17"/>
    <n v="0.3456951738622465"/>
    <n v="28"/>
    <n v="0.4835332542279401"/>
    <n v="71"/>
    <n v="0.4759461318364361"/>
    <n v="74"/>
    <n v="0.5240648253753031"/>
    <n v="24"/>
    <n v="0.4041113464358144"/>
    <n v="42"/>
    <n v="0.2626233237252252"/>
    <n v="48"/>
    <n v="0.3170617720687485"/>
    <n v="4"/>
    <n v="0.296888577622319"/>
    <n v="0.1333333333333333"/>
    <n v="6"/>
    <n v="0.641283256275521"/>
    <n v="0.12"/>
    <n v="36"/>
    <n v="0.3543026505091467"/>
    <n v="0.45"/>
    <n v="1"/>
    <n v="0.5755171723907969"/>
    <n v="0.025"/>
    <n v="1"/>
    <n v="0.5451722043586995"/>
    <n v="0.02857142857142857"/>
    <m/>
    <m/>
    <m/>
    <m/>
    <m/>
    <m/>
    <m/>
    <m/>
    <m/>
    <m/>
    <m/>
    <m/>
    <n v="30"/>
    <n v="177"/>
    <n v="15"/>
    <n v="0"/>
    <n v="0"/>
    <n v="0"/>
    <n v="1348074"/>
    <n v="1892404.35"/>
    <n v="160485"/>
    <n v="0"/>
    <n v="18"/>
    <n v="192582"/>
    <n v="264705.8823529412"/>
    <n v="25"/>
    <n v="160"/>
    <n v="63"/>
    <n v="0"/>
    <n v="0"/>
    <n v="0"/>
    <n v="1230385"/>
    <n v="1710648"/>
    <n v="674037"/>
    <n v="0"/>
    <n v="18"/>
    <n v="192582"/>
    <n v="1111764.705882353"/>
    <n v="50"/>
    <n v="103"/>
    <n v="48"/>
    <n v="0"/>
    <n v="0"/>
    <n v="930552.25"/>
    <n v="1101997"/>
    <n v="513552"/>
    <n v="0"/>
    <n v="18"/>
    <n v="192582"/>
    <n v="1008000"/>
    <n v="30"/>
    <n v="67"/>
    <n v="4"/>
    <n v="0"/>
    <n v="0"/>
    <n v="716333.85"/>
    <n v="42796"/>
    <n v="0"/>
    <n v="0"/>
    <n v="18"/>
    <n v="192582"/>
    <n v="84000"/>
    <n v="50"/>
    <n v="24"/>
    <n v="35"/>
    <m/>
    <n v="0"/>
    <n v="0"/>
    <n v="256776"/>
    <n v="374204.25"/>
    <n v="0"/>
    <n v="0"/>
    <n v="18"/>
    <n v="192582"/>
    <n v="735000"/>
    <n v="80"/>
    <n v="54"/>
    <n v="36"/>
    <m/>
    <n v="0"/>
    <n v="0"/>
    <n v="577746"/>
    <n v="384895.8"/>
    <n v="0"/>
    <n v="0"/>
    <n v="54"/>
    <n v="192582"/>
    <n v="756000"/>
    <n v="40"/>
    <n v="19"/>
    <n v="1"/>
    <n v="300"/>
    <n v="300"/>
    <n v="0"/>
    <n v="203281"/>
    <n v="10691.55"/>
    <n v="3100549.5"/>
    <n v="0"/>
    <n v="19"/>
    <n v="192582"/>
    <n v="21000"/>
    <n v="35"/>
    <n v="18"/>
    <n v="24.5"/>
    <n v="0"/>
    <n v="0"/>
    <n v="0"/>
    <n v="192582"/>
    <n v="261942.975"/>
    <n v="0"/>
    <n v="0"/>
    <n v="18"/>
    <n v="192582"/>
    <n v="514500"/>
    <n v="25"/>
    <n v="0"/>
    <n v="17.5"/>
    <n v="0"/>
    <n v="300"/>
    <n v="303"/>
    <n v="0"/>
    <n v="187102.125"/>
    <n v="0"/>
    <n v="3239539.65"/>
    <n v="303"/>
    <n v="3239539.65"/>
    <n v="367500"/>
    <n v="60"/>
    <n v="285.5"/>
    <n v="42"/>
    <n v="0"/>
    <n v="0"/>
    <n v="0"/>
    <n v="0"/>
    <n v="3052437.525"/>
    <n v="449045.1"/>
    <n v="0"/>
    <n v="0"/>
    <n v="285.5"/>
    <n v="3052437.525"/>
    <n v="987882.3529411765"/>
    <n v="55"/>
    <n v="243.5"/>
    <n v="38.5"/>
    <n v="0"/>
    <n v="0"/>
    <n v="2603392.425"/>
    <n v="411624.675"/>
    <n v="0"/>
    <n v="0"/>
    <n v="243.5"/>
    <n v="2603392.425"/>
    <n v="950836.7647058824"/>
    <n v="70"/>
    <n v="205"/>
    <n v="49"/>
    <n v="0"/>
    <n v="0"/>
    <n v="2191767.75"/>
    <n v="523885.95"/>
    <n v="0"/>
    <n v="205"/>
    <n v="2191767.75"/>
    <n v="1029000"/>
    <n v="33"/>
    <n v="156"/>
    <n v="23.1"/>
    <n v="0"/>
    <m/>
    <n v="1667881.8"/>
    <n v="247146.9"/>
    <n v="0"/>
    <n v="156"/>
    <n v="1667881.8"/>
    <n v="485099.9999999999"/>
  </r>
  <r>
    <s v="Lhotse-Equipamiento"/>
    <x v="4"/>
    <x v="18"/>
    <x v="41"/>
    <s v="LHBOLDUF30"/>
    <x v="233"/>
    <x v="221"/>
    <x v="0"/>
    <x v="1"/>
    <n v="1"/>
    <x v="133"/>
    <n v="172"/>
    <m/>
    <n v="0"/>
    <n v="9813"/>
    <n v="1687836"/>
    <n v="10.33"/>
    <n v="11285.525"/>
    <n v="21000"/>
    <n v="23521.00840336135"/>
    <s v="Shenzhen"/>
    <s v="30/70"/>
    <n v="45"/>
    <n v="300"/>
    <n v="11"/>
    <n v="0.5803317839562286"/>
    <n v="23"/>
    <n v="0.5302269188012136"/>
    <n v="29"/>
    <n v="0.5071158634374066"/>
    <n v="19"/>
    <n v="0.509179758995847"/>
    <n v="2"/>
    <n v="0.5586945480517419"/>
    <n v="12"/>
    <n v="0.5731758495846072"/>
    <n v="61"/>
    <n v="0.4508668616714029"/>
    <n v="6"/>
    <n v="0.5752191267155228"/>
    <n v="13"/>
    <n v="0.2934747071580236"/>
    <n v="10"/>
    <n v="0.4927198738518572"/>
    <n v="7"/>
    <n v="0.5440291242544957"/>
    <n v="27"/>
    <n v="0.4508261454436387"/>
    <n v="9"/>
    <n v="0.3803311951124675"/>
    <n v="36"/>
    <n v="0.3067029624372239"/>
    <n v="25"/>
    <n v="0.377086534385452"/>
    <n v="21"/>
    <n v="0.4573549164146513"/>
    <n v="1.05"/>
    <n v="16"/>
    <n v="0.6269854406344465"/>
    <n v="0.8"/>
    <n v="20"/>
    <n v="0.2574823095972159"/>
    <n v="0.3333333333333333"/>
    <n v="30"/>
    <n v="0.6009113457642798"/>
    <n v="0.75"/>
    <n v="4"/>
    <n v="0.5972296873595839"/>
    <n v="0.25"/>
    <m/>
    <m/>
    <m/>
    <m/>
    <m/>
    <m/>
    <m/>
    <m/>
    <m/>
    <m/>
    <m/>
    <m/>
    <n v="20"/>
    <n v="24"/>
    <n v="15"/>
    <n v="0"/>
    <n v="100"/>
    <n v="0"/>
    <n v="922422"/>
    <n v="256597.2"/>
    <n v="147195"/>
    <n v="0"/>
    <n v="172"/>
    <n v="1687836"/>
    <n v="264705.8823529412"/>
    <n v="25"/>
    <n v="316"/>
    <n v="54"/>
    <n v="0"/>
    <n v="0"/>
    <n v="0"/>
    <n v="981300"/>
    <n v="3378529.8"/>
    <n v="529902"/>
    <n v="0"/>
    <n v="172"/>
    <n v="1687836"/>
    <n v="952941.1764705883"/>
    <n v="30"/>
    <n v="255"/>
    <n v="25"/>
    <n v="0"/>
    <n v="0"/>
    <n v="665229"/>
    <n v="2502315"/>
    <n v="245325"/>
    <n v="0"/>
    <n v="172"/>
    <n v="1687836"/>
    <n v="525000"/>
    <n v="20"/>
    <n v="256"/>
    <n v="21"/>
    <n v="0"/>
    <n v="0"/>
    <n v="2737036.8"/>
    <n v="206073"/>
    <n v="0"/>
    <n v="0"/>
    <n v="172"/>
    <n v="1687836"/>
    <n v="441000"/>
    <n v="20"/>
    <n v="188"/>
    <n v="20"/>
    <m/>
    <n v="0"/>
    <n v="0"/>
    <n v="1844844"/>
    <n v="213831"/>
    <n v="0"/>
    <n v="0"/>
    <n v="172"/>
    <n v="1687836"/>
    <n v="420000"/>
    <n v="60"/>
    <n v="192"/>
    <n v="20"/>
    <m/>
    <n v="0"/>
    <n v="0"/>
    <n v="1884096"/>
    <n v="213831"/>
    <n v="0"/>
    <n v="0"/>
    <n v="192"/>
    <n v="1687836"/>
    <n v="420000"/>
    <n v="40"/>
    <n v="202"/>
    <n v="30"/>
    <n v="0"/>
    <n v="0"/>
    <n v="0"/>
    <n v="1982226"/>
    <n v="320746.5"/>
    <n v="0"/>
    <n v="0"/>
    <n v="202"/>
    <n v="1687836"/>
    <n v="630000"/>
    <n v="16"/>
    <n v="172"/>
    <n v="16"/>
    <n v="0"/>
    <n v="0"/>
    <n v="0"/>
    <n v="1687836"/>
    <n v="171064.8"/>
    <n v="0"/>
    <n v="0"/>
    <n v="172"/>
    <n v="1687836"/>
    <n v="336000"/>
    <n v="20"/>
    <n v="156"/>
    <n v="20"/>
    <n v="0"/>
    <n v="0"/>
    <n v="0"/>
    <n v="1667881.8"/>
    <n v="213831"/>
    <n v="0"/>
    <n v="0"/>
    <n v="156"/>
    <n v="1667881.8"/>
    <n v="420000"/>
    <n v="50"/>
    <n v="136"/>
    <n v="50"/>
    <n v="0"/>
    <n v="0"/>
    <n v="0"/>
    <m/>
    <n v="1454050.8"/>
    <n v="534577.5"/>
    <n v="0"/>
    <n v="0"/>
    <n v="136"/>
    <n v="1454050.8"/>
    <n v="1176050.420168067"/>
    <n v="40"/>
    <n v="86"/>
    <n v="40"/>
    <n v="0"/>
    <n v="0"/>
    <n v="919473.2999999999"/>
    <n v="427662"/>
    <n v="0"/>
    <n v="0"/>
    <n v="86"/>
    <n v="919473.2999999999"/>
    <n v="987882.3529411765"/>
    <n v="50"/>
    <n v="46"/>
    <n v="50"/>
    <n v="0"/>
    <n v="0"/>
    <n v="491811.3"/>
    <n v="534577.5"/>
    <n v="0"/>
    <n v="46"/>
    <n v="491811.3"/>
    <n v="1050000"/>
    <n v="24"/>
    <n v="0"/>
    <n v="24"/>
    <n v="0"/>
    <m/>
    <n v="0"/>
    <n v="235512"/>
    <n v="0"/>
    <n v="0"/>
    <n v="0"/>
    <n v="504000"/>
  </r>
  <r>
    <s v="Lhotse-Equipamiento"/>
    <x v="4"/>
    <x v="18"/>
    <x v="41"/>
    <s v="LHBOLDUF30"/>
    <x v="234"/>
    <x v="222"/>
    <x v="0"/>
    <x v="1"/>
    <n v="1"/>
    <x v="134"/>
    <n v="169"/>
    <m/>
    <n v="0"/>
    <n v="9737"/>
    <n v="1645553"/>
    <n v="10.33"/>
    <n v="11285.525"/>
    <n v="21000"/>
    <n v="23521.00840336135"/>
    <s v="Shenzhen"/>
    <s v="30/70"/>
    <n v="45"/>
    <n v="300"/>
    <n v="8"/>
    <n v="0.6550675456202408"/>
    <n v="11"/>
    <n v="0.5551497103622488"/>
    <n v="16"/>
    <n v="0.5482392649802572"/>
    <n v="14"/>
    <n v="0.532002824532549"/>
    <n v="5"/>
    <n v="0.560095230537259"/>
    <n v="13"/>
    <n v="0.482328281568736"/>
    <n v="66"/>
    <n v="0.389959606545686"/>
    <n v="8"/>
    <n v="0.5859747752186522"/>
    <n v="3"/>
    <n v="0.6229488628753175"/>
    <n v="27"/>
    <n v="0.4801309261459087"/>
    <n v="12"/>
    <n v="0.5742865729660367"/>
    <n v="15"/>
    <n v="0.5824271992674733"/>
    <n v="6"/>
    <n v="0.4733284861698785"/>
    <n v="39"/>
    <n v="0.3115697519811886"/>
    <n v="11"/>
    <n v="0.4663642740927494"/>
    <n v="4"/>
    <n v="0.5486802266563957"/>
    <n v="0.2666666666666667"/>
    <n v="12"/>
    <n v="0.680265298353651"/>
    <n v="0.8"/>
    <n v="23"/>
    <n v="0.3022881606395665"/>
    <n v="0.46"/>
    <n v="41"/>
    <n v="0.5699298875073439"/>
    <n v="1.171428571428571"/>
    <n v="12"/>
    <n v="0.6026092497973909"/>
    <n v="0.6"/>
    <m/>
    <m/>
    <m/>
    <m/>
    <m/>
    <m/>
    <m/>
    <m/>
    <m/>
    <m/>
    <m/>
    <m/>
    <n v="20"/>
    <n v="4"/>
    <n v="8"/>
    <n v="0"/>
    <n v="100"/>
    <n v="0"/>
    <n v="754617.5"/>
    <n v="42766.2"/>
    <n v="77896"/>
    <n v="0"/>
    <n v="169"/>
    <n v="1645553"/>
    <n v="141176.4705882353"/>
    <n v="20"/>
    <n v="307"/>
    <n v="58.5"/>
    <n v="0"/>
    <n v="0"/>
    <n v="0"/>
    <n v="715669.5"/>
    <n v="3282305.85"/>
    <n v="569614.5"/>
    <n v="0"/>
    <n v="169"/>
    <n v="1645553"/>
    <n v="1032352.941176471"/>
    <n v="37.5"/>
    <n v="247"/>
    <n v="11"/>
    <n v="0"/>
    <n v="0"/>
    <n v="306428.25"/>
    <n v="2405039"/>
    <n v="107107"/>
    <n v="0"/>
    <n v="169"/>
    <n v="1645553"/>
    <n v="231000"/>
    <n v="15"/>
    <n v="257"/>
    <n v="4"/>
    <n v="0"/>
    <n v="0"/>
    <n v="2747728.35"/>
    <n v="38948"/>
    <n v="0"/>
    <n v="0"/>
    <n v="169"/>
    <n v="1645553"/>
    <n v="84000"/>
    <n v="15"/>
    <n v="181"/>
    <n v="15"/>
    <m/>
    <n v="0"/>
    <n v="0"/>
    <n v="1762397"/>
    <n v="160373.25"/>
    <n v="0"/>
    <n v="0"/>
    <n v="169"/>
    <n v="1645553"/>
    <n v="315000"/>
    <n v="50"/>
    <n v="192"/>
    <n v="23"/>
    <m/>
    <n v="0"/>
    <n v="0"/>
    <n v="1869504"/>
    <n v="245905.65"/>
    <n v="0"/>
    <n v="0"/>
    <n v="192"/>
    <n v="1645553"/>
    <n v="483000"/>
    <n v="35"/>
    <n v="210"/>
    <n v="41"/>
    <n v="0"/>
    <n v="0"/>
    <n v="0"/>
    <n v="2044770"/>
    <n v="438353.55"/>
    <n v="0"/>
    <n v="0"/>
    <n v="210"/>
    <n v="1645553"/>
    <n v="861000"/>
    <n v="20"/>
    <n v="169"/>
    <n v="20"/>
    <n v="0"/>
    <n v="0"/>
    <n v="0"/>
    <n v="1645553"/>
    <n v="213831"/>
    <n v="0"/>
    <n v="0"/>
    <n v="169"/>
    <n v="1645553"/>
    <n v="420000"/>
    <n v="25"/>
    <n v="149"/>
    <n v="25"/>
    <n v="0"/>
    <n v="0"/>
    <n v="0"/>
    <n v="1593040.95"/>
    <n v="267288.75"/>
    <n v="0"/>
    <n v="0"/>
    <n v="149"/>
    <n v="1593040.95"/>
    <n v="525000"/>
    <n v="40"/>
    <n v="124"/>
    <n v="40"/>
    <n v="0"/>
    <n v="0"/>
    <n v="0"/>
    <m/>
    <n v="1325752.2"/>
    <n v="427662"/>
    <n v="0"/>
    <n v="0"/>
    <n v="124"/>
    <n v="1325752.2"/>
    <n v="940840.3361344538"/>
    <n v="40"/>
    <n v="84"/>
    <n v="40"/>
    <n v="0"/>
    <n v="0"/>
    <n v="898090.2"/>
    <n v="427662"/>
    <n v="0"/>
    <n v="0"/>
    <n v="84"/>
    <n v="898090.2"/>
    <n v="987882.3529411765"/>
    <n v="45"/>
    <n v="44"/>
    <n v="45"/>
    <n v="0"/>
    <n v="0"/>
    <n v="470428.2"/>
    <n v="481119.7499999999"/>
    <n v="0"/>
    <n v="44"/>
    <n v="470428.2"/>
    <n v="945000"/>
    <n v="24"/>
    <n v="0"/>
    <n v="24"/>
    <n v="0"/>
    <m/>
    <n v="0"/>
    <n v="233688"/>
    <n v="0"/>
    <n v="0"/>
    <n v="0"/>
    <n v="504000"/>
  </r>
  <r>
    <s v="Lhotse-Equipamiento"/>
    <x v="4"/>
    <x v="18"/>
    <x v="41"/>
    <s v="LHBOLDUF60"/>
    <x v="235"/>
    <x v="223"/>
    <x v="0"/>
    <x v="1"/>
    <n v="0.8"/>
    <x v="135"/>
    <n v="127"/>
    <m/>
    <n v="0"/>
    <n v="12367"/>
    <n v="1570609"/>
    <n v="12"/>
    <n v="13110"/>
    <n v="33605.04201680672"/>
    <n v="31924.36974789916"/>
    <s v="Shenzhen"/>
    <s v="30/70"/>
    <n v="45"/>
    <n v="300"/>
    <n v="17"/>
    <n v="0.6566872410416089"/>
    <n v="31"/>
    <n v="0.61892042746024"/>
    <n v="150"/>
    <n v="0.5258857885336734"/>
    <n v="23"/>
    <n v="0.5784614830452729"/>
    <n v="0"/>
    <s v=""/>
    <n v="3"/>
    <n v="0.9999939344453517"/>
    <n v="15"/>
    <n v="0.471246055155628"/>
    <n v="56"/>
    <n v="0.6209219366166892"/>
    <n v="21"/>
    <n v="0.6506809232080262"/>
    <n v="117"/>
    <n v="0.4938021969693561"/>
    <n v="44"/>
    <n v="0.6126728805071008"/>
    <n v="61"/>
    <n v="0.6206147134941077"/>
    <n v="87"/>
    <n v="0.4430458152555643"/>
    <n v="66"/>
    <n v="0.4464301089273397"/>
    <n v="25"/>
    <n v="0.4743395679235359"/>
    <n v="9"/>
    <n v="0.4182984876395923"/>
    <n v="0"/>
    <n v="9"/>
    <n v="0.6832173513731998"/>
    <n v="0.2"/>
    <n v="81"/>
    <n v="0.3765194882145126"/>
    <n v="1.0125"/>
    <n v="75"/>
    <n v="0.6190058986572841"/>
    <n v="1.5"/>
    <n v="29"/>
    <n v="0.6072459319226788"/>
    <n v="0.4677419354838709"/>
    <m/>
    <m/>
    <m/>
    <m/>
    <m/>
    <m/>
    <m/>
    <m/>
    <m/>
    <m/>
    <m/>
    <m/>
    <n v="30"/>
    <n v="73"/>
    <n v="50"/>
    <n v="0"/>
    <n v="96"/>
    <n v="0"/>
    <n v="2151858"/>
    <n v="906659.9999999999"/>
    <n v="618350"/>
    <n v="0"/>
    <n v="127"/>
    <n v="1570609"/>
    <n v="1411976.555328014"/>
    <n v="40"/>
    <n v="100"/>
    <n v="99"/>
    <n v="150"/>
    <n v="50"/>
    <n v="0"/>
    <n v="1644811"/>
    <n v="1242000"/>
    <n v="1224333"/>
    <n v="0"/>
    <n v="127"/>
    <n v="1570609"/>
    <n v="2795713.579549467"/>
    <n v="12"/>
    <n v="27"/>
    <n v="25"/>
    <n v="0"/>
    <n v="0"/>
    <n v="867598"/>
    <n v="333909"/>
    <n v="309175"/>
    <n v="0"/>
    <n v="127"/>
    <n v="1570609"/>
    <n v="840126.0504201681"/>
    <n v="0"/>
    <n v="309"/>
    <n v="9"/>
    <n v="0"/>
    <n v="0"/>
    <n v="3837780"/>
    <n v="111303"/>
    <n v="0"/>
    <n v="0"/>
    <n v="127"/>
    <n v="1570609"/>
    <n v="302445.3781512605"/>
    <n v="45"/>
    <n v="136"/>
    <n v="36"/>
    <m/>
    <n v="0"/>
    <n v="0"/>
    <n v="1681912"/>
    <n v="447119.9999999999"/>
    <n v="0"/>
    <n v="0"/>
    <n v="127"/>
    <n v="1570609"/>
    <n v="1209781.512605042"/>
    <n v="80"/>
    <n v="208"/>
    <n v="81"/>
    <m/>
    <n v="0"/>
    <n v="0"/>
    <n v="2572336"/>
    <n v="1006020"/>
    <n v="0"/>
    <n v="0"/>
    <n v="208"/>
    <n v="1570609"/>
    <n v="2722008.403361344"/>
    <n v="50"/>
    <n v="202"/>
    <n v="75"/>
    <n v="300"/>
    <n v="300"/>
    <n v="0"/>
    <n v="2498134"/>
    <n v="931499.9999999999"/>
    <n v="3601800"/>
    <n v="0"/>
    <n v="202"/>
    <n v="1570609"/>
    <n v="2520378.151260504"/>
    <n v="62"/>
    <n v="127"/>
    <n v="49.6"/>
    <n v="0"/>
    <n v="0"/>
    <n v="0"/>
    <n v="1570609"/>
    <n v="616031.9999999999"/>
    <n v="0"/>
    <n v="0"/>
    <n v="127"/>
    <n v="1570609"/>
    <n v="1666810.084033613"/>
    <n v="30"/>
    <n v="77.40000000000001"/>
    <n v="24"/>
    <n v="0"/>
    <n v="300"/>
    <n v="303"/>
    <n v="961307.9999999999"/>
    <n v="298079.9999999999"/>
    <n v="0"/>
    <n v="3763260"/>
    <n v="380.4"/>
    <n v="4724567.999999999"/>
    <n v="806521.0084033613"/>
    <n v="120"/>
    <n v="356.4"/>
    <n v="96"/>
    <n v="0"/>
    <n v="0"/>
    <n v="0"/>
    <n v="0"/>
    <n v="4426487.999999999"/>
    <n v="1192320"/>
    <n v="0"/>
    <n v="0"/>
    <n v="356.4"/>
    <n v="4426487.999999999"/>
    <n v="3064739.49579832"/>
    <n v="50"/>
    <n v="260.4"/>
    <n v="40"/>
    <n v="0"/>
    <n v="0"/>
    <n v="3234167.999999999"/>
    <n v="496799.9999999999"/>
    <n v="0"/>
    <n v="0"/>
    <n v="260.4"/>
    <n v="3234167.999999999"/>
    <n v="1340823.529411765"/>
    <n v="60"/>
    <n v="220.4"/>
    <n v="48"/>
    <n v="0"/>
    <n v="0"/>
    <n v="2737368"/>
    <n v="596159.9999999999"/>
    <n v="0"/>
    <n v="220.4"/>
    <n v="2737368"/>
    <n v="1613042.016806723"/>
    <n v="30"/>
    <n v="172.4"/>
    <n v="24"/>
    <n v="0"/>
    <m/>
    <n v="2141208"/>
    <n v="296808"/>
    <n v="0"/>
    <n v="172.4"/>
    <n v="2141208"/>
    <n v="806521.0084033613"/>
  </r>
  <r>
    <s v="Lhotse-Equipamiento"/>
    <x v="4"/>
    <x v="18"/>
    <x v="41"/>
    <s v="LHBOLDUF60"/>
    <x v="236"/>
    <x v="224"/>
    <x v="0"/>
    <x v="1"/>
    <n v="0.8"/>
    <x v="136"/>
    <n v="266"/>
    <m/>
    <n v="0"/>
    <n v="12444"/>
    <n v="3310104"/>
    <n v="12"/>
    <n v="13110"/>
    <n v="33605.04201680672"/>
    <n v="31924.36974789916"/>
    <s v="Shenzhen"/>
    <s v="30/70"/>
    <n v="45"/>
    <n v="300"/>
    <n v="9"/>
    <n v="0.7016326712535947"/>
    <n v="9"/>
    <n v="0.6321815787451939"/>
    <n v="25"/>
    <n v="0.5240109133248277"/>
    <n v="15"/>
    <n v="0.484050583768662"/>
    <n v="9"/>
    <n v="0.5883896062490036"/>
    <n v="19"/>
    <n v="0.5298161948180873"/>
    <n v="62"/>
    <n v="0.3976066139565756"/>
    <n v="12"/>
    <n v="0.4938720874073835"/>
    <n v="5"/>
    <n v="0.6615428093504313"/>
    <n v="22"/>
    <n v="0.5547477865390683"/>
    <n v="16"/>
    <n v="0.5585099275872976"/>
    <n v="20"/>
    <n v="0.6693190441931229"/>
    <n v="26"/>
    <n v="0.4887009675679083"/>
    <n v="15"/>
    <n v="0.4219846084370635"/>
    <n v="5"/>
    <n v="0.6600466619794642"/>
    <n v="8"/>
    <n v="0.4933788839968469"/>
    <n v="0.4705882352941176"/>
    <n v="36"/>
    <n v="0.5137811026494596"/>
    <n v="3.6"/>
    <n v="21"/>
    <n v="0.427112576609837"/>
    <n v="0.6"/>
    <n v="21"/>
    <n v="0.6276159745068347"/>
    <n v="0.7"/>
    <n v="7"/>
    <n v="0.6131033852125555"/>
    <n v="0.4666666666666667"/>
    <m/>
    <m/>
    <m/>
    <m/>
    <m/>
    <m/>
    <m/>
    <m/>
    <m/>
    <m/>
    <m/>
    <m/>
    <n v="20"/>
    <n v="110"/>
    <n v="30"/>
    <n v="0"/>
    <n v="0"/>
    <n v="0"/>
    <n v="715530"/>
    <n v="1366200"/>
    <n v="373320"/>
    <n v="0"/>
    <n v="266"/>
    <n v="3310104"/>
    <n v="847185.9331968082"/>
    <n v="25"/>
    <n v="73"/>
    <n v="22.5"/>
    <n v="200"/>
    <n v="50"/>
    <n v="0"/>
    <n v="441762"/>
    <n v="906659.9999999999"/>
    <n v="279990"/>
    <n v="0"/>
    <n v="266"/>
    <n v="3310104"/>
    <n v="635389.4498976062"/>
    <n v="35"/>
    <n v="57"/>
    <n v="5"/>
    <n v="0"/>
    <n v="0"/>
    <n v="261132"/>
    <n v="709308"/>
    <n v="62220"/>
    <n v="0"/>
    <n v="266"/>
    <n v="3310104"/>
    <n v="168025.2100840336"/>
    <n v="17"/>
    <n v="359"/>
    <n v="8"/>
    <n v="0"/>
    <n v="0"/>
    <n v="4458779.999999999"/>
    <n v="99552"/>
    <n v="0"/>
    <n v="0"/>
    <n v="266"/>
    <n v="3310104"/>
    <n v="268840.3361344538"/>
    <n v="10"/>
    <n v="302"/>
    <n v="8"/>
    <m/>
    <n v="0"/>
    <n v="0"/>
    <n v="3758088"/>
    <n v="99359.99999999999"/>
    <n v="0"/>
    <n v="0"/>
    <n v="266"/>
    <n v="3310104"/>
    <n v="268840.3361344538"/>
    <n v="35"/>
    <n v="287"/>
    <n v="21"/>
    <m/>
    <n v="0"/>
    <n v="0"/>
    <n v="3571428"/>
    <n v="260820"/>
    <n v="0"/>
    <n v="0"/>
    <n v="287"/>
    <n v="3310104"/>
    <n v="705705.8823529412"/>
    <n v="30"/>
    <n v="287"/>
    <n v="21"/>
    <n v="0"/>
    <n v="0"/>
    <n v="0"/>
    <n v="3571428"/>
    <n v="260820"/>
    <n v="0"/>
    <n v="0"/>
    <n v="287"/>
    <n v="3310104"/>
    <n v="705705.8823529412"/>
    <n v="15"/>
    <n v="266"/>
    <n v="12"/>
    <n v="0"/>
    <n v="0"/>
    <n v="0"/>
    <n v="3310104"/>
    <n v="149040"/>
    <n v="0"/>
    <n v="0"/>
    <n v="266"/>
    <n v="3310104"/>
    <n v="403260.5042016807"/>
    <n v="12"/>
    <n v="254"/>
    <n v="9.600000000000001"/>
    <n v="0"/>
    <n v="0"/>
    <n v="0"/>
    <n v="3154680"/>
    <n v="119232"/>
    <n v="0"/>
    <n v="0"/>
    <n v="254"/>
    <n v="3154680"/>
    <n v="322608.4033613446"/>
    <n v="35"/>
    <n v="244.4"/>
    <n v="28"/>
    <n v="0"/>
    <n v="0"/>
    <n v="0"/>
    <m/>
    <n v="3035448"/>
    <n v="347759.9999999999"/>
    <n v="0"/>
    <n v="0"/>
    <n v="244.4"/>
    <n v="3035448"/>
    <n v="893882.3529411765"/>
    <n v="30"/>
    <n v="216.4"/>
    <n v="24"/>
    <n v="0"/>
    <n v="0"/>
    <n v="2687688"/>
    <n v="298079.9999999999"/>
    <n v="0"/>
    <n v="0"/>
    <n v="216.4"/>
    <n v="2687688"/>
    <n v="804494.1176470589"/>
    <n v="35"/>
    <n v="192.4"/>
    <n v="28"/>
    <n v="0"/>
    <n v="0"/>
    <n v="2389608"/>
    <n v="347759.9999999999"/>
    <n v="0"/>
    <n v="192.4"/>
    <n v="2389608"/>
    <n v="940941.1764705882"/>
    <n v="18"/>
    <n v="164.4"/>
    <n v="14.4"/>
    <n v="0"/>
    <m/>
    <n v="2041848"/>
    <n v="179193.6"/>
    <n v="0"/>
    <n v="164.4"/>
    <n v="2041848"/>
    <n v="483912.6050420168"/>
  </r>
  <r>
    <s v="Lhotse-Equipamiento"/>
    <x v="4"/>
    <x v="18"/>
    <x v="41"/>
    <s v="LHBOLDUF60"/>
    <x v="237"/>
    <x v="225"/>
    <x v="0"/>
    <x v="1"/>
    <n v="1"/>
    <x v="137"/>
    <n v="16"/>
    <m/>
    <n v="0"/>
    <n v="12745"/>
    <n v="203920"/>
    <n v="12"/>
    <n v="13110"/>
    <n v="33605.04201680672"/>
    <n v="31924.36974789916"/>
    <s v="Shenzhen"/>
    <s v="30/70"/>
    <n v="45"/>
    <n v="300"/>
    <n v="25"/>
    <n v="0.6844764104175772"/>
    <n v="22"/>
    <n v="0.646891557633521"/>
    <n v="36"/>
    <n v="0.5875214679539242"/>
    <n v="44"/>
    <n v="0.5703529646687922"/>
    <n v="14"/>
    <n v="0.6321489963170779"/>
    <n v="60"/>
    <n v="0.5419924434617023"/>
    <n v="31"/>
    <n v="0.561252590230031"/>
    <n v="7"/>
    <n v="0.5915753935911066"/>
    <n v="5"/>
    <n v="0.6742527919278998"/>
    <n v="41"/>
    <n v="0.4605623451183875"/>
    <n v="14"/>
    <n v="0.5886280859351154"/>
    <n v="35"/>
    <n v="0.6431816374576651"/>
    <n v="94"/>
    <n v="0.4087676335183822"/>
    <n v="38"/>
    <n v="0.4228046792895012"/>
    <n v="17"/>
    <n v="0.4695424098294861"/>
    <n v="14"/>
    <n v="0.482784482900435"/>
    <n v="0"/>
    <n v="13"/>
    <n v="0.6788008920411877"/>
    <n v="0.52"/>
    <n v="28"/>
    <n v="0.1746092644260084"/>
    <n v="0.5600000000000001"/>
    <n v="1"/>
    <n v="0.5899813463098135"/>
    <n v="0.02941176470588235"/>
    <n v="0"/>
    <s v=""/>
    <n v="0"/>
    <m/>
    <m/>
    <m/>
    <m/>
    <m/>
    <m/>
    <m/>
    <m/>
    <m/>
    <m/>
    <m/>
    <m/>
    <n v="30"/>
    <n v="208"/>
    <n v="35"/>
    <n v="0"/>
    <n v="0"/>
    <n v="0"/>
    <n v="1389205"/>
    <n v="2583360"/>
    <n v="446075"/>
    <n v="0"/>
    <n v="16"/>
    <n v="203920"/>
    <n v="988383.5887296095"/>
    <n v="25"/>
    <n v="119"/>
    <n v="57"/>
    <n v="0"/>
    <n v="0"/>
    <n v="0"/>
    <n v="1121560"/>
    <n v="1477980"/>
    <n v="726465"/>
    <n v="0"/>
    <n v="16"/>
    <n v="203920"/>
    <n v="1609653.273073936"/>
    <n v="72"/>
    <n v="65"/>
    <n v="17"/>
    <n v="0"/>
    <n v="0"/>
    <n v="705595"/>
    <n v="828425"/>
    <n v="216665"/>
    <n v="0"/>
    <n v="16"/>
    <n v="203920"/>
    <n v="571285.7142857143"/>
    <n v="0"/>
    <n v="58"/>
    <n v="14"/>
    <n v="0"/>
    <n v="0"/>
    <n v="720359.9999999999"/>
    <n v="178430"/>
    <n v="0"/>
    <n v="0"/>
    <n v="16"/>
    <n v="203920"/>
    <n v="470470.5882352941"/>
    <n v="25"/>
    <n v="29"/>
    <n v="25"/>
    <m/>
    <n v="0"/>
    <n v="0"/>
    <n v="369605"/>
    <n v="310499.9999999999"/>
    <n v="0"/>
    <n v="0"/>
    <n v="16"/>
    <n v="203920"/>
    <n v="840126.0504201681"/>
    <n v="50"/>
    <n v="44"/>
    <n v="28"/>
    <m/>
    <n v="0"/>
    <n v="0"/>
    <n v="560780"/>
    <n v="347759.9999999999"/>
    <n v="0"/>
    <n v="0"/>
    <n v="44"/>
    <n v="203920"/>
    <n v="940941.1764705882"/>
    <n v="34"/>
    <n v="17"/>
    <n v="1"/>
    <n v="300"/>
    <n v="300"/>
    <n v="0"/>
    <n v="216665"/>
    <n v="12420"/>
    <n v="3601800"/>
    <n v="0"/>
    <n v="17"/>
    <n v="203920"/>
    <n v="33605.04201680672"/>
    <n v="20"/>
    <n v="16"/>
    <n v="20"/>
    <n v="0"/>
    <n v="0"/>
    <n v="0"/>
    <n v="203920"/>
    <n v="248400"/>
    <n v="0"/>
    <n v="0"/>
    <n v="16"/>
    <n v="203920"/>
    <n v="672100.8403361344"/>
    <n v="25"/>
    <n v="0"/>
    <n v="25"/>
    <n v="0"/>
    <n v="300"/>
    <n v="303"/>
    <n v="0"/>
    <n v="310499.9999999999"/>
    <n v="0"/>
    <n v="3763260"/>
    <n v="303"/>
    <n v="3763260"/>
    <n v="840126.0504201681"/>
    <n v="45"/>
    <n v="278"/>
    <n v="45"/>
    <n v="0"/>
    <n v="0"/>
    <n v="0"/>
    <n v="0"/>
    <n v="3452760"/>
    <n v="558899.9999999999"/>
    <n v="0"/>
    <n v="0"/>
    <n v="278"/>
    <n v="3452760"/>
    <n v="1436596.638655462"/>
    <n v="40"/>
    <n v="233"/>
    <n v="40"/>
    <n v="0"/>
    <n v="0"/>
    <n v="2893860"/>
    <n v="496799.9999999999"/>
    <n v="0"/>
    <n v="0"/>
    <n v="233"/>
    <n v="2893860"/>
    <n v="1340823.529411765"/>
    <n v="45"/>
    <n v="193"/>
    <n v="45"/>
    <n v="0"/>
    <n v="0"/>
    <n v="2397060"/>
    <n v="558899.9999999999"/>
    <n v="0"/>
    <n v="193"/>
    <n v="2397060"/>
    <n v="1512226.890756303"/>
    <n v="24"/>
    <n v="148"/>
    <n v="24"/>
    <n v="0"/>
    <m/>
    <n v="1838160"/>
    <n v="305880"/>
    <n v="0"/>
    <n v="148"/>
    <n v="1838160"/>
    <n v="806521.0084033613"/>
  </r>
  <r>
    <s v="Lhotse-Equipamiento"/>
    <x v="4"/>
    <x v="18"/>
    <x v="42"/>
    <s v="LHMALEXPBK-30"/>
    <x v="238"/>
    <x v="226"/>
    <x v="0"/>
    <x v="3"/>
    <n v="0.6"/>
    <x v="138"/>
    <n v="5"/>
    <m/>
    <n v="0"/>
    <n v="30321"/>
    <n v="151605"/>
    <n v="28"/>
    <n v="30590"/>
    <n v="58815.12605042017"/>
    <n v="54613.44537815126"/>
    <s v="Shenzhen"/>
    <s v="30/70"/>
    <n v="60"/>
    <n v="300"/>
    <n v="16"/>
    <n v="0.4653900123570889"/>
    <n v="19"/>
    <n v="0.4168980684928035"/>
    <n v="20"/>
    <n v="0.4448249315299167"/>
    <n v="6"/>
    <n v="0.2516019232952722"/>
    <n v="13"/>
    <n v="0.4373995176284834"/>
    <n v="33"/>
    <n v="0.303562905501491"/>
    <n v="53"/>
    <n v="0.2102189487560475"/>
    <n v="34"/>
    <n v="0.2154500692647622"/>
    <n v="32"/>
    <n v="0.2891798450725828"/>
    <n v="34"/>
    <n v="0.2576728091312613"/>
    <n v="13"/>
    <n v="0.3015235019482572"/>
    <n v="24"/>
    <n v="0.3055115293513185"/>
    <n v="23"/>
    <n v="0.172433568119735"/>
    <n v="64"/>
    <n v="0.2385218588838458"/>
    <n v="12"/>
    <n v="0.1518282452602327"/>
    <n v="2"/>
    <n v="0.1134993895621627"/>
    <n v="0.2"/>
    <n v="4"/>
    <n v="0.4844672096013716"/>
    <n v="0.4"/>
    <n v="1"/>
    <s v=""/>
    <n v="0.02857142857142857"/>
    <n v="64"/>
    <n v="0.2610158772576603"/>
    <n v="0"/>
    <n v="0"/>
    <s v=""/>
    <n v="0"/>
    <m/>
    <m/>
    <m/>
    <m/>
    <m/>
    <m/>
    <m/>
    <m/>
    <m/>
    <m/>
    <m/>
    <m/>
    <n v="15"/>
    <n v="159"/>
    <n v="20"/>
    <n v="0"/>
    <n v="0"/>
    <n v="0"/>
    <n v="3881088"/>
    <n v="4607819.999999999"/>
    <n v="606420"/>
    <n v="0"/>
    <n v="5"/>
    <n v="151605"/>
    <n v="988489.5134524398"/>
    <n v="15"/>
    <n v="94"/>
    <n v="96"/>
    <n v="0"/>
    <n v="0"/>
    <n v="0"/>
    <n v="3335310"/>
    <n v="2724120"/>
    <n v="2910816"/>
    <n v="0"/>
    <n v="5"/>
    <n v="151605"/>
    <n v="4744749.664571712"/>
    <n v="18"/>
    <n v="86"/>
    <n v="12"/>
    <n v="0"/>
    <n v="0"/>
    <n v="598374"/>
    <n v="2607606"/>
    <n v="363852"/>
    <n v="0"/>
    <n v="5"/>
    <n v="151605"/>
    <n v="705781.5126050421"/>
    <n v="10"/>
    <n v="67"/>
    <n v="2"/>
    <n v="0"/>
    <n v="0"/>
    <n v="1941660"/>
    <n v="60642"/>
    <n v="0"/>
    <n v="0"/>
    <n v="5"/>
    <n v="151605"/>
    <n v="117630.2521008403"/>
    <n v="10"/>
    <n v="9"/>
    <n v="6"/>
    <m/>
    <n v="0"/>
    <n v="0"/>
    <n v="272889"/>
    <n v="173880"/>
    <n v="0"/>
    <n v="0"/>
    <n v="5"/>
    <n v="151605"/>
    <n v="352890.756302521"/>
    <n v="35"/>
    <n v="6"/>
    <n v="1"/>
    <m/>
    <n v="0"/>
    <n v="0"/>
    <n v="181926"/>
    <n v="28980"/>
    <n v="0"/>
    <n v="0"/>
    <n v="6"/>
    <n v="151605"/>
    <n v="58815.12605042017"/>
    <n v="0"/>
    <n v="69"/>
    <n v="64"/>
    <n v="0"/>
    <n v="0"/>
    <n v="0"/>
    <n v="2092149"/>
    <n v="1854720"/>
    <n v="0"/>
    <n v="0"/>
    <n v="69"/>
    <n v="151605"/>
    <n v="3764168.067226891"/>
    <n v="0"/>
    <n v="5"/>
    <n v="0"/>
    <n v="0"/>
    <n v="0"/>
    <n v="0"/>
    <n v="151605"/>
    <n v="0"/>
    <n v="0"/>
    <n v="0"/>
    <n v="5"/>
    <n v="151605"/>
    <n v="0"/>
    <n v="0"/>
    <n v="5"/>
    <n v="0"/>
    <n v="0"/>
    <n v="0"/>
    <n v="0"/>
    <n v="144900"/>
    <n v="0"/>
    <n v="0"/>
    <n v="0"/>
    <n v="5"/>
    <n v="144900"/>
    <n v="0"/>
    <n v="0"/>
    <n v="5"/>
    <n v="0"/>
    <n v="0"/>
    <n v="0"/>
    <n v="0"/>
    <m/>
    <n v="144900"/>
    <n v="0"/>
    <n v="0"/>
    <n v="0"/>
    <n v="5"/>
    <n v="144900"/>
    <n v="0"/>
    <n v="0"/>
    <n v="5"/>
    <n v="0"/>
    <n v="0"/>
    <n v="0"/>
    <n v="144900"/>
    <n v="0"/>
    <n v="0"/>
    <n v="0"/>
    <n v="5"/>
    <n v="144900"/>
    <n v="0"/>
    <n v="0"/>
    <n v="5"/>
    <n v="0"/>
    <n v="0"/>
    <n v="0"/>
    <n v="144900"/>
    <n v="0"/>
    <n v="0"/>
    <n v="5"/>
    <n v="144900"/>
    <n v="0"/>
    <n v="0"/>
    <n v="5"/>
    <n v="0"/>
    <n v="0"/>
    <m/>
    <n v="144900"/>
    <n v="0"/>
    <n v="0"/>
    <n v="5"/>
    <n v="144900"/>
    <n v="0"/>
  </r>
  <r>
    <s v="Lhotse-Equipamiento"/>
    <x v="4"/>
    <x v="18"/>
    <x v="42"/>
    <s v="LHMALEXPBK-70"/>
    <x v="239"/>
    <x v="227"/>
    <x v="0"/>
    <x v="3"/>
    <n v="1"/>
    <x v="139"/>
    <n v="12"/>
    <m/>
    <n v="0"/>
    <n v="36446"/>
    <n v="437352"/>
    <n v="34.8"/>
    <n v="38019"/>
    <n v="71420.1680672269"/>
    <n v="67218.48739495799"/>
    <s v="Shenzhen"/>
    <s v="30/70"/>
    <n v="30"/>
    <n v="300"/>
    <n v="5"/>
    <n v="0.4074206364564567"/>
    <n v="17"/>
    <n v="0.4529500205181843"/>
    <n v="23"/>
    <n v="0.4254794858208714"/>
    <n v="13"/>
    <n v="0.4625561881495821"/>
    <n v="8"/>
    <n v="0.4536796767455087"/>
    <n v="13"/>
    <n v="0.3801938195280765"/>
    <n v="34"/>
    <n v="0.3451591042832667"/>
    <n v="19"/>
    <n v="0.3966933455536664"/>
    <n v="7"/>
    <n v="0.4424824036034901"/>
    <n v="17"/>
    <n v="0.3879478741110353"/>
    <n v="12"/>
    <n v="0.4112694402325267"/>
    <n v="27"/>
    <n v="0.3784422126436349"/>
    <n v="75"/>
    <n v="0.1693759291353552"/>
    <n v="47"/>
    <n v="0.3901265477321922"/>
    <n v="19"/>
    <n v="0.3126595748789079"/>
    <n v="13"/>
    <n v="0.3510755606824094"/>
    <n v="0.8666666666666667"/>
    <n v="42"/>
    <n v="0.3992949799622115"/>
    <n v="2.8"/>
    <n v="41"/>
    <n v="0.2918269571938308"/>
    <n v="1.366666666666667"/>
    <n v="13"/>
    <n v="0.517231772371925"/>
    <n v="0.52"/>
    <n v="0"/>
    <s v=""/>
    <n v="0"/>
    <m/>
    <m/>
    <m/>
    <m/>
    <m/>
    <m/>
    <m/>
    <m/>
    <m/>
    <m/>
    <m/>
    <m/>
    <n v="15"/>
    <n v="146"/>
    <n v="20"/>
    <n v="0"/>
    <n v="100"/>
    <n v="0"/>
    <n v="3990837"/>
    <n v="5258627.999999999"/>
    <n v="728920"/>
    <n v="0"/>
    <n v="12"/>
    <n v="437352"/>
    <n v="1200338.959113057"/>
    <n v="15"/>
    <n v="181"/>
    <n v="70.5"/>
    <n v="0"/>
    <n v="0"/>
    <n v="0"/>
    <n v="3735715"/>
    <n v="6519257.999999999"/>
    <n v="2569443"/>
    <n v="0"/>
    <n v="12"/>
    <n v="437352"/>
    <n v="4231194.830873527"/>
    <n v="40"/>
    <n v="132"/>
    <n v="19"/>
    <n v="0"/>
    <n v="0"/>
    <n v="1706542"/>
    <n v="4810872"/>
    <n v="692474"/>
    <n v="0"/>
    <n v="12"/>
    <n v="437352"/>
    <n v="1356983.193277311"/>
    <n v="15"/>
    <n v="119"/>
    <n v="13"/>
    <n v="0"/>
    <n v="0"/>
    <n v="4286141.999999999"/>
    <n v="473798"/>
    <n v="0"/>
    <n v="0"/>
    <n v="12"/>
    <n v="437352"/>
    <n v="928462.1848739497"/>
    <n v="15"/>
    <n v="54"/>
    <n v="15"/>
    <m/>
    <n v="0"/>
    <n v="0"/>
    <n v="1968084"/>
    <n v="540269.9999999999"/>
    <n v="0"/>
    <n v="0"/>
    <n v="12"/>
    <n v="437352"/>
    <n v="1071302.521008404"/>
    <n v="30"/>
    <n v="53"/>
    <n v="41"/>
    <m/>
    <n v="0"/>
    <n v="0"/>
    <n v="1931638"/>
    <n v="1476738"/>
    <n v="0"/>
    <n v="0"/>
    <n v="53"/>
    <n v="437352"/>
    <n v="2928226.890756303"/>
    <n v="25"/>
    <n v="25"/>
    <n v="13"/>
    <n v="0"/>
    <n v="0"/>
    <n v="0"/>
    <n v="911150"/>
    <n v="468233.9999999999"/>
    <n v="0"/>
    <n v="0"/>
    <n v="25"/>
    <n v="437352"/>
    <n v="928462.1848739497"/>
    <n v="30"/>
    <n v="12"/>
    <n v="30"/>
    <n v="0"/>
    <n v="0"/>
    <n v="0"/>
    <n v="437352"/>
    <n v="1080540"/>
    <n v="0"/>
    <n v="0"/>
    <n v="12"/>
    <n v="437352"/>
    <n v="2142605.042016807"/>
    <n v="20"/>
    <n v="0"/>
    <n v="20"/>
    <n v="0"/>
    <n v="0"/>
    <n v="0"/>
    <n v="0"/>
    <n v="720359.9999999999"/>
    <n v="0"/>
    <n v="0"/>
    <n v="0"/>
    <n v="0"/>
    <n v="1428403.361344538"/>
    <n v="0"/>
    <n v="0"/>
    <n v="0"/>
    <n v="0"/>
    <n v="0"/>
    <n v="0"/>
    <m/>
    <n v="0"/>
    <n v="0"/>
    <n v="0"/>
    <n v="0"/>
    <n v="0"/>
    <n v="0"/>
    <n v="0"/>
    <n v="20"/>
    <n v="0"/>
    <n v="20"/>
    <n v="0"/>
    <n v="0"/>
    <n v="0"/>
    <n v="720359.9999999999"/>
    <n v="0"/>
    <n v="0"/>
    <n v="0"/>
    <n v="0"/>
    <n v="1411588.235294118"/>
    <n v="30"/>
    <n v="0"/>
    <n v="30"/>
    <n v="0"/>
    <n v="0"/>
    <n v="0"/>
    <n v="1080540"/>
    <n v="0"/>
    <n v="0"/>
    <n v="0"/>
    <n v="2142605.042016807"/>
    <n v="12"/>
    <n v="0"/>
    <n v="12"/>
    <n v="0"/>
    <m/>
    <n v="0"/>
    <n v="437352"/>
    <n v="0"/>
    <n v="0"/>
    <n v="0"/>
    <n v="857042.0168067229"/>
  </r>
  <r>
    <m/>
    <x v="4"/>
    <x v="18"/>
    <x v="42"/>
    <s v="LHMALEXPBK-90"/>
    <x v="240"/>
    <x v="228"/>
    <x v="0"/>
    <x v="1"/>
    <n v="1"/>
    <x v="140"/>
    <n v="7"/>
    <m/>
    <n v="0"/>
    <n v="43172"/>
    <n v="302204"/>
    <n v="40.75"/>
    <n v="44519.375"/>
    <n v="84025.21008403362"/>
    <n v="84025.21008403362"/>
    <s v="Shenzhen"/>
    <s v="30/70"/>
    <n v="60"/>
    <n v="300"/>
    <n v="20"/>
    <n v="0.5152803364277154"/>
    <n v="15"/>
    <n v="0.4238532079658671"/>
    <n v="26"/>
    <n v="0.4411269728642683"/>
    <n v="12"/>
    <n v="0.4618070882824332"/>
    <n v="8"/>
    <n v="0.4525251247219175"/>
    <n v="29"/>
    <n v="0.3797002269816995"/>
    <n v="27"/>
    <n v="0.3644394682683628"/>
    <n v="29"/>
    <n v="0.4168520796219863"/>
    <n v="5"/>
    <n v="0.5029520640409256"/>
    <n v="26"/>
    <n v="0.4254784244948885"/>
    <n v="16"/>
    <n v="0.394183079168613"/>
    <n v="57"/>
    <n v="0.3408664055230259"/>
    <n v="86"/>
    <n v="0.1665828713679691"/>
    <n v="45"/>
    <n v="0.2145821734197112"/>
    <n v="25"/>
    <n v="0.3044477569900149"/>
    <n v="18"/>
    <n v="0.3815065472611363"/>
    <n v="1.2"/>
    <n v="12"/>
    <n v="0.5183173591919873"/>
    <n v="0.8"/>
    <n v="8"/>
    <n v="0.324732944473722"/>
    <n v="0.2"/>
    <n v="13"/>
    <n v="0.5235306538061728"/>
    <n v="0.8666666666666667"/>
    <n v="3"/>
    <n v="0.492955258742639"/>
    <n v="0.75"/>
    <m/>
    <m/>
    <m/>
    <m/>
    <m/>
    <m/>
    <m/>
    <m/>
    <m/>
    <m/>
    <m/>
    <m/>
    <n v="22"/>
    <n v="97"/>
    <n v="40"/>
    <n v="0"/>
    <n v="100"/>
    <n v="0"/>
    <n v="5720290"/>
    <n v="4091096.25"/>
    <n v="1726880"/>
    <n v="0"/>
    <n v="7"/>
    <n v="302204"/>
    <n v="2824376.809547348"/>
    <n v="35"/>
    <n v="125"/>
    <n v="67.5"/>
    <n v="0"/>
    <n v="0"/>
    <n v="0"/>
    <n v="4770506"/>
    <n v="5272031.25"/>
    <n v="2914110"/>
    <n v="0"/>
    <n v="7"/>
    <n v="302204"/>
    <n v="4766135.866111151"/>
    <n v="45"/>
    <n v="66"/>
    <n v="25"/>
    <n v="0"/>
    <n v="0"/>
    <n v="2489039.75"/>
    <n v="2849352"/>
    <n v="1079300"/>
    <n v="0"/>
    <n v="7"/>
    <n v="302204"/>
    <n v="2100630.252100841"/>
    <n v="15"/>
    <n v="48"/>
    <n v="18"/>
    <n v="0"/>
    <n v="0"/>
    <n v="2024460"/>
    <n v="777096"/>
    <n v="0"/>
    <n v="0"/>
    <n v="7"/>
    <n v="302204"/>
    <n v="1512453.781512605"/>
    <n v="15"/>
    <n v="19"/>
    <n v="15"/>
    <m/>
    <n v="0"/>
    <n v="0"/>
    <n v="820268"/>
    <n v="632643.75"/>
    <n v="0"/>
    <n v="0"/>
    <n v="7"/>
    <n v="302204"/>
    <n v="1260378.151260504"/>
    <n v="40"/>
    <n v="15"/>
    <n v="8"/>
    <m/>
    <n v="0"/>
    <n v="0"/>
    <n v="647580"/>
    <n v="337410"/>
    <n v="0"/>
    <n v="0"/>
    <n v="15"/>
    <n v="302204"/>
    <n v="672201.680672269"/>
    <n v="15"/>
    <n v="20"/>
    <n v="13"/>
    <n v="200"/>
    <n v="200"/>
    <n v="0"/>
    <n v="863440"/>
    <n v="548291.25"/>
    <n v="8154075"/>
    <n v="0"/>
    <n v="20"/>
    <n v="302204"/>
    <n v="1092327.731092437"/>
    <n v="4"/>
    <n v="7"/>
    <n v="4"/>
    <n v="0"/>
    <n v="0"/>
    <n v="0"/>
    <n v="302204"/>
    <n v="168705"/>
    <n v="0"/>
    <n v="0"/>
    <n v="7"/>
    <n v="302204"/>
    <n v="336100.8403361345"/>
    <n v="0"/>
    <n v="3"/>
    <n v="0"/>
    <n v="0"/>
    <n v="0"/>
    <n v="202"/>
    <n v="126528.75"/>
    <n v="0"/>
    <n v="0"/>
    <n v="8519602.5"/>
    <n v="205"/>
    <n v="8646131.25"/>
    <n v="0"/>
    <n v="50"/>
    <n v="205"/>
    <n v="50"/>
    <n v="0"/>
    <n v="0"/>
    <n v="0"/>
    <n v="0"/>
    <n v="8646131.25"/>
    <n v="2108812.5"/>
    <n v="0"/>
    <n v="0"/>
    <n v="205"/>
    <n v="8646131.25"/>
    <n v="4201260.504201681"/>
    <n v="25"/>
    <n v="155"/>
    <n v="25"/>
    <n v="0"/>
    <n v="0"/>
    <n v="6537318.75"/>
    <n v="1054406.25"/>
    <n v="0"/>
    <n v="0"/>
    <n v="155"/>
    <n v="6537318.75"/>
    <n v="2205661.764705883"/>
    <n v="60"/>
    <n v="130"/>
    <n v="60"/>
    <n v="0"/>
    <n v="0"/>
    <n v="5482912.5"/>
    <n v="2530575"/>
    <n v="0"/>
    <n v="130"/>
    <n v="5482912.5"/>
    <n v="5041512.605042017"/>
    <n v="15"/>
    <n v="70"/>
    <n v="15"/>
    <n v="150"/>
    <n v="150"/>
    <n v="2952337.5"/>
    <n v="647580"/>
    <n v="6326437.5"/>
    <n v="220"/>
    <n v="9278775"/>
    <n v="1260378.151260504"/>
  </r>
  <r>
    <m/>
    <x v="4"/>
    <x v="18"/>
    <x v="42"/>
    <s v="LHMALFRONT-L"/>
    <x v="241"/>
    <x v="229"/>
    <x v="0"/>
    <x v="4"/>
    <n v="1"/>
    <x v="3"/>
    <n v="0"/>
    <m/>
    <m/>
    <n v="22942.5"/>
    <n v="0"/>
    <n v="21"/>
    <n v="22942.5"/>
    <n v="57838.23529411765"/>
    <n v="49162.5"/>
    <s v="Shenzhen"/>
    <s v="30/70"/>
    <n v="30"/>
    <n v="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150"/>
    <n v="150"/>
    <n v="0"/>
    <n v="0"/>
    <n v="0"/>
    <n v="326025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150"/>
    <n v="30"/>
    <n v="0"/>
    <n v="0"/>
    <n v="0"/>
    <n v="150"/>
    <n v="3260250"/>
    <n v="652050"/>
    <n v="0"/>
    <n v="3260250"/>
    <n v="150"/>
    <n v="6520500"/>
    <n v="1474875"/>
    <n v="30"/>
    <n v="120"/>
    <n v="30"/>
    <n v="0"/>
    <n v="0"/>
    <n v="2608200"/>
    <n v="652050"/>
    <n v="0"/>
    <n v="0"/>
    <n v="120"/>
    <n v="2608200"/>
    <n v="1548618.75"/>
    <n v="80"/>
    <n v="90"/>
    <n v="80"/>
    <n v="0"/>
    <n v="0"/>
    <n v="1956150"/>
    <n v="1738800"/>
    <n v="0"/>
    <n v="90"/>
    <n v="1956150"/>
    <n v="4627058.823529412"/>
    <n v="18"/>
    <n v="10"/>
    <m/>
    <n v="0"/>
    <m/>
    <n v="217350"/>
    <n v="0"/>
    <n v="0"/>
    <n v="10"/>
    <n v="217350"/>
    <n v="0"/>
  </r>
  <r>
    <m/>
    <x v="4"/>
    <x v="18"/>
    <x v="42"/>
    <s v="LHMALFRONT-M"/>
    <x v="242"/>
    <x v="230"/>
    <x v="0"/>
    <x v="4"/>
    <n v="1"/>
    <x v="3"/>
    <n v="0"/>
    <m/>
    <m/>
    <n v="22942.5"/>
    <n v="0"/>
    <n v="21"/>
    <n v="22942.5"/>
    <n v="57838.23529411765"/>
    <n v="49162.5"/>
    <s v="Shenzhen"/>
    <s v="30/70"/>
    <n v="30"/>
    <n v="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150"/>
    <n v="150"/>
    <n v="0"/>
    <n v="0"/>
    <n v="0"/>
    <n v="326025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150"/>
    <n v="30"/>
    <n v="0"/>
    <n v="0"/>
    <n v="0"/>
    <n v="150"/>
    <n v="3260250"/>
    <n v="652050"/>
    <n v="0"/>
    <n v="3260250"/>
    <n v="150"/>
    <n v="6520500"/>
    <n v="1474875"/>
    <n v="30"/>
    <n v="120"/>
    <n v="30"/>
    <n v="0"/>
    <n v="0"/>
    <n v="2608200"/>
    <n v="652050"/>
    <n v="0"/>
    <n v="0"/>
    <n v="120"/>
    <n v="2608200"/>
    <n v="1548618.75"/>
    <n v="80"/>
    <n v="90"/>
    <n v="80"/>
    <n v="0"/>
    <n v="0"/>
    <n v="1956150"/>
    <n v="1738800"/>
    <n v="0"/>
    <n v="90"/>
    <n v="1956150"/>
    <n v="4627058.823529412"/>
    <n v="18"/>
    <n v="10"/>
    <m/>
    <n v="0"/>
    <m/>
    <n v="217350"/>
    <n v="0"/>
    <n v="0"/>
    <n v="10"/>
    <n v="217350"/>
    <n v="0"/>
  </r>
  <r>
    <m/>
    <x v="4"/>
    <x v="18"/>
    <x v="42"/>
    <s v="LHMALFRONT-S"/>
    <x v="243"/>
    <x v="231"/>
    <x v="0"/>
    <x v="4"/>
    <n v="1"/>
    <x v="3"/>
    <n v="0"/>
    <m/>
    <m/>
    <n v="22942.5"/>
    <n v="0"/>
    <n v="21"/>
    <n v="22942.5"/>
    <n v="57838.23529411765"/>
    <n v="49162.5"/>
    <s v="Shenzhen"/>
    <s v="30/70"/>
    <n v="30"/>
    <n v="300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150"/>
    <n v="150"/>
    <n v="0"/>
    <n v="0"/>
    <n v="0"/>
    <n v="326025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150"/>
    <n v="30"/>
    <n v="0"/>
    <n v="0"/>
    <n v="0"/>
    <n v="150"/>
    <n v="3260250"/>
    <n v="652050"/>
    <n v="0"/>
    <n v="3260250"/>
    <n v="150"/>
    <n v="6520500"/>
    <n v="1474875"/>
    <n v="30"/>
    <n v="120"/>
    <n v="30"/>
    <n v="0"/>
    <n v="0"/>
    <n v="2608200"/>
    <n v="652050"/>
    <n v="0"/>
    <n v="0"/>
    <n v="120"/>
    <n v="2608200"/>
    <n v="1548618.75"/>
    <n v="80"/>
    <n v="90"/>
    <n v="80"/>
    <n v="0"/>
    <n v="0"/>
    <n v="1956150"/>
    <n v="1738800"/>
    <n v="0"/>
    <n v="90"/>
    <n v="1956150"/>
    <n v="4627058.823529412"/>
    <n v="18"/>
    <n v="10"/>
    <n v="18"/>
    <n v="0"/>
    <m/>
    <n v="217350"/>
    <n v="412965"/>
    <n v="0"/>
    <n v="10"/>
    <n v="217350"/>
    <n v="1041088.235294118"/>
  </r>
  <r>
    <m/>
    <x v="4"/>
    <x v="18"/>
    <x v="18"/>
    <n v="1566849947902"/>
    <x v="244"/>
    <x v="232"/>
    <x v="0"/>
    <x v="2"/>
    <n v="0.7"/>
    <x v="3"/>
    <n v="132"/>
    <m/>
    <n v="0"/>
    <n v="10421"/>
    <n v="1375572"/>
    <n v="9.9"/>
    <n v="10815.75"/>
    <n v="21000"/>
    <n v="21000"/>
    <s v="Shenzhen"/>
    <s v="30/70"/>
    <n v="30"/>
    <n v="300"/>
    <n v="40"/>
    <n v="0.4688949060105415"/>
    <n v="82"/>
    <n v="0.4287359364737212"/>
    <n v="111"/>
    <n v="0.4097090165806002"/>
    <n v="32"/>
    <n v="0.4914468284628732"/>
    <n v="23"/>
    <n v="0.5598849892684926"/>
    <n v="179"/>
    <n v="0.4701276398629724"/>
    <n v="46"/>
    <n v="0.4507679516957401"/>
    <n v="30"/>
    <n v="0.4868570257588516"/>
    <n v="10"/>
    <n v="0.454992932881181"/>
    <n v="57"/>
    <n v="0.5028662646941477"/>
    <n v="83"/>
    <n v="0.4456488838842699"/>
    <n v="18"/>
    <n v="0.5668322348278161"/>
    <n v="82"/>
    <n v="0.3578619342889466"/>
    <n v="24"/>
    <n v="0.3466859392761152"/>
    <n v="25"/>
    <n v="0.3577954165025065"/>
    <n v="15"/>
    <n v="0.3077346159255323"/>
    <n v="0.5"/>
    <n v="143"/>
    <n v="0.1981457121642801"/>
    <n v="4.766666666666667"/>
    <n v="18"/>
    <n v="0.4260727920992017"/>
    <n v="0.15"/>
    <n v="0"/>
    <s v=""/>
    <n v="0"/>
    <n v="0"/>
    <s v=""/>
    <n v="0"/>
    <m/>
    <m/>
    <m/>
    <m/>
    <m/>
    <m/>
    <m/>
    <m/>
    <m/>
    <m/>
    <m/>
    <m/>
    <n v="30"/>
    <n v="563"/>
    <n v="20"/>
    <n v="0"/>
    <n v="0"/>
    <n v="0"/>
    <n v="844101"/>
    <n v="5768779.5"/>
    <n v="208420"/>
    <n v="0"/>
    <n v="132"/>
    <n v="1375572"/>
    <n v="352941.1764705883"/>
    <n v="30"/>
    <n v="489"/>
    <n v="36"/>
    <n v="0"/>
    <n v="0"/>
    <n v="0"/>
    <n v="791996"/>
    <n v="5010538.5"/>
    <n v="375156"/>
    <n v="0"/>
    <n v="132"/>
    <n v="1375572"/>
    <n v="635294.1176470588"/>
    <n v="100"/>
    <n v="450"/>
    <n v="25"/>
    <n v="0"/>
    <n v="0"/>
    <n v="632016.5"/>
    <n v="4689450"/>
    <n v="260525"/>
    <n v="0"/>
    <n v="132"/>
    <n v="1375572"/>
    <n v="525000"/>
    <n v="30"/>
    <n v="440"/>
    <n v="15"/>
    <n v="0"/>
    <n v="0"/>
    <n v="4508460"/>
    <n v="156315"/>
    <n v="0"/>
    <n v="0"/>
    <n v="132"/>
    <n v="1375572"/>
    <n v="315000"/>
    <n v="30"/>
    <n v="275"/>
    <n v="21"/>
    <m/>
    <n v="0"/>
    <n v="0"/>
    <n v="2865775"/>
    <n v="215176.5"/>
    <n v="0"/>
    <n v="0"/>
    <n v="132"/>
    <n v="1375572"/>
    <n v="441000"/>
    <n v="120"/>
    <n v="150"/>
    <n v="18"/>
    <m/>
    <n v="0"/>
    <n v="0"/>
    <n v="1563150"/>
    <n v="184437"/>
    <n v="0"/>
    <n v="0"/>
    <n v="150"/>
    <n v="1375572"/>
    <n v="378000"/>
    <n v="141.7"/>
    <n v="132"/>
    <n v="0"/>
    <n v="0"/>
    <n v="0"/>
    <n v="0"/>
    <n v="1375572"/>
    <n v="0"/>
    <n v="0"/>
    <n v="0"/>
    <n v="132"/>
    <n v="1375572"/>
    <n v="0"/>
    <n v="100"/>
    <n v="132"/>
    <n v="70"/>
    <n v="154.9862068965517"/>
    <n v="154.9862068965517"/>
    <n v="0"/>
    <n v="1375572"/>
    <n v="717255"/>
    <n v="1588066.168965517"/>
    <n v="0"/>
    <n v="132"/>
    <n v="1375572"/>
    <n v="1470000"/>
    <n v="94.7"/>
    <n v="62"/>
    <n v="66.28999999999999"/>
    <n v="0"/>
    <n v="0"/>
    <n v="0"/>
    <n v="635283"/>
    <n v="679240.4849999999"/>
    <n v="0"/>
    <n v="0"/>
    <n v="62"/>
    <n v="635283"/>
    <n v="1392090"/>
    <n v="60"/>
    <n v="0"/>
    <n v="0"/>
    <n v="0"/>
    <n v="0"/>
    <n v="0"/>
    <m/>
    <n v="0"/>
    <n v="0"/>
    <n v="0"/>
    <n v="0"/>
    <n v="0"/>
    <n v="0"/>
    <n v="0"/>
    <n v="60"/>
    <n v="0"/>
    <n v="42"/>
    <n v="0"/>
    <n v="0"/>
    <n v="0"/>
    <n v="430353"/>
    <n v="0"/>
    <n v="0"/>
    <n v="0"/>
    <n v="0"/>
    <n v="926100"/>
    <n v="60"/>
    <n v="0"/>
    <n v="42"/>
    <n v="0"/>
    <n v="0"/>
    <n v="0"/>
    <n v="430353"/>
    <n v="0"/>
    <n v="0"/>
    <n v="0"/>
    <n v="882000"/>
    <n v="36"/>
    <n v="0"/>
    <n v="25.2"/>
    <n v="0"/>
    <m/>
    <n v="0"/>
    <n v="262609.2"/>
    <n v="0"/>
    <n v="0"/>
    <n v="0"/>
    <n v="529200"/>
  </r>
  <r>
    <m/>
    <x v="4"/>
    <x v="18"/>
    <x v="18"/>
    <n v="1623703690011"/>
    <x v="245"/>
    <x v="233"/>
    <x v="0"/>
    <x v="0"/>
    <n v="0.8"/>
    <x v="141"/>
    <n v="310"/>
    <m/>
    <n v="0"/>
    <n v="8341"/>
    <n v="2585710"/>
    <n v="8.699999999999999"/>
    <n v="9504.75"/>
    <n v="18478.99159663866"/>
    <n v="19319.32773109244"/>
    <s v="Shenzhen"/>
    <s v="30/70"/>
    <n v="30"/>
    <n v="500"/>
    <n v="20"/>
    <n v="0.4813620219001781"/>
    <n v="67"/>
    <n v="0.4300342555889587"/>
    <n v="154"/>
    <n v="0.4172752842326439"/>
    <n v="34"/>
    <n v="0.3534697734386282"/>
    <n v="19"/>
    <n v="0.5227257568900215"/>
    <n v="49"/>
    <n v="0.4372798578118764"/>
    <n v="46"/>
    <n v="0.39975315480719"/>
    <n v="48"/>
    <n v="0.4180159568172733"/>
    <n v="132"/>
    <n v="0.2645150847185939"/>
    <n v="3"/>
    <n v="0.3814147516480756"/>
    <n v="2"/>
    <n v="0.5087245716652"/>
    <n v="1"/>
    <s v=""/>
    <n v="0"/>
    <s v=""/>
    <n v="0"/>
    <s v=""/>
    <n v="0"/>
    <s v=""/>
    <n v="14"/>
    <n v="0.34526264244421"/>
    <n v="0.4"/>
    <n v="18"/>
    <n v="0.5711608944722131"/>
    <n v="0.9"/>
    <n v="14"/>
    <n v="0.410459480258095"/>
    <n v="0.2641509433962264"/>
    <n v="0"/>
    <s v=""/>
    <n v="0"/>
    <n v="0"/>
    <s v=""/>
    <n v="0"/>
    <m/>
    <m/>
    <m/>
    <m/>
    <m/>
    <m/>
    <m/>
    <m/>
    <m/>
    <m/>
    <m/>
    <m/>
    <n v="0"/>
    <n v="2"/>
    <n v="0"/>
    <n v="0"/>
    <n v="0"/>
    <n v="0"/>
    <n v="0"/>
    <n v="18009"/>
    <n v="0"/>
    <n v="0"/>
    <n v="310"/>
    <n v="2585710"/>
    <n v="0"/>
    <n v="60"/>
    <n v="2"/>
    <n v="0"/>
    <n v="100"/>
    <n v="200"/>
    <n v="0"/>
    <n v="116774"/>
    <n v="18009"/>
    <n v="0"/>
    <n v="0"/>
    <n v="310"/>
    <n v="2585710"/>
    <n v="0"/>
    <n v="0"/>
    <n v="2"/>
    <n v="0"/>
    <n v="0"/>
    <n v="0"/>
    <n v="260846"/>
    <n v="16682"/>
    <n v="0"/>
    <n v="0"/>
    <n v="310"/>
    <n v="2585710"/>
    <n v="0"/>
    <n v="35"/>
    <n v="202"/>
    <n v="14"/>
    <n v="0"/>
    <n v="0"/>
    <n v="1818909"/>
    <n v="116774"/>
    <n v="0"/>
    <n v="0"/>
    <n v="310"/>
    <n v="2585710"/>
    <n v="258705.8823529412"/>
    <n v="20"/>
    <n v="328"/>
    <n v="16"/>
    <m/>
    <n v="0"/>
    <n v="0"/>
    <n v="2735848"/>
    <n v="144072"/>
    <n v="0"/>
    <n v="0"/>
    <n v="310"/>
    <n v="2585710"/>
    <n v="295663.8655462185"/>
    <n v="53"/>
    <n v="324"/>
    <n v="14"/>
    <m/>
    <n v="0"/>
    <n v="0"/>
    <n v="2702484"/>
    <n v="126063"/>
    <n v="0"/>
    <n v="0"/>
    <n v="324"/>
    <n v="2585710"/>
    <n v="258705.8823529412"/>
    <n v="113"/>
    <n v="310"/>
    <n v="0"/>
    <n v="300"/>
    <n v="300"/>
    <n v="0"/>
    <n v="2585710"/>
    <n v="0"/>
    <n v="2611305"/>
    <n v="0"/>
    <n v="310"/>
    <n v="2585710"/>
    <n v="0"/>
    <n v="100"/>
    <n v="310"/>
    <n v="80"/>
    <n v="0"/>
    <n v="0"/>
    <n v="0"/>
    <n v="2585710"/>
    <n v="720359.9999999999"/>
    <n v="0"/>
    <n v="0"/>
    <n v="310"/>
    <n v="2585710"/>
    <n v="1478319.327731093"/>
    <n v="80"/>
    <n v="230"/>
    <n v="64"/>
    <n v="0"/>
    <n v="0"/>
    <n v="0"/>
    <n v="2071035"/>
    <n v="576287.9999999999"/>
    <n v="0"/>
    <n v="0"/>
    <n v="230"/>
    <n v="2071035"/>
    <n v="1182655.462184874"/>
    <n v="100"/>
    <n v="166"/>
    <n v="80"/>
    <n v="0"/>
    <n v="0"/>
    <n v="0"/>
    <m/>
    <n v="1494747"/>
    <n v="720359.9999999999"/>
    <n v="0"/>
    <n v="0"/>
    <n v="166"/>
    <n v="1494747"/>
    <n v="1545546.218487395"/>
    <n v="80"/>
    <n v="86"/>
    <n v="64"/>
    <n v="0"/>
    <n v="0"/>
    <n v="774386.9999999999"/>
    <n v="576287.9999999999"/>
    <n v="0"/>
    <n v="0"/>
    <n v="86"/>
    <n v="774386.9999999999"/>
    <n v="1298258.823529412"/>
    <n v="120"/>
    <n v="22"/>
    <n v="96"/>
    <n v="0"/>
    <n v="0"/>
    <n v="198099"/>
    <n v="864431.9999999998"/>
    <n v="0"/>
    <n v="22"/>
    <n v="198099"/>
    <n v="1773983.193277311"/>
    <n v="48"/>
    <n v="0"/>
    <n v="38.40000000000001"/>
    <n v="0"/>
    <m/>
    <n v="0"/>
    <n v="320294.4"/>
    <n v="0"/>
    <n v="0"/>
    <n v="0"/>
    <n v="709593.2773109246"/>
  </r>
  <r>
    <m/>
    <x v="4"/>
    <x v="18"/>
    <x v="18"/>
    <n v="1623703728452"/>
    <x v="246"/>
    <x v="234"/>
    <x v="0"/>
    <x v="2"/>
    <n v="1"/>
    <x v="3"/>
    <n v="9"/>
    <m/>
    <n v="0"/>
    <n v="9555"/>
    <n v="85995"/>
    <n v="8.699999999999999"/>
    <n v="9504.75"/>
    <n v="18478.99159663866"/>
    <n v="19319.32773109244"/>
    <s v="Shenzhen"/>
    <s v="30/70"/>
    <n v="30"/>
    <n v="500"/>
    <n v="11"/>
    <n v="0.4467483305350147"/>
    <n v="24"/>
    <n v="0.441537403965275"/>
    <n v="47"/>
    <n v="0.4116863009133295"/>
    <n v="12"/>
    <n v="0.497506001732459"/>
    <n v="9"/>
    <n v="0.3854768422927482"/>
    <n v="46"/>
    <n v="0.4075460893038689"/>
    <n v="21"/>
    <n v="0.3952137482668845"/>
    <n v="22"/>
    <n v="0.4339147034872641"/>
    <n v="16"/>
    <n v="0.4382442946688341"/>
    <n v="33"/>
    <n v="0.4416926828408153"/>
    <n v="43"/>
    <n v="0.4840615156105425"/>
    <n v="54"/>
    <n v="0.4500091654982111"/>
    <n v="37"/>
    <n v="0.2568484148987704"/>
    <n v="33"/>
    <n v="0.2672271959922551"/>
    <n v="21"/>
    <n v="0.233891980104397"/>
    <n v="18"/>
    <n v="0.2684731688007843"/>
    <n v="0.72"/>
    <n v="6"/>
    <n v="0.5325482390023297"/>
    <n v="0.3"/>
    <n v="9"/>
    <n v="0.3585459639447102"/>
    <n v="0.3"/>
    <n v="0"/>
    <s v=""/>
    <n v="0"/>
    <n v="0"/>
    <s v=""/>
    <n v="0"/>
    <m/>
    <m/>
    <m/>
    <m/>
    <m/>
    <m/>
    <m/>
    <m/>
    <m/>
    <m/>
    <m/>
    <m/>
    <n v="20"/>
    <n v="139"/>
    <n v="24"/>
    <n v="0"/>
    <n v="0"/>
    <n v="0"/>
    <n v="902947.5"/>
    <n v="1251625.5"/>
    <n v="229320"/>
    <n v="0"/>
    <n v="9"/>
    <n v="85995"/>
    <n v="372685.5448061578"/>
    <n v="25"/>
    <n v="99"/>
    <n v="49.5"/>
    <n v="0"/>
    <n v="0"/>
    <n v="0"/>
    <n v="845617.5"/>
    <n v="891445.4999999998"/>
    <n v="472972.5"/>
    <n v="0"/>
    <n v="9"/>
    <n v="85995"/>
    <n v="768663.9361627005"/>
    <n v="40"/>
    <n v="66"/>
    <n v="21"/>
    <n v="0"/>
    <n v="0"/>
    <n v="552735"/>
    <n v="630630"/>
    <n v="200655"/>
    <n v="0"/>
    <n v="9"/>
    <n v="85995"/>
    <n v="388058.8235294118"/>
    <n v="25"/>
    <n v="31"/>
    <n v="18"/>
    <n v="0"/>
    <n v="0"/>
    <n v="279139.4999999999"/>
    <n v="171990"/>
    <n v="0"/>
    <n v="0"/>
    <n v="9"/>
    <n v="85995"/>
    <n v="332621.8487394959"/>
    <n v="20"/>
    <n v="15"/>
    <n v="20"/>
    <m/>
    <n v="0"/>
    <n v="0"/>
    <n v="143325"/>
    <n v="180090"/>
    <n v="0"/>
    <n v="0"/>
    <n v="9"/>
    <n v="85995"/>
    <n v="369579.8319327732"/>
    <n v="30"/>
    <n v="18"/>
    <n v="9"/>
    <m/>
    <n v="0"/>
    <n v="0"/>
    <n v="171990"/>
    <n v="81040.49999999999"/>
    <n v="0"/>
    <n v="0"/>
    <n v="18"/>
    <n v="85995"/>
    <n v="166310.9243697479"/>
    <n v="48.3"/>
    <n v="9"/>
    <n v="0"/>
    <n v="0"/>
    <n v="0"/>
    <n v="0"/>
    <n v="85995"/>
    <n v="0"/>
    <n v="0"/>
    <n v="0"/>
    <n v="9"/>
    <n v="85995"/>
    <n v="0"/>
    <n v="49.6"/>
    <n v="9"/>
    <n v="49.6"/>
    <n v="0"/>
    <n v="0"/>
    <n v="0"/>
    <n v="85995"/>
    <n v="446623.1999999999"/>
    <n v="0"/>
    <n v="0"/>
    <n v="9"/>
    <n v="85995"/>
    <n v="916557.9831932775"/>
    <n v="40.4"/>
    <n v="0"/>
    <n v="40.4"/>
    <n v="0"/>
    <n v="0"/>
    <n v="0"/>
    <n v="0"/>
    <n v="363781.7999999999"/>
    <n v="0"/>
    <n v="0"/>
    <n v="0"/>
    <n v="0"/>
    <n v="746551.2605042018"/>
    <n v="40.1"/>
    <n v="0"/>
    <n v="0"/>
    <n v="0"/>
    <n v="0"/>
    <n v="0"/>
    <m/>
    <n v="0"/>
    <n v="0"/>
    <n v="0"/>
    <n v="0"/>
    <n v="0"/>
    <n v="0"/>
    <n v="0"/>
    <n v="40.1"/>
    <n v="0"/>
    <n v="40.1"/>
    <n v="0"/>
    <n v="0"/>
    <n v="0"/>
    <n v="361080.45"/>
    <n v="0"/>
    <n v="0"/>
    <n v="0"/>
    <n v="0"/>
    <n v="813440.2941176471"/>
    <n v="40.1"/>
    <n v="0"/>
    <n v="40.1"/>
    <n v="0"/>
    <n v="0"/>
    <n v="0"/>
    <n v="361080.45"/>
    <n v="0"/>
    <n v="0"/>
    <n v="0"/>
    <n v="741007.5630252102"/>
    <n v="24.06"/>
    <n v="0"/>
    <n v="24.06"/>
    <n v="0"/>
    <m/>
    <n v="0"/>
    <n v="229893.3"/>
    <n v="0"/>
    <n v="0"/>
    <n v="0"/>
    <n v="444604.5378151261"/>
  </r>
  <r>
    <m/>
    <x v="4"/>
    <x v="18"/>
    <x v="18"/>
    <n v="1661873799978"/>
    <x v="247"/>
    <x v="235"/>
    <x v="0"/>
    <x v="1"/>
    <n v="1"/>
    <x v="142"/>
    <n v="63"/>
    <m/>
    <n v="0"/>
    <n v="10483"/>
    <n v="660429"/>
    <n v="9.199999999999999"/>
    <n v="10051"/>
    <n v="19319.32773109244"/>
    <n v="21000"/>
    <s v="Shenzhen"/>
    <s v="30/70"/>
    <n v="30"/>
    <n v="250"/>
    <n v="46"/>
    <n v="0.5829332927682005"/>
    <n v="18"/>
    <n v="0.617022590657715"/>
    <n v="12"/>
    <n v="0.6299718002796093"/>
    <n v="1"/>
    <s v=""/>
    <n v="1"/>
    <n v="0.4872726771740328"/>
    <n v="19"/>
    <n v="0.557086640944893"/>
    <n v="43"/>
    <n v="0.5154158398930543"/>
    <n v="21"/>
    <n v="0.5913387036723379"/>
    <n v="39"/>
    <n v="0.4951022212519783"/>
    <n v="163"/>
    <n v="0.591699669188083"/>
    <n v="20"/>
    <n v="0.5931110209141648"/>
    <n v="25"/>
    <n v="0.5875350311132151"/>
    <n v="50"/>
    <n v="0.3384576641255141"/>
    <n v="75"/>
    <n v="0.2366303924830462"/>
    <n v="155"/>
    <n v="0.2494274974976846"/>
    <n v="72"/>
    <n v="0.3463061696648632"/>
    <n v="1.8"/>
    <n v="32"/>
    <n v="0.5549881475936496"/>
    <n v="0.4"/>
    <n v="58"/>
    <n v="0.2579109383291311"/>
    <n v="0.3866666666666667"/>
    <n v="0"/>
    <s v=""/>
    <n v="0"/>
    <n v="0"/>
    <s v=""/>
    <n v="0"/>
    <m/>
    <m/>
    <m/>
    <m/>
    <m/>
    <m/>
    <m/>
    <m/>
    <m/>
    <m/>
    <m/>
    <m/>
    <n v="35"/>
    <n v="437"/>
    <n v="22"/>
    <n v="0"/>
    <n v="0"/>
    <n v="0"/>
    <n v="3034828.5"/>
    <n v="4161114"/>
    <n v="230626"/>
    <n v="0"/>
    <n v="63"/>
    <n v="660429"/>
    <n v="357164.0420874233"/>
    <n v="35"/>
    <n v="386"/>
    <n v="112.5"/>
    <n v="0"/>
    <n v="0"/>
    <n v="0"/>
    <n v="3558978.5"/>
    <n v="3675492"/>
    <n v="1179337.5"/>
    <n v="0"/>
    <n v="63"/>
    <n v="660429"/>
    <n v="1826407.033401596"/>
    <n v="60"/>
    <n v="271"/>
    <n v="155"/>
    <n v="0"/>
    <n v="0"/>
    <n v="3141401"/>
    <n v="2840893"/>
    <n v="1624865"/>
    <n v="0"/>
    <n v="63"/>
    <n v="660429"/>
    <n v="2994495.798319328"/>
    <n v="40"/>
    <n v="150"/>
    <n v="72"/>
    <n v="0"/>
    <n v="0"/>
    <n v="1428300"/>
    <n v="754776"/>
    <n v="0"/>
    <n v="0"/>
    <n v="63"/>
    <n v="660429"/>
    <n v="1390991.596638656"/>
    <n v="80"/>
    <n v="95"/>
    <n v="80"/>
    <m/>
    <n v="0"/>
    <n v="0"/>
    <n v="995885"/>
    <n v="761760"/>
    <n v="0"/>
    <n v="0"/>
    <n v="63"/>
    <n v="660429"/>
    <n v="1545546.218487395"/>
    <n v="150"/>
    <n v="121"/>
    <n v="58"/>
    <m/>
    <n v="0"/>
    <n v="0"/>
    <n v="1268443"/>
    <n v="552276"/>
    <n v="0"/>
    <n v="0"/>
    <n v="121"/>
    <n v="660429"/>
    <n v="1120521.008403362"/>
    <n v="66"/>
    <n v="63"/>
    <n v="0"/>
    <n v="100"/>
    <n v="100"/>
    <n v="0"/>
    <n v="660429"/>
    <n v="0"/>
    <n v="920459.9999999999"/>
    <n v="0"/>
    <n v="63"/>
    <n v="660429"/>
    <n v="0"/>
    <n v="60"/>
    <n v="63"/>
    <n v="60"/>
    <n v="150"/>
    <n v="150"/>
    <n v="0"/>
    <n v="660429"/>
    <n v="571320"/>
    <n v="1428300"/>
    <n v="0"/>
    <n v="63"/>
    <n v="660429"/>
    <n v="1159159.663865546"/>
    <n v="61"/>
    <n v="3"/>
    <n v="61"/>
    <n v="0"/>
    <n v="0"/>
    <n v="150"/>
    <n v="28566"/>
    <n v="580842"/>
    <n v="0"/>
    <n v="1428300"/>
    <n v="153"/>
    <n v="1456866"/>
    <n v="1178478.991596639"/>
    <n v="100"/>
    <n v="92"/>
    <n v="92"/>
    <n v="300"/>
    <n v="300"/>
    <n v="300"/>
    <n v="0"/>
    <n v="876024"/>
    <n v="876024"/>
    <n v="2856600"/>
    <n v="2856600"/>
    <n v="392"/>
    <n v="3732624"/>
    <n v="1932000"/>
    <n v="80"/>
    <n v="300"/>
    <n v="80"/>
    <n v="0"/>
    <n v="0"/>
    <n v="2856600"/>
    <n v="761760"/>
    <n v="0"/>
    <n v="0"/>
    <n v="300"/>
    <n v="2856600"/>
    <n v="1764000"/>
    <n v="120"/>
    <n v="220"/>
    <n v="120"/>
    <n v="0"/>
    <n v="0"/>
    <n v="2094840"/>
    <n v="1142640"/>
    <n v="0"/>
    <n v="220"/>
    <n v="2094840"/>
    <n v="2318319.327731092"/>
    <n v="48"/>
    <n v="100"/>
    <n v="48"/>
    <n v="0"/>
    <m/>
    <n v="952200"/>
    <n v="503184"/>
    <n v="0"/>
    <n v="100"/>
    <n v="952200"/>
    <n v="927327.7310924371"/>
  </r>
  <r>
    <m/>
    <x v="4"/>
    <x v="18"/>
    <x v="18"/>
    <n v="1661873818029"/>
    <x v="248"/>
    <x v="236"/>
    <x v="0"/>
    <x v="1"/>
    <n v="1"/>
    <x v="143"/>
    <n v="127"/>
    <m/>
    <n v="0"/>
    <n v="9660"/>
    <n v="1226820"/>
    <n v="9.199999999999999"/>
    <n v="10051"/>
    <n v="19319.32773109244"/>
    <n v="21000"/>
    <s v="Shenzhen"/>
    <s v="30/70"/>
    <n v="30"/>
    <n v="250"/>
    <n v="61"/>
    <n v="0.530569282583523"/>
    <n v="23"/>
    <n v="0.6117241544240136"/>
    <n v="21"/>
    <n v="0.6281346711542939"/>
    <n v="4"/>
    <n v="0.6309654566313936"/>
    <n v="1"/>
    <n v="0.6309685739227046"/>
    <n v="7"/>
    <n v="0.5826809078183041"/>
    <n v="24"/>
    <n v="0.516743795422552"/>
    <n v="14"/>
    <n v="0.5848796724479748"/>
    <n v="18"/>
    <n v="0.5329033072749599"/>
    <n v="105"/>
    <n v="0.596700981600764"/>
    <n v="20"/>
    <n v="0.5853264316312363"/>
    <n v="33"/>
    <n v="0.5913386775912578"/>
    <n v="32"/>
    <n v="0.4242892503961953"/>
    <n v="44"/>
    <n v="0.2643392231711832"/>
    <n v="100"/>
    <n v="0.254106472997689"/>
    <n v="44"/>
    <n v="0.3649545759423428"/>
    <n v="1.76"/>
    <n v="42"/>
    <n v="0.4954035881001507"/>
    <n v="1.05"/>
    <n v="28"/>
    <n v="0.347674068897731"/>
    <n v="0.35"/>
    <n v="0"/>
    <s v=""/>
    <n v="0"/>
    <n v="0"/>
    <s v=""/>
    <n v="0"/>
    <m/>
    <m/>
    <m/>
    <m/>
    <m/>
    <m/>
    <m/>
    <m/>
    <m/>
    <m/>
    <m/>
    <m/>
    <n v="20"/>
    <n v="457"/>
    <n v="18"/>
    <n v="0"/>
    <n v="0"/>
    <n v="0"/>
    <n v="1777440"/>
    <n v="4351554"/>
    <n v="173880"/>
    <n v="0"/>
    <n v="127"/>
    <n v="1226820"/>
    <n v="292225.1253442554"/>
    <n v="20"/>
    <n v="403"/>
    <n v="66"/>
    <n v="0"/>
    <n v="0"/>
    <n v="0"/>
    <n v="2028600"/>
    <n v="3837366"/>
    <n v="637560"/>
    <n v="0"/>
    <n v="127"/>
    <n v="1226820"/>
    <n v="1071492.12626227"/>
    <n v="90"/>
    <n v="338"/>
    <n v="100"/>
    <n v="0"/>
    <n v="0"/>
    <n v="1771920"/>
    <n v="3265080"/>
    <n v="966000"/>
    <n v="0"/>
    <n v="127"/>
    <n v="1226820"/>
    <n v="1931932.773109244"/>
    <n v="25"/>
    <n v="253"/>
    <n v="44"/>
    <n v="0"/>
    <n v="0"/>
    <n v="2409066"/>
    <n v="425040"/>
    <n v="0"/>
    <n v="0"/>
    <n v="127"/>
    <n v="1226820"/>
    <n v="850050.4201680673"/>
    <n v="40"/>
    <n v="169"/>
    <n v="40"/>
    <m/>
    <n v="0"/>
    <n v="0"/>
    <n v="1632540"/>
    <n v="380880"/>
    <n v="0"/>
    <n v="0"/>
    <n v="127"/>
    <n v="1226820"/>
    <n v="772773.1092436975"/>
    <n v="80"/>
    <n v="155"/>
    <n v="28"/>
    <m/>
    <n v="0"/>
    <n v="0"/>
    <n v="1497300"/>
    <n v="266616"/>
    <n v="0"/>
    <n v="0"/>
    <n v="155"/>
    <n v="1226820"/>
    <n v="540941.1764705883"/>
    <n v="35"/>
    <n v="127"/>
    <n v="0"/>
    <n v="0"/>
    <n v="0"/>
    <n v="0"/>
    <n v="1226820"/>
    <n v="0"/>
    <n v="0"/>
    <n v="0"/>
    <n v="127"/>
    <n v="1226820"/>
    <n v="0"/>
    <n v="35"/>
    <n v="127"/>
    <n v="35"/>
    <n v="100"/>
    <n v="100"/>
    <n v="0"/>
    <n v="1226820"/>
    <n v="333270"/>
    <n v="952200"/>
    <n v="0"/>
    <n v="127"/>
    <n v="1226820"/>
    <n v="676176.4705882353"/>
    <n v="60"/>
    <n v="92"/>
    <n v="60"/>
    <n v="0"/>
    <n v="0"/>
    <n v="100"/>
    <n v="876024"/>
    <n v="571320"/>
    <n v="0"/>
    <n v="952200"/>
    <n v="192"/>
    <n v="1828224"/>
    <n v="1159159.663865546"/>
    <n v="80"/>
    <n v="132"/>
    <n v="80"/>
    <n v="0"/>
    <n v="0"/>
    <n v="0"/>
    <m/>
    <n v="1256904"/>
    <n v="761760"/>
    <n v="0"/>
    <n v="0"/>
    <n v="132"/>
    <n v="1256904"/>
    <n v="1680000"/>
    <n v="50"/>
    <n v="52"/>
    <n v="50"/>
    <n v="200"/>
    <n v="200"/>
    <n v="495144"/>
    <n v="476100"/>
    <n v="1904400"/>
    <n v="1904400"/>
    <n v="252"/>
    <n v="2399544"/>
    <n v="1102500"/>
    <n v="80"/>
    <n v="202"/>
    <n v="80"/>
    <n v="0"/>
    <n v="0"/>
    <n v="1923444"/>
    <n v="761760"/>
    <n v="0"/>
    <n v="202"/>
    <n v="1923444"/>
    <n v="1545546.218487395"/>
    <n v="30"/>
    <n v="122"/>
    <n v="30"/>
    <n v="0"/>
    <m/>
    <n v="1161684"/>
    <n v="289800"/>
    <n v="0"/>
    <n v="122"/>
    <n v="1161684"/>
    <n v="579579.8319327731"/>
  </r>
  <r>
    <m/>
    <x v="4"/>
    <x v="18"/>
    <x v="18"/>
    <s v="LHCOLTOT"/>
    <x v="249"/>
    <x v="237"/>
    <x v="0"/>
    <x v="4"/>
    <n v="1"/>
    <x v="50"/>
    <n v="0"/>
    <m/>
    <n v="0"/>
    <n v="25576"/>
    <n v="0"/>
    <n v="27.8"/>
    <n v="25576"/>
    <n v="64477.31092436975"/>
    <n v="54805.71428571428"/>
    <s v="Ningbo"/>
    <s v="30/70"/>
    <n v="30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30"/>
    <n v="100"/>
    <n v="100"/>
    <n v="0"/>
    <n v="863189.9999999999"/>
    <n v="2877300"/>
    <n v="100"/>
    <n v="2877300"/>
    <n v="1934319.327731092"/>
    <n v="0"/>
    <n v="70"/>
    <n v="0"/>
    <n v="0"/>
    <m/>
    <n v="2014110"/>
    <n v="0"/>
    <n v="0"/>
    <n v="70"/>
    <n v="2014110"/>
    <n v="0"/>
  </r>
  <r>
    <m/>
    <x v="4"/>
    <x v="18"/>
    <x v="18"/>
    <s v="LHMOBI001"/>
    <x v="250"/>
    <x v="238"/>
    <x v="0"/>
    <x v="0"/>
    <n v="1"/>
    <x v="144"/>
    <n v="4"/>
    <m/>
    <n v="0"/>
    <n v="9408"/>
    <n v="37632"/>
    <n v="8.949999999999999"/>
    <n v="9777.875"/>
    <n v="21000"/>
    <n v="21000"/>
    <s v="Shenzhen"/>
    <s v="30/70"/>
    <n v="30"/>
    <n v="300"/>
    <n v="49"/>
    <n v="0.5545684153252723"/>
    <n v="21"/>
    <n v="0.5623815459847284"/>
    <n v="14"/>
    <n v="0.5667490476190475"/>
    <n v="4"/>
    <n v="0.5667490476190477"/>
    <n v="10"/>
    <n v="0.5667490476190477"/>
    <n v="21"/>
    <n v="0.5580036600111107"/>
    <n v="27"/>
    <n v="0.4135862699468085"/>
    <n v="19"/>
    <n v="0.5322684786211466"/>
    <n v="26"/>
    <n v="0.5138334820727581"/>
    <n v="77"/>
    <n v="0.4803721088908997"/>
    <n v="68"/>
    <n v="0.5185797258063786"/>
    <n v="64"/>
    <n v="0.51642829025351"/>
    <n v="4"/>
    <n v="0.3682788917658403"/>
    <n v="2"/>
    <n v="0.3733709542410714"/>
    <n v="3"/>
    <n v="0.3516030428447421"/>
    <n v="2"/>
    <n v="0.2968003162202381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8"/>
    <n v="0"/>
    <n v="100"/>
    <n v="100"/>
    <n v="0"/>
    <n v="56448"/>
    <n v="74105.99999999999"/>
    <n v="0"/>
    <n v="0"/>
    <n v="4"/>
    <n v="37632"/>
    <n v="0"/>
    <n v="0"/>
    <n v="5"/>
    <n v="3"/>
    <n v="0"/>
    <n v="0"/>
    <n v="0"/>
    <n v="75264"/>
    <n v="46316.24999999999"/>
    <n v="28224"/>
    <n v="0"/>
    <n v="4"/>
    <n v="37632"/>
    <n v="52941.17647058824"/>
    <n v="0"/>
    <n v="3"/>
    <n v="3"/>
    <n v="0"/>
    <n v="0"/>
    <n v="130409.25"/>
    <n v="28224"/>
    <n v="28224"/>
    <n v="0"/>
    <n v="4"/>
    <n v="37632"/>
    <n v="63000"/>
    <n v="0"/>
    <n v="3"/>
    <n v="2"/>
    <n v="0"/>
    <n v="0"/>
    <n v="27789.74999999999"/>
    <n v="18816"/>
    <n v="0"/>
    <n v="0"/>
    <n v="4"/>
    <n v="37632"/>
    <n v="42000"/>
    <n v="9"/>
    <n v="4"/>
    <n v="9"/>
    <m/>
    <n v="0"/>
    <n v="0"/>
    <n v="37632"/>
    <n v="83369.24999999999"/>
    <n v="0"/>
    <n v="0"/>
    <n v="4"/>
    <n v="37632"/>
    <n v="189000"/>
    <n v="19"/>
    <n v="4"/>
    <n v="0"/>
    <m/>
    <n v="0"/>
    <n v="0"/>
    <n v="37632"/>
    <n v="0"/>
    <n v="0"/>
    <n v="0"/>
    <n v="4"/>
    <n v="37632"/>
    <n v="0"/>
    <n v="1"/>
    <n v="4"/>
    <n v="0"/>
    <n v="0"/>
    <n v="0"/>
    <n v="0"/>
    <n v="37632"/>
    <n v="0"/>
    <n v="0"/>
    <n v="0"/>
    <n v="4"/>
    <n v="37632"/>
    <n v="0"/>
    <n v="0"/>
    <n v="4"/>
    <n v="0"/>
    <n v="0"/>
    <n v="0"/>
    <n v="0"/>
    <n v="37632"/>
    <n v="0"/>
    <n v="0"/>
    <n v="0"/>
    <n v="4"/>
    <n v="37632"/>
    <n v="0"/>
    <n v="0"/>
    <n v="4"/>
    <n v="0"/>
    <n v="300"/>
    <n v="300"/>
    <n v="0"/>
    <n v="37052.99999999999"/>
    <n v="0"/>
    <n v="2778975"/>
    <n v="0"/>
    <n v="4"/>
    <n v="37052.99999999999"/>
    <n v="0"/>
    <n v="40"/>
    <n v="304"/>
    <n v="40"/>
    <n v="0"/>
    <n v="0"/>
    <n v="0"/>
    <n v="300"/>
    <n v="2816028"/>
    <n v="370529.9999999999"/>
    <n v="0"/>
    <n v="2778975"/>
    <n v="304"/>
    <n v="5595002.999999999"/>
    <n v="840000"/>
    <n v="68"/>
    <n v="264"/>
    <n v="68"/>
    <n v="0"/>
    <n v="0"/>
    <n v="2445498"/>
    <n v="629900.9999999999"/>
    <n v="0"/>
    <n v="0"/>
    <n v="264"/>
    <n v="2445498"/>
    <n v="1499400"/>
    <n v="120"/>
    <n v="196"/>
    <n v="120"/>
    <n v="0"/>
    <n v="0"/>
    <n v="1815597"/>
    <n v="1111590"/>
    <n v="0"/>
    <n v="196"/>
    <n v="1815597"/>
    <n v="2520000"/>
    <n v="40.8"/>
    <n v="76"/>
    <n v="40.8"/>
    <n v="0"/>
    <m/>
    <n v="704006.9999999999"/>
    <n v="383846.4"/>
    <n v="0"/>
    <n v="76"/>
    <n v="704006.9999999999"/>
    <n v="856799.9999999999"/>
  </r>
  <r>
    <m/>
    <x v="4"/>
    <x v="18"/>
    <x v="18"/>
    <s v="LHMOBROBK"/>
    <x v="251"/>
    <x v="239"/>
    <x v="0"/>
    <x v="1"/>
    <n v="1"/>
    <x v="145"/>
    <n v="9"/>
    <m/>
    <n v="0"/>
    <n v="18265"/>
    <n v="164385"/>
    <n v="20"/>
    <n v="21850"/>
    <n v="42008.40336134454"/>
    <n v="63016.80672268908"/>
    <s v="Shenzhen"/>
    <s v="30/70"/>
    <n v="45"/>
    <n v="300"/>
    <n v="0"/>
    <n v="0.4963034173361716"/>
    <n v="0"/>
    <s v=""/>
    <n v="0"/>
    <n v="0.6119966147118979"/>
    <n v="82"/>
    <n v="0.6377540678970018"/>
    <n v="16"/>
    <n v="0.619627199988806"/>
    <n v="152"/>
    <n v="0.6035531652562347"/>
    <n v="67"/>
    <n v="0.531051629880159"/>
    <n v="33"/>
    <n v="0.6047046707366662"/>
    <n v="22"/>
    <n v="0.6291460935542879"/>
    <n v="99"/>
    <n v="0.4860239560661628"/>
    <n v="11"/>
    <n v="0.6142769056416418"/>
    <n v="3"/>
    <n v="0.7426368910357471"/>
    <n v="92"/>
    <n v="0.3875017271299693"/>
    <n v="99"/>
    <n v="0.3585526614601167"/>
    <n v="174"/>
    <n v="0.3881481614353102"/>
    <n v="83"/>
    <n v="0.449909344339974"/>
    <n v="1.383333333333333"/>
    <n v="19"/>
    <n v="0.6649844390176622"/>
    <n v="0.1637931034482759"/>
    <n v="19"/>
    <n v="0.6255065190578202"/>
    <n v="0.1266666666666667"/>
    <n v="13"/>
    <n v="0.6719443299018591"/>
    <n v="0"/>
    <n v="2"/>
    <n v="0.7101597546339512"/>
    <n v="0.03333333333333333"/>
    <m/>
    <m/>
    <m/>
    <m/>
    <m/>
    <m/>
    <m/>
    <m/>
    <m/>
    <m/>
    <m/>
    <m/>
    <n v="50"/>
    <n v="301"/>
    <n v="30"/>
    <n v="0"/>
    <n v="200"/>
    <n v="0"/>
    <n v="6438412.5"/>
    <n v="6230700"/>
    <n v="547950"/>
    <n v="0"/>
    <n v="9"/>
    <n v="164385"/>
    <n v="1059035.378857425"/>
    <n v="45"/>
    <n v="415"/>
    <n v="148.5"/>
    <n v="0"/>
    <n v="0"/>
    <n v="0"/>
    <n v="7406457.5"/>
    <n v="8590500"/>
    <n v="2712352.5"/>
    <n v="0"/>
    <n v="9"/>
    <n v="164385"/>
    <n v="5242225.125344256"/>
    <n v="120"/>
    <n v="271"/>
    <n v="174"/>
    <n v="0"/>
    <n v="0"/>
    <n v="7095305"/>
    <n v="4949815"/>
    <n v="3178110"/>
    <n v="0"/>
    <n v="9"/>
    <n v="164385"/>
    <n v="7309462.184873951"/>
    <n v="60"/>
    <n v="121"/>
    <n v="83"/>
    <n v="0"/>
    <n v="0"/>
    <n v="2504700"/>
    <n v="1515995"/>
    <n v="0"/>
    <n v="0"/>
    <n v="9"/>
    <n v="164385"/>
    <n v="3486697.478991597"/>
    <n v="116"/>
    <n v="28"/>
    <n v="116"/>
    <m/>
    <n v="0"/>
    <n v="0"/>
    <n v="511420"/>
    <n v="2401200"/>
    <n v="0"/>
    <n v="0"/>
    <n v="9"/>
    <n v="164385"/>
    <n v="4872974.789915967"/>
    <n v="150"/>
    <n v="28"/>
    <n v="19"/>
    <m/>
    <n v="0"/>
    <n v="0"/>
    <n v="511420"/>
    <n v="393300"/>
    <n v="0"/>
    <n v="0"/>
    <n v="28"/>
    <n v="164385"/>
    <n v="798159.6638655463"/>
    <n v="0"/>
    <n v="22"/>
    <n v="13"/>
    <n v="300"/>
    <n v="300"/>
    <n v="0"/>
    <n v="401830"/>
    <n v="269100"/>
    <n v="6003000"/>
    <n v="0"/>
    <n v="22"/>
    <n v="164385"/>
    <n v="546109.243697479"/>
    <n v="60"/>
    <n v="9"/>
    <n v="60"/>
    <n v="0"/>
    <n v="300"/>
    <n v="0"/>
    <n v="164385"/>
    <n v="1242000"/>
    <n v="0"/>
    <n v="0"/>
    <n v="9"/>
    <n v="164385"/>
    <n v="2520504.201680672"/>
    <n v="60"/>
    <n v="0"/>
    <n v="60"/>
    <n v="300"/>
    <n v="0"/>
    <n v="303"/>
    <n v="0"/>
    <n v="1242000"/>
    <n v="6210000"/>
    <n v="6272100"/>
    <n v="303"/>
    <n v="6272100"/>
    <n v="2520504.201680672"/>
    <n v="150"/>
    <n v="243"/>
    <n v="150"/>
    <n v="0"/>
    <n v="300"/>
    <n v="300"/>
    <n v="0"/>
    <n v="5030100"/>
    <n v="3105000"/>
    <n v="0"/>
    <n v="6210000"/>
    <n v="543"/>
    <n v="11240100"/>
    <n v="9452521.008403361"/>
    <n v="80"/>
    <n v="393"/>
    <n v="80"/>
    <n v="0"/>
    <n v="0"/>
    <n v="8135100"/>
    <n v="1656000"/>
    <n v="0"/>
    <n v="0"/>
    <n v="393"/>
    <n v="8135100"/>
    <n v="5293411.764705883"/>
    <n v="150"/>
    <n v="313"/>
    <n v="150"/>
    <n v="0"/>
    <n v="0"/>
    <n v="6479100"/>
    <n v="3105000"/>
    <n v="0"/>
    <n v="313"/>
    <n v="6479100"/>
    <n v="6301260.504201681"/>
    <n v="48"/>
    <n v="163"/>
    <n v="48"/>
    <n v="0"/>
    <m/>
    <n v="3374100"/>
    <n v="876720"/>
    <n v="0"/>
    <n v="163"/>
    <n v="3374100"/>
    <n v="2016403.361344538"/>
  </r>
  <r>
    <m/>
    <x v="4"/>
    <x v="18"/>
    <x v="18"/>
    <s v="LHMOCCOL-BK"/>
    <x v="252"/>
    <x v="240"/>
    <x v="0"/>
    <x v="4"/>
    <n v="1"/>
    <x v="50"/>
    <n v="0"/>
    <m/>
    <n v="0"/>
    <n v="30176"/>
    <n v="0"/>
    <n v="32.8"/>
    <n v="30176"/>
    <n v="76073.94957983193"/>
    <n v="64662.85714285714"/>
    <s v="Ningbo"/>
    <s v="30/70"/>
    <n v="30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00"/>
    <n v="100"/>
    <n v="100"/>
    <n v="0"/>
    <n v="0"/>
    <n v="0"/>
    <n v="3394799.999999999"/>
    <n v="3394799.999999999"/>
    <n v="100"/>
    <n v="3394799.999999999"/>
    <n v="0"/>
    <n v="20"/>
    <n v="100"/>
    <n v="20"/>
    <n v="0"/>
    <n v="0"/>
    <n v="3394799.999999999"/>
    <n v="678959.9999999999"/>
    <n v="0"/>
    <n v="0"/>
    <n v="100"/>
    <n v="3394799.999999999"/>
    <n v="1357920"/>
    <n v="30"/>
    <n v="80"/>
    <n v="30"/>
    <n v="0"/>
    <n v="0"/>
    <n v="2715840"/>
    <n v="1018440"/>
    <n v="0"/>
    <n v="80"/>
    <n v="2715840"/>
    <n v="2282218.487394958"/>
    <n v="12"/>
    <n v="50"/>
    <n v="12"/>
    <n v="0"/>
    <m/>
    <n v="1697400"/>
    <n v="362111.9999999999"/>
    <n v="0"/>
    <n v="50"/>
    <n v="1697400"/>
    <n v="912887.3949579832"/>
  </r>
  <r>
    <m/>
    <x v="4"/>
    <x v="18"/>
    <x v="18"/>
    <s v="LHMOCLATK-BK"/>
    <x v="253"/>
    <x v="241"/>
    <x v="0"/>
    <x v="4"/>
    <n v="1"/>
    <x v="3"/>
    <n v="0"/>
    <m/>
    <n v="0"/>
    <n v="15513.5"/>
    <n v="0"/>
    <n v="14.2"/>
    <n v="15513.5"/>
    <n v="39109.66386554622"/>
    <n v="33243.21428571428"/>
    <s v="Shenzhen"/>
    <s v="30/70"/>
    <n v="30"/>
    <n v="300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250"/>
    <n v="250"/>
    <n v="0"/>
    <n v="0"/>
    <n v="0"/>
    <n v="367425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0"/>
    <n v="0"/>
    <n v="0"/>
    <n v="0"/>
    <n v="0"/>
    <m/>
    <n v="0"/>
    <n v="0"/>
    <n v="0"/>
    <n v="0"/>
    <n v="0"/>
    <n v="0"/>
    <n v="0"/>
    <n v="40"/>
    <n v="0"/>
    <n v="40"/>
    <n v="0"/>
    <n v="0"/>
    <n v="0"/>
    <n v="587879.9999999999"/>
    <n v="0"/>
    <n v="0"/>
    <n v="0"/>
    <n v="0"/>
    <n v="1396215"/>
    <n v="60"/>
    <n v="0"/>
    <n v="60"/>
    <n v="0"/>
    <n v="0"/>
    <n v="0"/>
    <n v="881819.9999999999"/>
    <n v="0"/>
    <n v="0"/>
    <n v="0"/>
    <n v="2346579.831932773"/>
    <n v="24"/>
    <n v="0"/>
    <n v="24"/>
    <n v="0"/>
    <m/>
    <n v="0"/>
    <n v="372323.9999999999"/>
    <n v="0"/>
    <n v="0"/>
    <n v="0"/>
    <n v="938631.9327731092"/>
  </r>
  <r>
    <m/>
    <x v="4"/>
    <x v="18"/>
    <x v="18"/>
    <s v="LHMOCLATK-BU"/>
    <x v="254"/>
    <x v="242"/>
    <x v="0"/>
    <x v="4"/>
    <n v="1"/>
    <x v="3"/>
    <n v="0"/>
    <m/>
    <n v="0"/>
    <n v="15513.5"/>
    <n v="0"/>
    <n v="14.2"/>
    <n v="15513.5"/>
    <n v="39109.66386554622"/>
    <n v="33243.21428571428"/>
    <s v="Shenzhen"/>
    <s v="30/70"/>
    <n v="30"/>
    <n v="300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250"/>
    <n v="250"/>
    <n v="0"/>
    <n v="0"/>
    <n v="0"/>
    <n v="367425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0"/>
    <n v="0"/>
    <n v="0"/>
    <n v="0"/>
    <n v="0"/>
    <m/>
    <n v="0"/>
    <n v="0"/>
    <n v="0"/>
    <n v="0"/>
    <n v="0"/>
    <n v="0"/>
    <n v="0"/>
    <n v="40"/>
    <n v="0"/>
    <n v="40"/>
    <n v="0"/>
    <n v="0"/>
    <n v="0"/>
    <n v="587879.9999999999"/>
    <n v="0"/>
    <n v="0"/>
    <n v="0"/>
    <n v="0"/>
    <n v="1396215"/>
    <n v="60"/>
    <n v="0"/>
    <n v="60"/>
    <n v="0"/>
    <n v="0"/>
    <n v="0"/>
    <n v="881819.9999999999"/>
    <n v="0"/>
    <n v="0"/>
    <n v="0"/>
    <n v="2346579.831932773"/>
    <n v="24"/>
    <n v="0"/>
    <n v="24"/>
    <n v="0"/>
    <m/>
    <n v="0"/>
    <n v="372323.9999999999"/>
    <n v="0"/>
    <n v="0"/>
    <n v="0"/>
    <n v="938631.9327731092"/>
  </r>
  <r>
    <m/>
    <x v="4"/>
    <x v="18"/>
    <x v="18"/>
    <s v="LHMOMAK"/>
    <x v="255"/>
    <x v="243"/>
    <x v="0"/>
    <x v="1"/>
    <n v="1"/>
    <x v="146"/>
    <n v="8"/>
    <m/>
    <n v="0"/>
    <n v="11221"/>
    <n v="89768"/>
    <n v="12"/>
    <n v="13110"/>
    <n v="27722.68907563025"/>
    <n v="23521.00840336135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12"/>
    <n v="0.5854613397064385"/>
    <n v="14"/>
    <n v="0.5432989546829903"/>
    <n v="13"/>
    <n v="0.5027373916013651"/>
    <n v="53"/>
    <n v="0.5116797301187758"/>
    <n v="56"/>
    <n v="0.516089977545712"/>
    <n v="39"/>
    <n v="0.4221929268976438"/>
    <n v="13"/>
    <n v="0.3648610666573227"/>
    <n v="27"/>
    <n v="0.3711865133697607"/>
    <n v="0.675"/>
    <n v="39"/>
    <n v="0.5871970846890692"/>
    <n v="1.3"/>
    <n v="93"/>
    <n v="0.330965841020841"/>
    <n v="1.55"/>
    <n v="91"/>
    <n v="0.5705949920035878"/>
    <n v="2.275"/>
    <n v="38"/>
    <n v="0.5472105317489729"/>
    <n v="1.085714285714286"/>
    <m/>
    <m/>
    <m/>
    <m/>
    <m/>
    <m/>
    <m/>
    <m/>
    <m/>
    <m/>
    <m/>
    <m/>
    <n v="25"/>
    <n v="11"/>
    <n v="20"/>
    <n v="0"/>
    <n v="50"/>
    <n v="0"/>
    <n v="1026721.5"/>
    <n v="136620"/>
    <n v="224420"/>
    <n v="0"/>
    <n v="8"/>
    <n v="89768"/>
    <n v="465927.5474895841"/>
    <n v="30"/>
    <n v="50"/>
    <n v="58.5"/>
    <n v="100"/>
    <n v="100"/>
    <n v="0"/>
    <n v="1105268.5"/>
    <n v="620999.9999999999"/>
    <n v="656428.5"/>
    <n v="0"/>
    <n v="8"/>
    <n v="89768"/>
    <n v="1362838.076407033"/>
    <n v="50"/>
    <n v="10"/>
    <n v="13"/>
    <n v="0"/>
    <n v="0"/>
    <n v="821440"/>
    <n v="112210"/>
    <n v="145873"/>
    <n v="0"/>
    <n v="8"/>
    <n v="89768"/>
    <n v="360394.9579831933"/>
    <n v="40"/>
    <n v="295"/>
    <n v="27"/>
    <n v="0"/>
    <n v="0"/>
    <n v="3663900"/>
    <n v="302967"/>
    <n v="0"/>
    <n v="0"/>
    <n v="8"/>
    <n v="89768"/>
    <n v="748512.6050420168"/>
    <n v="30"/>
    <n v="47"/>
    <n v="30"/>
    <m/>
    <n v="0"/>
    <n v="0"/>
    <n v="527387"/>
    <n v="372599.9999999999"/>
    <n v="0"/>
    <n v="0"/>
    <n v="8"/>
    <n v="89768"/>
    <n v="831680.6722689075"/>
    <n v="60"/>
    <n v="101"/>
    <n v="93"/>
    <m/>
    <n v="0"/>
    <n v="0"/>
    <n v="1133321"/>
    <n v="1155060"/>
    <n v="0"/>
    <n v="0"/>
    <n v="101"/>
    <n v="89768"/>
    <n v="2578210.084033614"/>
    <n v="40"/>
    <n v="99"/>
    <n v="91"/>
    <n v="0"/>
    <n v="0"/>
    <n v="0"/>
    <n v="1110879"/>
    <n v="1130220"/>
    <n v="0"/>
    <n v="0"/>
    <n v="99"/>
    <n v="89768"/>
    <n v="2522764.705882353"/>
    <n v="35"/>
    <n v="8"/>
    <n v="35"/>
    <n v="0"/>
    <n v="0"/>
    <n v="0"/>
    <n v="89768"/>
    <n v="434699.9999999999"/>
    <n v="0"/>
    <n v="0"/>
    <n v="8"/>
    <n v="89768"/>
    <n v="970294.1176470588"/>
    <n v="30"/>
    <n v="0"/>
    <n v="30"/>
    <n v="0"/>
    <n v="0"/>
    <n v="0"/>
    <n v="0"/>
    <n v="372599.9999999999"/>
    <n v="0"/>
    <n v="0"/>
    <n v="0"/>
    <n v="0"/>
    <n v="831680.6722689075"/>
    <n v="60"/>
    <n v="300"/>
    <n v="60"/>
    <n v="0"/>
    <n v="0"/>
    <n v="0"/>
    <n v="300"/>
    <n v="3726000"/>
    <n v="745199.9999999999"/>
    <n v="0"/>
    <n v="3726000"/>
    <n v="300"/>
    <n v="7451999.999999999"/>
    <n v="1411260.504201681"/>
    <n v="55"/>
    <n v="240"/>
    <n v="55"/>
    <n v="0"/>
    <n v="0"/>
    <n v="2980800"/>
    <n v="683099.9999999999"/>
    <n v="0"/>
    <n v="0"/>
    <n v="240"/>
    <n v="2980800"/>
    <n v="1358338.235294118"/>
    <n v="100"/>
    <n v="185"/>
    <n v="100"/>
    <n v="0"/>
    <n v="0"/>
    <n v="2297700"/>
    <n v="1242000"/>
    <n v="0"/>
    <n v="185"/>
    <n v="2297700"/>
    <n v="2772268.907563025"/>
    <n v="33"/>
    <n v="85"/>
    <n v="33"/>
    <n v="0"/>
    <m/>
    <n v="1055700"/>
    <n v="370293"/>
    <n v="0"/>
    <n v="85"/>
    <n v="1055700"/>
    <n v="914848.7394957984"/>
  </r>
  <r>
    <m/>
    <x v="4"/>
    <x v="18"/>
    <x v="18"/>
    <s v="LHMOMAK"/>
    <x v="256"/>
    <x v="244"/>
    <x v="0"/>
    <x v="1"/>
    <n v="1"/>
    <x v="147"/>
    <n v="2"/>
    <m/>
    <n v="0"/>
    <n v="12625"/>
    <n v="25250"/>
    <n v="12"/>
    <n v="13110"/>
    <n v="27722.68907563025"/>
    <n v="23521.00840336135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6"/>
    <n v="0.5787987670387724"/>
    <n v="12"/>
    <n v="0.5516807199291035"/>
    <n v="11"/>
    <n v="0.4925403078096846"/>
    <n v="31"/>
    <n v="0.5555385935105075"/>
    <n v="49"/>
    <n v="0.3030227829067154"/>
    <n v="63"/>
    <n v="0.3355892519254184"/>
    <n v="18"/>
    <n v="0.3252277005166872"/>
    <n v="3"/>
    <n v="0.3545300445555807"/>
    <n v="0.1"/>
    <n v="2"/>
    <n v="0.5446080630494089"/>
    <n v="0.05714285714285714"/>
    <n v="0"/>
    <s v=""/>
    <n v="0"/>
    <n v="0"/>
    <s v=""/>
    <n v="0"/>
    <n v="1"/>
    <n v="0.349430130342528"/>
    <n v="0.03333333333333333"/>
    <m/>
    <m/>
    <m/>
    <m/>
    <m/>
    <m/>
    <m/>
    <m/>
    <m/>
    <m/>
    <m/>
    <m/>
    <n v="20"/>
    <n v="85"/>
    <n v="40"/>
    <n v="0"/>
    <n v="50"/>
    <n v="0"/>
    <n v="1925312.5"/>
    <n v="1055700"/>
    <n v="505000"/>
    <n v="0"/>
    <n v="2"/>
    <n v="25250"/>
    <n v="931855.0949791681"/>
    <n v="30"/>
    <n v="86"/>
    <n v="94.5"/>
    <n v="0"/>
    <n v="0"/>
    <n v="0"/>
    <n v="1458187.5"/>
    <n v="1068120"/>
    <n v="1193062.5"/>
    <n v="0"/>
    <n v="2"/>
    <n v="25250"/>
    <n v="2201507.661888285"/>
    <n v="75"/>
    <n v="18"/>
    <n v="18"/>
    <n v="0"/>
    <n v="0"/>
    <n v="699825"/>
    <n v="227250"/>
    <n v="227250"/>
    <n v="0"/>
    <n v="2"/>
    <n v="25250"/>
    <n v="499008.4033613445"/>
    <n v="30"/>
    <n v="3"/>
    <n v="3"/>
    <n v="100"/>
    <n v="0"/>
    <n v="37259.99999999999"/>
    <n v="37875"/>
    <n v="1242000"/>
    <n v="0"/>
    <n v="2"/>
    <n v="25250"/>
    <n v="83168.06722689077"/>
    <n v="35"/>
    <n v="4"/>
    <n v="35"/>
    <m/>
    <n v="0"/>
    <n v="0"/>
    <n v="50500"/>
    <n v="434699.9999999999"/>
    <n v="0"/>
    <n v="0"/>
    <n v="2"/>
    <n v="25250"/>
    <n v="970294.1176470588"/>
    <n v="60"/>
    <n v="2"/>
    <n v="0"/>
    <m/>
    <n v="0"/>
    <n v="0"/>
    <n v="25250"/>
    <n v="0"/>
    <n v="0"/>
    <n v="0"/>
    <n v="2"/>
    <n v="25250"/>
    <n v="0"/>
    <n v="35"/>
    <n v="2"/>
    <n v="0"/>
    <n v="300"/>
    <n v="300"/>
    <n v="0"/>
    <n v="25250"/>
    <n v="0"/>
    <n v="3601800"/>
    <n v="0"/>
    <n v="2"/>
    <n v="25250"/>
    <n v="0"/>
    <n v="30"/>
    <n v="2"/>
    <n v="30"/>
    <n v="0"/>
    <n v="0"/>
    <n v="0"/>
    <n v="25250"/>
    <n v="372599.9999999999"/>
    <n v="0"/>
    <n v="0"/>
    <n v="2"/>
    <n v="25250"/>
    <n v="831680.6722689075"/>
    <n v="35"/>
    <n v="0"/>
    <n v="35"/>
    <n v="0"/>
    <n v="0"/>
    <n v="303"/>
    <n v="0"/>
    <n v="434699.9999999999"/>
    <n v="0"/>
    <n v="3763260"/>
    <n v="303"/>
    <n v="3763260"/>
    <n v="970294.1176470588"/>
    <n v="60"/>
    <n v="268"/>
    <n v="60"/>
    <n v="0"/>
    <n v="0"/>
    <n v="0"/>
    <n v="0"/>
    <n v="3328560"/>
    <n v="745199.9999999999"/>
    <n v="0"/>
    <n v="0"/>
    <n v="268"/>
    <n v="3328560"/>
    <n v="1411260.504201681"/>
    <n v="50"/>
    <n v="208"/>
    <n v="50"/>
    <n v="0"/>
    <n v="0"/>
    <n v="2583360"/>
    <n v="620999.9999999999"/>
    <n v="0"/>
    <n v="0"/>
    <n v="208"/>
    <n v="2583360"/>
    <n v="1234852.941176471"/>
    <n v="60"/>
    <n v="158"/>
    <n v="60"/>
    <n v="300"/>
    <n v="300"/>
    <n v="1962360"/>
    <n v="745199.9999999999"/>
    <n v="3726000"/>
    <n v="458"/>
    <n v="5688359.999999999"/>
    <n v="1663361.344537815"/>
    <n v="30"/>
    <n v="398"/>
    <n v="30"/>
    <n v="0"/>
    <m/>
    <n v="4943159.999999999"/>
    <n v="378750"/>
    <n v="0"/>
    <n v="398"/>
    <n v="4943159.999999999"/>
    <n v="831680.6722689075"/>
  </r>
  <r>
    <m/>
    <x v="4"/>
    <x v="18"/>
    <x v="18"/>
    <s v="LHMOPUM"/>
    <x v="257"/>
    <x v="245"/>
    <x v="0"/>
    <x v="1"/>
    <n v="1.2"/>
    <x v="148"/>
    <n v="14"/>
    <m/>
    <n v="0"/>
    <n v="11589"/>
    <n v="162246"/>
    <n v="12.5"/>
    <n v="13656.25"/>
    <n v="29403.36134453782"/>
    <n v="23521.00840336135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1"/>
    <n v="0.6608814987621405"/>
    <n v="3"/>
    <n v="0.6024875138864253"/>
    <n v="16"/>
    <n v="0.4665797852490512"/>
    <n v="11"/>
    <n v="0.5263453528065302"/>
    <n v="14"/>
    <n v="0.4666624012360054"/>
    <n v="29"/>
    <n v="0.4940594398389739"/>
    <n v="26"/>
    <n v="0.4294176060898257"/>
    <n v="90"/>
    <n v="0.3989778107955715"/>
    <n v="58"/>
    <n v="0.3859747173944847"/>
    <n v="1.45"/>
    <n v="59"/>
    <n v="0.5578206570911625"/>
    <n v="1.475"/>
    <n v="100"/>
    <n v="0.3116157351766741"/>
    <n v="1.666666666666667"/>
    <n v="42"/>
    <n v="0.551765596076508"/>
    <n v="1.2"/>
    <n v="18"/>
    <n v="0.5375950954557112"/>
    <n v="0.5142857142857142"/>
    <m/>
    <m/>
    <m/>
    <m/>
    <m/>
    <m/>
    <m/>
    <m/>
    <m/>
    <m/>
    <m/>
    <m/>
    <n v="20"/>
    <n v="61"/>
    <n v="40"/>
    <n v="0"/>
    <n v="100"/>
    <n v="0"/>
    <n v="1958541"/>
    <n v="789187.4999999999"/>
    <n v="463560"/>
    <n v="0"/>
    <n v="14"/>
    <n v="162246"/>
    <n v="988348.2804886661"/>
    <n v="35"/>
    <n v="120"/>
    <n v="39"/>
    <n v="120"/>
    <n v="120"/>
    <n v="0"/>
    <n v="2167143"/>
    <n v="1552500"/>
    <n v="451971"/>
    <n v="0"/>
    <n v="14"/>
    <n v="162246"/>
    <n v="963639.5734764496"/>
    <n v="50"/>
    <n v="85"/>
    <n v="90"/>
    <n v="0"/>
    <n v="0"/>
    <n v="2336172"/>
    <n v="985065"/>
    <n v="1043010"/>
    <n v="0"/>
    <n v="14"/>
    <n v="162246"/>
    <n v="2646302.521008404"/>
    <n v="40"/>
    <n v="309"/>
    <n v="58"/>
    <n v="0"/>
    <n v="0"/>
    <n v="3997687.5"/>
    <n v="672162"/>
    <n v="0"/>
    <n v="0"/>
    <n v="14"/>
    <n v="162246"/>
    <n v="1705394.957983193"/>
    <n v="40"/>
    <n v="73"/>
    <n v="48"/>
    <m/>
    <n v="0"/>
    <n v="0"/>
    <n v="845997"/>
    <n v="620999.9999999999"/>
    <n v="0"/>
    <n v="0"/>
    <n v="14"/>
    <n v="162246"/>
    <n v="1411361.344537815"/>
    <n v="60"/>
    <n v="114"/>
    <n v="100"/>
    <m/>
    <n v="0"/>
    <n v="0"/>
    <n v="1321146"/>
    <n v="1293750"/>
    <n v="0"/>
    <n v="0"/>
    <n v="114"/>
    <n v="162246"/>
    <n v="2940336.134453782"/>
    <n v="35"/>
    <n v="56"/>
    <n v="42"/>
    <n v="0"/>
    <n v="0"/>
    <n v="0"/>
    <n v="648984"/>
    <n v="543374.9999999999"/>
    <n v="0"/>
    <n v="0"/>
    <n v="56"/>
    <n v="162246"/>
    <n v="1234941.176470588"/>
    <n v="35"/>
    <n v="14"/>
    <n v="42"/>
    <n v="0"/>
    <n v="0"/>
    <n v="0"/>
    <n v="162246"/>
    <n v="543374.9999999999"/>
    <n v="0"/>
    <n v="0"/>
    <n v="14"/>
    <n v="162246"/>
    <n v="1234941.176470588"/>
    <n v="35"/>
    <n v="0"/>
    <n v="42"/>
    <n v="0"/>
    <n v="0"/>
    <n v="0"/>
    <n v="0"/>
    <n v="543374.9999999999"/>
    <n v="0"/>
    <n v="0"/>
    <n v="0"/>
    <n v="0"/>
    <n v="1234941.176470588"/>
    <n v="80"/>
    <n v="300"/>
    <n v="96"/>
    <n v="0"/>
    <n v="0"/>
    <n v="0"/>
    <n v="300"/>
    <n v="3881250"/>
    <n v="1242000"/>
    <n v="0"/>
    <n v="3881250"/>
    <n v="300"/>
    <n v="7762499.999999999"/>
    <n v="2258016.806722689"/>
    <n v="60"/>
    <n v="204"/>
    <n v="72"/>
    <n v="0"/>
    <n v="0"/>
    <n v="2639250"/>
    <n v="931499.9999999999"/>
    <n v="0"/>
    <n v="0"/>
    <n v="204"/>
    <n v="2639250"/>
    <n v="1778188.235294118"/>
    <n v="120"/>
    <n v="132"/>
    <n v="144"/>
    <n v="300"/>
    <n v="300"/>
    <n v="1707750"/>
    <n v="1863000"/>
    <n v="3881250"/>
    <n v="432"/>
    <n v="5588999.999999999"/>
    <n v="4234084.033613446"/>
    <n v="36"/>
    <n v="288"/>
    <n v="43.2"/>
    <n v="0"/>
    <m/>
    <n v="3726000"/>
    <n v="500644.7999999999"/>
    <n v="0"/>
    <n v="288"/>
    <n v="3726000"/>
    <n v="1270225.210084034"/>
  </r>
  <r>
    <s v="Lhotse-Equipamiento"/>
    <x v="4"/>
    <x v="18"/>
    <x v="18"/>
    <s v="LHMOPUM"/>
    <x v="258"/>
    <x v="246"/>
    <x v="0"/>
    <x v="1"/>
    <n v="1.2"/>
    <x v="149"/>
    <n v="14"/>
    <m/>
    <n v="0"/>
    <n v="12843"/>
    <n v="179802"/>
    <n v="12.5"/>
    <n v="13656.25"/>
    <n v="29403.36134453782"/>
    <n v="23521.00840336135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n v="2.176049417376742e-05"/>
    <n v="4"/>
    <n v="0.5247859107866726"/>
    <n v="13"/>
    <n v="0.5215312551307435"/>
    <n v="8"/>
    <n v="0.4883307237418365"/>
    <n v="26"/>
    <n v="0.5497826070077045"/>
    <n v="13"/>
    <n v="0.2961224659348408"/>
    <n v="22"/>
    <n v="0.3295361897305618"/>
    <n v="33"/>
    <n v="0.3266246344681463"/>
    <n v="30"/>
    <n v="0.3230418817823566"/>
    <n v="1.2"/>
    <n v="24"/>
    <n v="0.5027733908476814"/>
    <n v="0.96"/>
    <n v="14"/>
    <n v="0.3148941696725255"/>
    <n v="0.28"/>
    <n v="7"/>
    <n v="0.5113394631185167"/>
    <n v="0.2"/>
    <n v="0"/>
    <s v=""/>
    <n v="0"/>
    <m/>
    <m/>
    <m/>
    <m/>
    <m/>
    <m/>
    <m/>
    <m/>
    <m/>
    <m/>
    <m/>
    <m/>
    <n v="20"/>
    <n v="56"/>
    <n v="15"/>
    <n v="0"/>
    <n v="100"/>
    <n v="0"/>
    <n v="1040283"/>
    <n v="724499.9999999999"/>
    <n v="192645"/>
    <n v="0"/>
    <n v="14"/>
    <n v="179802"/>
    <n v="370630.6051832498"/>
    <n v="25"/>
    <n v="137"/>
    <n v="33"/>
    <n v="0"/>
    <n v="0"/>
    <n v="0"/>
    <n v="1232928"/>
    <n v="1772437.5"/>
    <n v="423819"/>
    <n v="0"/>
    <n v="14"/>
    <n v="179802"/>
    <n v="815387.3314031496"/>
    <n v="40"/>
    <n v="109"/>
    <n v="33"/>
    <n v="0"/>
    <n v="0"/>
    <n v="1197234"/>
    <n v="1399887"/>
    <n v="423819"/>
    <n v="0"/>
    <n v="14"/>
    <n v="179802"/>
    <n v="970310.924369748"/>
    <n v="25"/>
    <n v="83"/>
    <n v="30"/>
    <n v="0"/>
    <n v="0"/>
    <n v="1073812.5"/>
    <n v="385290"/>
    <n v="0"/>
    <n v="0"/>
    <n v="14"/>
    <n v="179802"/>
    <n v="882100.8403361345"/>
    <n v="25"/>
    <n v="38"/>
    <n v="30"/>
    <m/>
    <n v="0"/>
    <n v="0"/>
    <n v="488034"/>
    <n v="388124.9999999999"/>
    <n v="0"/>
    <n v="0"/>
    <n v="14"/>
    <n v="179802"/>
    <n v="882100.8403361345"/>
    <n v="50"/>
    <n v="28"/>
    <n v="14"/>
    <m/>
    <n v="0"/>
    <n v="0"/>
    <n v="359604"/>
    <n v="181125"/>
    <n v="0"/>
    <n v="0"/>
    <n v="28"/>
    <n v="179802"/>
    <n v="411647.0588235295"/>
    <n v="35"/>
    <n v="21"/>
    <n v="7"/>
    <n v="300"/>
    <n v="300"/>
    <n v="0"/>
    <n v="269703"/>
    <n v="90562.49999999999"/>
    <n v="3751875"/>
    <n v="0"/>
    <n v="21"/>
    <n v="179802"/>
    <n v="205823.5294117647"/>
    <n v="25"/>
    <n v="14"/>
    <n v="30"/>
    <n v="0"/>
    <n v="0"/>
    <n v="0"/>
    <n v="179802"/>
    <n v="388124.9999999999"/>
    <n v="0"/>
    <n v="0"/>
    <n v="14"/>
    <n v="179802"/>
    <n v="882100.8403361345"/>
    <n v="20"/>
    <n v="0"/>
    <n v="24"/>
    <n v="0"/>
    <n v="0"/>
    <n v="303"/>
    <n v="0"/>
    <n v="310499.9999999999"/>
    <n v="0"/>
    <n v="3920062.5"/>
    <n v="303"/>
    <n v="3920062.5"/>
    <n v="705680.6722689077"/>
    <n v="50"/>
    <n v="279"/>
    <n v="60"/>
    <n v="0"/>
    <n v="0"/>
    <n v="0"/>
    <n v="0"/>
    <n v="3609562.5"/>
    <n v="776249.9999999999"/>
    <n v="0"/>
    <n v="0"/>
    <n v="279"/>
    <n v="3609562.5"/>
    <n v="1411260.504201681"/>
    <n v="40"/>
    <n v="219"/>
    <n v="48"/>
    <n v="0"/>
    <n v="0"/>
    <n v="2833312.5"/>
    <n v="620999.9999999999"/>
    <n v="0"/>
    <n v="0"/>
    <n v="219"/>
    <n v="2833312.5"/>
    <n v="1185458.823529412"/>
    <n v="50"/>
    <n v="171"/>
    <n v="60"/>
    <n v="0"/>
    <n v="0"/>
    <n v="2212312.5"/>
    <n v="776249.9999999999"/>
    <n v="0"/>
    <n v="171"/>
    <n v="2212312.5"/>
    <n v="1764201.680672269"/>
    <n v="24"/>
    <n v="111"/>
    <n v="28.8"/>
    <n v="0"/>
    <m/>
    <n v="1436062.5"/>
    <n v="369878.4"/>
    <n v="0"/>
    <n v="111"/>
    <n v="1436062.5"/>
    <n v="846816.8067226891"/>
  </r>
  <r>
    <m/>
    <x v="4"/>
    <x v="18"/>
    <x v="18"/>
    <s v="LHMOVINOM"/>
    <x v="259"/>
    <x v="247"/>
    <x v="0"/>
    <x v="3"/>
    <n v="1"/>
    <x v="150"/>
    <n v="111"/>
    <m/>
    <n v="0"/>
    <n v="20412"/>
    <n v="2265732"/>
    <n v="22"/>
    <n v="24035"/>
    <n v="54613.44537815126"/>
    <n v="40327.73109243697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3"/>
    <n v="0.5327604557660272"/>
    <n v="69"/>
    <n v="0.4205588478268666"/>
    <n v="35"/>
    <n v="0.4904319262415017"/>
    <n v="14"/>
    <n v="0.4329839222662862"/>
    <n v="7"/>
    <n v="0.3718027746903514"/>
    <n v="11"/>
    <n v="0.4259309515885306"/>
    <n v="30"/>
    <n v="0.3703542644780232"/>
    <n v="27"/>
    <n v="0.3611819419900511"/>
    <n v="0.7714285714285715"/>
    <n v="37"/>
    <n v="0.5052568311605954"/>
    <n v="1.48"/>
    <n v="159"/>
    <n v="0.3539786916095502"/>
    <n v="3.18"/>
    <n v="37"/>
    <n v="0.5111339824105171"/>
    <n v="0.8222222222222222"/>
    <n v="15"/>
    <n v="0.496136675636059"/>
    <n v="0.6"/>
    <m/>
    <m/>
    <m/>
    <m/>
    <m/>
    <m/>
    <m/>
    <m/>
    <m/>
    <m/>
    <m/>
    <m/>
    <n v="15"/>
    <n v="16"/>
    <n v="10"/>
    <n v="0"/>
    <n v="100"/>
    <n v="0"/>
    <n v="1153278"/>
    <n v="364320"/>
    <n v="204120"/>
    <n v="0"/>
    <n v="111"/>
    <n v="2265732"/>
    <n v="458936.5157827837"/>
    <n v="30"/>
    <n v="367"/>
    <n v="16.5"/>
    <n v="0"/>
    <n v="0"/>
    <n v="0"/>
    <n v="1500282"/>
    <n v="8356590"/>
    <n v="336798"/>
    <n v="0"/>
    <n v="111"/>
    <n v="2265732"/>
    <n v="757245.2510415931"/>
    <n v="40"/>
    <n v="350"/>
    <n v="30"/>
    <n v="0"/>
    <n v="0"/>
    <n v="1732734"/>
    <n v="7144200"/>
    <n v="612360"/>
    <n v="0"/>
    <n v="111"/>
    <n v="2265732"/>
    <n v="1638403.361344538"/>
    <n v="35"/>
    <n v="325"/>
    <n v="27"/>
    <m/>
    <n v="0"/>
    <n v="7400250"/>
    <n v="551124"/>
    <n v="0"/>
    <n v="0"/>
    <n v="111"/>
    <n v="2265732"/>
    <n v="1474563.025210084"/>
    <n v="25"/>
    <n v="148"/>
    <n v="25"/>
    <m/>
    <n v="0"/>
    <n v="0"/>
    <n v="3020976"/>
    <n v="569250"/>
    <n v="0"/>
    <n v="0"/>
    <n v="111"/>
    <n v="2265732"/>
    <n v="1365336.134453782"/>
    <n v="50"/>
    <n v="270"/>
    <n v="159"/>
    <m/>
    <n v="0"/>
    <n v="0"/>
    <n v="5511240"/>
    <n v="3620430"/>
    <n v="0"/>
    <n v="0"/>
    <n v="270"/>
    <n v="2265732"/>
    <n v="8683537.81512605"/>
    <n v="45"/>
    <n v="148"/>
    <n v="37"/>
    <n v="0"/>
    <n v="0"/>
    <n v="0"/>
    <n v="3020976"/>
    <n v="842490"/>
    <n v="0"/>
    <n v="0"/>
    <n v="148"/>
    <n v="2265732"/>
    <n v="2020697.478991597"/>
    <n v="25"/>
    <n v="111"/>
    <n v="25"/>
    <n v="0"/>
    <n v="0"/>
    <n v="0"/>
    <n v="2265732"/>
    <n v="569250"/>
    <n v="0"/>
    <n v="0"/>
    <n v="111"/>
    <n v="2265732"/>
    <n v="1365336.134453782"/>
    <n v="20"/>
    <n v="86"/>
    <n v="20"/>
    <n v="0"/>
    <n v="0"/>
    <n v="0"/>
    <n v="1958220"/>
    <n v="455400"/>
    <n v="0"/>
    <n v="0"/>
    <n v="86"/>
    <n v="1958220"/>
    <n v="1092268.907563025"/>
    <n v="50"/>
    <n v="66"/>
    <n v="50"/>
    <n v="0"/>
    <n v="0"/>
    <n v="0"/>
    <m/>
    <n v="1502820"/>
    <n v="1138500"/>
    <n v="0"/>
    <n v="0"/>
    <n v="66"/>
    <n v="1502820"/>
    <n v="2016386.554621849"/>
    <n v="29"/>
    <n v="16"/>
    <n v="29"/>
    <n v="0"/>
    <n v="0"/>
    <n v="364320"/>
    <n v="660330"/>
    <n v="0"/>
    <n v="0"/>
    <n v="16"/>
    <n v="364320"/>
    <n v="1227979.411764706"/>
    <n v="80"/>
    <n v="0"/>
    <n v="80"/>
    <n v="300"/>
    <n v="300"/>
    <n v="0"/>
    <n v="1821600"/>
    <n v="6831000"/>
    <n v="300"/>
    <n v="6831000"/>
    <n v="4369075.630252101"/>
    <n v="17.4"/>
    <n v="220"/>
    <n v="17.4"/>
    <n v="0"/>
    <m/>
    <n v="5009400"/>
    <n v="355168.8"/>
    <n v="0"/>
    <n v="220"/>
    <n v="5009400"/>
    <n v="950273.9495798319"/>
  </r>
  <r>
    <m/>
    <x v="4"/>
    <x v="18"/>
    <x v="43"/>
    <s v="LHNECKHUM"/>
    <x v="260"/>
    <x v="248"/>
    <x v="0"/>
    <x v="3"/>
    <n v="0.9"/>
    <x v="151"/>
    <n v="217"/>
    <m/>
    <n v="0"/>
    <n v="4379"/>
    <n v="950243"/>
    <n v="4.4"/>
    <n v="4807"/>
    <n v="10915.96638655462"/>
    <n v="10915.96638655462"/>
    <s v="Shenzhen"/>
    <s v="30/70"/>
    <n v="30"/>
    <n v="300"/>
    <n v="18"/>
    <n v="0.6598247046967359"/>
    <n v="29"/>
    <n v="0.5488688764973588"/>
    <n v="39"/>
    <n v="0.5453921421925524"/>
    <n v="23"/>
    <n v="0.513014200743827"/>
    <n v="41"/>
    <n v="0.4091850462578747"/>
    <n v="31"/>
    <n v="0.282577659914373"/>
    <n v="83"/>
    <n v="0.3871070266869102"/>
    <n v="74"/>
    <n v="0.4830877426649708"/>
    <n v="31"/>
    <n v="0.558901312504728"/>
    <n v="62"/>
    <n v="0.5061761465026409"/>
    <n v="40"/>
    <n v="0.5148191856563087"/>
    <n v="17"/>
    <n v="0.5327422091050638"/>
    <n v="1"/>
    <n v="0.5471475306919643"/>
    <n v="8"/>
    <n v="-0.352744864985764"/>
    <n v="2"/>
    <n v="0.5777328773936575"/>
    <n v="7"/>
    <n v="0.4996324981598435"/>
    <n v="0.175"/>
    <n v="15"/>
    <n v="0.5819360515182148"/>
    <n v="0.3658536585365854"/>
    <n v="9"/>
    <n v="0.3886747894103489"/>
    <n v="0.1125"/>
    <n v="14"/>
    <n v="0.6172400730355944"/>
    <n v="0.2333333333333333"/>
    <n v="10"/>
    <n v="0.6262177758923525"/>
    <n v="0.1428571428571428"/>
    <m/>
    <m/>
    <m/>
    <m/>
    <m/>
    <m/>
    <m/>
    <m/>
    <m/>
    <m/>
    <m/>
    <m/>
    <n v="40"/>
    <n v="1"/>
    <n v="0"/>
    <n v="300"/>
    <n v="150"/>
    <n v="0"/>
    <n v="61306"/>
    <n v="4554"/>
    <n v="0"/>
    <n v="0"/>
    <n v="217"/>
    <n v="950243"/>
    <n v="0"/>
    <n v="0"/>
    <n v="9"/>
    <n v="12"/>
    <n v="0"/>
    <n v="0"/>
    <n v="0"/>
    <n v="91959"/>
    <n v="40986"/>
    <n v="52548"/>
    <n v="0"/>
    <n v="217"/>
    <n v="950243"/>
    <n v="110076.9719652567"/>
    <n v="0"/>
    <n v="1"/>
    <n v="2"/>
    <n v="0"/>
    <n v="0"/>
    <n v="207453.6"/>
    <n v="4379"/>
    <n v="8758"/>
    <n v="0"/>
    <n v="217"/>
    <n v="950243"/>
    <n v="21831.93277310925"/>
    <n v="40"/>
    <n v="287"/>
    <n v="7"/>
    <n v="0"/>
    <n v="0"/>
    <n v="1306998"/>
    <n v="30653"/>
    <n v="0"/>
    <n v="0"/>
    <n v="217"/>
    <n v="950243"/>
    <n v="76411.76470588236"/>
    <n v="41"/>
    <n v="232"/>
    <n v="36.9"/>
    <m/>
    <n v="0"/>
    <n v="0"/>
    <n v="1015928"/>
    <n v="168042.6"/>
    <n v="0"/>
    <n v="0"/>
    <n v="217"/>
    <n v="950243"/>
    <n v="402799.1596638656"/>
    <n v="80"/>
    <n v="226"/>
    <n v="9"/>
    <m/>
    <n v="0"/>
    <n v="0"/>
    <n v="989654"/>
    <n v="40986"/>
    <n v="0"/>
    <n v="0"/>
    <n v="226"/>
    <n v="950243"/>
    <n v="98243.6974789916"/>
    <n v="60"/>
    <n v="231"/>
    <n v="14"/>
    <n v="0"/>
    <n v="0"/>
    <n v="0"/>
    <n v="1011549"/>
    <n v="63756"/>
    <n v="0"/>
    <n v="0"/>
    <n v="231"/>
    <n v="950243"/>
    <n v="152823.5294117647"/>
    <n v="70"/>
    <n v="217"/>
    <n v="63"/>
    <n v="300"/>
    <n v="300"/>
    <n v="0"/>
    <n v="950243"/>
    <n v="286902"/>
    <n v="1366200"/>
    <n v="0"/>
    <n v="217"/>
    <n v="950243"/>
    <n v="687705.8823529412"/>
    <n v="30"/>
    <n v="154"/>
    <n v="27"/>
    <n v="0"/>
    <n v="0"/>
    <n v="0"/>
    <n v="701316"/>
    <n v="122958"/>
    <n v="0"/>
    <n v="0"/>
    <n v="154"/>
    <n v="701316"/>
    <n v="294731.0924369748"/>
    <n v="70"/>
    <n v="127"/>
    <n v="63"/>
    <n v="0"/>
    <n v="0"/>
    <n v="0"/>
    <m/>
    <n v="578358"/>
    <n v="286902"/>
    <n v="0"/>
    <n v="0"/>
    <n v="127"/>
    <n v="578358"/>
    <n v="687705.8823529412"/>
    <n v="50"/>
    <n v="64"/>
    <n v="45"/>
    <n v="0"/>
    <n v="0"/>
    <n v="291456"/>
    <n v="204930"/>
    <n v="0"/>
    <n v="0"/>
    <n v="64"/>
    <n v="291456"/>
    <n v="515779.411764706"/>
    <n v="150"/>
    <n v="19"/>
    <n v="135"/>
    <n v="0"/>
    <n v="0"/>
    <n v="86526"/>
    <n v="614790"/>
    <n v="0"/>
    <n v="19"/>
    <n v="86526"/>
    <n v="1473655.462184874"/>
    <n v="30"/>
    <n v="0"/>
    <n v="27"/>
    <n v="0"/>
    <m/>
    <n v="0"/>
    <n v="118233"/>
    <n v="0"/>
    <n v="0"/>
    <n v="0"/>
    <n v="294731.0924369748"/>
  </r>
  <r>
    <m/>
    <x v="4"/>
    <x v="18"/>
    <x v="43"/>
    <s v="LHNECKHUM"/>
    <x v="261"/>
    <x v="248"/>
    <x v="0"/>
    <x v="3"/>
    <n v="1"/>
    <x v="152"/>
    <n v="17"/>
    <m/>
    <n v="0"/>
    <n v="4731"/>
    <n v="80427"/>
    <n v="4.4"/>
    <n v="4807"/>
    <n v="10915.96638655462"/>
    <n v="10915.96638655462"/>
    <s v="Shenzhen"/>
    <s v="30/70"/>
    <n v="30"/>
    <n v="300"/>
    <n v="5"/>
    <n v="0.6338791809190668"/>
    <n v="6"/>
    <n v="0.5284341371416494"/>
    <n v="15"/>
    <n v="0.552835574487391"/>
    <n v="11"/>
    <n v="0.5366242531632042"/>
    <n v="5"/>
    <n v="0.6018665634362269"/>
    <n v="18"/>
    <n v="0.5431584421682708"/>
    <n v="52"/>
    <n v="0.3478456958010698"/>
    <n v="6"/>
    <n v="0.5963933802558073"/>
    <n v="22"/>
    <n v="0.5565252674522384"/>
    <n v="28"/>
    <n v="0.4992896837894381"/>
    <n v="51"/>
    <n v="0.5115225349081522"/>
    <n v="224"/>
    <n v="0.5212505630154587"/>
    <n v="4"/>
    <n v="0.1544247729883756"/>
    <n v="21"/>
    <n v="0.4409041840689858"/>
    <n v="2"/>
    <n v="0.4319717321549165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40"/>
    <n v="45"/>
    <n v="40"/>
    <n v="0"/>
    <n v="0"/>
    <n v="0"/>
    <n v="347728.5"/>
    <n v="204930"/>
    <n v="189240"/>
    <n v="0"/>
    <n v="17"/>
    <n v="80427"/>
    <n v="366923.239884189"/>
    <n v="5"/>
    <n v="36"/>
    <n v="31.5"/>
    <n v="0"/>
    <n v="0"/>
    <n v="0"/>
    <n v="158488.5"/>
    <n v="163944"/>
    <n v="149026.5"/>
    <n v="0"/>
    <n v="17"/>
    <n v="80427"/>
    <n v="288952.0514087988"/>
    <n v="0"/>
    <n v="15"/>
    <n v="2"/>
    <n v="0"/>
    <n v="0"/>
    <n v="100542"/>
    <n v="70965"/>
    <n v="9462"/>
    <n v="0"/>
    <n v="17"/>
    <n v="80427"/>
    <n v="21831.93277310925"/>
    <n v="0"/>
    <n v="13"/>
    <n v="0"/>
    <n v="0"/>
    <n v="0"/>
    <n v="59202"/>
    <n v="0"/>
    <n v="0"/>
    <n v="0"/>
    <n v="17"/>
    <n v="80427"/>
    <n v="0"/>
    <n v="20"/>
    <n v="17"/>
    <n v="20"/>
    <m/>
    <n v="0"/>
    <n v="0"/>
    <n v="80427"/>
    <n v="91080"/>
    <n v="0"/>
    <n v="0"/>
    <n v="17"/>
    <n v="80427"/>
    <n v="218319.3277310925"/>
    <n v="20"/>
    <n v="17"/>
    <n v="0"/>
    <m/>
    <n v="0"/>
    <n v="0"/>
    <n v="80427"/>
    <n v="0"/>
    <n v="0"/>
    <n v="0"/>
    <n v="17"/>
    <n v="80427"/>
    <n v="0"/>
    <n v="55"/>
    <n v="17"/>
    <n v="0"/>
    <n v="0"/>
    <n v="0"/>
    <n v="0"/>
    <n v="80427"/>
    <n v="0"/>
    <n v="0"/>
    <n v="0"/>
    <n v="17"/>
    <n v="80427"/>
    <n v="0"/>
    <n v="25"/>
    <n v="17"/>
    <n v="25"/>
    <n v="300"/>
    <n v="300"/>
    <n v="0"/>
    <n v="80427"/>
    <n v="113850"/>
    <n v="1366200"/>
    <n v="0"/>
    <n v="17"/>
    <n v="80427"/>
    <n v="272899.1596638656"/>
    <n v="25"/>
    <n v="0"/>
    <n v="25"/>
    <n v="0"/>
    <n v="0"/>
    <n v="0"/>
    <n v="0"/>
    <n v="113850"/>
    <n v="0"/>
    <n v="0"/>
    <n v="0"/>
    <n v="0"/>
    <n v="272899.1596638656"/>
    <n v="50"/>
    <n v="0"/>
    <n v="0"/>
    <n v="0"/>
    <n v="0"/>
    <n v="0"/>
    <m/>
    <n v="0"/>
    <n v="0"/>
    <n v="0"/>
    <n v="0"/>
    <n v="0"/>
    <n v="0"/>
    <n v="0"/>
    <n v="50"/>
    <n v="0"/>
    <n v="50"/>
    <n v="0"/>
    <n v="0"/>
    <n v="0"/>
    <n v="227700"/>
    <n v="0"/>
    <n v="0"/>
    <n v="0"/>
    <n v="0"/>
    <n v="573088.2352941177"/>
    <n v="100"/>
    <n v="0"/>
    <n v="100"/>
    <n v="0"/>
    <n v="0"/>
    <n v="0"/>
    <n v="455400"/>
    <n v="0"/>
    <n v="0"/>
    <n v="0"/>
    <n v="1091596.638655462"/>
    <n v="30"/>
    <n v="0"/>
    <n v="30"/>
    <n v="0"/>
    <m/>
    <n v="0"/>
    <n v="141930"/>
    <n v="0"/>
    <n v="0"/>
    <n v="0"/>
    <n v="327478.9915966387"/>
  </r>
  <r>
    <m/>
    <x v="4"/>
    <x v="18"/>
    <x v="43"/>
    <s v="LHNECTRRIM"/>
    <x v="262"/>
    <x v="249"/>
    <x v="0"/>
    <x v="3"/>
    <n v="1.5"/>
    <x v="153"/>
    <n v="31"/>
    <m/>
    <n v="0"/>
    <n v="4057"/>
    <n v="125767"/>
    <n v="4.5"/>
    <n v="4916.25"/>
    <n v="12596.63865546219"/>
    <n v="12596.63865546219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n v="0"/>
    <n v="25"/>
    <n v="0.629216215532116"/>
    <n v="53"/>
    <n v="0.59007697568456"/>
    <n v="18"/>
    <n v="0.6145858619850029"/>
    <n v="0"/>
    <s v=""/>
    <n v="9"/>
    <n v="0.4182043228475851"/>
    <n v="43"/>
    <n v="0.2061121096115094"/>
    <n v="9"/>
    <n v="0.3659698774464031"/>
    <n v="45"/>
    <n v="0.4665899005350682"/>
    <n v="1.5"/>
    <n v="61"/>
    <n v="0.6655432709121547"/>
    <n v="2.44"/>
    <n v="89"/>
    <n v="0.3408869297872728"/>
    <n v="1.78"/>
    <n v="57"/>
    <n v="0.6705710652962814"/>
    <n v="1.425"/>
    <n v="11"/>
    <n v="0.6699685642296036"/>
    <n v="0.3142857142857143"/>
    <m/>
    <m/>
    <m/>
    <m/>
    <m/>
    <m/>
    <m/>
    <m/>
    <m/>
    <m/>
    <m/>
    <m/>
    <n v="15"/>
    <n v="0"/>
    <n v="10"/>
    <n v="0"/>
    <n v="50"/>
    <n v="0"/>
    <n v="338759.5"/>
    <n v="0"/>
    <n v="40570"/>
    <n v="0"/>
    <n v="31"/>
    <n v="125767"/>
    <n v="105854.1063484217"/>
    <n v="30"/>
    <n v="42"/>
    <n v="64.5"/>
    <n v="300"/>
    <n v="150"/>
    <n v="0"/>
    <n v="480754.5"/>
    <n v="195615"/>
    <n v="261676.5"/>
    <n v="0"/>
    <n v="31"/>
    <n v="125767"/>
    <n v="682758.9859473202"/>
    <n v="15"/>
    <n v="0"/>
    <n v="9"/>
    <n v="0"/>
    <n v="0"/>
    <n v="393734.25"/>
    <n v="0"/>
    <n v="36513"/>
    <n v="0"/>
    <n v="31"/>
    <n v="125767"/>
    <n v="113369.7478991597"/>
    <n v="30"/>
    <n v="295"/>
    <n v="45"/>
    <n v="0"/>
    <n v="0"/>
    <n v="1373962.5"/>
    <n v="182565"/>
    <n v="0"/>
    <n v="0"/>
    <n v="31"/>
    <n v="125767"/>
    <n v="566848.7394957984"/>
    <n v="25"/>
    <n v="92"/>
    <n v="37.5"/>
    <m/>
    <n v="0"/>
    <n v="0"/>
    <n v="373244"/>
    <n v="174656.25"/>
    <n v="0"/>
    <n v="0"/>
    <n v="31"/>
    <n v="125767"/>
    <n v="472373.949579832"/>
    <n v="50"/>
    <n v="120"/>
    <n v="89"/>
    <m/>
    <n v="0"/>
    <n v="0"/>
    <n v="486840"/>
    <n v="414517.5"/>
    <n v="0"/>
    <n v="0"/>
    <n v="120"/>
    <n v="125767"/>
    <n v="1121100.840336135"/>
    <n v="40"/>
    <n v="88"/>
    <n v="57"/>
    <n v="0"/>
    <n v="0"/>
    <n v="0"/>
    <n v="357016"/>
    <n v="265477.5"/>
    <n v="0"/>
    <n v="0"/>
    <n v="88"/>
    <n v="125767"/>
    <n v="718008.4033613446"/>
    <n v="35"/>
    <n v="31"/>
    <n v="52.5"/>
    <n v="0"/>
    <n v="0"/>
    <n v="0"/>
    <n v="125767"/>
    <n v="244518.75"/>
    <n v="0"/>
    <n v="0"/>
    <n v="31"/>
    <n v="125767"/>
    <n v="661323.5294117648"/>
    <n v="35"/>
    <n v="0"/>
    <n v="52.5"/>
    <n v="0"/>
    <n v="0"/>
    <n v="0"/>
    <n v="0"/>
    <n v="244518.75"/>
    <n v="0"/>
    <n v="0"/>
    <n v="0"/>
    <n v="0"/>
    <n v="661323.5294117648"/>
    <n v="70"/>
    <n v="0"/>
    <n v="0"/>
    <n v="500"/>
    <n v="500"/>
    <n v="500"/>
    <n v="0"/>
    <n v="0"/>
    <n v="0"/>
    <n v="2328750"/>
    <n v="2328750"/>
    <n v="500"/>
    <n v="2328750"/>
    <n v="0"/>
    <n v="50"/>
    <n v="500"/>
    <n v="75"/>
    <n v="0"/>
    <n v="0"/>
    <n v="2328750"/>
    <n v="349312.5"/>
    <n v="0"/>
    <n v="0"/>
    <n v="500"/>
    <n v="2328750"/>
    <n v="991985.2941176472"/>
    <n v="150"/>
    <n v="425"/>
    <n v="225"/>
    <n v="0"/>
    <n v="0"/>
    <n v="1979437.5"/>
    <n v="1047937.5"/>
    <n v="0"/>
    <n v="425"/>
    <n v="1979437.5"/>
    <n v="2834243.697478992"/>
    <n v="30"/>
    <n v="200"/>
    <n v="45"/>
    <n v="0"/>
    <m/>
    <n v="931500"/>
    <n v="182565"/>
    <n v="0"/>
    <n v="200"/>
    <n v="931500"/>
    <n v="566848.7394957984"/>
  </r>
  <r>
    <m/>
    <x v="4"/>
    <x v="19"/>
    <x v="44"/>
    <s v="LHBIGMU-BL"/>
    <x v="263"/>
    <x v="250"/>
    <x v="0"/>
    <x v="2"/>
    <n v="1"/>
    <x v="3"/>
    <n v="5"/>
    <m/>
    <n v="0"/>
    <n v="3942"/>
    <n v="19710"/>
    <n v="4"/>
    <n v="4370"/>
    <n v="16798.31932773109"/>
    <n v="16798.31932773109"/>
    <s v="Shenzhen"/>
    <s v="30/70"/>
    <n v="30"/>
    <n v="100"/>
    <n v="22"/>
    <n v="0.7226012781197343"/>
    <n v="14"/>
    <n v="0.7168875247202364"/>
    <n v="23"/>
    <n v="0.6790551962486354"/>
    <n v="247"/>
    <n v="0.4644908544688515"/>
    <n v="8"/>
    <n v="0.6742960799092983"/>
    <n v="24"/>
    <n v="0.7032189499120606"/>
    <n v="32"/>
    <n v="0.5929409665887672"/>
    <n v="6"/>
    <n v="0.7082909988968826"/>
    <n v="4"/>
    <n v="0.7468550601306979"/>
    <n v="22"/>
    <n v="0.5383810357204576"/>
    <n v="14"/>
    <n v="0.5637553653157533"/>
    <n v="144"/>
    <n v="0.5053509188906097"/>
    <n v="36"/>
    <n v="0.2390976173440678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25"/>
    <n v="20"/>
    <n v="25"/>
    <n v="0"/>
    <n v="0"/>
    <n v="0"/>
    <n v="98550"/>
    <n v="82800"/>
    <n v="98550"/>
    <n v="0"/>
    <n v="5"/>
    <n v="19710"/>
    <n v="352905.8682296448"/>
    <n v="25"/>
    <n v="0"/>
    <n v="0"/>
    <n v="0"/>
    <n v="0"/>
    <n v="0"/>
    <n v="0"/>
    <n v="0"/>
    <n v="0"/>
    <n v="0"/>
    <n v="5"/>
    <n v="19710"/>
    <n v="0"/>
    <n v="0"/>
    <n v="-1"/>
    <n v="0"/>
    <n v="0"/>
    <n v="0"/>
    <n v="0"/>
    <n v="-3942"/>
    <n v="0"/>
    <n v="0"/>
    <n v="5"/>
    <n v="19710"/>
    <n v="0"/>
    <n v="0"/>
    <n v="4"/>
    <n v="0"/>
    <n v="0"/>
    <n v="0"/>
    <n v="16560"/>
    <n v="0"/>
    <n v="0"/>
    <n v="0"/>
    <n v="5"/>
    <n v="19710"/>
    <n v="0"/>
    <n v="0"/>
    <n v="5"/>
    <n v="0"/>
    <m/>
    <n v="0"/>
    <n v="0"/>
    <n v="19710"/>
    <n v="0"/>
    <n v="0"/>
    <n v="0"/>
    <n v="5"/>
    <n v="19710"/>
    <n v="0"/>
    <n v="0"/>
    <n v="5"/>
    <n v="0"/>
    <m/>
    <n v="0"/>
    <n v="0"/>
    <n v="19710"/>
    <n v="0"/>
    <n v="0"/>
    <n v="0"/>
    <n v="5"/>
    <n v="19710"/>
    <n v="0"/>
    <n v="0"/>
    <n v="5"/>
    <n v="0"/>
    <n v="0"/>
    <n v="0"/>
    <n v="0"/>
    <n v="19710"/>
    <n v="0"/>
    <n v="0"/>
    <n v="0"/>
    <n v="5"/>
    <n v="19710"/>
    <n v="0"/>
    <n v="0"/>
    <n v="5"/>
    <n v="0"/>
    <n v="0"/>
    <n v="0"/>
    <n v="0"/>
    <n v="19710"/>
    <n v="0"/>
    <n v="0"/>
    <n v="0"/>
    <n v="5"/>
    <n v="19710"/>
    <n v="0"/>
    <n v="0"/>
    <n v="5"/>
    <n v="0"/>
    <n v="0"/>
    <n v="0"/>
    <n v="0"/>
    <n v="20700"/>
    <n v="0"/>
    <n v="0"/>
    <n v="0"/>
    <n v="5"/>
    <n v="20700"/>
    <n v="0"/>
    <n v="0"/>
    <n v="5"/>
    <n v="0"/>
    <n v="0"/>
    <n v="0"/>
    <n v="0"/>
    <m/>
    <n v="20700"/>
    <n v="0"/>
    <n v="0"/>
    <n v="0"/>
    <n v="5"/>
    <n v="20700"/>
    <n v="0"/>
    <n v="0"/>
    <n v="5"/>
    <n v="0"/>
    <n v="0"/>
    <n v="0"/>
    <n v="20700"/>
    <n v="0"/>
    <n v="0"/>
    <n v="0"/>
    <n v="5"/>
    <n v="20700"/>
    <n v="0"/>
    <n v="0"/>
    <n v="5"/>
    <n v="0"/>
    <n v="0"/>
    <n v="0"/>
    <n v="20700"/>
    <n v="0"/>
    <n v="0"/>
    <n v="5"/>
    <n v="20700"/>
    <n v="0"/>
    <n v="0"/>
    <n v="5"/>
    <n v="0"/>
    <n v="0"/>
    <m/>
    <n v="20700"/>
    <n v="0"/>
    <n v="0"/>
    <n v="5"/>
    <n v="20700"/>
    <n v="0"/>
  </r>
  <r>
    <m/>
    <x v="4"/>
    <x v="19"/>
    <x v="44"/>
    <s v="LHBIGMU-CR"/>
    <x v="264"/>
    <x v="251"/>
    <x v="0"/>
    <x v="2"/>
    <n v="1"/>
    <x v="3"/>
    <n v="2"/>
    <m/>
    <n v="0"/>
    <n v="4038"/>
    <n v="8076"/>
    <n v="4"/>
    <n v="4370"/>
    <n v="7554.621848739496"/>
    <n v="7554.621848739496"/>
    <s v="Shenzhen"/>
    <s v="30/70"/>
    <n v="30"/>
    <n v="100"/>
    <n v="29"/>
    <n v="0.6939534558308079"/>
    <n v="9"/>
    <n v="0.7070825501512848"/>
    <n v="19"/>
    <n v="0.659900047791386"/>
    <n v="68"/>
    <n v="0.5740320740500646"/>
    <n v="18"/>
    <n v="0.6882130008842181"/>
    <n v="130"/>
    <n v="0.614408246024561"/>
    <n v="19"/>
    <n v="0.5884129367164745"/>
    <n v="36"/>
    <n v="0.6857943317227387"/>
    <n v="6"/>
    <n v="0.702639831052595"/>
    <n v="12"/>
    <n v="0.6411966171714405"/>
    <n v="15"/>
    <n v="0.6157870676676339"/>
    <n v="3"/>
    <n v="0.5628135262910967"/>
    <n v="2"/>
    <n v="0.563742430340514"/>
    <n v="0"/>
    <s v=""/>
    <n v="0"/>
    <s v=""/>
    <n v="2"/>
    <n v="0.6878430440055033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10"/>
    <n v="3"/>
    <n v="10"/>
    <n v="0"/>
    <n v="0"/>
    <n v="0"/>
    <n v="40380"/>
    <n v="12420"/>
    <n v="40380"/>
    <n v="0"/>
    <n v="2"/>
    <n v="8076"/>
    <n v="63484.21721629829"/>
    <n v="10"/>
    <n v="1"/>
    <n v="0"/>
    <n v="0"/>
    <n v="0"/>
    <n v="0"/>
    <n v="8076"/>
    <n v="4140"/>
    <n v="0"/>
    <n v="0"/>
    <n v="2"/>
    <n v="8076"/>
    <n v="0"/>
    <n v="0"/>
    <n v="1"/>
    <n v="0"/>
    <n v="0"/>
    <n v="0"/>
    <n v="8076"/>
    <n v="4038"/>
    <n v="0"/>
    <n v="0"/>
    <n v="2"/>
    <n v="8076"/>
    <n v="0"/>
    <n v="0"/>
    <n v="4"/>
    <n v="2"/>
    <n v="0"/>
    <n v="0"/>
    <n v="16560"/>
    <n v="8076"/>
    <n v="0"/>
    <n v="0"/>
    <n v="2"/>
    <n v="8076"/>
    <n v="15109.24369747899"/>
    <n v="0"/>
    <n v="2"/>
    <n v="0"/>
    <m/>
    <n v="0"/>
    <n v="0"/>
    <n v="8076"/>
    <n v="0"/>
    <n v="0"/>
    <n v="0"/>
    <n v="2"/>
    <n v="8076"/>
    <n v="0"/>
    <n v="0"/>
    <n v="2"/>
    <n v="0"/>
    <m/>
    <n v="0"/>
    <n v="0"/>
    <n v="8076"/>
    <n v="0"/>
    <n v="0"/>
    <n v="0"/>
    <n v="2"/>
    <n v="8076"/>
    <n v="0"/>
    <n v="0"/>
    <n v="2"/>
    <n v="0"/>
    <n v="0"/>
    <n v="0"/>
    <n v="0"/>
    <n v="8076"/>
    <n v="0"/>
    <n v="0"/>
    <n v="0"/>
    <n v="2"/>
    <n v="8076"/>
    <n v="0"/>
    <n v="0"/>
    <n v="2"/>
    <n v="0"/>
    <n v="0"/>
    <n v="0"/>
    <n v="0"/>
    <n v="8076"/>
    <n v="0"/>
    <n v="0"/>
    <n v="0"/>
    <n v="2"/>
    <n v="8076"/>
    <n v="0"/>
    <n v="0"/>
    <n v="2"/>
    <n v="0"/>
    <n v="0"/>
    <n v="0"/>
    <n v="0"/>
    <n v="8280"/>
    <n v="0"/>
    <n v="0"/>
    <n v="0"/>
    <n v="2"/>
    <n v="8280"/>
    <n v="0"/>
    <n v="0"/>
    <n v="2"/>
    <n v="0"/>
    <n v="0"/>
    <n v="0"/>
    <n v="0"/>
    <m/>
    <n v="8280"/>
    <n v="0"/>
    <n v="0"/>
    <n v="0"/>
    <n v="2"/>
    <n v="8280"/>
    <n v="0"/>
    <n v="0"/>
    <n v="2"/>
    <n v="0"/>
    <n v="0"/>
    <n v="0"/>
    <n v="8280"/>
    <n v="0"/>
    <n v="0"/>
    <n v="0"/>
    <n v="2"/>
    <n v="8280"/>
    <n v="0"/>
    <n v="0"/>
    <n v="2"/>
    <n v="0"/>
    <n v="0"/>
    <n v="0"/>
    <n v="8280"/>
    <n v="0"/>
    <n v="0"/>
    <n v="2"/>
    <n v="8280"/>
    <n v="0"/>
    <n v="0"/>
    <n v="2"/>
    <n v="0"/>
    <n v="0"/>
    <m/>
    <n v="8280"/>
    <n v="0"/>
    <n v="0"/>
    <n v="2"/>
    <n v="8280"/>
    <n v="0"/>
  </r>
  <r>
    <m/>
    <x v="4"/>
    <x v="19"/>
    <x v="44"/>
    <s v="LHBIGMUN"/>
    <x v="265"/>
    <x v="252"/>
    <x v="0"/>
    <x v="3"/>
    <n v="1"/>
    <x v="154"/>
    <n v="191"/>
    <m/>
    <n v="0"/>
    <n v="3954"/>
    <n v="755214"/>
    <n v="3.6"/>
    <n v="3933"/>
    <n v="10915.96638655462"/>
    <n v="10915.96638655462"/>
    <s v="Shenzhen"/>
    <s v="30/70"/>
    <n v="30"/>
    <n v="200"/>
    <n v="0"/>
    <m/>
    <n v="0"/>
    <m/>
    <n v="0"/>
    <m/>
    <n v="0"/>
    <m/>
    <n v="0"/>
    <m/>
    <n v="0"/>
    <m/>
    <n v="0"/>
    <m/>
    <n v="0"/>
    <m/>
    <n v="0"/>
    <s v=""/>
    <n v="5"/>
    <n v="0.6045541723332287"/>
    <n v="29"/>
    <n v="0.5451128348300621"/>
    <n v="166"/>
    <n v="0.5132003166364095"/>
    <n v="92"/>
    <n v="0.3096377173857314"/>
    <n v="39"/>
    <n v="0.4620169196558274"/>
    <n v="149"/>
    <n v="0.4585911029438046"/>
    <n v="35"/>
    <n v="0.536978791151147"/>
    <n v="0.7"/>
    <n v="7"/>
    <n v="0.662667326826048"/>
    <n v="0.1555555555555556"/>
    <n v="52"/>
    <n v="0.5138697432558841"/>
    <n v="0.65"/>
    <n v="7"/>
    <n v="0.6694235189032407"/>
    <n v="0.1166666666666667"/>
    <n v="4"/>
    <n v="0.4222448977341403"/>
    <n v="0.08333333333333333"/>
    <m/>
    <m/>
    <m/>
    <m/>
    <m/>
    <m/>
    <m/>
    <m/>
    <m/>
    <m/>
    <m/>
    <m/>
    <n v="40"/>
    <n v="217"/>
    <n v="60"/>
    <n v="100"/>
    <n v="100"/>
    <n v="0"/>
    <n v="1057695"/>
    <n v="808541.9999999999"/>
    <n v="237240"/>
    <n v="0"/>
    <n v="191"/>
    <n v="755214"/>
    <n v="550384.8598262835"/>
    <n v="50"/>
    <n v="303"/>
    <n v="58.5"/>
    <n v="0"/>
    <n v="0"/>
    <n v="0"/>
    <n v="958845"/>
    <n v="1128978"/>
    <n v="231309"/>
    <n v="0"/>
    <n v="191"/>
    <n v="755214"/>
    <n v="536625.2383306264"/>
    <n v="56"/>
    <n v="259"/>
    <n v="149"/>
    <n v="0"/>
    <n v="0"/>
    <n v="895206"/>
    <n v="1024086"/>
    <n v="589146"/>
    <n v="0"/>
    <n v="191"/>
    <n v="755214"/>
    <n v="1626478.991596639"/>
    <n v="50"/>
    <n v="118"/>
    <n v="35"/>
    <n v="0"/>
    <n v="0"/>
    <n v="439667.9999999999"/>
    <n v="138390"/>
    <n v="0"/>
    <n v="0"/>
    <n v="191"/>
    <n v="755214"/>
    <n v="382058.8235294118"/>
    <n v="45"/>
    <n v="198"/>
    <n v="45"/>
    <m/>
    <n v="0"/>
    <n v="0"/>
    <n v="782892"/>
    <n v="167670"/>
    <n v="0"/>
    <n v="0"/>
    <n v="191"/>
    <n v="755214"/>
    <n v="491218.487394958"/>
    <n v="80"/>
    <n v="243"/>
    <n v="52"/>
    <m/>
    <n v="0"/>
    <n v="0"/>
    <n v="960822"/>
    <n v="193752"/>
    <n v="0"/>
    <n v="0"/>
    <n v="243"/>
    <n v="755214"/>
    <n v="567630.2521008403"/>
    <n v="60"/>
    <n v="198"/>
    <n v="7"/>
    <n v="150"/>
    <n v="150"/>
    <n v="0"/>
    <n v="782892"/>
    <n v="26082"/>
    <n v="540270"/>
    <n v="0"/>
    <n v="198"/>
    <n v="755214"/>
    <n v="76411.76470588236"/>
    <n v="48"/>
    <n v="191"/>
    <n v="48"/>
    <n v="0"/>
    <n v="0"/>
    <n v="0"/>
    <n v="755214"/>
    <n v="178848"/>
    <n v="0"/>
    <n v="0"/>
    <n v="191"/>
    <n v="755214"/>
    <n v="523966.3865546219"/>
    <n v="43.2"/>
    <n v="143"/>
    <n v="43.2"/>
    <n v="0"/>
    <n v="0"/>
    <n v="101"/>
    <n v="532817.9999999999"/>
    <n v="160963.2"/>
    <n v="0"/>
    <n v="376325.9999999999"/>
    <n v="244"/>
    <n v="909143.9999999998"/>
    <n v="471569.7478991597"/>
    <n v="70"/>
    <n v="200.8"/>
    <n v="70"/>
    <n v="200"/>
    <n v="200"/>
    <n v="200"/>
    <n v="0"/>
    <n v="748180.7999999999"/>
    <n v="260820"/>
    <n v="745199.9999999999"/>
    <n v="745199.9999999999"/>
    <n v="400.8"/>
    <n v="1493380.8"/>
    <n v="764117.6470588236"/>
    <n v="65"/>
    <n v="330.8"/>
    <n v="65"/>
    <n v="0"/>
    <n v="0"/>
    <n v="1232560.8"/>
    <n v="242190"/>
    <n v="0"/>
    <n v="0"/>
    <n v="330.8"/>
    <n v="1232560.8"/>
    <n v="745014.705882353"/>
    <n v="150"/>
    <n v="265.8"/>
    <n v="150"/>
    <n v="0"/>
    <n v="0"/>
    <n v="990370.7999999999"/>
    <n v="558899.9999999999"/>
    <n v="0"/>
    <n v="265.8"/>
    <n v="990370.7999999999"/>
    <n v="1637394.957983193"/>
    <n v="39"/>
    <n v="115.8"/>
    <n v="39"/>
    <n v="0"/>
    <m/>
    <n v="431470.8"/>
    <n v="154206"/>
    <n v="0"/>
    <n v="115.8"/>
    <n v="431470.8"/>
    <n v="425722.6890756303"/>
  </r>
  <r>
    <m/>
    <x v="4"/>
    <x v="19"/>
    <x v="44"/>
    <s v="LHBIGMUN"/>
    <x v="266"/>
    <x v="253"/>
    <x v="0"/>
    <x v="3"/>
    <n v="1.2"/>
    <x v="155"/>
    <n v="109"/>
    <m/>
    <n v="0"/>
    <n v="4226"/>
    <n v="460634"/>
    <n v="3.6"/>
    <n v="3933"/>
    <n v="10915.96638655462"/>
    <n v="10915.96638655462"/>
    <s v="Ningbo"/>
    <s v="30/70"/>
    <n v="30"/>
    <n v="200"/>
    <n v="0"/>
    <m/>
    <n v="0"/>
    <m/>
    <n v="0"/>
    <m/>
    <n v="0"/>
    <m/>
    <n v="0"/>
    <m/>
    <n v="0"/>
    <m/>
    <n v="0"/>
    <m/>
    <n v="0"/>
    <m/>
    <n v="0"/>
    <s v=""/>
    <n v="7"/>
    <n v="0.6202633996937212"/>
    <n v="14"/>
    <n v="0.5217244174424919"/>
    <n v="111"/>
    <n v="0.5309118300554139"/>
    <n v="43"/>
    <n v="0.2856474007823598"/>
    <n v="9"/>
    <n v="0.4409297321530988"/>
    <n v="45"/>
    <n v="0.4240131611326719"/>
    <n v="21"/>
    <n v="0.5764101304291418"/>
    <n v="1.05"/>
    <n v="12"/>
    <n v="0.6587402259800983"/>
    <n v="0.6"/>
    <n v="47"/>
    <n v="0.5008582999568655"/>
    <n v="0.9399999999999999"/>
    <n v="1"/>
    <n v="0.7039841082989994"/>
    <n v="0.02"/>
    <n v="2"/>
    <n v="0.5891909577785591"/>
    <n v="0.08333333333333333"/>
    <m/>
    <m/>
    <m/>
    <m/>
    <m/>
    <m/>
    <m/>
    <m/>
    <m/>
    <m/>
    <m/>
    <m/>
    <n v="30"/>
    <n v="138"/>
    <n v="30"/>
    <n v="150"/>
    <n v="150"/>
    <n v="0"/>
    <n v="374001"/>
    <n v="514187.9999999999"/>
    <n v="126780"/>
    <n v="0"/>
    <n v="109"/>
    <n v="460634"/>
    <n v="275192.4299131418"/>
    <n v="30"/>
    <n v="244"/>
    <n v="13.5"/>
    <n v="0"/>
    <n v="0"/>
    <n v="0"/>
    <n v="335967"/>
    <n v="909143.9999999999"/>
    <n v="57051"/>
    <n v="0"/>
    <n v="109"/>
    <n v="460634"/>
    <n v="123836.5934609138"/>
    <n v="40"/>
    <n v="235"/>
    <n v="45"/>
    <n v="0"/>
    <n v="0"/>
    <n v="368340"/>
    <n v="993110"/>
    <n v="190170"/>
    <n v="0"/>
    <n v="109"/>
    <n v="460634"/>
    <n v="491218.487394958"/>
    <n v="20"/>
    <n v="185"/>
    <n v="21"/>
    <n v="0"/>
    <n v="0"/>
    <n v="689309.9999999999"/>
    <n v="88746"/>
    <n v="0"/>
    <n v="0"/>
    <n v="109"/>
    <n v="460634"/>
    <n v="229235.2941176471"/>
    <n v="20"/>
    <n v="121"/>
    <n v="24"/>
    <m/>
    <n v="0"/>
    <n v="0"/>
    <n v="511346"/>
    <n v="89423.99999999999"/>
    <n v="0"/>
    <n v="0"/>
    <n v="109"/>
    <n v="460634"/>
    <n v="261983.1932773109"/>
    <n v="50"/>
    <n v="156"/>
    <n v="47"/>
    <m/>
    <n v="0"/>
    <n v="0"/>
    <n v="659256"/>
    <n v="175122"/>
    <n v="0"/>
    <n v="0"/>
    <n v="156"/>
    <n v="460634"/>
    <n v="513050.4201680673"/>
    <n v="50"/>
    <n v="110"/>
    <n v="1"/>
    <n v="0"/>
    <n v="0"/>
    <n v="0"/>
    <n v="464860"/>
    <n v="3726"/>
    <n v="0"/>
    <n v="0"/>
    <n v="110"/>
    <n v="460634"/>
    <n v="10915.96638655462"/>
    <n v="24"/>
    <n v="109"/>
    <n v="28.8"/>
    <n v="0"/>
    <n v="0"/>
    <n v="0"/>
    <n v="460634"/>
    <n v="107308.8"/>
    <n v="0"/>
    <n v="0"/>
    <n v="109"/>
    <n v="460634"/>
    <n v="314379.8319327731"/>
    <n v="21.6"/>
    <n v="80.2"/>
    <n v="25.92"/>
    <n v="0"/>
    <n v="0"/>
    <n v="0"/>
    <n v="298825.2"/>
    <n v="96577.92"/>
    <n v="0"/>
    <n v="0"/>
    <n v="80.2"/>
    <n v="298825.2"/>
    <n v="282941.8487394959"/>
    <n v="40"/>
    <n v="54.28"/>
    <n v="48"/>
    <n v="150"/>
    <n v="150"/>
    <n v="150"/>
    <n v="0"/>
    <n v="202247.28"/>
    <n v="178848"/>
    <n v="558899.9999999999"/>
    <n v="558899.9999999999"/>
    <n v="204.28"/>
    <n v="761147.2799999998"/>
    <n v="523966.3865546219"/>
    <n v="35"/>
    <n v="156.28"/>
    <n v="42"/>
    <n v="0"/>
    <n v="0"/>
    <n v="582299.2799999999"/>
    <n v="156492"/>
    <n v="0"/>
    <n v="0"/>
    <n v="156.28"/>
    <n v="582299.2799999999"/>
    <n v="481394.1176470589"/>
    <n v="100"/>
    <n v="114.28"/>
    <n v="120"/>
    <n v="0"/>
    <n v="0"/>
    <n v="425807.28"/>
    <n v="447119.9999999999"/>
    <n v="0"/>
    <n v="114.28"/>
    <n v="425807.28"/>
    <n v="1309915.966386555"/>
    <n v="21"/>
    <n v="0"/>
    <n v="25.2"/>
    <n v="0"/>
    <m/>
    <n v="0"/>
    <n v="106495.2"/>
    <n v="0"/>
    <n v="0"/>
    <n v="0"/>
    <n v="275082.3529411765"/>
  </r>
  <r>
    <m/>
    <x v="4"/>
    <x v="19"/>
    <x v="44"/>
    <s v="LHBIGMUN"/>
    <x v="267"/>
    <x v="254"/>
    <x v="0"/>
    <x v="3"/>
    <n v="1.2"/>
    <x v="156"/>
    <n v="222"/>
    <m/>
    <n v="0"/>
    <n v="4184"/>
    <n v="928848"/>
    <n v="3.6"/>
    <n v="3933"/>
    <n v="10915.96638655462"/>
    <n v="10915.96638655462"/>
    <s v="Shenzhen"/>
    <s v="30/70"/>
    <n v="30"/>
    <n v="200"/>
    <n v="0"/>
    <m/>
    <n v="0"/>
    <m/>
    <n v="0"/>
    <m/>
    <n v="0"/>
    <m/>
    <n v="0"/>
    <m/>
    <n v="0"/>
    <m/>
    <n v="0"/>
    <m/>
    <m/>
    <m/>
    <n v="2"/>
    <n v="0.5043376056416858"/>
    <n v="4"/>
    <n v="0.6299592604199311"/>
    <n v="39"/>
    <n v="0.6101642601761261"/>
    <n v="147"/>
    <n v="0.5334783547327585"/>
    <n v="83"/>
    <n v="0.3042010587745509"/>
    <n v="17"/>
    <n v="0.4026918467460041"/>
    <n v="27"/>
    <n v="0.4375785647000448"/>
    <n v="23"/>
    <n v="0.530636708935472"/>
    <n v="0.575"/>
    <n v="7"/>
    <n v="0.5883802999881894"/>
    <n v="0.175"/>
    <n v="86"/>
    <n v="0.4697285763119216"/>
    <n v="1.075"/>
    <n v="5"/>
    <n v="0.5776800717995102"/>
    <n v="0.125"/>
    <n v="2"/>
    <n v="0.6678780677715398"/>
    <n v="0.0625"/>
    <m/>
    <m/>
    <m/>
    <m/>
    <m/>
    <m/>
    <m/>
    <m/>
    <m/>
    <m/>
    <m/>
    <m/>
    <n v="50"/>
    <n v="351"/>
    <n v="40"/>
    <n v="100"/>
    <n v="100"/>
    <n v="0"/>
    <n v="387020"/>
    <n v="1307826"/>
    <n v="167360"/>
    <n v="0"/>
    <n v="222"/>
    <n v="928848"/>
    <n v="366923.239884189"/>
    <n v="40"/>
    <n v="389"/>
    <n v="25.5"/>
    <n v="0"/>
    <n v="0"/>
    <n v="0"/>
    <n v="315892"/>
    <n v="1449414"/>
    <n v="106692"/>
    <n v="0"/>
    <n v="222"/>
    <n v="928848"/>
    <n v="233913.5654261705"/>
    <n v="56"/>
    <n v="371"/>
    <n v="27"/>
    <n v="0"/>
    <n v="0"/>
    <n v="388048"/>
    <n v="1552264"/>
    <n v="112968"/>
    <n v="0"/>
    <n v="222"/>
    <n v="928848"/>
    <n v="294731.0924369748"/>
    <n v="40"/>
    <n v="344"/>
    <n v="23"/>
    <n v="0"/>
    <n v="0"/>
    <n v="1281744"/>
    <n v="96232"/>
    <n v="0"/>
    <n v="0"/>
    <n v="222"/>
    <n v="928848"/>
    <n v="251067.2268907563"/>
    <n v="40"/>
    <n v="229"/>
    <n v="48"/>
    <m/>
    <n v="0"/>
    <n v="0"/>
    <n v="958136"/>
    <n v="178848"/>
    <n v="0"/>
    <n v="0"/>
    <n v="222"/>
    <n v="928848"/>
    <n v="523966.3865546219"/>
    <n v="80"/>
    <n v="308"/>
    <n v="86"/>
    <m/>
    <n v="0"/>
    <n v="0"/>
    <n v="1288672"/>
    <n v="320435.9999999999"/>
    <n v="0"/>
    <n v="0"/>
    <n v="308"/>
    <n v="928848"/>
    <n v="938773.1092436976"/>
    <n v="40"/>
    <n v="227"/>
    <n v="5"/>
    <n v="0"/>
    <n v="0"/>
    <n v="0"/>
    <n v="949768"/>
    <n v="18630"/>
    <n v="0"/>
    <n v="0"/>
    <n v="227"/>
    <n v="928848"/>
    <n v="54579.83193277312"/>
    <n v="32"/>
    <n v="222"/>
    <n v="38.4"/>
    <n v="0"/>
    <n v="0"/>
    <n v="0"/>
    <n v="928848"/>
    <n v="143078.4"/>
    <n v="0"/>
    <n v="0"/>
    <n v="222"/>
    <n v="928848"/>
    <n v="419173.1092436975"/>
    <n v="28.8"/>
    <n v="183.6"/>
    <n v="34.56"/>
    <n v="0"/>
    <n v="0"/>
    <n v="0"/>
    <n v="684093.5999999999"/>
    <n v="128770.56"/>
    <n v="0"/>
    <n v="0"/>
    <n v="183.6"/>
    <n v="684093.5999999999"/>
    <n v="377255.7983193278"/>
    <n v="80"/>
    <n v="149.04"/>
    <n v="96"/>
    <n v="100"/>
    <n v="100"/>
    <n v="100"/>
    <n v="0"/>
    <n v="555323.0399999999"/>
    <n v="357695.9999999999"/>
    <n v="372599.9999999999"/>
    <n v="372599.9999999999"/>
    <n v="249.04"/>
    <n v="927923.0399999998"/>
    <n v="1047932.773109244"/>
    <n v="70"/>
    <n v="153.04"/>
    <n v="84"/>
    <n v="0"/>
    <n v="0"/>
    <n v="570227.0399999999"/>
    <n v="312983.9999999999"/>
    <n v="0"/>
    <n v="0"/>
    <n v="153.04"/>
    <n v="570227.0399999999"/>
    <n v="962788.2352941178"/>
    <n v="120"/>
    <n v="69.03999999999999"/>
    <n v="144"/>
    <n v="0"/>
    <n v="0"/>
    <n v="257243.0399999999"/>
    <n v="536543.9999999999"/>
    <n v="0"/>
    <n v="69.03999999999999"/>
    <n v="257243.0399999999"/>
    <n v="1571899.159663866"/>
    <n v="42"/>
    <n v="0"/>
    <n v="50.4"/>
    <n v="0"/>
    <m/>
    <n v="0"/>
    <n v="210873.6"/>
    <n v="0"/>
    <n v="0"/>
    <n v="0"/>
    <n v="550164.705882353"/>
  </r>
  <r>
    <m/>
    <x v="4"/>
    <x v="19"/>
    <x v="44"/>
    <s v="LHBIGMUN"/>
    <x v="268"/>
    <x v="255"/>
    <x v="0"/>
    <x v="3"/>
    <n v="1"/>
    <x v="157"/>
    <n v="211"/>
    <m/>
    <n v="0"/>
    <n v="4292"/>
    <n v="905612"/>
    <n v="3.6"/>
    <n v="3933"/>
    <n v="12596.63865546219"/>
    <n v="10915.96638655462"/>
    <s v="Shenzhen"/>
    <s v="30/70"/>
    <n v="30"/>
    <n v="200"/>
    <n v="0"/>
    <m/>
    <n v="0"/>
    <m/>
    <n v="0"/>
    <m/>
    <n v="0"/>
    <m/>
    <n v="0"/>
    <m/>
    <n v="0"/>
    <m/>
    <n v="0"/>
    <m/>
    <n v="0"/>
    <m/>
    <n v="1"/>
    <n v="0.6987755102040817"/>
    <n v="7"/>
    <n v="0.5922163827473722"/>
    <n v="19"/>
    <n v="0.5719807793896542"/>
    <n v="98"/>
    <n v="0.5279909082092333"/>
    <n v="66"/>
    <n v="0.3257951240705317"/>
    <n v="11"/>
    <n v="0.540378641098171"/>
    <n v="20"/>
    <n v="0.406542828118458"/>
    <n v="15"/>
    <n v="0.4926713238226389"/>
    <n v="0.5"/>
    <n v="9"/>
    <n v="0.6069027479623342"/>
    <n v="0.3"/>
    <n v="41"/>
    <n v="0.4921587351028938"/>
    <n v="0.82"/>
    <n v="1"/>
    <n v="0.4888648648648649"/>
    <n v="0.03333333333333333"/>
    <n v="0"/>
    <s v=""/>
    <n v="0"/>
    <m/>
    <m/>
    <m/>
    <m/>
    <m/>
    <m/>
    <m/>
    <m/>
    <m/>
    <m/>
    <m/>
    <m/>
    <n v="40"/>
    <n v="370"/>
    <n v="30"/>
    <n v="0"/>
    <n v="0"/>
    <n v="0"/>
    <n v="285418"/>
    <n v="1378620"/>
    <n v="128760"/>
    <n v="0"/>
    <n v="211"/>
    <n v="905612"/>
    <n v="317562.3190452652"/>
    <n v="40"/>
    <n v="311"/>
    <n v="16.5"/>
    <n v="0"/>
    <n v="0"/>
    <n v="0"/>
    <n v="221038"/>
    <n v="1158786"/>
    <n v="70818"/>
    <n v="0"/>
    <n v="211"/>
    <n v="905612"/>
    <n v="174659.2754748959"/>
    <n v="48"/>
    <n v="299"/>
    <n v="20"/>
    <n v="0"/>
    <n v="0"/>
    <n v="262000"/>
    <n v="1283308"/>
    <n v="85840"/>
    <n v="0"/>
    <n v="211"/>
    <n v="905612"/>
    <n v="251932.7731092437"/>
    <n v="30"/>
    <n v="279"/>
    <n v="15"/>
    <n v="0"/>
    <n v="0"/>
    <n v="1039554"/>
    <n v="64380"/>
    <n v="0"/>
    <n v="0"/>
    <n v="211"/>
    <n v="905612"/>
    <n v="188949.5798319328"/>
    <n v="30"/>
    <n v="220"/>
    <n v="30"/>
    <m/>
    <n v="0"/>
    <n v="0"/>
    <n v="944240"/>
    <n v="111780"/>
    <n v="0"/>
    <n v="0"/>
    <n v="211"/>
    <n v="905612"/>
    <n v="377899.1596638656"/>
    <n v="50"/>
    <n v="252"/>
    <n v="41"/>
    <m/>
    <n v="0"/>
    <n v="0"/>
    <n v="1081584"/>
    <n v="152766"/>
    <n v="0"/>
    <n v="0"/>
    <n v="252"/>
    <n v="905612"/>
    <n v="516462.1848739496"/>
    <n v="30"/>
    <n v="212"/>
    <n v="1"/>
    <n v="0"/>
    <n v="0"/>
    <n v="0"/>
    <n v="909904"/>
    <n v="3726"/>
    <n v="0"/>
    <n v="0"/>
    <n v="212"/>
    <n v="905612"/>
    <n v="12596.63865546219"/>
    <n v="24"/>
    <n v="211"/>
    <n v="24"/>
    <n v="0"/>
    <n v="0"/>
    <n v="0"/>
    <n v="905612"/>
    <n v="89423.99999999999"/>
    <n v="0"/>
    <n v="0"/>
    <n v="211"/>
    <n v="905612"/>
    <n v="302319.3277310925"/>
    <n v="21.6"/>
    <n v="187"/>
    <n v="21.6"/>
    <n v="0"/>
    <n v="0"/>
    <n v="0"/>
    <n v="696761.9999999999"/>
    <n v="80481.59999999999"/>
    <n v="0"/>
    <n v="0"/>
    <n v="187"/>
    <n v="696761.9999999999"/>
    <n v="272087.3949579832"/>
    <n v="50"/>
    <n v="165.4"/>
    <n v="50"/>
    <n v="0"/>
    <n v="0"/>
    <n v="0"/>
    <m/>
    <n v="616280.3999999999"/>
    <n v="186300"/>
    <n v="0"/>
    <n v="0"/>
    <n v="165.4"/>
    <n v="616280.3999999999"/>
    <n v="545798.3193277312"/>
    <n v="45"/>
    <n v="115.4"/>
    <n v="45"/>
    <n v="0"/>
    <n v="0"/>
    <n v="429980.4"/>
    <n v="167670"/>
    <n v="0"/>
    <n v="0"/>
    <n v="115.4"/>
    <n v="429980.4"/>
    <n v="515779.411764706"/>
    <n v="80"/>
    <n v="70.40000000000001"/>
    <n v="80"/>
    <n v="0"/>
    <n v="0"/>
    <n v="262310.4"/>
    <n v="298079.9999999999"/>
    <n v="0"/>
    <n v="70.40000000000001"/>
    <n v="262310.4"/>
    <n v="1007731.092436975"/>
    <n v="27"/>
    <n v="0"/>
    <n v="27"/>
    <n v="0"/>
    <m/>
    <n v="0"/>
    <n v="115884"/>
    <n v="0"/>
    <n v="0"/>
    <n v="0"/>
    <n v="340109.243697479"/>
  </r>
  <r>
    <m/>
    <x v="4"/>
    <x v="19"/>
    <x v="44"/>
    <s v="LHBIGMUN"/>
    <x v="269"/>
    <x v="256"/>
    <x v="0"/>
    <x v="3"/>
    <n v="1"/>
    <x v="158"/>
    <n v="439"/>
    <m/>
    <n v="0"/>
    <n v="4213"/>
    <n v="1849507"/>
    <n v="3.6"/>
    <n v="3933"/>
    <n v="10915.96638655462"/>
    <n v="10915.96638655462"/>
    <s v="Shenzhen"/>
    <s v="30/70"/>
    <n v="30"/>
    <n v="200"/>
    <n v="0"/>
    <m/>
    <n v="0"/>
    <m/>
    <n v="0"/>
    <m/>
    <n v="0"/>
    <m/>
    <n v="0"/>
    <m/>
    <n v="0"/>
    <m/>
    <n v="0"/>
    <m/>
    <n v="0"/>
    <m/>
    <n v="0"/>
    <s v=""/>
    <n v="10"/>
    <n v="0.6345841207489871"/>
    <n v="20"/>
    <n v="0.5619490788732004"/>
    <n v="168"/>
    <n v="0.5305515193373448"/>
    <n v="84"/>
    <n v="0.3054067716583454"/>
    <n v="18"/>
    <n v="0.4374728322576615"/>
    <n v="33"/>
    <n v="0.4644153074062584"/>
    <n v="23"/>
    <n v="0.5856984059614527"/>
    <n v="0.5111111111111111"/>
    <n v="6"/>
    <n v="0.663695037284649"/>
    <n v="0.15"/>
    <n v="66"/>
    <n v="0.5181822876507941"/>
    <n v="0.66"/>
    <n v="4"/>
    <n v="0.7173707722660653"/>
    <n v="0.05"/>
    <n v="4"/>
    <n v="0.611108525327748"/>
    <n v="0.125"/>
    <m/>
    <m/>
    <m/>
    <m/>
    <m/>
    <m/>
    <m/>
    <m/>
    <m/>
    <m/>
    <m/>
    <m/>
    <n v="50"/>
    <n v="448"/>
    <n v="40"/>
    <n v="200"/>
    <n v="200"/>
    <n v="0"/>
    <n v="421300"/>
    <n v="1669248"/>
    <n v="168520"/>
    <n v="0"/>
    <n v="439"/>
    <n v="1849507"/>
    <n v="366923.239884189"/>
    <n v="50"/>
    <n v="590"/>
    <n v="27"/>
    <n v="0"/>
    <n v="0"/>
    <n v="0"/>
    <n v="349679"/>
    <n v="2198340"/>
    <n v="113751"/>
    <n v="0"/>
    <n v="439"/>
    <n v="1849507"/>
    <n v="247673.1869218276"/>
    <n v="80"/>
    <n v="570"/>
    <n v="33"/>
    <n v="0"/>
    <n v="0"/>
    <n v="384968"/>
    <n v="2401410"/>
    <n v="139029"/>
    <n v="0"/>
    <n v="439"/>
    <n v="1849507"/>
    <n v="360226.8907563026"/>
    <n v="45"/>
    <n v="536"/>
    <n v="23"/>
    <n v="0"/>
    <n v="0"/>
    <n v="1997136"/>
    <n v="96899"/>
    <n v="0"/>
    <n v="0"/>
    <n v="439"/>
    <n v="1849507"/>
    <n v="251067.2268907563"/>
    <n v="40"/>
    <n v="445"/>
    <n v="40"/>
    <m/>
    <n v="0"/>
    <n v="0"/>
    <n v="1874785"/>
    <n v="149040"/>
    <n v="0"/>
    <n v="0"/>
    <n v="439"/>
    <n v="1849507"/>
    <n v="436638.6554621849"/>
    <n v="100"/>
    <n v="505"/>
    <n v="66"/>
    <m/>
    <n v="0"/>
    <n v="0"/>
    <n v="2127565"/>
    <n v="245916"/>
    <n v="0"/>
    <n v="0"/>
    <n v="505"/>
    <n v="1849507"/>
    <n v="720453.7815126051"/>
    <n v="80"/>
    <n v="443"/>
    <n v="4"/>
    <n v="0"/>
    <n v="0"/>
    <n v="0"/>
    <n v="1866359"/>
    <n v="14904"/>
    <n v="0"/>
    <n v="0"/>
    <n v="443"/>
    <n v="1849507"/>
    <n v="43663.86554621849"/>
    <n v="32"/>
    <n v="439"/>
    <n v="32"/>
    <n v="0"/>
    <n v="0"/>
    <n v="0"/>
    <n v="1849507"/>
    <n v="119232"/>
    <n v="0"/>
    <n v="0"/>
    <n v="439"/>
    <n v="1849507"/>
    <n v="349310.9243697479"/>
    <n v="28.8"/>
    <n v="407"/>
    <n v="28.8"/>
    <n v="0"/>
    <n v="0"/>
    <n v="0"/>
    <n v="1516482"/>
    <n v="107308.8"/>
    <n v="0"/>
    <n v="0"/>
    <n v="407"/>
    <n v="1516482"/>
    <n v="314379.8319327731"/>
    <n v="120"/>
    <n v="378.2"/>
    <n v="120"/>
    <n v="0"/>
    <n v="0"/>
    <n v="0"/>
    <m/>
    <n v="1409173.2"/>
    <n v="447119.9999999999"/>
    <n v="0"/>
    <n v="0"/>
    <n v="378.2"/>
    <n v="1409173.2"/>
    <n v="1309915.966386555"/>
    <n v="100"/>
    <n v="258.2"/>
    <n v="100"/>
    <n v="0"/>
    <n v="0"/>
    <n v="962053.1999999998"/>
    <n v="372599.9999999999"/>
    <n v="0"/>
    <n v="0"/>
    <n v="258.2"/>
    <n v="962053.1999999998"/>
    <n v="1146176.470588235"/>
    <n v="150"/>
    <n v="158.2"/>
    <n v="150"/>
    <n v="0"/>
    <n v="0"/>
    <n v="589453.1999999998"/>
    <n v="558899.9999999999"/>
    <n v="0"/>
    <n v="158.2"/>
    <n v="589453.1999999998"/>
    <n v="1637394.957983193"/>
    <n v="60"/>
    <n v="8.199999999999989"/>
    <n v="60"/>
    <n v="0"/>
    <m/>
    <n v="30553.19999999995"/>
    <n v="252780"/>
    <n v="0"/>
    <n v="8.199999999999989"/>
    <n v="30553.19999999995"/>
    <n v="654957.9831932774"/>
  </r>
  <r>
    <m/>
    <x v="4"/>
    <x v="19"/>
    <x v="44"/>
    <s v="LHBIGMUN"/>
    <x v="270"/>
    <x v="257"/>
    <x v="0"/>
    <x v="3"/>
    <n v="1"/>
    <x v="159"/>
    <n v="164"/>
    <m/>
    <n v="0"/>
    <n v="3948"/>
    <n v="647472"/>
    <n v="3.3"/>
    <n v="3605.25"/>
    <n v="10915.96638655462"/>
    <n v="10915.96638655462"/>
    <s v="Shenzhen"/>
    <s v="30/70"/>
    <n v="30"/>
    <n v="200"/>
    <n v="0"/>
    <m/>
    <n v="0"/>
    <m/>
    <n v="0"/>
    <m/>
    <n v="0"/>
    <m/>
    <n v="0"/>
    <m/>
    <n v="0"/>
    <m/>
    <n v="0"/>
    <m/>
    <n v="0"/>
    <m/>
    <n v="2"/>
    <n v="0.7070476568442636"/>
    <n v="12"/>
    <n v="0.6220639217147489"/>
    <n v="27"/>
    <n v="0.5529099550038653"/>
    <n v="193"/>
    <n v="0.5215948376126445"/>
    <n v="62"/>
    <n v="0.2920940986825036"/>
    <n v="26"/>
    <n v="0.3893464812607982"/>
    <n v="63"/>
    <n v="0.403340447364927"/>
    <n v="20"/>
    <n v="0.5782288399405"/>
    <n v="0.6666666666666666"/>
    <n v="7"/>
    <n v="0.689930279657"/>
    <n v="0.2333333333333333"/>
    <n v="29"/>
    <n v="0.4831556144169579"/>
    <n v="0.4142857142857143"/>
    <n v="8"/>
    <n v="0.6701087490783976"/>
    <n v="0.2666666666666667"/>
    <n v="0"/>
    <s v=""/>
    <n v="0"/>
    <m/>
    <m/>
    <m/>
    <m/>
    <m/>
    <m/>
    <m/>
    <m/>
    <m/>
    <m/>
    <m/>
    <m/>
    <n v="50"/>
    <n v="98"/>
    <n v="60"/>
    <n v="100"/>
    <n v="100"/>
    <n v="0"/>
    <n v="639576"/>
    <n v="334718.9999999999"/>
    <n v="236880"/>
    <n v="0"/>
    <n v="164"/>
    <n v="647472"/>
    <n v="550384.8598262835"/>
    <n v="45"/>
    <n v="169"/>
    <n v="39"/>
    <n v="0"/>
    <n v="0"/>
    <n v="0"/>
    <n v="481656"/>
    <n v="577219.4999999999"/>
    <n v="153972"/>
    <n v="0"/>
    <n v="164"/>
    <n v="647472"/>
    <n v="357750.1588870843"/>
    <n v="72"/>
    <n v="135"/>
    <n v="63"/>
    <n v="0"/>
    <n v="0"/>
    <n v="430149"/>
    <n v="532980"/>
    <n v="248724"/>
    <n v="0"/>
    <n v="164"/>
    <n v="647472"/>
    <n v="687705.8823529412"/>
    <n v="30"/>
    <n v="77"/>
    <n v="20"/>
    <n v="0"/>
    <n v="0"/>
    <n v="262993.4999999999"/>
    <n v="78960"/>
    <n v="0"/>
    <n v="0"/>
    <n v="164"/>
    <n v="647472"/>
    <n v="218319.3277310925"/>
    <n v="30"/>
    <n v="171"/>
    <n v="30"/>
    <m/>
    <n v="0"/>
    <n v="0"/>
    <n v="675108"/>
    <n v="102465"/>
    <n v="0"/>
    <n v="0"/>
    <n v="164"/>
    <n v="647472"/>
    <n v="327478.9915966387"/>
    <n v="70"/>
    <n v="193"/>
    <n v="29"/>
    <m/>
    <n v="0"/>
    <n v="0"/>
    <n v="761964"/>
    <n v="99049.49999999999"/>
    <n v="0"/>
    <n v="0"/>
    <n v="193"/>
    <n v="647472"/>
    <n v="316563.025210084"/>
    <n v="30"/>
    <n v="172"/>
    <n v="8"/>
    <n v="150"/>
    <n v="150"/>
    <n v="0"/>
    <n v="679056"/>
    <n v="27324"/>
    <n v="495247.4999999999"/>
    <n v="0"/>
    <n v="172"/>
    <n v="647472"/>
    <n v="87327.73109243698"/>
    <n v="48"/>
    <n v="164"/>
    <n v="48"/>
    <n v="0"/>
    <n v="0"/>
    <n v="0"/>
    <n v="647472"/>
    <n v="163944"/>
    <n v="0"/>
    <n v="0"/>
    <n v="164"/>
    <n v="647472"/>
    <n v="523966.3865546219"/>
    <n v="43.2"/>
    <n v="116"/>
    <n v="43.2"/>
    <n v="0"/>
    <n v="0"/>
    <n v="102"/>
    <n v="396197.9999999999"/>
    <n v="147549.6"/>
    <n v="0"/>
    <n v="348380.9999999999"/>
    <n v="218"/>
    <n v="744578.9999999999"/>
    <n v="471569.7478991597"/>
    <n v="70"/>
    <n v="174.8"/>
    <n v="70"/>
    <n v="200"/>
    <n v="200"/>
    <n v="200"/>
    <n v="0"/>
    <n v="597029.3999999999"/>
    <n v="239085"/>
    <n v="683099.9999999999"/>
    <n v="683099.9999999999"/>
    <n v="374.8"/>
    <n v="1280129.4"/>
    <n v="764117.6470588236"/>
    <n v="60"/>
    <n v="304.8"/>
    <n v="60"/>
    <n v="0"/>
    <n v="0"/>
    <n v="1041044.4"/>
    <n v="204930"/>
    <n v="0"/>
    <n v="0"/>
    <n v="304.8"/>
    <n v="1041044.4"/>
    <n v="687705.8823529413"/>
    <n v="150"/>
    <n v="244.8"/>
    <n v="150"/>
    <n v="0"/>
    <n v="0"/>
    <n v="836114.3999999999"/>
    <n v="512324.9999999999"/>
    <n v="0"/>
    <n v="244.8"/>
    <n v="836114.3999999999"/>
    <n v="1637394.957983193"/>
    <n v="36"/>
    <n v="94.80000000000001"/>
    <n v="36"/>
    <n v="0"/>
    <m/>
    <n v="323789.4"/>
    <n v="142128"/>
    <n v="0"/>
    <n v="94.80000000000001"/>
    <n v="323789.4"/>
    <n v="392974.7899159664"/>
  </r>
  <r>
    <m/>
    <x v="4"/>
    <x v="19"/>
    <x v="44"/>
    <s v="LHBIGMU-PK"/>
    <x v="271"/>
    <x v="258"/>
    <x v="0"/>
    <x v="2"/>
    <n v="1"/>
    <x v="3"/>
    <n v="2"/>
    <m/>
    <n v="0"/>
    <n v="4034"/>
    <n v="8068"/>
    <n v="4"/>
    <n v="4370"/>
    <n v="16798.31932773109"/>
    <n v="16798.31932773109"/>
    <s v="Shenzhen"/>
    <s v="30/70"/>
    <n v="30"/>
    <n v="100"/>
    <n v="51"/>
    <n v="0.7564724811019125"/>
    <n v="67"/>
    <n v="0.7103074500731874"/>
    <n v="65"/>
    <n v="0.6740307641863043"/>
    <n v="158"/>
    <n v="0.5002746627519288"/>
    <n v="45"/>
    <n v="0.710932739442516"/>
    <n v="83"/>
    <n v="0.6827798682460469"/>
    <n v="43"/>
    <n v="0.6371002162218442"/>
    <n v="17"/>
    <n v="0.7585940890664743"/>
    <n v="9"/>
    <n v="0.7261993337478396"/>
    <n v="29"/>
    <n v="0.572968198363334"/>
    <n v="1"/>
    <n v="0.6569436176545624"/>
    <n v="3"/>
    <n v="0.6398214285714285"/>
    <n v="2"/>
    <n v="0.5633490315244282"/>
    <n v="0"/>
    <s v=""/>
    <n v="1"/>
    <n v="0.7598523960434542"/>
    <n v="1"/>
    <n v="0.6881426187949631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10"/>
    <n v="11"/>
    <n v="10"/>
    <n v="0"/>
    <n v="0"/>
    <n v="0"/>
    <n v="44374"/>
    <n v="45540"/>
    <n v="40340"/>
    <n v="0"/>
    <n v="2"/>
    <n v="8068"/>
    <n v="141162.3472918579"/>
    <n v="10"/>
    <n v="7"/>
    <n v="0"/>
    <n v="0"/>
    <n v="0"/>
    <n v="0"/>
    <n v="8068"/>
    <n v="28980"/>
    <n v="0"/>
    <n v="0"/>
    <n v="2"/>
    <n v="8068"/>
    <n v="0"/>
    <n v="0"/>
    <n v="6"/>
    <n v="1"/>
    <n v="0"/>
    <n v="0"/>
    <n v="8068"/>
    <n v="24204"/>
    <n v="4034"/>
    <n v="0"/>
    <n v="2"/>
    <n v="8068"/>
    <n v="16798.31932773109"/>
    <n v="0"/>
    <n v="8"/>
    <n v="1"/>
    <n v="0"/>
    <n v="0"/>
    <n v="33120"/>
    <n v="4034"/>
    <n v="0"/>
    <n v="0"/>
    <n v="2"/>
    <n v="8068"/>
    <n v="16798.31932773109"/>
    <n v="0"/>
    <n v="2"/>
    <n v="0"/>
    <m/>
    <n v="0"/>
    <n v="0"/>
    <n v="8068"/>
    <n v="0"/>
    <n v="0"/>
    <n v="0"/>
    <n v="2"/>
    <n v="8068"/>
    <n v="0"/>
    <n v="0"/>
    <n v="2"/>
    <n v="0"/>
    <m/>
    <n v="0"/>
    <n v="0"/>
    <n v="8068"/>
    <n v="0"/>
    <n v="0"/>
    <n v="0"/>
    <n v="2"/>
    <n v="8068"/>
    <n v="0"/>
    <n v="0"/>
    <n v="2"/>
    <n v="0"/>
    <n v="0"/>
    <n v="0"/>
    <n v="0"/>
    <n v="8068"/>
    <n v="0"/>
    <n v="0"/>
    <n v="0"/>
    <n v="2"/>
    <n v="8068"/>
    <n v="0"/>
    <n v="0"/>
    <n v="2"/>
    <n v="0"/>
    <n v="0"/>
    <n v="0"/>
    <n v="0"/>
    <n v="8068"/>
    <n v="0"/>
    <n v="0"/>
    <n v="0"/>
    <n v="2"/>
    <n v="8068"/>
    <n v="0"/>
    <n v="0"/>
    <n v="2"/>
    <n v="0"/>
    <n v="0"/>
    <n v="0"/>
    <n v="0"/>
    <n v="8280"/>
    <n v="0"/>
    <n v="0"/>
    <n v="0"/>
    <n v="2"/>
    <n v="8280"/>
    <n v="0"/>
    <n v="0"/>
    <n v="2"/>
    <n v="0"/>
    <n v="0"/>
    <n v="0"/>
    <n v="0"/>
    <m/>
    <n v="8280"/>
    <n v="0"/>
    <n v="0"/>
    <n v="0"/>
    <n v="2"/>
    <n v="8280"/>
    <n v="0"/>
    <n v="0"/>
    <n v="2"/>
    <n v="0"/>
    <n v="0"/>
    <n v="0"/>
    <n v="8280"/>
    <n v="0"/>
    <n v="0"/>
    <n v="0"/>
    <n v="2"/>
    <n v="8280"/>
    <n v="0"/>
    <n v="0"/>
    <n v="2"/>
    <n v="0"/>
    <n v="0"/>
    <n v="0"/>
    <n v="8280"/>
    <n v="0"/>
    <n v="0"/>
    <n v="2"/>
    <n v="8280"/>
    <n v="0"/>
    <n v="0"/>
    <n v="2"/>
    <n v="0"/>
    <n v="0"/>
    <m/>
    <n v="8280"/>
    <n v="0"/>
    <n v="0"/>
    <n v="2"/>
    <n v="8280"/>
    <n v="0"/>
  </r>
  <r>
    <m/>
    <x v="4"/>
    <x v="19"/>
    <x v="44"/>
    <s v="LHBOADV"/>
    <x v="272"/>
    <x v="259"/>
    <x v="0"/>
    <x v="3"/>
    <n v="1"/>
    <x v="160"/>
    <n v="178"/>
    <m/>
    <n v="0"/>
    <n v="2855"/>
    <n v="508190"/>
    <n v="2.6"/>
    <n v="2840.5"/>
    <n v="8394.957983193277"/>
    <n v="9235.294117647059"/>
    <s v="Shenzhen"/>
    <s v="30/70"/>
    <n v="30"/>
    <n v="100"/>
    <n v="29"/>
    <n v="0.6758376762487547"/>
    <n v="31"/>
    <n v="0.6939240499285927"/>
    <n v="15"/>
    <n v="0.6986356890780266"/>
    <n v="23"/>
    <n v="0.6821408741934867"/>
    <n v="25"/>
    <n v="0.6866237538586903"/>
    <n v="30"/>
    <n v="0.6931671348539541"/>
    <n v="28"/>
    <n v="0.6469873694103025"/>
    <n v="98"/>
    <n v="0.6014214423684273"/>
    <n v="6"/>
    <n v="0.6463868063765039"/>
    <n v="47"/>
    <n v="0.5965419467316334"/>
    <n v="130"/>
    <n v="0.5740368175328979"/>
    <n v="103"/>
    <n v="0.613863824592139"/>
    <n v="29"/>
    <n v="0.5334480212625651"/>
    <n v="23"/>
    <n v="0.5368869082744291"/>
    <n v="53"/>
    <n v="0.5132788257612012"/>
    <n v="48"/>
    <n v="0.5932776937011992"/>
    <n v="1.371428571428571"/>
    <n v="21"/>
    <n v="0.6357920717370033"/>
    <n v="0.42"/>
    <n v="69"/>
    <n v="0.5181385983178995"/>
    <n v="0.5307692307692308"/>
    <n v="16"/>
    <n v="0.5511218336990796"/>
    <n v="0.5333333333333333"/>
    <n v="13"/>
    <n v="0.5726128734790947"/>
    <n v="0.26"/>
    <m/>
    <m/>
    <m/>
    <m/>
    <m/>
    <m/>
    <m/>
    <m/>
    <m/>
    <m/>
    <m/>
    <m/>
    <n v="40"/>
    <n v="35"/>
    <n v="35"/>
    <n v="100"/>
    <n v="100"/>
    <n v="0"/>
    <n v="349737.5"/>
    <n v="94185"/>
    <n v="99925"/>
    <n v="0"/>
    <n v="178"/>
    <n v="508190"/>
    <n v="246910.5289174494"/>
    <n v="30"/>
    <n v="128"/>
    <n v="34.5"/>
    <n v="0"/>
    <n v="0"/>
    <n v="0"/>
    <n v="386852.5"/>
    <n v="344448"/>
    <n v="98497.5"/>
    <n v="0"/>
    <n v="178"/>
    <n v="508190"/>
    <n v="243383.2356472001"/>
    <n v="80"/>
    <n v="96"/>
    <n v="53"/>
    <n v="0"/>
    <n v="0"/>
    <n v="422905"/>
    <n v="274080"/>
    <n v="151315"/>
    <n v="0"/>
    <n v="178"/>
    <n v="508190"/>
    <n v="444932.7731092437"/>
    <n v="35"/>
    <n v="198"/>
    <n v="48"/>
    <n v="150"/>
    <n v="0"/>
    <n v="532818"/>
    <n v="137040"/>
    <n v="403650"/>
    <n v="0"/>
    <n v="178"/>
    <n v="508190"/>
    <n v="402957.9831932773"/>
    <n v="50"/>
    <n v="199"/>
    <n v="50"/>
    <m/>
    <n v="0"/>
    <n v="0"/>
    <n v="568145"/>
    <n v="134550"/>
    <n v="0"/>
    <n v="0"/>
    <n v="178"/>
    <n v="508190"/>
    <n v="419747.8991596638"/>
    <n v="130"/>
    <n v="247"/>
    <n v="69"/>
    <m/>
    <n v="0"/>
    <n v="0"/>
    <n v="705185"/>
    <n v="185679"/>
    <n v="0"/>
    <n v="0"/>
    <n v="247"/>
    <n v="508190"/>
    <n v="579252.1008403361"/>
    <n v="30"/>
    <n v="194"/>
    <n v="16"/>
    <n v="100"/>
    <n v="100"/>
    <n v="0"/>
    <n v="553870"/>
    <n v="43056"/>
    <n v="260130"/>
    <n v="0"/>
    <n v="194"/>
    <n v="508190"/>
    <n v="134319.3277310924"/>
    <n v="50"/>
    <n v="178"/>
    <n v="50"/>
    <n v="100"/>
    <n v="100"/>
    <n v="0"/>
    <n v="508190"/>
    <n v="134550"/>
    <n v="269100"/>
    <n v="0"/>
    <n v="178"/>
    <n v="508190"/>
    <n v="419747.8991596638"/>
    <n v="40"/>
    <n v="128"/>
    <n v="40"/>
    <n v="0"/>
    <n v="0"/>
    <n v="100"/>
    <n v="344448"/>
    <n v="107640"/>
    <n v="0"/>
    <n v="269100"/>
    <n v="228"/>
    <n v="613548"/>
    <n v="335798.3193277311"/>
    <n v="50"/>
    <n v="188"/>
    <n v="50"/>
    <n v="0"/>
    <n v="0"/>
    <n v="0"/>
    <m/>
    <n v="505908"/>
    <n v="134550"/>
    <n v="0"/>
    <n v="0"/>
    <n v="188"/>
    <n v="505908"/>
    <n v="461764.705882353"/>
    <n v="60"/>
    <n v="138"/>
    <n v="60"/>
    <n v="0"/>
    <n v="0"/>
    <n v="371358"/>
    <n v="161460"/>
    <n v="0"/>
    <n v="0"/>
    <n v="138"/>
    <n v="371358"/>
    <n v="581823.5294117648"/>
    <n v="90"/>
    <n v="78"/>
    <n v="90"/>
    <n v="0"/>
    <n v="0"/>
    <n v="209898"/>
    <n v="242190"/>
    <n v="0"/>
    <n v="78"/>
    <n v="209898"/>
    <n v="755546.218487395"/>
    <n v="36"/>
    <n v="0"/>
    <n v="36"/>
    <n v="0"/>
    <m/>
    <n v="0"/>
    <n v="102780"/>
    <n v="0"/>
    <n v="0"/>
    <n v="0"/>
    <n v="302218.487394958"/>
  </r>
  <r>
    <m/>
    <x v="4"/>
    <x v="19"/>
    <x v="44"/>
    <s v="LHBOADV"/>
    <x v="273"/>
    <x v="260"/>
    <x v="0"/>
    <x v="3"/>
    <n v="1"/>
    <x v="161"/>
    <n v="9"/>
    <m/>
    <n v="0"/>
    <n v="2951"/>
    <n v="26559"/>
    <n v="2.6"/>
    <n v="2840.5"/>
    <n v="8394.957983193277"/>
    <n v="9235.294117647059"/>
    <s v="Shenzhen"/>
    <s v="30/70"/>
    <n v="30"/>
    <n v="100"/>
    <n v="26"/>
    <n v="0.7128781736908097"/>
    <n v="3"/>
    <n v="0.7460234174342256"/>
    <n v="8"/>
    <n v="0.7038124426746605"/>
    <n v="16"/>
    <n v="0.7060939442372581"/>
    <n v="20"/>
    <n v="0.6955493836514626"/>
    <n v="15"/>
    <n v="0.7077854287769276"/>
    <n v="33"/>
    <n v="0.6067031672985083"/>
    <n v="9"/>
    <n v="0.6914129710529594"/>
    <n v="3"/>
    <n v="0.6689925608997744"/>
    <n v="22"/>
    <n v="0.6096344729717761"/>
    <n v="41"/>
    <n v="0.5770036866824908"/>
    <n v="142"/>
    <n v="0.5733382059464618"/>
    <n v="42"/>
    <n v="0.4321377414650183"/>
    <n v="48"/>
    <n v="0.4756534635264302"/>
    <n v="84"/>
    <n v="0.5437321083649045"/>
    <n v="42"/>
    <n v="0.5437057975829357"/>
    <n v="1.68"/>
    <n v="16"/>
    <n v="0.6849498547245375"/>
    <n v="0.4"/>
    <n v="20"/>
    <n v="0.5780650509297467"/>
    <n v="0.4"/>
    <n v="11"/>
    <n v="0.686645133087074"/>
    <n v="0.2619047619047619"/>
    <n v="11"/>
    <n v="0.6548333737673393"/>
    <n v="0.3142857142857143"/>
    <m/>
    <m/>
    <m/>
    <m/>
    <m/>
    <m/>
    <m/>
    <m/>
    <m/>
    <m/>
    <m/>
    <m/>
    <n v="35"/>
    <n v="74"/>
    <n v="60"/>
    <n v="100"/>
    <n v="127"/>
    <n v="0"/>
    <n v="637416"/>
    <n v="199134"/>
    <n v="177060"/>
    <n v="0"/>
    <n v="9"/>
    <n v="26559"/>
    <n v="423275.1924299131"/>
    <n v="30"/>
    <n v="145"/>
    <n v="72"/>
    <n v="0"/>
    <n v="0"/>
    <n v="0"/>
    <n v="584298"/>
    <n v="390195"/>
    <n v="212472"/>
    <n v="0"/>
    <n v="9"/>
    <n v="26559"/>
    <n v="507930.2309158958"/>
    <n v="45"/>
    <n v="93"/>
    <n v="84"/>
    <n v="0"/>
    <n v="0"/>
    <n v="479466"/>
    <n v="274443"/>
    <n v="247884"/>
    <n v="0"/>
    <n v="9"/>
    <n v="26559"/>
    <n v="705176.4705882353"/>
    <n v="25"/>
    <n v="106"/>
    <n v="42"/>
    <n v="0"/>
    <n v="0"/>
    <n v="285246"/>
    <n v="123942"/>
    <n v="0"/>
    <n v="0"/>
    <n v="9"/>
    <n v="26559"/>
    <n v="352588.2352941177"/>
    <n v="40"/>
    <n v="25"/>
    <n v="40"/>
    <m/>
    <n v="0"/>
    <n v="0"/>
    <n v="73775"/>
    <n v="107640"/>
    <n v="0"/>
    <n v="0"/>
    <n v="9"/>
    <n v="26559"/>
    <n v="335798.3193277311"/>
    <n v="50"/>
    <n v="29"/>
    <n v="20"/>
    <m/>
    <n v="0"/>
    <n v="0"/>
    <n v="85579"/>
    <n v="53820"/>
    <n v="0"/>
    <n v="0"/>
    <n v="29"/>
    <n v="26559"/>
    <n v="167899.1596638655"/>
    <n v="42"/>
    <n v="20"/>
    <n v="11"/>
    <n v="0"/>
    <n v="0"/>
    <n v="0"/>
    <n v="59020"/>
    <n v="29601"/>
    <n v="0"/>
    <n v="0"/>
    <n v="20"/>
    <n v="26559"/>
    <n v="92344.53781512605"/>
    <n v="35"/>
    <n v="9"/>
    <n v="35"/>
    <n v="100"/>
    <n v="100"/>
    <n v="0"/>
    <n v="26559"/>
    <n v="94185"/>
    <n v="269100"/>
    <n v="0"/>
    <n v="9"/>
    <n v="26559"/>
    <n v="293823.5294117647"/>
    <n v="25"/>
    <n v="0"/>
    <n v="25"/>
    <n v="0"/>
    <n v="0"/>
    <n v="100"/>
    <n v="0"/>
    <n v="67275"/>
    <n v="0"/>
    <n v="269100"/>
    <n v="100"/>
    <n v="269100"/>
    <n v="209873.9495798319"/>
    <n v="35"/>
    <n v="75"/>
    <n v="35"/>
    <n v="0"/>
    <n v="0"/>
    <n v="0"/>
    <m/>
    <n v="201825"/>
    <n v="94185"/>
    <n v="0"/>
    <n v="0"/>
    <n v="75"/>
    <n v="201825"/>
    <n v="323235.2941176471"/>
    <n v="0"/>
    <n v="40"/>
    <n v="0"/>
    <n v="0"/>
    <n v="0"/>
    <n v="107640"/>
    <n v="0"/>
    <n v="0"/>
    <n v="0"/>
    <n v="40"/>
    <n v="107640"/>
    <n v="0"/>
    <n v="5"/>
    <n v="40"/>
    <n v="5"/>
    <n v="0"/>
    <n v="0"/>
    <n v="107640"/>
    <n v="13455"/>
    <n v="0"/>
    <n v="40"/>
    <n v="107640"/>
    <n v="41974.78991596639"/>
    <n v="0"/>
    <n v="35"/>
    <n v="0"/>
    <n v="0"/>
    <m/>
    <n v="94185"/>
    <n v="0"/>
    <n v="0"/>
    <n v="35"/>
    <n v="94185"/>
    <n v="0"/>
  </r>
  <r>
    <m/>
    <x v="4"/>
    <x v="19"/>
    <x v="44"/>
    <s v="LHBOADV"/>
    <x v="274"/>
    <x v="261"/>
    <x v="0"/>
    <x v="3"/>
    <n v="1"/>
    <x v="162"/>
    <n v="62"/>
    <m/>
    <n v="0"/>
    <n v="2966"/>
    <n v="183892"/>
    <n v="2.6"/>
    <n v="2840.5"/>
    <n v="8394.957983193277"/>
    <n v="9235.294117647059"/>
    <s v="Shenzhen"/>
    <s v="30/70"/>
    <n v="30"/>
    <n v="100"/>
    <n v="35"/>
    <n v="0.6941391645501317"/>
    <n v="29"/>
    <n v="0.6838988127817526"/>
    <n v="49"/>
    <n v="0.7088535259295331"/>
    <n v="15"/>
    <n v="0.6770439224252589"/>
    <n v="37"/>
    <n v="0.6911102206832996"/>
    <n v="22"/>
    <n v="0.7095995488867548"/>
    <n v="36"/>
    <n v="0.6154125076321417"/>
    <n v="11"/>
    <n v="0.6925913383036012"/>
    <n v="9"/>
    <n v="0.6565629447488008"/>
    <n v="26"/>
    <n v="0.6181136746795928"/>
    <n v="101"/>
    <n v="0.5933767463712175"/>
    <n v="71"/>
    <n v="0.5774281838217814"/>
    <n v="22"/>
    <n v="0.5304802630242904"/>
    <n v="17"/>
    <n v="0.5675427087063262"/>
    <n v="66"/>
    <n v="0.5592428889832873"/>
    <n v="160"/>
    <n v="0.5850870755958361"/>
    <n v="4.571428571428571"/>
    <n v="20"/>
    <n v="0.6833279706956505"/>
    <n v="0.5"/>
    <n v="14"/>
    <n v="0.5880526104259918"/>
    <n v="0.14"/>
    <n v="19"/>
    <n v="0.6385010857563901"/>
    <n v="0.8636363636363636"/>
    <n v="3"/>
    <n v="0.6343690487995538"/>
    <n v="0.15"/>
    <m/>
    <m/>
    <m/>
    <m/>
    <m/>
    <m/>
    <m/>
    <m/>
    <m/>
    <m/>
    <m/>
    <m/>
    <n v="45"/>
    <n v="21"/>
    <n v="30"/>
    <n v="100"/>
    <n v="100"/>
    <n v="0"/>
    <n v="360369"/>
    <n v="56511"/>
    <n v="88980"/>
    <n v="0"/>
    <n v="62"/>
    <n v="183892"/>
    <n v="211637.5962149566"/>
    <n v="40"/>
    <n v="114"/>
    <n v="25.5"/>
    <n v="100"/>
    <n v="100"/>
    <n v="0"/>
    <n v="745949"/>
    <n v="306774"/>
    <n v="75633"/>
    <n v="0"/>
    <n v="62"/>
    <n v="183892"/>
    <n v="179891.9567827131"/>
    <n v="50"/>
    <n v="128"/>
    <n v="66"/>
    <n v="0"/>
    <n v="0"/>
    <n v="777956"/>
    <n v="379648"/>
    <n v="195756"/>
    <n v="0"/>
    <n v="62"/>
    <n v="183892"/>
    <n v="554067.2268907563"/>
    <n v="35"/>
    <n v="235"/>
    <n v="160"/>
    <n v="100"/>
    <n v="0"/>
    <n v="632385"/>
    <n v="474560"/>
    <n v="269100"/>
    <n v="0"/>
    <n v="62"/>
    <n v="183892"/>
    <n v="1343193.277310924"/>
    <n v="40"/>
    <n v="82"/>
    <n v="40"/>
    <m/>
    <n v="0"/>
    <n v="0"/>
    <n v="243212"/>
    <n v="107640"/>
    <n v="0"/>
    <n v="0"/>
    <n v="62"/>
    <n v="183892"/>
    <n v="335798.3193277311"/>
    <n v="100"/>
    <n v="76"/>
    <n v="14"/>
    <m/>
    <n v="0"/>
    <n v="0"/>
    <n v="225416"/>
    <n v="37674"/>
    <n v="0"/>
    <n v="0"/>
    <n v="76"/>
    <n v="183892"/>
    <n v="117529.4117647059"/>
    <n v="22"/>
    <n v="81"/>
    <n v="19"/>
    <n v="0"/>
    <n v="0"/>
    <n v="0"/>
    <n v="240246"/>
    <n v="51129"/>
    <n v="0"/>
    <n v="0"/>
    <n v="81"/>
    <n v="183892"/>
    <n v="159504.2016806723"/>
    <n v="20"/>
    <n v="62"/>
    <n v="20"/>
    <n v="100"/>
    <n v="100"/>
    <n v="0"/>
    <n v="183892"/>
    <n v="53820"/>
    <n v="269100"/>
    <n v="0"/>
    <n v="62"/>
    <n v="183892"/>
    <n v="167899.1596638655"/>
    <n v="25"/>
    <n v="42"/>
    <n v="25"/>
    <n v="0"/>
    <n v="0"/>
    <n v="100"/>
    <n v="113022"/>
    <n v="67275"/>
    <n v="0"/>
    <n v="269100"/>
    <n v="142"/>
    <n v="382122"/>
    <n v="209873.9495798319"/>
    <n v="50"/>
    <n v="117"/>
    <n v="50"/>
    <n v="0"/>
    <n v="0"/>
    <n v="0"/>
    <m/>
    <n v="314847"/>
    <n v="134550"/>
    <n v="0"/>
    <n v="0"/>
    <n v="117"/>
    <n v="314847"/>
    <n v="461764.705882353"/>
    <n v="31"/>
    <n v="67"/>
    <n v="31"/>
    <n v="0"/>
    <n v="0"/>
    <n v="180297"/>
    <n v="83421"/>
    <n v="0"/>
    <n v="0"/>
    <n v="67"/>
    <n v="180297"/>
    <n v="300608.8235294118"/>
    <n v="15"/>
    <n v="36"/>
    <n v="15"/>
    <n v="0"/>
    <n v="0"/>
    <n v="96876"/>
    <n v="40365"/>
    <n v="0"/>
    <n v="36"/>
    <n v="96876"/>
    <n v="125924.3697478992"/>
    <n v="18.6"/>
    <n v="21"/>
    <n v="18.6"/>
    <n v="0"/>
    <m/>
    <n v="56511"/>
    <n v="55167.59999999999"/>
    <n v="0"/>
    <n v="21"/>
    <n v="56511"/>
    <n v="156146.2184873949"/>
  </r>
  <r>
    <m/>
    <x v="4"/>
    <x v="19"/>
    <x v="44"/>
    <s v="LHBOADV"/>
    <x v="275"/>
    <x v="262"/>
    <x v="0"/>
    <x v="3"/>
    <n v="1"/>
    <x v="163"/>
    <n v="111"/>
    <m/>
    <n v="0"/>
    <n v="2968"/>
    <n v="329448"/>
    <n v="2.6"/>
    <n v="2840.5"/>
    <n v="8394.957983193277"/>
    <n v="9235.294117647059"/>
    <s v="Shenzhen"/>
    <s v="30/70"/>
    <n v="30"/>
    <n v="100"/>
    <n v="51"/>
    <n v="0.7166531184444279"/>
    <n v="34"/>
    <n v="0.7190720105063857"/>
    <n v="25"/>
    <n v="0.7152804815502645"/>
    <n v="59"/>
    <n v="0.6177445390114349"/>
    <n v="18"/>
    <n v="0.6913211992483589"/>
    <n v="29"/>
    <n v="0.6988692057530234"/>
    <n v="27"/>
    <n v="0.6548856186122765"/>
    <n v="14"/>
    <n v="0.7044225568759769"/>
    <n v="13"/>
    <n v="0.6924202122424531"/>
    <n v="49"/>
    <n v="0.585909695374189"/>
    <n v="153"/>
    <n v="0.579223160854177"/>
    <n v="89"/>
    <n v="0.5945409337343216"/>
    <n v="16"/>
    <n v="0.5715040731815132"/>
    <n v="30"/>
    <n v="0.5389417866479898"/>
    <n v="61"/>
    <n v="0.5316499092701992"/>
    <n v="40"/>
    <n v="0.5993048549660052"/>
    <n v="1"/>
    <n v="19"/>
    <n v="0.6666085965607325"/>
    <n v="0.5428571428571428"/>
    <n v="24"/>
    <n v="0.5922600628511829"/>
    <n v="0.2"/>
    <n v="16"/>
    <n v="0.5635060231608108"/>
    <n v="1.066666666666667"/>
    <n v="6"/>
    <n v="0.6464476514561688"/>
    <n v="0.1818181818181818"/>
    <m/>
    <m/>
    <m/>
    <m/>
    <m/>
    <m/>
    <m/>
    <m/>
    <m/>
    <m/>
    <m/>
    <m/>
    <n v="40"/>
    <n v="1"/>
    <n v="5"/>
    <n v="100"/>
    <n v="100"/>
    <n v="0"/>
    <n v="329448"/>
    <n v="2691"/>
    <n v="14840"/>
    <n v="0"/>
    <n v="111"/>
    <n v="329448"/>
    <n v="35272.93270249276"/>
    <n v="35"/>
    <n v="111"/>
    <n v="45"/>
    <n v="0"/>
    <n v="0"/>
    <n v="0"/>
    <n v="433328"/>
    <n v="298701"/>
    <n v="133560"/>
    <n v="0"/>
    <n v="111"/>
    <n v="329448"/>
    <n v="317456.3943224348"/>
    <n v="40"/>
    <n v="71"/>
    <n v="61"/>
    <n v="0"/>
    <n v="0"/>
    <n v="393953"/>
    <n v="210728"/>
    <n v="181048"/>
    <n v="0"/>
    <n v="111"/>
    <n v="329448"/>
    <n v="512092.4369747899"/>
    <n v="40"/>
    <n v="180"/>
    <n v="40"/>
    <n v="150"/>
    <n v="0"/>
    <n v="484380"/>
    <n v="118720"/>
    <n v="403650"/>
    <n v="0"/>
    <n v="111"/>
    <n v="329448"/>
    <n v="335798.3193277311"/>
    <n v="35"/>
    <n v="130"/>
    <n v="35"/>
    <m/>
    <n v="0"/>
    <n v="0"/>
    <n v="385840"/>
    <n v="94185"/>
    <n v="0"/>
    <n v="0"/>
    <n v="111"/>
    <n v="329448"/>
    <n v="293823.5294117647"/>
    <n v="120"/>
    <n v="135"/>
    <n v="24"/>
    <m/>
    <n v="0"/>
    <n v="0"/>
    <n v="400680"/>
    <n v="64584"/>
    <n v="0"/>
    <n v="0"/>
    <n v="135"/>
    <n v="329448"/>
    <n v="201478.9915966386"/>
    <n v="15"/>
    <n v="127"/>
    <n v="16"/>
    <n v="0"/>
    <n v="0"/>
    <n v="0"/>
    <n v="376936"/>
    <n v="43056"/>
    <n v="0"/>
    <n v="0"/>
    <n v="127"/>
    <n v="329448"/>
    <n v="134319.3277310924"/>
    <n v="33"/>
    <n v="111"/>
    <n v="33"/>
    <n v="100"/>
    <n v="100"/>
    <n v="0"/>
    <n v="329448"/>
    <n v="88803"/>
    <n v="269100"/>
    <n v="0"/>
    <n v="111"/>
    <n v="329448"/>
    <n v="277033.6134453781"/>
    <n v="35"/>
    <n v="78"/>
    <n v="35"/>
    <n v="0"/>
    <n v="0"/>
    <n v="100"/>
    <n v="209898"/>
    <n v="94185"/>
    <n v="0"/>
    <n v="269100"/>
    <n v="178"/>
    <n v="478998"/>
    <n v="293823.5294117647"/>
    <n v="40"/>
    <n v="143"/>
    <n v="40"/>
    <n v="0"/>
    <n v="0"/>
    <n v="0"/>
    <m/>
    <n v="384813"/>
    <n v="107640"/>
    <n v="0"/>
    <n v="0"/>
    <n v="143"/>
    <n v="384813"/>
    <n v="369411.7647058824"/>
    <n v="56"/>
    <n v="103"/>
    <n v="56"/>
    <n v="0"/>
    <n v="0"/>
    <n v="277173"/>
    <n v="150696"/>
    <n v="0"/>
    <n v="0"/>
    <n v="103"/>
    <n v="277173"/>
    <n v="543035.2941176471"/>
    <n v="20"/>
    <n v="47"/>
    <n v="20"/>
    <n v="0"/>
    <n v="0"/>
    <n v="126477"/>
    <n v="53820"/>
    <n v="0"/>
    <n v="47"/>
    <n v="126477"/>
    <n v="167899.1596638655"/>
    <n v="33.6"/>
    <n v="27"/>
    <n v="33.6"/>
    <n v="0"/>
    <m/>
    <n v="72657"/>
    <n v="99724.8"/>
    <n v="0"/>
    <n v="27"/>
    <n v="72657"/>
    <n v="282070.5882352941"/>
  </r>
  <r>
    <m/>
    <x v="4"/>
    <x v="19"/>
    <x v="44"/>
    <s v="LHBOHY95"/>
    <x v="276"/>
    <x v="263"/>
    <x v="0"/>
    <x v="2"/>
    <n v="1"/>
    <x v="3"/>
    <n v="4"/>
    <m/>
    <n v="0"/>
    <n v="4684"/>
    <n v="18736"/>
    <n v="4"/>
    <n v="4370"/>
    <n v="12596.63865546219"/>
    <n v="8394.957983193277"/>
    <s v="Shenzhen"/>
    <s v="30/70"/>
    <n v="30"/>
    <n v="100"/>
    <n v="15"/>
    <n v="0.63264991711665"/>
    <n v="20"/>
    <n v="0.6661321169487799"/>
    <n v="33"/>
    <n v="0.6358081122457566"/>
    <n v="43"/>
    <n v="0.5983146405685871"/>
    <n v="25"/>
    <n v="0.6214972425291778"/>
    <n v="39"/>
    <n v="0.5571320357245796"/>
    <n v="30"/>
    <n v="0.5063337861349295"/>
    <n v="17"/>
    <n v="0.5945080717760738"/>
    <n v="18"/>
    <n v="0.5778779899279615"/>
    <n v="14"/>
    <n v="0.5295410193218428"/>
    <n v="6"/>
    <n v="0.5790545803127434"/>
    <n v="3"/>
    <n v="0.468813789975051"/>
    <n v="2"/>
    <n v="0.4554754760350859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6"/>
    <n v="0"/>
    <n v="0"/>
    <n v="0"/>
    <n v="0"/>
    <n v="0"/>
    <n v="24840"/>
    <n v="0"/>
    <n v="0"/>
    <n v="4"/>
    <n v="18736"/>
    <n v="0"/>
    <n v="0"/>
    <n v="4"/>
    <n v="0"/>
    <n v="0"/>
    <n v="0"/>
    <n v="0"/>
    <n v="0"/>
    <n v="16560"/>
    <n v="0"/>
    <n v="0"/>
    <n v="4"/>
    <n v="18736"/>
    <n v="0"/>
    <n v="0"/>
    <n v="4"/>
    <n v="0"/>
    <n v="0"/>
    <n v="0"/>
    <n v="0"/>
    <n v="18736"/>
    <n v="0"/>
    <n v="0"/>
    <n v="4"/>
    <n v="18736"/>
    <n v="0"/>
    <n v="0"/>
    <n v="4"/>
    <n v="0"/>
    <n v="0"/>
    <n v="0"/>
    <n v="16560"/>
    <n v="0"/>
    <n v="0"/>
    <n v="0"/>
    <n v="4"/>
    <n v="18736"/>
    <n v="0"/>
    <n v="0"/>
    <n v="4"/>
    <n v="0"/>
    <m/>
    <n v="0"/>
    <n v="0"/>
    <n v="18736"/>
    <n v="0"/>
    <n v="0"/>
    <n v="0"/>
    <n v="4"/>
    <n v="18736"/>
    <n v="0"/>
    <n v="0"/>
    <n v="4"/>
    <n v="0"/>
    <m/>
    <n v="0"/>
    <n v="0"/>
    <n v="18736"/>
    <n v="0"/>
    <n v="0"/>
    <n v="0"/>
    <n v="4"/>
    <n v="18736"/>
    <n v="0"/>
    <n v="0"/>
    <n v="4"/>
    <n v="0"/>
    <n v="0"/>
    <n v="0"/>
    <n v="0"/>
    <n v="18736"/>
    <n v="0"/>
    <n v="0"/>
    <n v="0"/>
    <n v="4"/>
    <n v="18736"/>
    <n v="0"/>
    <n v="0"/>
    <n v="4"/>
    <n v="0"/>
    <n v="0"/>
    <n v="0"/>
    <n v="0"/>
    <n v="18736"/>
    <n v="0"/>
    <n v="0"/>
    <n v="0"/>
    <n v="4"/>
    <n v="18736"/>
    <n v="0"/>
    <n v="0"/>
    <n v="4"/>
    <n v="0"/>
    <n v="0"/>
    <n v="0"/>
    <n v="0"/>
    <n v="16560"/>
    <n v="0"/>
    <n v="0"/>
    <n v="0"/>
    <n v="4"/>
    <n v="16560"/>
    <n v="0"/>
    <n v="0"/>
    <n v="4"/>
    <n v="0"/>
    <n v="0"/>
    <n v="0"/>
    <n v="0"/>
    <m/>
    <n v="16560"/>
    <n v="0"/>
    <n v="0"/>
    <n v="0"/>
    <n v="4"/>
    <n v="16560"/>
    <n v="0"/>
    <n v="0"/>
    <n v="4"/>
    <n v="0"/>
    <n v="0"/>
    <n v="0"/>
    <n v="16560"/>
    <n v="0"/>
    <n v="0"/>
    <n v="0"/>
    <n v="4"/>
    <n v="16560"/>
    <n v="0"/>
    <n v="0"/>
    <n v="4"/>
    <n v="0"/>
    <n v="0"/>
    <n v="0"/>
    <n v="16560"/>
    <n v="0"/>
    <n v="0"/>
    <n v="4"/>
    <n v="16560"/>
    <n v="0"/>
    <n v="0"/>
    <n v="4"/>
    <n v="0"/>
    <n v="0"/>
    <m/>
    <n v="16560"/>
    <n v="0"/>
    <n v="0"/>
    <n v="4"/>
    <n v="16560"/>
    <n v="0"/>
  </r>
  <r>
    <m/>
    <x v="4"/>
    <x v="19"/>
    <x v="44"/>
    <s v="LHBOHY95"/>
    <x v="277"/>
    <x v="264"/>
    <x v="0"/>
    <x v="5"/>
    <n v="1"/>
    <x v="164"/>
    <n v="0"/>
    <m/>
    <n v="0"/>
    <n v="4758"/>
    <n v="0"/>
    <n v="4"/>
    <n v="4370"/>
    <n v="11016.80672268908"/>
    <n v="9364.285714285714"/>
    <s v="Shenzhen"/>
    <s v="30/70"/>
    <n v="30"/>
    <n v="100"/>
    <n v="52"/>
    <n v="0.6122048524274374"/>
    <n v="44"/>
    <n v="0.6419228499775785"/>
    <n v="14"/>
    <n v="0.6476060360629442"/>
    <n v="0"/>
    <n v="0.6476113360323886"/>
    <n v="2"/>
    <n v="0.5897921591365238"/>
    <n v="49"/>
    <n v="0.5569171394678155"/>
    <n v="35"/>
    <n v="0.5017945031468791"/>
    <n v="15"/>
    <n v="0.588357886150728"/>
    <n v="8"/>
    <n v="0.5766840519110795"/>
    <n v="16"/>
    <n v="0.5518238653087657"/>
    <n v="16"/>
    <n v="0.5599190126596914"/>
    <n v="21"/>
    <n v="0.4931850548301657"/>
    <n v="2"/>
    <n v="0.2258052394933979"/>
    <n v="1"/>
    <n v="0.4332340763675888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2"/>
    <n v="0"/>
    <n v="0"/>
    <n v="0"/>
    <n v="0"/>
    <n v="7137"/>
    <n v="8280"/>
    <n v="0"/>
    <n v="0"/>
    <n v="0"/>
    <n v="0"/>
    <n v="0"/>
    <n v="0"/>
    <n v="2"/>
    <n v="1.5"/>
    <n v="0"/>
    <n v="0"/>
    <n v="0"/>
    <n v="7137"/>
    <n v="8280"/>
    <n v="7137"/>
    <n v="0"/>
    <n v="0"/>
    <n v="0"/>
    <n v="13886.731163053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19"/>
    <x v="44"/>
    <s v="LHBOHYCO"/>
    <x v="278"/>
    <x v="265"/>
    <x v="0"/>
    <x v="1"/>
    <n v="1"/>
    <x v="165"/>
    <n v="4"/>
    <m/>
    <n v="0"/>
    <n v="5235"/>
    <n v="20940"/>
    <n v="5.15"/>
    <n v="5626.375"/>
    <n v="12596.63865546219"/>
    <n v="12596.63865546219"/>
    <s v="Ningbo"/>
    <s v="30/7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8"/>
    <n v="0.5016913157232153"/>
    <n v="111"/>
    <n v="0.3571354413707604"/>
    <n v="28"/>
    <n v="0.4859247528025213"/>
    <n v="28"/>
    <n v="0.4534448650459618"/>
    <n v="64"/>
    <n v="0.4243136931805327"/>
    <n v="35"/>
    <n v="0.5100957212426663"/>
    <n v="0.7"/>
    <n v="44"/>
    <n v="0.50381342788322"/>
    <n v="0.88"/>
    <n v="24"/>
    <n v="0.4920185472435754"/>
    <n v="0.24"/>
    <n v="10"/>
    <n v="0.4393708757970928"/>
    <n v="0.25"/>
    <n v="0"/>
    <s v=""/>
    <n v="0"/>
    <m/>
    <m/>
    <m/>
    <m/>
    <m/>
    <m/>
    <m/>
    <m/>
    <m/>
    <m/>
    <m/>
    <m/>
    <n v="30"/>
    <n v="64"/>
    <n v="20"/>
    <n v="0"/>
    <n v="200"/>
    <n v="0"/>
    <n v="659610"/>
    <n v="341136"/>
    <n v="104700"/>
    <n v="0"/>
    <n v="4"/>
    <n v="20940"/>
    <n v="211708.2126968435"/>
    <n v="30"/>
    <n v="310"/>
    <n v="42"/>
    <n v="0"/>
    <n v="0"/>
    <n v="0"/>
    <n v="738135"/>
    <n v="1652377.5"/>
    <n v="219870"/>
    <n v="0"/>
    <n v="4"/>
    <n v="20940"/>
    <n v="444587.2466633713"/>
    <n v="90"/>
    <n v="271"/>
    <n v="64"/>
    <n v="0"/>
    <n v="0"/>
    <n v="784777.5"/>
    <n v="1418685"/>
    <n v="335040"/>
    <n v="0"/>
    <n v="4"/>
    <n v="20940"/>
    <n v="806184.8739495799"/>
    <n v="50"/>
    <n v="118"/>
    <n v="35"/>
    <n v="0"/>
    <n v="0"/>
    <n v="628969.5"/>
    <n v="183225"/>
    <n v="0"/>
    <n v="0"/>
    <n v="4"/>
    <n v="20940"/>
    <n v="440882.3529411765"/>
    <n v="50"/>
    <n v="48"/>
    <n v="50"/>
    <m/>
    <n v="0"/>
    <n v="0"/>
    <n v="251280"/>
    <n v="266512.5"/>
    <n v="0"/>
    <n v="0"/>
    <n v="4"/>
    <n v="20940"/>
    <n v="629831.9327731093"/>
    <n v="100"/>
    <n v="28"/>
    <n v="24"/>
    <m/>
    <n v="0"/>
    <n v="0"/>
    <n v="146580"/>
    <n v="127926"/>
    <n v="0"/>
    <n v="0"/>
    <n v="28"/>
    <n v="20940"/>
    <n v="302319.3277310925"/>
    <n v="40"/>
    <n v="14"/>
    <n v="10"/>
    <n v="0"/>
    <n v="0"/>
    <n v="0"/>
    <n v="73290"/>
    <n v="53302.5"/>
    <n v="0"/>
    <n v="0"/>
    <n v="14"/>
    <n v="20940"/>
    <n v="125966.3865546219"/>
    <n v="40"/>
    <n v="4"/>
    <n v="40"/>
    <n v="0"/>
    <n v="0"/>
    <n v="0"/>
    <n v="20940"/>
    <n v="213210"/>
    <n v="0"/>
    <n v="0"/>
    <n v="4"/>
    <n v="20940"/>
    <n v="503865.5462184874"/>
    <n v="40"/>
    <n v="0"/>
    <n v="40"/>
    <n v="0"/>
    <n v="0"/>
    <n v="0"/>
    <n v="0"/>
    <n v="213210"/>
    <n v="0"/>
    <n v="0"/>
    <n v="0"/>
    <n v="0"/>
    <n v="503865.5462184874"/>
    <n v="70"/>
    <n v="0"/>
    <n v="0"/>
    <n v="500"/>
    <n v="500"/>
    <n v="500"/>
    <n v="0"/>
    <n v="0"/>
    <n v="0"/>
    <n v="2665125"/>
    <n v="2665125"/>
    <n v="500"/>
    <n v="2665125"/>
    <n v="0"/>
    <n v="60"/>
    <n v="500"/>
    <n v="60"/>
    <n v="0"/>
    <n v="0"/>
    <n v="2665125"/>
    <n v="319815"/>
    <n v="0"/>
    <n v="0"/>
    <n v="500"/>
    <n v="2665125"/>
    <n v="793588.2352941177"/>
    <n v="100"/>
    <n v="440"/>
    <n v="100"/>
    <n v="0"/>
    <n v="0"/>
    <n v="2345310"/>
    <n v="533025"/>
    <n v="0"/>
    <n v="440"/>
    <n v="2345310"/>
    <n v="1259663.865546219"/>
    <n v="36"/>
    <n v="340"/>
    <n v="36"/>
    <n v="0"/>
    <m/>
    <n v="1812285"/>
    <n v="188460"/>
    <n v="0"/>
    <n v="340"/>
    <n v="1812285"/>
    <n v="453478.9915966387"/>
  </r>
  <r>
    <m/>
    <x v="4"/>
    <x v="19"/>
    <x v="44"/>
    <s v="LHBOHYCO"/>
    <x v="279"/>
    <x v="266"/>
    <x v="0"/>
    <x v="1"/>
    <n v="1"/>
    <x v="166"/>
    <n v="383"/>
    <m/>
    <n v="0"/>
    <n v="5737"/>
    <n v="2197271"/>
    <n v="5.15"/>
    <n v="5626.375"/>
    <n v="12596.63865546219"/>
    <n v="12596.63865546219"/>
    <s v="Ningbo"/>
    <s v="30/7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5"/>
    <n v="0.4752588986773558"/>
    <n v="143"/>
    <n v="0.4024617199255532"/>
    <n v="24"/>
    <n v="0.5113498838455994"/>
    <n v="25"/>
    <n v="0.4355370175150896"/>
    <n v="173"/>
    <n v="0.4186033500131788"/>
    <n v="16"/>
    <n v="0.4196744496208956"/>
    <n v="0.32"/>
    <n v="2"/>
    <n v="0.5065241851727654"/>
    <n v="0.02"/>
    <n v="53"/>
    <n v="0.2600252316526732"/>
    <n v="0.3533333333333333"/>
    <n v="32"/>
    <n v="0.5224226441332074"/>
    <n v="0.4"/>
    <n v="29"/>
    <n v="0.4717457472075072"/>
    <n v="0.3625"/>
    <m/>
    <m/>
    <m/>
    <m/>
    <m/>
    <m/>
    <m/>
    <m/>
    <m/>
    <m/>
    <m/>
    <m/>
    <n v="40"/>
    <n v="39"/>
    <n v="35"/>
    <n v="0"/>
    <n v="200"/>
    <n v="0"/>
    <n v="1408433.5"/>
    <n v="207879.75"/>
    <n v="200795"/>
    <n v="0"/>
    <n v="383"/>
    <n v="2197271"/>
    <n v="370489.3722194761"/>
    <n v="40"/>
    <n v="215"/>
    <n v="37.5"/>
    <n v="0"/>
    <n v="0"/>
    <n v="0"/>
    <n v="1299430.5"/>
    <n v="1146003.75"/>
    <n v="215137.5"/>
    <n v="0"/>
    <n v="383"/>
    <n v="2197271"/>
    <n v="396952.8988065815"/>
    <n v="80"/>
    <n v="165"/>
    <n v="173"/>
    <n v="0"/>
    <n v="0"/>
    <n v="1617318"/>
    <n v="946605"/>
    <n v="992501"/>
    <n v="0"/>
    <n v="383"/>
    <n v="2197271"/>
    <n v="2179218.487394958"/>
    <n v="50"/>
    <n v="19"/>
    <n v="16"/>
    <n v="0"/>
    <n v="0"/>
    <n v="101274.75"/>
    <n v="91792"/>
    <n v="0"/>
    <n v="0"/>
    <n v="383"/>
    <n v="2197271"/>
    <n v="201546.218487395"/>
    <n v="100"/>
    <n v="385"/>
    <n v="100"/>
    <m/>
    <n v="0"/>
    <n v="0"/>
    <n v="2208745"/>
    <n v="533025"/>
    <n v="0"/>
    <n v="0"/>
    <n v="383"/>
    <n v="2197271"/>
    <n v="1259663.865546219"/>
    <n v="150"/>
    <n v="436"/>
    <n v="53"/>
    <m/>
    <n v="0"/>
    <n v="0"/>
    <n v="2501332"/>
    <n v="282503.25"/>
    <n v="0"/>
    <n v="0"/>
    <n v="436"/>
    <n v="2197271"/>
    <n v="667621.8487394959"/>
    <n v="80"/>
    <n v="415"/>
    <n v="32"/>
    <n v="500"/>
    <n v="500"/>
    <n v="0"/>
    <n v="2380855"/>
    <n v="170568"/>
    <n v="2576287.5"/>
    <n v="0"/>
    <n v="415"/>
    <n v="2197271"/>
    <n v="403092.4369747899"/>
    <n v="80"/>
    <n v="383"/>
    <n v="80"/>
    <n v="0"/>
    <n v="0"/>
    <n v="0"/>
    <n v="2197271"/>
    <n v="426420"/>
    <n v="0"/>
    <n v="0"/>
    <n v="383"/>
    <n v="2197271"/>
    <n v="1007731.092436975"/>
    <n v="80"/>
    <n v="303"/>
    <n v="80"/>
    <n v="0"/>
    <n v="0"/>
    <n v="0"/>
    <n v="1615065.75"/>
    <n v="426420"/>
    <n v="0"/>
    <n v="0"/>
    <n v="303"/>
    <n v="1615065.75"/>
    <n v="1007731.092436975"/>
    <n v="120"/>
    <n v="223"/>
    <n v="120"/>
    <n v="0"/>
    <n v="0"/>
    <n v="0"/>
    <m/>
    <n v="1188645.75"/>
    <n v="639630"/>
    <n v="0"/>
    <n v="0"/>
    <n v="223"/>
    <n v="1188645.75"/>
    <n v="1511596.638655462"/>
    <n v="80"/>
    <n v="103"/>
    <n v="80"/>
    <n v="0"/>
    <n v="0"/>
    <n v="549015.75"/>
    <n v="426420"/>
    <n v="0"/>
    <n v="0"/>
    <n v="103"/>
    <n v="549015.75"/>
    <n v="1058117.647058824"/>
    <n v="150"/>
    <n v="23"/>
    <n v="150"/>
    <n v="0"/>
    <n v="0"/>
    <n v="122595.75"/>
    <n v="799537.5"/>
    <n v="0"/>
    <n v="23"/>
    <n v="122595.75"/>
    <n v="1889495.798319328"/>
    <n v="48"/>
    <n v="0"/>
    <n v="48"/>
    <n v="0"/>
    <m/>
    <n v="0"/>
    <n v="275376"/>
    <n v="0"/>
    <n v="0"/>
    <n v="0"/>
    <n v="604638.6554621849"/>
  </r>
  <r>
    <m/>
    <x v="4"/>
    <x v="19"/>
    <x v="44"/>
    <s v="LHBOHYCO"/>
    <x v="280"/>
    <x v="267"/>
    <x v="0"/>
    <x v="1"/>
    <n v="1.2"/>
    <x v="167"/>
    <n v="89"/>
    <m/>
    <n v="0"/>
    <n v="5197"/>
    <n v="462533"/>
    <n v="5.15"/>
    <n v="5626.375"/>
    <n v="12596.63865546219"/>
    <n v="12596.63865546219"/>
    <s v="Ningbo"/>
    <s v="30/7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5"/>
    <n v="0.2895137726943536"/>
    <n v="37"/>
    <n v="0.4840358527456072"/>
    <n v="19"/>
    <n v="0.4548292650001768"/>
    <n v="19"/>
    <n v="0.4741253458302563"/>
    <n v="44"/>
    <n v="0.3964779139682523"/>
    <n v="93"/>
    <n v="0.4584454821515065"/>
    <n v="3.1"/>
    <n v="14"/>
    <n v="0.5567243002327906"/>
    <n v="0.5600000000000001"/>
    <n v="44"/>
    <n v="0.4551938480688407"/>
    <n v="0.88"/>
    <n v="16"/>
    <n v="0.5639305863316431"/>
    <n v="0.5333333333333333"/>
    <n v="32"/>
    <n v="0.4590135488685462"/>
    <n v="1.066666666666667"/>
    <m/>
    <m/>
    <m/>
    <m/>
    <m/>
    <m/>
    <m/>
    <m/>
    <m/>
    <m/>
    <m/>
    <m/>
    <n v="30"/>
    <n v="155"/>
    <n v="25"/>
    <n v="0"/>
    <n v="100"/>
    <n v="0"/>
    <n v="506707.5"/>
    <n v="826188.75"/>
    <n v="129925"/>
    <n v="0"/>
    <n v="89"/>
    <n v="462533"/>
    <n v="264635.2658710543"/>
    <n v="25"/>
    <n v="248"/>
    <n v="28.5"/>
    <n v="0"/>
    <n v="0"/>
    <n v="0"/>
    <n v="860103.5"/>
    <n v="1321902"/>
    <n v="148114.5"/>
    <n v="0"/>
    <n v="89"/>
    <n v="462533"/>
    <n v="301684.203093002"/>
    <n v="50"/>
    <n v="227"/>
    <n v="44"/>
    <n v="0"/>
    <n v="0"/>
    <n v="871896.5"/>
    <n v="1179719"/>
    <n v="228668"/>
    <n v="0"/>
    <n v="89"/>
    <n v="462533"/>
    <n v="554252.1008403362"/>
    <n v="30"/>
    <n v="178"/>
    <n v="93"/>
    <n v="0"/>
    <n v="0"/>
    <n v="948784.5"/>
    <n v="483321"/>
    <n v="0"/>
    <n v="0"/>
    <n v="89"/>
    <n v="462533"/>
    <n v="1171487.394957983"/>
    <n v="25"/>
    <n v="103"/>
    <n v="30"/>
    <m/>
    <n v="0"/>
    <n v="0"/>
    <n v="535291"/>
    <n v="159907.5"/>
    <n v="0"/>
    <n v="0"/>
    <n v="89"/>
    <n v="462533"/>
    <n v="377899.1596638656"/>
    <n v="50"/>
    <n v="133"/>
    <n v="44"/>
    <m/>
    <n v="0"/>
    <n v="0"/>
    <n v="691201"/>
    <n v="234531"/>
    <n v="0"/>
    <n v="0"/>
    <n v="133"/>
    <n v="462533"/>
    <n v="554252.1008403362"/>
    <n v="30"/>
    <n v="105"/>
    <n v="16"/>
    <n v="0"/>
    <n v="0"/>
    <n v="0"/>
    <n v="545685"/>
    <n v="85284"/>
    <n v="0"/>
    <n v="0"/>
    <n v="105"/>
    <n v="462533"/>
    <n v="201546.218487395"/>
    <n v="30"/>
    <n v="89"/>
    <n v="36"/>
    <n v="0"/>
    <n v="0"/>
    <n v="0"/>
    <n v="462533"/>
    <n v="191889"/>
    <n v="0"/>
    <n v="0"/>
    <n v="89"/>
    <n v="462533"/>
    <n v="453478.9915966387"/>
    <n v="30"/>
    <n v="53"/>
    <n v="36"/>
    <n v="0"/>
    <n v="0"/>
    <n v="0"/>
    <n v="282503.25"/>
    <n v="191889"/>
    <n v="0"/>
    <n v="0"/>
    <n v="53"/>
    <n v="282503.25"/>
    <n v="453478.9915966387"/>
    <n v="20"/>
    <n v="17"/>
    <n v="17"/>
    <n v="0"/>
    <n v="0"/>
    <n v="0"/>
    <m/>
    <n v="90614.25"/>
    <n v="90614.25"/>
    <n v="0"/>
    <n v="0"/>
    <n v="17"/>
    <n v="90614.25"/>
    <n v="214142.85714285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19"/>
    <x v="44"/>
    <s v="LHBOHYCO"/>
    <x v="281"/>
    <x v="268"/>
    <x v="0"/>
    <x v="1"/>
    <n v="1"/>
    <x v="168"/>
    <n v="7"/>
    <m/>
    <n v="0"/>
    <n v="5408"/>
    <n v="37856"/>
    <n v="5.15"/>
    <n v="5626.375"/>
    <n v="12596.63865546219"/>
    <n v="12596.63865546219"/>
    <s v="Ningbo"/>
    <s v="30/7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6"/>
    <n v="0.5203212829403803"/>
    <n v="95"/>
    <n v="0.3862772320101321"/>
    <n v="34"/>
    <n v="0.4569680518315564"/>
    <n v="44"/>
    <n v="0.4470862666212101"/>
    <n v="197"/>
    <n v="0.3944929498219857"/>
    <n v="28"/>
    <n v="0.4832445887339175"/>
    <n v="0.9333333333333333"/>
    <n v="16"/>
    <n v="0.4990939182288913"/>
    <n v="0.2666666666666667"/>
    <n v="3"/>
    <n v="0.539736705557944"/>
    <n v="0.03333333333333333"/>
    <n v="0"/>
    <s v=""/>
    <n v="0"/>
    <n v="0"/>
    <s v=""/>
    <n v="0"/>
    <m/>
    <m/>
    <m/>
    <m/>
    <m/>
    <m/>
    <m/>
    <m/>
    <m/>
    <m/>
    <m/>
    <m/>
    <n v="20"/>
    <n v="95"/>
    <n v="15"/>
    <n v="0"/>
    <n v="200"/>
    <n v="0"/>
    <n v="1503424"/>
    <n v="506373.75"/>
    <n v="81120"/>
    <n v="0"/>
    <n v="7"/>
    <n v="37856"/>
    <n v="158781.1595226326"/>
    <n v="25"/>
    <n v="321"/>
    <n v="66"/>
    <n v="0"/>
    <n v="0"/>
    <n v="0"/>
    <n v="1573728"/>
    <n v="1711010.25"/>
    <n v="356928"/>
    <n v="0"/>
    <n v="7"/>
    <n v="37856"/>
    <n v="698637.1018995835"/>
    <n v="63"/>
    <n v="274"/>
    <n v="197"/>
    <n v="0"/>
    <n v="0"/>
    <n v="1536615"/>
    <n v="1481792"/>
    <n v="1065376"/>
    <n v="0"/>
    <n v="7"/>
    <n v="37856"/>
    <n v="2481537.815126051"/>
    <n v="30"/>
    <n v="34"/>
    <n v="28"/>
    <n v="0"/>
    <n v="0"/>
    <n v="181228.5"/>
    <n v="151424"/>
    <n v="0"/>
    <n v="0"/>
    <n v="7"/>
    <n v="37856"/>
    <n v="352705.8823529412"/>
    <n v="60"/>
    <n v="23"/>
    <n v="60"/>
    <m/>
    <n v="0"/>
    <n v="0"/>
    <n v="124384"/>
    <n v="319815"/>
    <n v="0"/>
    <n v="0"/>
    <n v="7"/>
    <n v="37856"/>
    <n v="755798.3193277312"/>
    <n v="90"/>
    <n v="10"/>
    <n v="3"/>
    <m/>
    <n v="0"/>
    <n v="0"/>
    <n v="54080"/>
    <n v="15990.75"/>
    <n v="0"/>
    <n v="0"/>
    <n v="10"/>
    <n v="37856"/>
    <n v="37789.91596638656"/>
    <n v="40"/>
    <n v="7"/>
    <n v="0"/>
    <n v="0"/>
    <n v="0"/>
    <n v="0"/>
    <n v="37856"/>
    <n v="0"/>
    <n v="0"/>
    <n v="0"/>
    <n v="7"/>
    <n v="37856"/>
    <n v="0"/>
    <n v="40"/>
    <n v="7"/>
    <n v="40"/>
    <n v="0"/>
    <n v="0"/>
    <n v="0"/>
    <n v="37856"/>
    <n v="213210"/>
    <n v="0"/>
    <n v="0"/>
    <n v="7"/>
    <n v="37856"/>
    <n v="503865.5462184874"/>
    <n v="40"/>
    <n v="0"/>
    <n v="40"/>
    <n v="0"/>
    <n v="0"/>
    <n v="0"/>
    <n v="0"/>
    <n v="213210"/>
    <n v="0"/>
    <n v="0"/>
    <n v="0"/>
    <n v="0"/>
    <n v="503865.5462184874"/>
    <n v="70"/>
    <n v="0"/>
    <n v="0"/>
    <n v="500"/>
    <n v="500"/>
    <n v="500"/>
    <n v="0"/>
    <n v="0"/>
    <n v="0"/>
    <n v="2665125"/>
    <n v="2665125"/>
    <n v="500"/>
    <n v="2665125"/>
    <n v="0"/>
    <n v="50"/>
    <n v="500"/>
    <n v="50"/>
    <n v="0"/>
    <n v="0"/>
    <n v="2665125"/>
    <n v="266512.5"/>
    <n v="0"/>
    <n v="0"/>
    <n v="500"/>
    <n v="2665125"/>
    <n v="661323.5294117648"/>
    <n v="100"/>
    <n v="450"/>
    <n v="100"/>
    <n v="0"/>
    <n v="0"/>
    <n v="2398612.5"/>
    <n v="533025"/>
    <n v="0"/>
    <n v="450"/>
    <n v="2398612.5"/>
    <n v="1259663.865546219"/>
    <n v="30"/>
    <n v="350"/>
    <n v="30"/>
    <n v="0"/>
    <m/>
    <n v="1865587.5"/>
    <n v="162240"/>
    <n v="0"/>
    <n v="350"/>
    <n v="1865587.5"/>
    <n v="377899.1596638656"/>
  </r>
  <r>
    <s v="Lhotse-Hidratación"/>
    <x v="4"/>
    <x v="19"/>
    <x v="44"/>
    <s v="LHBOHYCO"/>
    <x v="282"/>
    <x v="269"/>
    <x v="0"/>
    <x v="1"/>
    <n v="1.2"/>
    <x v="169"/>
    <n v="475"/>
    <m/>
    <n v="0"/>
    <n v="5748"/>
    <n v="2730300"/>
    <n v="5.15"/>
    <n v="5626.375"/>
    <n v="12596.63865546219"/>
    <n v="12596.63865546219"/>
    <s v="Ningbo"/>
    <s v="30/7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3"/>
    <n v="0.4927109723930568"/>
    <n v="48"/>
    <n v="0.505347748829619"/>
    <n v="29"/>
    <n v="0.4724625654026502"/>
    <n v="63"/>
    <n v="0.3719872243580559"/>
    <n v="141"/>
    <n v="0.4073847952156094"/>
    <n v="56"/>
    <n v="0.4761281456488204"/>
    <n v="1.4"/>
    <n v="39"/>
    <n v="0.5814208097503077"/>
    <n v="0.325"/>
    <n v="11"/>
    <n v="0.4563837478406143"/>
    <n v="0.06875000000000001"/>
    <n v="13"/>
    <n v="0.5139864330375042"/>
    <n v="0.13"/>
    <n v="7"/>
    <n v="0.5797344067092222"/>
    <n v="0.07000000000000001"/>
    <m/>
    <m/>
    <m/>
    <m/>
    <m/>
    <m/>
    <m/>
    <m/>
    <m/>
    <m/>
    <m/>
    <m/>
    <n v="30"/>
    <n v="143"/>
    <n v="30"/>
    <n v="0"/>
    <n v="200"/>
    <n v="0"/>
    <n v="1526094"/>
    <n v="762225.75"/>
    <n v="172440"/>
    <n v="0"/>
    <n v="475"/>
    <n v="2730300"/>
    <n v="317562.3190452652"/>
    <n v="30"/>
    <n v="306"/>
    <n v="94.5"/>
    <n v="0"/>
    <n v="0"/>
    <n v="0"/>
    <n v="1675542"/>
    <n v="1631056.5"/>
    <n v="543186"/>
    <n v="0"/>
    <n v="475"/>
    <n v="2730300"/>
    <n v="1000321.304992585"/>
    <n v="120"/>
    <n v="233"/>
    <n v="141"/>
    <n v="0"/>
    <n v="0"/>
    <n v="1899912"/>
    <n v="1339284"/>
    <n v="810468"/>
    <n v="0"/>
    <n v="475"/>
    <n v="2730300"/>
    <n v="1776126.050420168"/>
    <n v="40"/>
    <n v="85"/>
    <n v="56"/>
    <n v="0"/>
    <n v="0"/>
    <n v="453071.25"/>
    <n v="321888"/>
    <n v="0"/>
    <n v="0"/>
    <n v="475"/>
    <n v="2730300"/>
    <n v="705411.7647058824"/>
    <n v="120"/>
    <n v="514"/>
    <n v="144"/>
    <m/>
    <n v="0"/>
    <n v="0"/>
    <n v="2954472"/>
    <n v="767556"/>
    <n v="0"/>
    <n v="0"/>
    <n v="475"/>
    <n v="2730300"/>
    <n v="1813915.966386555"/>
    <n v="160"/>
    <n v="486"/>
    <n v="11"/>
    <m/>
    <n v="0"/>
    <n v="0"/>
    <n v="2793528"/>
    <n v="58632.75"/>
    <n v="0"/>
    <n v="0"/>
    <n v="486"/>
    <n v="2730300"/>
    <n v="138563.025210084"/>
    <n v="100"/>
    <n v="488"/>
    <n v="13"/>
    <n v="500"/>
    <n v="500"/>
    <n v="0"/>
    <n v="2805024"/>
    <n v="69293.25"/>
    <n v="2576287.5"/>
    <n v="0"/>
    <n v="488"/>
    <n v="2730300"/>
    <n v="163756.3025210084"/>
    <n v="100"/>
    <n v="475"/>
    <n v="120"/>
    <n v="0"/>
    <n v="0"/>
    <n v="0"/>
    <n v="2730300"/>
    <n v="639630"/>
    <n v="0"/>
    <n v="0"/>
    <n v="475"/>
    <n v="2730300"/>
    <n v="1511596.638655462"/>
    <n v="100"/>
    <n v="355"/>
    <n v="120"/>
    <n v="0"/>
    <n v="0"/>
    <n v="0"/>
    <n v="1892238.75"/>
    <n v="639630"/>
    <n v="0"/>
    <n v="0"/>
    <n v="355"/>
    <n v="1892238.75"/>
    <n v="1511596.638655462"/>
    <n v="120"/>
    <n v="235"/>
    <n v="144"/>
    <n v="500"/>
    <n v="500"/>
    <n v="500"/>
    <n v="0"/>
    <n v="1252608.75"/>
    <n v="767556"/>
    <n v="2665125"/>
    <n v="2665125"/>
    <n v="735"/>
    <n v="3917733.75"/>
    <n v="1813915.966386555"/>
    <n v="80"/>
    <n v="591"/>
    <n v="96"/>
    <n v="0"/>
    <n v="0"/>
    <n v="3150177.75"/>
    <n v="511704"/>
    <n v="0"/>
    <n v="0"/>
    <n v="591"/>
    <n v="3150177.75"/>
    <n v="1269741.176470588"/>
    <n v="150"/>
    <n v="495"/>
    <n v="180"/>
    <n v="0"/>
    <n v="0"/>
    <n v="2638473.75"/>
    <n v="959445"/>
    <n v="0"/>
    <n v="495"/>
    <n v="2638473.75"/>
    <n v="2267394.957983193"/>
    <n v="48"/>
    <n v="315"/>
    <n v="57.59999999999999"/>
    <n v="0"/>
    <m/>
    <n v="1679028.75"/>
    <n v="331084.8"/>
    <n v="0"/>
    <n v="315"/>
    <n v="1679028.75"/>
    <n v="725566.3865546219"/>
  </r>
  <r>
    <s v="Lhotse-Hidratación"/>
    <x v="4"/>
    <x v="19"/>
    <x v="44"/>
    <s v="LHBOHYTK750"/>
    <x v="283"/>
    <x v="270"/>
    <x v="0"/>
    <x v="4"/>
    <n v="1"/>
    <x v="3"/>
    <n v="0"/>
    <m/>
    <n v="0"/>
    <n v="3501.75"/>
    <n v="0"/>
    <n v="3.5"/>
    <n v="3501.75"/>
    <n v="8827.941176470587"/>
    <n v="7503.749999999999"/>
    <s v="Ningbo"/>
    <s v="30/70"/>
    <n v="30"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500"/>
    <n v="0"/>
    <n v="0"/>
    <n v="0"/>
    <n v="0"/>
    <n v="1750875"/>
    <n v="0"/>
    <n v="0"/>
    <n v="0"/>
    <n v="0"/>
    <n v="30"/>
    <n v="0"/>
    <n v="30"/>
    <n v="0"/>
    <n v="500"/>
    <n v="0"/>
    <n v="0"/>
    <n v="108675"/>
    <n v="0"/>
    <n v="0"/>
    <n v="0"/>
    <n v="0"/>
    <n v="264838.2352941176"/>
    <n v="30"/>
    <n v="0"/>
    <n v="30"/>
    <n v="0"/>
    <n v="0"/>
    <n v="0"/>
    <n v="0"/>
    <n v="108675"/>
    <n v="0"/>
    <n v="0"/>
    <n v="0"/>
    <n v="0"/>
    <n v="264838.2352941176"/>
    <n v="60"/>
    <n v="0"/>
    <n v="0"/>
    <n v="0"/>
    <n v="0"/>
    <n v="0"/>
    <m/>
    <n v="0"/>
    <n v="0"/>
    <n v="0"/>
    <n v="0"/>
    <n v="0"/>
    <n v="0"/>
    <n v="0"/>
    <n v="40"/>
    <n v="0"/>
    <n v="40"/>
    <n v="0"/>
    <n v="0"/>
    <n v="0"/>
    <n v="144900"/>
    <n v="0"/>
    <n v="0"/>
    <n v="0"/>
    <n v="0"/>
    <n v="315157.4999999999"/>
    <n v="90"/>
    <n v="0"/>
    <n v="90"/>
    <n v="0"/>
    <n v="0"/>
    <n v="0"/>
    <n v="326024.9999999999"/>
    <n v="0"/>
    <n v="0"/>
    <n v="0"/>
    <n v="794514.7058823529"/>
    <n v="24"/>
    <n v="0"/>
    <n v="24"/>
    <n v="0"/>
    <m/>
    <n v="0"/>
    <n v="84041.99999999999"/>
    <n v="0"/>
    <n v="0"/>
    <n v="0"/>
    <n v="211870.5882352941"/>
  </r>
  <r>
    <s v="Lhotse-Hidratación"/>
    <x v="4"/>
    <x v="19"/>
    <x v="44"/>
    <s v="LHBOHYTK750"/>
    <x v="284"/>
    <x v="271"/>
    <x v="0"/>
    <x v="4"/>
    <n v="1"/>
    <x v="3"/>
    <n v="0"/>
    <m/>
    <n v="0"/>
    <n v="3501.75"/>
    <n v="0"/>
    <n v="3.5"/>
    <n v="3501.75"/>
    <n v="8827.941176470587"/>
    <n v="7503.749999999999"/>
    <s v="Ningbo"/>
    <s v="30/70"/>
    <n v="30"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500"/>
    <n v="0"/>
    <n v="0"/>
    <n v="0"/>
    <n v="0"/>
    <n v="1750875"/>
    <n v="0"/>
    <n v="0"/>
    <n v="0"/>
    <n v="0"/>
    <n v="50"/>
    <n v="0"/>
    <n v="50"/>
    <n v="0"/>
    <n v="500"/>
    <n v="0"/>
    <n v="0"/>
    <n v="181125"/>
    <n v="0"/>
    <n v="0"/>
    <n v="0"/>
    <n v="0"/>
    <n v="441397.0588235294"/>
    <n v="50"/>
    <n v="0"/>
    <n v="50"/>
    <n v="0"/>
    <n v="0"/>
    <n v="0"/>
    <n v="0"/>
    <n v="181125"/>
    <n v="0"/>
    <n v="0"/>
    <n v="0"/>
    <n v="0"/>
    <n v="441397.0588235294"/>
    <n v="100"/>
    <n v="0"/>
    <n v="0"/>
    <n v="0"/>
    <n v="0"/>
    <n v="0"/>
    <m/>
    <n v="0"/>
    <n v="0"/>
    <n v="0"/>
    <n v="0"/>
    <n v="0"/>
    <n v="0"/>
    <n v="0"/>
    <n v="80"/>
    <n v="0"/>
    <n v="80"/>
    <n v="0"/>
    <n v="0"/>
    <n v="0"/>
    <n v="289799.9999999999"/>
    <n v="0"/>
    <n v="0"/>
    <n v="0"/>
    <n v="0"/>
    <n v="630314.9999999999"/>
    <n v="150"/>
    <n v="0"/>
    <n v="150"/>
    <n v="0"/>
    <n v="0"/>
    <n v="0"/>
    <n v="543374.9999999999"/>
    <n v="0"/>
    <n v="0"/>
    <n v="0"/>
    <n v="1324191.176470588"/>
    <n v="48"/>
    <n v="0"/>
    <n v="48"/>
    <n v="0"/>
    <m/>
    <n v="0"/>
    <n v="168084"/>
    <n v="0"/>
    <n v="0"/>
    <n v="0"/>
    <n v="423741.1764705882"/>
  </r>
  <r>
    <s v="Lhotse-Hidratación"/>
    <x v="4"/>
    <x v="19"/>
    <x v="44"/>
    <s v="LHBOHYTK750"/>
    <x v="285"/>
    <x v="272"/>
    <x v="0"/>
    <x v="4"/>
    <n v="1"/>
    <x v="3"/>
    <n v="0"/>
    <m/>
    <n v="0"/>
    <n v="3501.75"/>
    <n v="0"/>
    <n v="3.5"/>
    <n v="3501.75"/>
    <n v="8827.941176470587"/>
    <n v="7503.749999999999"/>
    <s v="Ningbo"/>
    <s v="30/70"/>
    <n v="30"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500"/>
    <n v="0"/>
    <n v="0"/>
    <n v="0"/>
    <n v="0"/>
    <n v="1750875"/>
    <n v="0"/>
    <n v="0"/>
    <n v="0"/>
    <n v="0"/>
    <n v="30"/>
    <n v="0"/>
    <n v="30"/>
    <n v="0"/>
    <n v="500"/>
    <n v="0"/>
    <n v="0"/>
    <n v="108675"/>
    <n v="0"/>
    <n v="0"/>
    <n v="0"/>
    <n v="0"/>
    <n v="264838.2352941176"/>
    <n v="30"/>
    <n v="0"/>
    <n v="30"/>
    <n v="0"/>
    <n v="0"/>
    <n v="0"/>
    <n v="0"/>
    <n v="108675"/>
    <n v="0"/>
    <n v="0"/>
    <n v="0"/>
    <n v="0"/>
    <n v="264838.2352941176"/>
    <n v="60"/>
    <n v="0"/>
    <n v="0"/>
    <n v="0"/>
    <n v="0"/>
    <n v="0"/>
    <m/>
    <n v="0"/>
    <n v="0"/>
    <n v="0"/>
    <n v="0"/>
    <n v="0"/>
    <n v="0"/>
    <n v="0"/>
    <n v="40"/>
    <n v="0"/>
    <n v="40"/>
    <n v="0"/>
    <n v="0"/>
    <n v="0"/>
    <n v="144900"/>
    <n v="0"/>
    <n v="0"/>
    <n v="0"/>
    <n v="0"/>
    <n v="315157.4999999999"/>
    <n v="90"/>
    <n v="0"/>
    <n v="90"/>
    <n v="0"/>
    <n v="0"/>
    <n v="0"/>
    <n v="326024.9999999999"/>
    <n v="0"/>
    <n v="0"/>
    <n v="0"/>
    <n v="794514.7058823529"/>
    <n v="24"/>
    <n v="0"/>
    <n v="24"/>
    <n v="0"/>
    <m/>
    <n v="0"/>
    <n v="84041.99999999999"/>
    <n v="0"/>
    <n v="0"/>
    <n v="0"/>
    <n v="211870.5882352941"/>
  </r>
  <r>
    <s v="Lhotse-Hidratación"/>
    <x v="4"/>
    <x v="19"/>
    <x v="44"/>
    <s v="LHBOHYTK750"/>
    <x v="286"/>
    <x v="273"/>
    <x v="0"/>
    <x v="4"/>
    <n v="1"/>
    <x v="3"/>
    <n v="0"/>
    <m/>
    <n v="0"/>
    <n v="3501.75"/>
    <n v="0"/>
    <n v="3.5"/>
    <n v="3501.75"/>
    <n v="8827.941176470587"/>
    <n v="7503.749999999999"/>
    <s v="Ningbo"/>
    <s v="30/70"/>
    <n v="30"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500"/>
    <n v="0"/>
    <n v="0"/>
    <n v="0"/>
    <n v="0"/>
    <n v="1750875"/>
    <n v="0"/>
    <n v="0"/>
    <n v="0"/>
    <n v="0"/>
    <n v="30"/>
    <n v="0"/>
    <n v="30"/>
    <n v="0"/>
    <n v="500"/>
    <n v="0"/>
    <n v="0"/>
    <n v="108675"/>
    <n v="0"/>
    <n v="0"/>
    <n v="0"/>
    <n v="0"/>
    <n v="264838.2352941176"/>
    <n v="30"/>
    <n v="0"/>
    <n v="30"/>
    <n v="0"/>
    <n v="0"/>
    <n v="0"/>
    <n v="0"/>
    <n v="108675"/>
    <n v="0"/>
    <n v="0"/>
    <n v="0"/>
    <n v="0"/>
    <n v="264838.2352941176"/>
    <n v="60"/>
    <n v="0"/>
    <n v="0"/>
    <n v="0"/>
    <n v="0"/>
    <n v="0"/>
    <m/>
    <n v="0"/>
    <n v="0"/>
    <n v="0"/>
    <n v="0"/>
    <n v="0"/>
    <n v="0"/>
    <n v="0"/>
    <n v="40"/>
    <n v="0"/>
    <n v="40"/>
    <n v="0"/>
    <n v="0"/>
    <n v="0"/>
    <n v="144900"/>
    <n v="0"/>
    <n v="0"/>
    <n v="0"/>
    <n v="0"/>
    <n v="315157.4999999999"/>
    <n v="90"/>
    <n v="0"/>
    <n v="90"/>
    <n v="0"/>
    <n v="0"/>
    <n v="0"/>
    <n v="326024.9999999999"/>
    <n v="0"/>
    <n v="0"/>
    <n v="0"/>
    <n v="794514.7058823529"/>
    <n v="24"/>
    <n v="0"/>
    <n v="24"/>
    <n v="0"/>
    <m/>
    <n v="0"/>
    <n v="84041.99999999999"/>
    <n v="0"/>
    <n v="0"/>
    <n v="0"/>
    <n v="211870.5882352941"/>
  </r>
  <r>
    <s v="Lhotse-Hidratación"/>
    <x v="4"/>
    <x v="19"/>
    <x v="44"/>
    <s v="LHBOHYTK750"/>
    <x v="287"/>
    <x v="274"/>
    <x v="0"/>
    <x v="4"/>
    <n v="1"/>
    <x v="3"/>
    <n v="0"/>
    <m/>
    <n v="0"/>
    <n v="3501.75"/>
    <n v="0"/>
    <n v="3.5"/>
    <n v="3501.75"/>
    <n v="8827.941176470587"/>
    <n v="7503.749999999999"/>
    <s v="Ningbo"/>
    <s v="30/70"/>
    <n v="30"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500"/>
    <n v="0"/>
    <n v="0"/>
    <n v="0"/>
    <n v="0"/>
    <n v="1750875"/>
    <n v="0"/>
    <n v="0"/>
    <n v="0"/>
    <n v="0"/>
    <n v="50"/>
    <n v="0"/>
    <n v="50"/>
    <n v="0"/>
    <n v="500"/>
    <n v="0"/>
    <n v="0"/>
    <n v="181125"/>
    <n v="0"/>
    <n v="0"/>
    <n v="0"/>
    <n v="0"/>
    <n v="441397.0588235294"/>
    <n v="50"/>
    <n v="0"/>
    <n v="50"/>
    <n v="0"/>
    <n v="0"/>
    <n v="0"/>
    <n v="0"/>
    <n v="181125"/>
    <n v="0"/>
    <n v="0"/>
    <n v="0"/>
    <n v="0"/>
    <n v="441397.0588235294"/>
    <n v="100"/>
    <n v="0"/>
    <n v="0"/>
    <n v="0"/>
    <n v="0"/>
    <n v="0"/>
    <m/>
    <n v="0"/>
    <n v="0"/>
    <n v="0"/>
    <n v="0"/>
    <n v="0"/>
    <n v="0"/>
    <n v="0"/>
    <n v="80"/>
    <n v="0"/>
    <n v="80"/>
    <n v="0"/>
    <n v="0"/>
    <n v="0"/>
    <n v="289799.9999999999"/>
    <n v="0"/>
    <n v="0"/>
    <n v="0"/>
    <n v="0"/>
    <n v="630314.9999999999"/>
    <n v="150"/>
    <n v="0"/>
    <n v="150"/>
    <n v="0"/>
    <n v="0"/>
    <n v="0"/>
    <n v="543374.9999999999"/>
    <n v="0"/>
    <n v="0"/>
    <n v="0"/>
    <n v="1324191.176470588"/>
    <n v="48"/>
    <n v="0"/>
    <n v="48"/>
    <n v="0"/>
    <m/>
    <n v="0"/>
    <n v="168084"/>
    <n v="0"/>
    <n v="0"/>
    <n v="0"/>
    <n v="423741.1764705882"/>
  </r>
  <r>
    <s v="Lhotse-Hidratación"/>
    <x v="4"/>
    <x v="19"/>
    <x v="44"/>
    <s v="LHBOIND"/>
    <x v="288"/>
    <x v="275"/>
    <x v="0"/>
    <x v="2"/>
    <n v="0.6"/>
    <x v="3"/>
    <n v="13"/>
    <m/>
    <n v="0"/>
    <n v="3794"/>
    <n v="49322"/>
    <n v="3.4"/>
    <n v="3714.5"/>
    <n v="8394.957983193277"/>
    <n v="8394.957983193277"/>
    <s v="Shenzhen"/>
    <s v="30/70"/>
    <n v="30"/>
    <n v="200"/>
    <n v="15"/>
    <n v="0.6291194512807378"/>
    <n v="29"/>
    <n v="0.5976361395469455"/>
    <n v="44"/>
    <n v="0.631459758156747"/>
    <n v="30"/>
    <n v="0.5674919227935372"/>
    <n v="38"/>
    <n v="0.5493302071686604"/>
    <n v="155"/>
    <n v="0.5127759922624889"/>
    <n v="237"/>
    <n v="0.476892811490267"/>
    <n v="379"/>
    <n v="0.4480831054132014"/>
    <n v="40"/>
    <n v="0.4711510838366716"/>
    <n v="113"/>
    <n v="0.5077360757982576"/>
    <n v="228"/>
    <n v="0.4721850161292386"/>
    <n v="247"/>
    <n v="0.4685988484109609"/>
    <n v="250"/>
    <n v="0.3270446679068207"/>
    <n v="147"/>
    <n v="0.3008875786305024"/>
    <n v="59"/>
    <n v="0.3824904928569074"/>
    <n v="33"/>
    <n v="0.3793746597817358"/>
    <n v="0.33"/>
    <n v="1"/>
    <n v="0.5480670670670671"/>
    <n v="0.04"/>
    <n v="1"/>
    <n v="0.3543449656750572"/>
    <n v="0"/>
    <n v="0"/>
    <s v=""/>
    <n v="0"/>
    <n v="1"/>
    <n v="0.6524387990762124"/>
    <n v="0"/>
    <m/>
    <m/>
    <m/>
    <m/>
    <m/>
    <m/>
    <m/>
    <m/>
    <m/>
    <m/>
    <m/>
    <m/>
    <n v="100"/>
    <n v="293"/>
    <n v="100"/>
    <n v="0"/>
    <n v="0"/>
    <n v="0"/>
    <n v="1439823"/>
    <n v="1031067"/>
    <n v="379400"/>
    <n v="0"/>
    <n v="13"/>
    <n v="49322"/>
    <n v="705458.6540498552"/>
    <n v="100"/>
    <n v="251"/>
    <n v="220.5"/>
    <n v="0"/>
    <n v="0"/>
    <n v="0"/>
    <n v="1185625"/>
    <n v="883268.9999999999"/>
    <n v="836577"/>
    <n v="0"/>
    <n v="13"/>
    <n v="49322"/>
    <n v="1555536.332179931"/>
    <n v="100"/>
    <n v="87"/>
    <n v="59"/>
    <n v="0"/>
    <n v="0"/>
    <n v="401833"/>
    <n v="330078"/>
    <n v="223846"/>
    <n v="0"/>
    <n v="13"/>
    <n v="49322"/>
    <n v="495302.5210084033"/>
    <n v="100"/>
    <n v="38"/>
    <n v="33"/>
    <n v="0"/>
    <n v="0"/>
    <n v="133722"/>
    <n v="125202"/>
    <n v="0"/>
    <n v="0"/>
    <n v="13"/>
    <n v="49322"/>
    <n v="277033.6134453781"/>
    <n v="25"/>
    <n v="14"/>
    <n v="15"/>
    <m/>
    <n v="0"/>
    <n v="0"/>
    <n v="53116"/>
    <n v="52784.99999999999"/>
    <n v="0"/>
    <n v="0"/>
    <n v="13"/>
    <n v="49322"/>
    <n v="125924.3697478992"/>
    <n v="0"/>
    <n v="14"/>
    <n v="1"/>
    <m/>
    <n v="0"/>
    <n v="0"/>
    <n v="53116"/>
    <n v="3519"/>
    <n v="0"/>
    <n v="0"/>
    <n v="14"/>
    <n v="49322"/>
    <n v="8394.957983193277"/>
    <n v="0"/>
    <n v="13"/>
    <n v="0"/>
    <n v="0"/>
    <n v="0"/>
    <n v="0"/>
    <n v="49322"/>
    <n v="0"/>
    <n v="0"/>
    <n v="0"/>
    <n v="13"/>
    <n v="49322"/>
    <n v="0"/>
    <n v="0"/>
    <n v="13"/>
    <n v="0"/>
    <n v="0"/>
    <n v="0"/>
    <n v="0"/>
    <n v="49322"/>
    <n v="0"/>
    <n v="0"/>
    <n v="0"/>
    <n v="13"/>
    <n v="49322"/>
    <n v="0"/>
    <n v="0"/>
    <n v="13"/>
    <n v="0"/>
    <n v="0"/>
    <n v="0"/>
    <n v="0"/>
    <n v="45746.99999999999"/>
    <n v="0"/>
    <n v="0"/>
    <n v="0"/>
    <n v="13"/>
    <n v="45746.99999999999"/>
    <n v="0"/>
    <n v="0"/>
    <n v="13"/>
    <n v="0"/>
    <n v="0"/>
    <n v="0"/>
    <n v="0"/>
    <m/>
    <n v="45746.99999999999"/>
    <n v="0"/>
    <n v="0"/>
    <n v="0"/>
    <n v="13"/>
    <n v="45746.99999999999"/>
    <n v="0"/>
    <n v="0"/>
    <n v="13"/>
    <n v="0"/>
    <n v="0"/>
    <n v="0"/>
    <n v="45746.99999999999"/>
    <n v="0"/>
    <n v="0"/>
    <n v="0"/>
    <n v="13"/>
    <n v="45746.99999999999"/>
    <n v="0"/>
    <n v="0"/>
    <n v="13"/>
    <n v="0"/>
    <n v="0"/>
    <n v="0"/>
    <n v="45746.99999999999"/>
    <n v="0"/>
    <n v="0"/>
    <n v="13"/>
    <n v="45746.99999999999"/>
    <n v="0"/>
    <n v="0"/>
    <n v="13"/>
    <n v="0"/>
    <n v="0"/>
    <m/>
    <n v="45746.99999999999"/>
    <n v="0"/>
    <n v="0"/>
    <n v="13"/>
    <n v="45746.99999999999"/>
    <n v="0"/>
  </r>
  <r>
    <s v="Lhotse-Hidratación"/>
    <x v="4"/>
    <x v="19"/>
    <x v="44"/>
    <s v="LHBOIND"/>
    <x v="289"/>
    <x v="276"/>
    <x v="0"/>
    <x v="2"/>
    <n v="1"/>
    <x v="3"/>
    <n v="4"/>
    <m/>
    <n v="0"/>
    <n v="3794"/>
    <n v="15176"/>
    <n v="3.4"/>
    <n v="3714.5"/>
    <n v="10915.96638655462"/>
    <n v="10915.96638655462"/>
    <s v="Shenzhen"/>
    <s v="30/70"/>
    <n v="30"/>
    <n v="200"/>
    <n v="3"/>
    <n v="0.5897339965397924"/>
    <n v="6"/>
    <n v="0.5526874557887291"/>
    <n v="8"/>
    <n v="0.64359426631411"/>
    <n v="8"/>
    <n v="0.6366692381767315"/>
    <n v="9"/>
    <n v="0.5458476638870048"/>
    <n v="85"/>
    <n v="0.5098916191489818"/>
    <n v="14"/>
    <n v="0.5404021313870834"/>
    <n v="17"/>
    <n v="0.543206116060679"/>
    <n v="6"/>
    <n v="0.5750713979056613"/>
    <n v="5"/>
    <n v="0.575117424041382"/>
    <n v="-1"/>
    <n v="0.5480512209648599"/>
    <n v="0"/>
    <s v=""/>
    <n v="2"/>
    <n v="0.552647086016571"/>
    <n v="1"/>
    <n v="0.5367530795916586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4"/>
    <n v="0"/>
    <n v="0"/>
    <n v="0"/>
    <n v="0"/>
    <n v="5691"/>
    <n v="14076"/>
    <n v="0"/>
    <n v="0"/>
    <n v="4"/>
    <n v="15176"/>
    <n v="0"/>
    <n v="0"/>
    <n v="4"/>
    <n v="1.5"/>
    <n v="0"/>
    <n v="0"/>
    <n v="0"/>
    <n v="5691"/>
    <n v="14076"/>
    <n v="5691"/>
    <n v="0"/>
    <n v="4"/>
    <n v="15176"/>
    <n v="13759.62149565709"/>
    <n v="0"/>
    <n v="3"/>
    <n v="0"/>
    <n v="0"/>
    <n v="0"/>
    <n v="0"/>
    <n v="11382"/>
    <n v="0"/>
    <n v="0"/>
    <n v="4"/>
    <n v="15176"/>
    <n v="0"/>
    <n v="0"/>
    <n v="3"/>
    <n v="0"/>
    <n v="0"/>
    <n v="0"/>
    <n v="10557"/>
    <n v="0"/>
    <n v="0"/>
    <n v="0"/>
    <n v="4"/>
    <n v="15176"/>
    <n v="0"/>
    <n v="0"/>
    <n v="4"/>
    <n v="0"/>
    <m/>
    <n v="0"/>
    <n v="0"/>
    <n v="15176"/>
    <n v="0"/>
    <n v="0"/>
    <n v="0"/>
    <n v="4"/>
    <n v="15176"/>
    <n v="0"/>
    <n v="0"/>
    <n v="4"/>
    <n v="0"/>
    <m/>
    <n v="0"/>
    <n v="0"/>
    <n v="15176"/>
    <n v="0"/>
    <n v="0"/>
    <n v="0"/>
    <n v="4"/>
    <n v="15176"/>
    <n v="0"/>
    <n v="0"/>
    <n v="4"/>
    <n v="0"/>
    <n v="0"/>
    <n v="0"/>
    <n v="0"/>
    <n v="15176"/>
    <n v="0"/>
    <n v="0"/>
    <n v="0"/>
    <n v="4"/>
    <n v="15176"/>
    <n v="0"/>
    <n v="0"/>
    <n v="4"/>
    <n v="0"/>
    <n v="0"/>
    <n v="0"/>
    <n v="0"/>
    <n v="15176"/>
    <n v="0"/>
    <n v="0"/>
    <n v="0"/>
    <n v="4"/>
    <n v="15176"/>
    <n v="0"/>
    <n v="0"/>
    <n v="4"/>
    <n v="0"/>
    <n v="0"/>
    <n v="0"/>
    <n v="0"/>
    <n v="14076"/>
    <n v="0"/>
    <n v="0"/>
    <n v="0"/>
    <n v="4"/>
    <n v="14076"/>
    <n v="0"/>
    <n v="0"/>
    <n v="4"/>
    <n v="0"/>
    <n v="0"/>
    <n v="0"/>
    <n v="0"/>
    <m/>
    <n v="14076"/>
    <n v="0"/>
    <n v="0"/>
    <n v="0"/>
    <n v="4"/>
    <n v="14076"/>
    <n v="0"/>
    <n v="0"/>
    <n v="4"/>
    <n v="0"/>
    <n v="0"/>
    <n v="0"/>
    <n v="14076"/>
    <n v="0"/>
    <n v="0"/>
    <n v="0"/>
    <n v="4"/>
    <n v="14076"/>
    <n v="0"/>
    <n v="0"/>
    <n v="4"/>
    <n v="0"/>
    <n v="0"/>
    <n v="0"/>
    <n v="14076"/>
    <n v="0"/>
    <n v="0"/>
    <n v="4"/>
    <n v="14076"/>
    <n v="0"/>
    <n v="0"/>
    <n v="4"/>
    <n v="0"/>
    <n v="0"/>
    <m/>
    <n v="14076"/>
    <n v="0"/>
    <n v="0"/>
    <n v="4"/>
    <n v="14076"/>
    <n v="0"/>
  </r>
  <r>
    <s v="Lhotse-Hidratación"/>
    <x v="4"/>
    <x v="19"/>
    <x v="44"/>
    <s v="LHBOIND"/>
    <x v="290"/>
    <x v="277"/>
    <x v="0"/>
    <x v="2"/>
    <n v="1"/>
    <x v="3"/>
    <n v="10"/>
    <m/>
    <n v="0"/>
    <n v="3794"/>
    <n v="37940"/>
    <n v="3.4"/>
    <n v="3714.5"/>
    <n v="10915.96638655462"/>
    <n v="10915.96638655462"/>
    <s v="Shenzhen"/>
    <s v="30/70"/>
    <n v="30"/>
    <n v="200"/>
    <n v="8"/>
    <n v="0.6057945349387577"/>
    <n v="9"/>
    <n v="0.6426464925161596"/>
    <n v="5"/>
    <n v="0.6488143060774914"/>
    <n v="3"/>
    <n v="0.6524239648222793"/>
    <n v="3"/>
    <n v="0.5342899226709219"/>
    <n v="7"/>
    <n v="0.5480476474091721"/>
    <n v="24"/>
    <n v="0.4703713576822454"/>
    <n v="17"/>
    <n v="0.5263870539276323"/>
    <n v="6"/>
    <n v="0.4754509062505203"/>
    <n v="7"/>
    <n v="0.4925030095733094"/>
    <n v="27"/>
    <n v="0.5324109787882799"/>
    <n v="19"/>
    <n v="0.5480640859044675"/>
    <n v="12"/>
    <n v="0.4822723537956526"/>
    <n v="8"/>
    <n v="0.3780301438147275"/>
    <n v="2"/>
    <n v="0.4299323462753399"/>
    <n v="3"/>
    <n v="0.5590608271893495"/>
    <n v="0"/>
    <n v="0"/>
    <s v=""/>
    <n v="0"/>
    <n v="0"/>
    <s v=""/>
    <n v="0"/>
    <n v="1"/>
    <n v="0.5583290941107415"/>
    <n v="0"/>
    <n v="0"/>
    <s v=""/>
    <n v="0"/>
    <m/>
    <m/>
    <m/>
    <m/>
    <m/>
    <m/>
    <m/>
    <m/>
    <m/>
    <m/>
    <m/>
    <m/>
    <n v="10"/>
    <n v="28"/>
    <n v="10"/>
    <n v="0"/>
    <n v="0"/>
    <n v="0"/>
    <n v="91056"/>
    <n v="98531.99999999999"/>
    <n v="37940"/>
    <n v="0"/>
    <n v="10"/>
    <n v="37940"/>
    <n v="91730.80997104726"/>
    <n v="0"/>
    <n v="15"/>
    <n v="12"/>
    <n v="0"/>
    <n v="0"/>
    <n v="0"/>
    <n v="64498"/>
    <n v="52784.99999999999"/>
    <n v="45528"/>
    <n v="0"/>
    <n v="10"/>
    <n v="37940"/>
    <n v="110076.9719652567"/>
    <n v="0"/>
    <n v="7"/>
    <n v="2"/>
    <n v="0"/>
    <n v="0"/>
    <n v="29527"/>
    <n v="26558"/>
    <n v="7588"/>
    <n v="0"/>
    <n v="10"/>
    <n v="37940"/>
    <n v="21831.93277310925"/>
    <n v="0"/>
    <n v="6"/>
    <n v="3"/>
    <n v="0"/>
    <n v="0"/>
    <n v="21114"/>
    <n v="11382"/>
    <n v="0"/>
    <n v="0"/>
    <n v="10"/>
    <n v="37940"/>
    <n v="32747.89915966387"/>
    <n v="3"/>
    <n v="10"/>
    <n v="3"/>
    <m/>
    <n v="0"/>
    <n v="0"/>
    <n v="37940"/>
    <n v="10557"/>
    <n v="0"/>
    <n v="0"/>
    <n v="10"/>
    <n v="37940"/>
    <n v="32747.89915966387"/>
    <n v="0"/>
    <n v="10"/>
    <n v="0"/>
    <m/>
    <n v="0"/>
    <n v="0"/>
    <n v="37940"/>
    <n v="0"/>
    <n v="0"/>
    <n v="0"/>
    <n v="10"/>
    <n v="37940"/>
    <n v="0"/>
    <n v="0"/>
    <n v="11"/>
    <n v="1"/>
    <n v="0"/>
    <n v="0"/>
    <n v="0"/>
    <n v="41734"/>
    <n v="3519"/>
    <n v="0"/>
    <n v="0"/>
    <n v="11"/>
    <n v="37940"/>
    <n v="10915.96638655462"/>
    <n v="0"/>
    <n v="10"/>
    <n v="0"/>
    <n v="0"/>
    <n v="0"/>
    <n v="0"/>
    <n v="37940"/>
    <n v="0"/>
    <n v="0"/>
    <n v="0"/>
    <n v="10"/>
    <n v="37940"/>
    <n v="0"/>
    <n v="0"/>
    <n v="10"/>
    <n v="0"/>
    <n v="0"/>
    <n v="0"/>
    <n v="0"/>
    <n v="35189.99999999999"/>
    <n v="0"/>
    <n v="0"/>
    <n v="0"/>
    <n v="10"/>
    <n v="35189.99999999999"/>
    <n v="0"/>
    <n v="0"/>
    <n v="10"/>
    <n v="0"/>
    <n v="0"/>
    <n v="0"/>
    <n v="0"/>
    <m/>
    <n v="35189.99999999999"/>
    <n v="0"/>
    <n v="0"/>
    <n v="0"/>
    <n v="10"/>
    <n v="35189.99999999999"/>
    <n v="0"/>
    <n v="0"/>
    <n v="10"/>
    <n v="0"/>
    <n v="0"/>
    <n v="0"/>
    <n v="35189.99999999999"/>
    <n v="0"/>
    <n v="0"/>
    <n v="0"/>
    <n v="10"/>
    <n v="35189.99999999999"/>
    <n v="0"/>
    <n v="0"/>
    <n v="10"/>
    <n v="0"/>
    <n v="0"/>
    <n v="0"/>
    <n v="35189.99999999999"/>
    <n v="0"/>
    <n v="0"/>
    <n v="10"/>
    <n v="35189.99999999999"/>
    <n v="0"/>
    <n v="0"/>
    <n v="10"/>
    <n v="0"/>
    <n v="0"/>
    <m/>
    <n v="35189.99999999999"/>
    <n v="0"/>
    <n v="0"/>
    <n v="10"/>
    <n v="35189.99999999999"/>
    <n v="0"/>
  </r>
  <r>
    <s v="Lhotse-Hidratación"/>
    <x v="4"/>
    <x v="19"/>
    <x v="44"/>
    <s v="LHMUTER590"/>
    <x v="291"/>
    <x v="278"/>
    <x v="0"/>
    <x v="4"/>
    <n v="1"/>
    <x v="3"/>
    <n v="0"/>
    <m/>
    <n v="0"/>
    <n v="3501.75"/>
    <n v="0"/>
    <n v="3.5"/>
    <n v="3501.75"/>
    <n v="8827.941176470587"/>
    <n v="7503.749999999999"/>
    <s v="Ningbo"/>
    <s v="30/70"/>
    <n v="30"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500"/>
    <n v="0"/>
    <n v="0"/>
    <n v="0"/>
    <n v="0"/>
    <n v="1750875"/>
    <n v="0"/>
    <n v="0"/>
    <n v="0"/>
    <n v="0"/>
    <n v="30"/>
    <n v="0"/>
    <n v="30"/>
    <n v="0"/>
    <n v="500"/>
    <n v="0"/>
    <n v="0"/>
    <n v="108675"/>
    <n v="0"/>
    <n v="0"/>
    <n v="0"/>
    <n v="0"/>
    <n v="264838.2352941176"/>
    <n v="30"/>
    <n v="0"/>
    <n v="30"/>
    <n v="0"/>
    <n v="0"/>
    <n v="0"/>
    <n v="0"/>
    <n v="108675"/>
    <n v="0"/>
    <n v="0"/>
    <n v="0"/>
    <n v="0"/>
    <n v="264838.2352941176"/>
    <n v="40"/>
    <n v="0"/>
    <n v="0"/>
    <n v="0"/>
    <n v="0"/>
    <n v="0"/>
    <m/>
    <n v="0"/>
    <n v="0"/>
    <n v="0"/>
    <n v="0"/>
    <n v="0"/>
    <n v="0"/>
    <n v="0"/>
    <n v="40"/>
    <n v="0"/>
    <n v="40"/>
    <n v="0"/>
    <n v="0"/>
    <n v="0"/>
    <n v="144900"/>
    <n v="0"/>
    <n v="0"/>
    <n v="0"/>
    <n v="0"/>
    <n v="315157.4999999999"/>
    <n v="80"/>
    <n v="0"/>
    <n v="80"/>
    <n v="0"/>
    <n v="0"/>
    <n v="0"/>
    <n v="289799.9999999999"/>
    <n v="0"/>
    <n v="0"/>
    <n v="0"/>
    <n v="706235.294117647"/>
    <n v="24"/>
    <n v="0"/>
    <n v="24"/>
    <n v="0"/>
    <m/>
    <n v="0"/>
    <n v="84041.99999999999"/>
    <n v="0"/>
    <n v="0"/>
    <n v="0"/>
    <n v="211870.5882352941"/>
  </r>
  <r>
    <s v="Lhotse-Hidratación"/>
    <x v="4"/>
    <x v="19"/>
    <x v="44"/>
    <s v="LHMUTER590"/>
    <x v="292"/>
    <x v="279"/>
    <x v="0"/>
    <x v="4"/>
    <n v="1"/>
    <x v="3"/>
    <n v="0"/>
    <m/>
    <n v="0"/>
    <n v="3501.75"/>
    <n v="0"/>
    <n v="3.5"/>
    <n v="3501.75"/>
    <n v="8827.941176470587"/>
    <n v="7503.749999999999"/>
    <s v="Ningbo"/>
    <s v="30/70"/>
    <n v="30"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500"/>
    <n v="0"/>
    <n v="0"/>
    <n v="0"/>
    <n v="0"/>
    <n v="1750875"/>
    <n v="0"/>
    <n v="0"/>
    <n v="0"/>
    <n v="0"/>
    <n v="50"/>
    <n v="0"/>
    <n v="50"/>
    <n v="0"/>
    <n v="500"/>
    <n v="0"/>
    <n v="0"/>
    <n v="181125"/>
    <n v="0"/>
    <n v="0"/>
    <n v="0"/>
    <n v="0"/>
    <n v="441397.0588235294"/>
    <n v="50"/>
    <n v="0"/>
    <n v="50"/>
    <n v="0"/>
    <n v="0"/>
    <n v="0"/>
    <n v="0"/>
    <n v="181125"/>
    <n v="0"/>
    <n v="0"/>
    <n v="0"/>
    <n v="0"/>
    <n v="441397.0588235294"/>
    <n v="80"/>
    <n v="0"/>
    <n v="0"/>
    <n v="0"/>
    <n v="0"/>
    <n v="0"/>
    <m/>
    <n v="0"/>
    <n v="0"/>
    <n v="0"/>
    <n v="0"/>
    <n v="0"/>
    <n v="0"/>
    <n v="0"/>
    <n v="60"/>
    <n v="0"/>
    <n v="60"/>
    <n v="0"/>
    <n v="0"/>
    <n v="0"/>
    <n v="217350"/>
    <n v="0"/>
    <n v="0"/>
    <n v="0"/>
    <n v="0"/>
    <n v="472736.2499999999"/>
    <n v="100"/>
    <n v="0"/>
    <n v="100"/>
    <n v="0"/>
    <n v="0"/>
    <n v="0"/>
    <n v="362249.9999999999"/>
    <n v="0"/>
    <n v="0"/>
    <n v="0"/>
    <n v="882794.1176470588"/>
    <n v="36"/>
    <n v="0"/>
    <n v="36"/>
    <n v="0"/>
    <m/>
    <n v="0"/>
    <n v="126063"/>
    <n v="0"/>
    <n v="0"/>
    <n v="0"/>
    <n v="317805.8823529411"/>
  </r>
  <r>
    <s v="Lhotse-Hidratación"/>
    <x v="4"/>
    <x v="19"/>
    <x v="44"/>
    <s v="LHMUTER590"/>
    <x v="293"/>
    <x v="280"/>
    <x v="0"/>
    <x v="4"/>
    <n v="1"/>
    <x v="3"/>
    <n v="0"/>
    <m/>
    <n v="0"/>
    <n v="3501.75"/>
    <n v="0"/>
    <n v="3.5"/>
    <n v="3501.75"/>
    <n v="8827.941176470587"/>
    <n v="7503.749999999999"/>
    <s v="Ningbo"/>
    <s v="30/70"/>
    <n v="30"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500"/>
    <n v="0"/>
    <n v="0"/>
    <n v="0"/>
    <n v="0"/>
    <n v="1750875"/>
    <n v="0"/>
    <n v="0"/>
    <n v="0"/>
    <n v="0"/>
    <n v="30"/>
    <n v="0"/>
    <n v="30"/>
    <n v="0"/>
    <n v="500"/>
    <n v="0"/>
    <n v="0"/>
    <n v="108675"/>
    <n v="0"/>
    <n v="0"/>
    <n v="0"/>
    <n v="0"/>
    <n v="264838.2352941176"/>
    <n v="30"/>
    <n v="0"/>
    <n v="30"/>
    <n v="0"/>
    <n v="0"/>
    <n v="0"/>
    <n v="0"/>
    <n v="108675"/>
    <n v="0"/>
    <n v="0"/>
    <n v="0"/>
    <n v="0"/>
    <n v="264838.2352941176"/>
    <n v="40"/>
    <n v="0"/>
    <n v="0"/>
    <n v="0"/>
    <n v="0"/>
    <n v="0"/>
    <m/>
    <n v="0"/>
    <n v="0"/>
    <n v="0"/>
    <n v="0"/>
    <n v="0"/>
    <n v="0"/>
    <n v="0"/>
    <n v="40"/>
    <n v="0"/>
    <n v="40"/>
    <n v="0"/>
    <n v="0"/>
    <n v="0"/>
    <n v="144900"/>
    <n v="0"/>
    <n v="0"/>
    <n v="0"/>
    <n v="0"/>
    <n v="315157.4999999999"/>
    <n v="80"/>
    <n v="0"/>
    <n v="80"/>
    <n v="0"/>
    <n v="0"/>
    <n v="0"/>
    <n v="289799.9999999999"/>
    <n v="0"/>
    <n v="0"/>
    <n v="0"/>
    <n v="706235.294117647"/>
    <n v="24"/>
    <n v="0"/>
    <n v="24"/>
    <n v="0"/>
    <m/>
    <n v="0"/>
    <n v="84041.99999999999"/>
    <n v="0"/>
    <n v="0"/>
    <n v="0"/>
    <n v="211870.5882352941"/>
  </r>
  <r>
    <s v="Lhotse-Hidratación"/>
    <x v="4"/>
    <x v="19"/>
    <x v="44"/>
    <s v="LHMUTER590"/>
    <x v="294"/>
    <x v="281"/>
    <x v="0"/>
    <x v="4"/>
    <n v="1"/>
    <x v="3"/>
    <n v="0"/>
    <m/>
    <n v="0"/>
    <n v="3501.75"/>
    <n v="0"/>
    <n v="3.5"/>
    <n v="3501.75"/>
    <n v="8827.941176470587"/>
    <n v="7503.749999999999"/>
    <s v="Ningbo"/>
    <s v="30/70"/>
    <n v="30"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500"/>
    <n v="0"/>
    <n v="0"/>
    <n v="0"/>
    <n v="0"/>
    <n v="1750875"/>
    <n v="0"/>
    <n v="0"/>
    <n v="0"/>
    <n v="0"/>
    <n v="30"/>
    <n v="0"/>
    <n v="30"/>
    <n v="0"/>
    <n v="500"/>
    <n v="0"/>
    <n v="0"/>
    <n v="108675"/>
    <n v="0"/>
    <n v="0"/>
    <n v="0"/>
    <n v="0"/>
    <n v="264838.2352941176"/>
    <n v="30"/>
    <n v="0"/>
    <n v="30"/>
    <n v="0"/>
    <n v="0"/>
    <n v="0"/>
    <n v="0"/>
    <n v="108675"/>
    <n v="0"/>
    <n v="0"/>
    <n v="0"/>
    <n v="0"/>
    <n v="264838.2352941176"/>
    <n v="40"/>
    <n v="0"/>
    <n v="0"/>
    <n v="0"/>
    <n v="0"/>
    <n v="0"/>
    <m/>
    <n v="0"/>
    <n v="0"/>
    <n v="0"/>
    <n v="0"/>
    <n v="0"/>
    <n v="0"/>
    <n v="0"/>
    <n v="40"/>
    <n v="0"/>
    <n v="40"/>
    <n v="0"/>
    <n v="0"/>
    <n v="0"/>
    <n v="144900"/>
    <n v="0"/>
    <n v="0"/>
    <n v="0"/>
    <n v="0"/>
    <n v="315157.4999999999"/>
    <n v="80"/>
    <n v="0"/>
    <n v="80"/>
    <n v="0"/>
    <n v="0"/>
    <n v="0"/>
    <n v="289799.9999999999"/>
    <n v="0"/>
    <n v="0"/>
    <n v="0"/>
    <n v="706235.294117647"/>
    <n v="24"/>
    <n v="0"/>
    <n v="24"/>
    <n v="0"/>
    <m/>
    <n v="0"/>
    <n v="84041.99999999999"/>
    <n v="0"/>
    <n v="0"/>
    <n v="0"/>
    <n v="211870.5882352941"/>
  </r>
  <r>
    <s v="Lhotse-Hidratación"/>
    <x v="4"/>
    <x v="19"/>
    <x v="44"/>
    <s v="LHMUTER590"/>
    <x v="295"/>
    <x v="282"/>
    <x v="0"/>
    <x v="4"/>
    <n v="1"/>
    <x v="3"/>
    <n v="0"/>
    <m/>
    <n v="0"/>
    <n v="3501.75"/>
    <n v="0"/>
    <n v="3.5"/>
    <n v="3501.75"/>
    <n v="8827.941176470587"/>
    <n v="7503.749999999999"/>
    <s v="Ningbo"/>
    <s v="30/70"/>
    <n v="30"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500"/>
    <n v="0"/>
    <n v="0"/>
    <n v="0"/>
    <n v="0"/>
    <n v="1750875"/>
    <n v="0"/>
    <n v="0"/>
    <n v="0"/>
    <n v="0"/>
    <n v="50"/>
    <n v="0"/>
    <n v="50"/>
    <n v="0"/>
    <n v="500"/>
    <n v="0"/>
    <n v="0"/>
    <n v="181125"/>
    <n v="0"/>
    <n v="0"/>
    <n v="0"/>
    <n v="0"/>
    <n v="441397.0588235294"/>
    <n v="50"/>
    <n v="0"/>
    <n v="50"/>
    <n v="0"/>
    <n v="0"/>
    <n v="0"/>
    <n v="0"/>
    <n v="181125"/>
    <n v="0"/>
    <n v="0"/>
    <n v="0"/>
    <n v="0"/>
    <n v="441397.0588235294"/>
    <n v="80"/>
    <n v="0"/>
    <n v="0"/>
    <n v="0"/>
    <n v="0"/>
    <n v="0"/>
    <m/>
    <n v="0"/>
    <n v="0"/>
    <n v="0"/>
    <n v="0"/>
    <n v="0"/>
    <n v="0"/>
    <n v="0"/>
    <n v="60"/>
    <n v="0"/>
    <n v="60"/>
    <n v="0"/>
    <n v="0"/>
    <n v="0"/>
    <n v="217350"/>
    <n v="0"/>
    <n v="0"/>
    <n v="0"/>
    <n v="0"/>
    <n v="472736.2499999999"/>
    <n v="100"/>
    <n v="0"/>
    <n v="100"/>
    <n v="0"/>
    <n v="0"/>
    <n v="0"/>
    <n v="362249.9999999999"/>
    <n v="0"/>
    <n v="0"/>
    <n v="0"/>
    <n v="882794.1176470588"/>
    <n v="36"/>
    <n v="0"/>
    <n v="36"/>
    <n v="0"/>
    <m/>
    <n v="0"/>
    <n v="126063"/>
    <n v="0"/>
    <n v="0"/>
    <n v="0"/>
    <n v="317805.8823529411"/>
  </r>
  <r>
    <s v="Lhotse-Hidratación"/>
    <x v="4"/>
    <x v="19"/>
    <x v="44"/>
    <s v="LHSHNUCO"/>
    <x v="296"/>
    <x v="283"/>
    <x v="0"/>
    <x v="1"/>
    <n v="1"/>
    <x v="3"/>
    <n v="0"/>
    <m/>
    <n v="0"/>
    <n v="4031.325"/>
    <n v="0"/>
    <n v="3.69"/>
    <n v="4031.325"/>
    <n v="10163.00420168067"/>
    <n v="8638.553571428571"/>
    <s v="Ningbo"/>
    <s v="30/7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n v="0"/>
    <n v="0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30"/>
    <n v="37"/>
    <n v="37"/>
    <n v="0"/>
    <n v="240"/>
    <n v="0"/>
    <n v="149159.025"/>
    <n v="141308.55"/>
    <n v="149159.025"/>
    <n v="0"/>
    <n v="0"/>
    <n v="0"/>
    <n v="315992.5676152814"/>
    <n v="40"/>
    <n v="242"/>
    <n v="0"/>
    <n v="0"/>
    <n v="0"/>
    <n v="0"/>
    <n v="0"/>
    <n v="924234.2999999999"/>
    <n v="0"/>
    <n v="0"/>
    <n v="0"/>
    <n v="0"/>
    <n v="0"/>
    <n v="60"/>
    <n v="205"/>
    <n v="0"/>
    <n v="0"/>
    <n v="0"/>
    <n v="0"/>
    <n v="826421.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0"/>
    <n v="50"/>
    <n v="500"/>
    <n v="500"/>
    <n v="0"/>
    <n v="0"/>
    <n v="190957.5"/>
    <n v="1909575"/>
    <n v="0"/>
    <n v="0"/>
    <n v="0"/>
    <n v="508150.2100840335"/>
    <n v="80"/>
    <n v="0"/>
    <n v="0"/>
    <n v="0"/>
    <n v="0"/>
    <n v="0"/>
    <n v="500"/>
    <n v="0"/>
    <n v="0"/>
    <n v="0"/>
    <n v="1909575"/>
    <n v="0"/>
    <n v="1909575"/>
    <n v="0"/>
    <n v="70"/>
    <n v="0"/>
    <n v="70"/>
    <n v="0"/>
    <n v="0"/>
    <n v="0"/>
    <n v="267340.5"/>
    <n v="0"/>
    <n v="0"/>
    <n v="0"/>
    <n v="0"/>
    <n v="634933.6875"/>
    <n v="100"/>
    <n v="0"/>
    <n v="100"/>
    <n v="0"/>
    <n v="0"/>
    <n v="0"/>
    <n v="381914.9999999999"/>
    <n v="0"/>
    <n v="0"/>
    <n v="0"/>
    <n v="1016300.420168067"/>
    <n v="42"/>
    <n v="0"/>
    <n v="42"/>
    <n v="0"/>
    <m/>
    <n v="0"/>
    <n v="169315.65"/>
    <n v="0"/>
    <n v="0"/>
    <n v="0"/>
    <n v="426846.1764705882"/>
  </r>
  <r>
    <s v="Lhotse-Hidratación"/>
    <x v="4"/>
    <x v="19"/>
    <x v="44"/>
    <s v="LHSHNUCO"/>
    <x v="297"/>
    <x v="284"/>
    <x v="0"/>
    <x v="1"/>
    <n v="1"/>
    <x v="170"/>
    <n v="195"/>
    <m/>
    <n v="0"/>
    <n v="3987"/>
    <n v="777465"/>
    <n v="3.69"/>
    <n v="4031.325"/>
    <n v="10915.96638655462"/>
    <n v="10915.96638655462"/>
    <s v="Ningbo"/>
    <s v="30/7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7"/>
    <n v="0.5555336694062437"/>
    <n v="120"/>
    <n v="0.6016740062860557"/>
    <n v="0"/>
    <s v=""/>
    <n v="32"/>
    <n v="0.179700981422599"/>
    <n v="151"/>
    <n v="0.3600661211613913"/>
    <n v="57"/>
    <n v="0.4640129600597202"/>
    <n v="0.57"/>
    <n v="72"/>
    <n v="0.6701165862654684"/>
    <n v="0.72"/>
    <n v="118"/>
    <n v="0.3465481354031217"/>
    <n v="0.7866666666666666"/>
    <n v="76"/>
    <n v="0.6649218075702132"/>
    <n v="0.95"/>
    <n v="34"/>
    <n v="0.6561214798832899"/>
    <n v="0.425"/>
    <m/>
    <m/>
    <m/>
    <m/>
    <m/>
    <m/>
    <m/>
    <m/>
    <m/>
    <m/>
    <m/>
    <m/>
    <n v="5"/>
    <n v="3"/>
    <n v="5"/>
    <n v="0"/>
    <n v="240"/>
    <n v="0"/>
    <n v="813348"/>
    <n v="11457.45"/>
    <n v="19935"/>
    <n v="0"/>
    <n v="195"/>
    <n v="777465"/>
    <n v="45865.40498552363"/>
    <n v="60"/>
    <n v="240"/>
    <n v="48"/>
    <n v="0"/>
    <n v="0"/>
    <n v="0"/>
    <n v="1020672"/>
    <n v="916595.9999999999"/>
    <n v="191376"/>
    <n v="0"/>
    <n v="195"/>
    <n v="777465"/>
    <n v="440307.8878610268"/>
    <n v="120"/>
    <n v="168"/>
    <n v="151"/>
    <n v="0"/>
    <n v="0"/>
    <n v="1211211"/>
    <n v="669816"/>
    <n v="602037"/>
    <n v="0"/>
    <n v="195"/>
    <n v="777465"/>
    <n v="1648310.924369748"/>
    <n v="100"/>
    <n v="52"/>
    <n v="57"/>
    <n v="300"/>
    <n v="0"/>
    <n v="198595.8"/>
    <n v="227259"/>
    <n v="1145745"/>
    <n v="0"/>
    <n v="195"/>
    <n v="777465"/>
    <n v="622210.0840336134"/>
    <n v="100"/>
    <n v="267"/>
    <n v="100"/>
    <m/>
    <n v="0"/>
    <n v="0"/>
    <n v="1064529"/>
    <n v="381914.9999999999"/>
    <n v="0"/>
    <n v="0"/>
    <n v="195"/>
    <n v="777465"/>
    <n v="1091596.638655462"/>
    <n v="150"/>
    <n v="313"/>
    <n v="118"/>
    <m/>
    <n v="0"/>
    <n v="0"/>
    <n v="1247931"/>
    <n v="450659.7"/>
    <n v="0"/>
    <n v="0"/>
    <n v="313"/>
    <n v="777465"/>
    <n v="1288084.033613445"/>
    <n v="80"/>
    <n v="271"/>
    <n v="76"/>
    <n v="0"/>
    <n v="0"/>
    <n v="0"/>
    <n v="1080477"/>
    <n v="290255.4"/>
    <n v="0"/>
    <n v="0"/>
    <n v="271"/>
    <n v="777465"/>
    <n v="829613.4453781514"/>
    <n v="80"/>
    <n v="195"/>
    <n v="80"/>
    <n v="500"/>
    <n v="500"/>
    <n v="0"/>
    <n v="777465"/>
    <n v="305532"/>
    <n v="1909575"/>
    <n v="0"/>
    <n v="195"/>
    <n v="777465"/>
    <n v="873277.3109243698"/>
    <n v="80"/>
    <n v="115"/>
    <n v="80"/>
    <n v="0"/>
    <n v="0"/>
    <n v="500"/>
    <n v="439202.2499999999"/>
    <n v="305532"/>
    <n v="0"/>
    <n v="1909575"/>
    <n v="615"/>
    <n v="2348777.25"/>
    <n v="873277.3109243698"/>
    <n v="150"/>
    <n v="535"/>
    <n v="150"/>
    <n v="0"/>
    <n v="0"/>
    <n v="0"/>
    <m/>
    <n v="2043245.25"/>
    <n v="572872.5"/>
    <n v="0"/>
    <n v="0"/>
    <n v="535"/>
    <n v="2043245.25"/>
    <n v="1637394.957983193"/>
    <n v="120"/>
    <n v="385"/>
    <n v="120"/>
    <n v="0"/>
    <n v="0"/>
    <n v="1470372.75"/>
    <n v="458297.9999999999"/>
    <n v="0"/>
    <n v="0"/>
    <n v="385"/>
    <n v="1470372.75"/>
    <n v="1375411.764705883"/>
    <n v="200"/>
    <n v="265"/>
    <n v="200"/>
    <n v="0"/>
    <n v="0"/>
    <n v="1012074.75"/>
    <n v="763829.9999999999"/>
    <n v="0"/>
    <n v="265"/>
    <n v="1012074.75"/>
    <n v="2183193.277310925"/>
    <n v="72"/>
    <n v="65"/>
    <n v="72"/>
    <n v="0"/>
    <m/>
    <n v="248244.75"/>
    <n v="287064"/>
    <n v="0"/>
    <n v="65"/>
    <n v="248244.75"/>
    <n v="785949.5798319328"/>
  </r>
  <r>
    <s v="Lhotse-Hidratación"/>
    <x v="4"/>
    <x v="19"/>
    <x v="44"/>
    <s v="LHSHNUCO"/>
    <x v="298"/>
    <x v="285"/>
    <x v="0"/>
    <x v="1"/>
    <n v="1.1"/>
    <x v="171"/>
    <n v="0"/>
    <m/>
    <n v="0"/>
    <n v="3510"/>
    <n v="0"/>
    <n v="3.69"/>
    <n v="4031.325"/>
    <n v="10915.96638655462"/>
    <n v="10915.96638655462"/>
    <s v="Ningbo"/>
    <s v="30/7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8"/>
    <n v="0.4976349152405694"/>
    <n v="102"/>
    <n v="0.5787878822027318"/>
    <n v="27"/>
    <n v="0.3535802990975876"/>
    <n v="10"/>
    <n v="0.2784000135785665"/>
    <n v="47"/>
    <n v="0.3988682064313023"/>
    <n v="64"/>
    <n v="0.5235132460715882"/>
    <n v="1.28"/>
    <n v="38"/>
    <n v="0.6989224353026672"/>
    <n v="1.266666666666667"/>
    <n v="52"/>
    <n v="0.4801355650413574"/>
    <n v="1.04"/>
    <n v="22"/>
    <n v="0.6990148873258284"/>
    <n v="0.7333333333333333"/>
    <n v="14"/>
    <n v="0.6920255313913597"/>
    <n v="0.4666666666666667"/>
    <m/>
    <m/>
    <m/>
    <m/>
    <m/>
    <m/>
    <m/>
    <m/>
    <m/>
    <m/>
    <m/>
    <m/>
    <n v="30"/>
    <n v="37"/>
    <n v="37"/>
    <n v="0"/>
    <n v="240"/>
    <n v="0"/>
    <n v="347490"/>
    <n v="141308.55"/>
    <n v="129870"/>
    <n v="0"/>
    <n v="0"/>
    <n v="0"/>
    <n v="339403.9968928748"/>
    <n v="40"/>
    <n v="242"/>
    <n v="15"/>
    <n v="0"/>
    <n v="0"/>
    <n v="0"/>
    <n v="442260"/>
    <n v="924234.2999999999"/>
    <n v="52650"/>
    <n v="0"/>
    <n v="0"/>
    <n v="0"/>
    <n v="137596.2149565709"/>
    <n v="60"/>
    <n v="205"/>
    <n v="47"/>
    <n v="0"/>
    <n v="0"/>
    <n v="515641.95"/>
    <n v="719550"/>
    <n v="164970"/>
    <n v="0"/>
    <n v="0"/>
    <n v="0"/>
    <n v="513050.4201680673"/>
    <n v="50"/>
    <n v="188"/>
    <n v="64"/>
    <n v="0"/>
    <n v="0"/>
    <n v="718000.2"/>
    <n v="224640"/>
    <n v="0"/>
    <n v="0"/>
    <n v="0"/>
    <n v="0"/>
    <n v="698621.8487394959"/>
    <n v="30"/>
    <n v="38"/>
    <n v="33"/>
    <m/>
    <n v="0"/>
    <n v="0"/>
    <n v="133380"/>
    <n v="126031.95"/>
    <n v="0"/>
    <n v="0"/>
    <n v="0"/>
    <n v="0"/>
    <n v="360226.8907563026"/>
    <n v="50"/>
    <n v="52"/>
    <n v="52"/>
    <m/>
    <n v="0"/>
    <n v="0"/>
    <n v="182520"/>
    <n v="198595.8"/>
    <n v="0"/>
    <n v="0"/>
    <n v="52"/>
    <n v="0"/>
    <n v="567630.2521008403"/>
    <n v="30"/>
    <n v="22"/>
    <n v="22"/>
    <n v="0"/>
    <n v="0"/>
    <n v="0"/>
    <n v="77220"/>
    <n v="84021.29999999999"/>
    <n v="0"/>
    <n v="0"/>
    <n v="22"/>
    <n v="0"/>
    <n v="240151.2605042017"/>
    <n v="30"/>
    <n v="0"/>
    <n v="33"/>
    <n v="0"/>
    <n v="0"/>
    <n v="0"/>
    <n v="0"/>
    <n v="126031.95"/>
    <n v="0"/>
    <n v="0"/>
    <n v="0"/>
    <n v="0"/>
    <n v="360226.8907563026"/>
    <n v="25"/>
    <n v="0"/>
    <n v="27.5"/>
    <n v="0"/>
    <n v="0"/>
    <n v="0"/>
    <n v="0"/>
    <n v="105026.625"/>
    <n v="0"/>
    <n v="0"/>
    <n v="0"/>
    <n v="0"/>
    <n v="300189.0756302521"/>
    <n v="60"/>
    <n v="0"/>
    <n v="0"/>
    <n v="0"/>
    <n v="0"/>
    <n v="0"/>
    <m/>
    <n v="0"/>
    <n v="0"/>
    <n v="0"/>
    <n v="0"/>
    <n v="0"/>
    <n v="0"/>
    <n v="0"/>
    <n v="50"/>
    <n v="0"/>
    <n v="55.00000000000001"/>
    <n v="0"/>
    <n v="0"/>
    <n v="0"/>
    <n v="210053.25"/>
    <n v="0"/>
    <n v="0"/>
    <n v="0"/>
    <n v="0"/>
    <n v="630397.0588235295"/>
    <n v="100"/>
    <n v="0"/>
    <n v="110"/>
    <n v="0"/>
    <n v="0"/>
    <n v="0"/>
    <n v="420106.5"/>
    <n v="0"/>
    <n v="0"/>
    <n v="0"/>
    <n v="1200756.302521009"/>
    <n v="30"/>
    <n v="0"/>
    <n v="33"/>
    <n v="0"/>
    <m/>
    <n v="0"/>
    <n v="115830"/>
    <n v="0"/>
    <n v="0"/>
    <n v="0"/>
    <n v="360226.8907563026"/>
  </r>
  <r>
    <s v="Lhotse-Hidratación"/>
    <x v="4"/>
    <x v="19"/>
    <x v="44"/>
    <s v="LHSHNUCO"/>
    <x v="299"/>
    <x v="286"/>
    <x v="0"/>
    <x v="1"/>
    <n v="1"/>
    <x v="3"/>
    <n v="0"/>
    <m/>
    <n v="0"/>
    <n v="4031.325"/>
    <n v="0"/>
    <n v="3.69"/>
    <n v="4031.325"/>
    <n v="10163.00420168067"/>
    <n v="8638.553571428571"/>
    <s v="Ningbo"/>
    <s v="30/7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n v="0"/>
    <n v="0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30"/>
    <n v="37"/>
    <n v="37"/>
    <n v="0"/>
    <n v="240"/>
    <n v="0"/>
    <n v="149159.025"/>
    <n v="141308.55"/>
    <n v="149159.025"/>
    <n v="0"/>
    <n v="0"/>
    <n v="0"/>
    <n v="315992.5676152814"/>
    <n v="40"/>
    <n v="242"/>
    <n v="0"/>
    <n v="0"/>
    <n v="0"/>
    <n v="0"/>
    <n v="0"/>
    <n v="924234.2999999999"/>
    <n v="0"/>
    <n v="0"/>
    <n v="0"/>
    <n v="0"/>
    <n v="0"/>
    <n v="60"/>
    <n v="205"/>
    <n v="0"/>
    <n v="0"/>
    <n v="0"/>
    <n v="0"/>
    <n v="826421.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0"/>
    <n v="50"/>
    <n v="500"/>
    <n v="500"/>
    <n v="0"/>
    <n v="0"/>
    <n v="190957.5"/>
    <n v="1909575"/>
    <n v="0"/>
    <n v="0"/>
    <n v="0"/>
    <n v="508150.2100840335"/>
    <n v="80"/>
    <n v="0"/>
    <n v="0"/>
    <n v="0"/>
    <n v="0"/>
    <n v="0"/>
    <n v="500"/>
    <n v="0"/>
    <n v="0"/>
    <n v="0"/>
    <n v="1909575"/>
    <n v="0"/>
    <n v="1909575"/>
    <n v="0"/>
    <n v="70"/>
    <n v="0"/>
    <n v="70"/>
    <n v="0"/>
    <n v="0"/>
    <n v="0"/>
    <n v="267340.5"/>
    <n v="0"/>
    <n v="0"/>
    <n v="0"/>
    <n v="0"/>
    <n v="634933.6875"/>
    <n v="100"/>
    <n v="0"/>
    <n v="100"/>
    <n v="0"/>
    <n v="0"/>
    <n v="0"/>
    <n v="381914.9999999999"/>
    <n v="0"/>
    <n v="0"/>
    <n v="0"/>
    <n v="1016300.420168067"/>
    <n v="42"/>
    <n v="0"/>
    <n v="42"/>
    <n v="0"/>
    <m/>
    <n v="0"/>
    <n v="169315.65"/>
    <n v="0"/>
    <n v="0"/>
    <n v="0"/>
    <n v="426846.1764705882"/>
  </r>
  <r>
    <s v="Lhotse-Hidratación"/>
    <x v="4"/>
    <x v="19"/>
    <x v="44"/>
    <s v="LHSHNUCO"/>
    <x v="300"/>
    <x v="287"/>
    <x v="0"/>
    <x v="1"/>
    <n v="1"/>
    <x v="172"/>
    <n v="122"/>
    <m/>
    <n v="0"/>
    <n v="3990"/>
    <n v="486780"/>
    <n v="3.69"/>
    <n v="4031.325"/>
    <n v="10915.96638655462"/>
    <n v="10915.96638655462"/>
    <s v="Ningbo"/>
    <s v="30/70"/>
    <n v="3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4"/>
    <n v="0.5195981108770747"/>
    <n v="125"/>
    <n v="0.5893528951380602"/>
    <n v="0"/>
    <s v=""/>
    <n v="25"/>
    <n v="0.2185452714725048"/>
    <n v="164"/>
    <n v="0.136784124454367"/>
    <n v="55"/>
    <n v="0.495611416620689"/>
    <n v="0.55"/>
    <n v="86"/>
    <n v="0.6750469853309594"/>
    <n v="0.86"/>
    <n v="128"/>
    <n v="0.4403870778410846"/>
    <n v="0.8533333333333334"/>
    <n v="96"/>
    <n v="0.6667350368853223"/>
    <n v="1.2"/>
    <n v="45"/>
    <n v="0.6433384501014159"/>
    <n v="0.5625"/>
    <m/>
    <m/>
    <m/>
    <m/>
    <m/>
    <m/>
    <m/>
    <m/>
    <m/>
    <m/>
    <m/>
    <m/>
    <n v="5"/>
    <n v="2"/>
    <n v="5"/>
    <n v="0"/>
    <n v="240"/>
    <n v="0"/>
    <n v="823935"/>
    <n v="7638.299999999999"/>
    <n v="19950"/>
    <n v="0"/>
    <n v="122"/>
    <n v="486780"/>
    <n v="45865.40498552363"/>
    <n v="60"/>
    <n v="240"/>
    <n v="37.5"/>
    <n v="0"/>
    <n v="0"/>
    <n v="0"/>
    <n v="1023435"/>
    <n v="916595.9999999999"/>
    <n v="149625"/>
    <n v="0"/>
    <n v="122"/>
    <n v="486780"/>
    <n v="343990.5373914272"/>
    <n v="120"/>
    <n v="186"/>
    <n v="164"/>
    <n v="0"/>
    <n v="0"/>
    <n v="1255725"/>
    <n v="742140"/>
    <n v="654360"/>
    <n v="0"/>
    <n v="122"/>
    <n v="486780"/>
    <n v="1790218.487394958"/>
    <n v="100"/>
    <n v="54"/>
    <n v="55"/>
    <n v="300"/>
    <n v="0"/>
    <n v="206234.1"/>
    <n v="219450"/>
    <n v="1145745"/>
    <n v="0"/>
    <n v="122"/>
    <n v="486780"/>
    <n v="600378.1512605043"/>
    <n v="100"/>
    <n v="208"/>
    <n v="100"/>
    <m/>
    <n v="0"/>
    <n v="0"/>
    <n v="829920"/>
    <n v="381914.9999999999"/>
    <n v="0"/>
    <n v="0"/>
    <n v="122"/>
    <n v="486780"/>
    <n v="1091596.638655462"/>
    <n v="150"/>
    <n v="250"/>
    <n v="128"/>
    <m/>
    <n v="0"/>
    <n v="0"/>
    <n v="997500"/>
    <n v="488851.2"/>
    <n v="0"/>
    <n v="0"/>
    <n v="250"/>
    <n v="486780"/>
    <n v="1397243.697478992"/>
    <n v="80"/>
    <n v="218"/>
    <n v="96"/>
    <n v="0"/>
    <n v="0"/>
    <n v="0"/>
    <n v="869820"/>
    <n v="366638.4"/>
    <n v="0"/>
    <n v="0"/>
    <n v="218"/>
    <n v="486780"/>
    <n v="1047932.773109244"/>
    <n v="80"/>
    <n v="122"/>
    <n v="80"/>
    <n v="500"/>
    <n v="500"/>
    <n v="0"/>
    <n v="486780"/>
    <n v="305532"/>
    <n v="1909575"/>
    <n v="0"/>
    <n v="122"/>
    <n v="486780"/>
    <n v="873277.3109243698"/>
    <n v="80"/>
    <n v="42"/>
    <n v="80"/>
    <n v="0"/>
    <n v="0"/>
    <n v="500"/>
    <n v="160404.3"/>
    <n v="305532"/>
    <n v="0"/>
    <n v="1909575"/>
    <n v="542"/>
    <n v="2069979.3"/>
    <n v="873277.3109243698"/>
    <n v="150"/>
    <n v="462"/>
    <n v="150"/>
    <n v="0"/>
    <n v="0"/>
    <n v="0"/>
    <m/>
    <n v="1764447.3"/>
    <n v="572872.5"/>
    <n v="0"/>
    <n v="0"/>
    <n v="462"/>
    <n v="1764447.3"/>
    <n v="1637394.957983193"/>
    <n v="120"/>
    <n v="312"/>
    <n v="120"/>
    <n v="0"/>
    <n v="0"/>
    <n v="1191574.8"/>
    <n v="458297.9999999999"/>
    <n v="0"/>
    <n v="0"/>
    <n v="312"/>
    <n v="1191574.8"/>
    <n v="1375411.764705883"/>
    <n v="200"/>
    <n v="192"/>
    <n v="200"/>
    <n v="0"/>
    <n v="0"/>
    <n v="733276.7999999999"/>
    <n v="763829.9999999999"/>
    <n v="0"/>
    <n v="192"/>
    <n v="733276.7999999999"/>
    <n v="2183193.277310925"/>
    <n v="72"/>
    <n v="0"/>
    <n v="72"/>
    <n v="0"/>
    <m/>
    <n v="0"/>
    <n v="287280"/>
    <n v="0"/>
    <n v="0"/>
    <n v="0"/>
    <n v="785949.5798319328"/>
  </r>
  <r>
    <s v="Lhotse-Hidratación"/>
    <x v="4"/>
    <x v="19"/>
    <x v="44"/>
    <s v="LHTPHY01"/>
    <x v="301"/>
    <x v="288"/>
    <x v="0"/>
    <x v="2"/>
    <n v="1"/>
    <x v="3"/>
    <n v="182"/>
    <m/>
    <n v="0"/>
    <n v="859"/>
    <n v="156338"/>
    <n v="0.5"/>
    <n v="546.25"/>
    <n v="3352.941176470588"/>
    <n v="3352.941176470588"/>
    <s v="Shenzhen"/>
    <s v="30/70"/>
    <n v="30"/>
    <n v="100"/>
    <n v="34"/>
    <n v="0.7361884879212646"/>
    <n v="21"/>
    <s v=""/>
    <n v="16"/>
    <n v="0.7361884879212646"/>
    <n v="4"/>
    <n v="0.7361884879212645"/>
    <n v="13"/>
    <n v="0.7222949533003689"/>
    <n v="30"/>
    <n v="0.5844188522210393"/>
    <n v="22"/>
    <n v="0.6963083451202262"/>
    <n v="9"/>
    <s v=""/>
    <n v="6"/>
    <s v=""/>
    <n v="8"/>
    <n v="0.7438592305398151"/>
    <n v="5"/>
    <n v="0.7267196945593382"/>
    <n v="1"/>
    <n v="0.7438115120787354"/>
    <n v="1"/>
    <s v=""/>
    <n v="2"/>
    <n v="0.977164534185726"/>
    <n v="0"/>
    <s v=""/>
    <n v="1"/>
    <n v="0.743811499335478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5"/>
    <n v="174"/>
    <n v="5"/>
    <n v="0"/>
    <n v="0"/>
    <n v="0"/>
    <n v="6872"/>
    <n v="90045"/>
    <n v="4295"/>
    <n v="0"/>
    <n v="182"/>
    <n v="156338"/>
    <n v="14087.98813643105"/>
    <n v="0"/>
    <n v="185"/>
    <n v="3"/>
    <n v="0"/>
    <n v="0"/>
    <n v="0"/>
    <n v="3436"/>
    <n v="95737.5"/>
    <n v="2577"/>
    <n v="0"/>
    <n v="182"/>
    <n v="156338"/>
    <n v="8452.792881858626"/>
    <n v="0"/>
    <n v="183"/>
    <n v="0"/>
    <n v="0"/>
    <n v="0"/>
    <n v="7586.5"/>
    <n v="157197"/>
    <n v="0"/>
    <n v="0"/>
    <n v="182"/>
    <n v="156338"/>
    <n v="0"/>
    <n v="0"/>
    <n v="183"/>
    <n v="1"/>
    <n v="0"/>
    <n v="0"/>
    <n v="94702.5"/>
    <n v="859"/>
    <n v="0"/>
    <n v="0"/>
    <n v="182"/>
    <n v="156338"/>
    <n v="3352.941176470588"/>
    <n v="13"/>
    <n v="182"/>
    <n v="13"/>
    <m/>
    <n v="0"/>
    <n v="0"/>
    <n v="156338"/>
    <n v="6727.5"/>
    <n v="0"/>
    <n v="0"/>
    <n v="182"/>
    <n v="156338"/>
    <n v="43588.23529411765"/>
    <n v="30"/>
    <n v="182"/>
    <n v="0"/>
    <m/>
    <n v="0"/>
    <n v="0"/>
    <n v="156338"/>
    <n v="0"/>
    <n v="0"/>
    <n v="0"/>
    <n v="182"/>
    <n v="156338"/>
    <n v="0"/>
    <n v="22"/>
    <n v="182"/>
    <n v="0"/>
    <n v="0"/>
    <n v="0"/>
    <n v="0"/>
    <n v="156338"/>
    <n v="0"/>
    <n v="0"/>
    <n v="0"/>
    <n v="182"/>
    <n v="156338"/>
    <n v="0"/>
    <n v="9"/>
    <n v="182"/>
    <n v="9"/>
    <n v="0"/>
    <n v="0"/>
    <n v="0"/>
    <n v="156338"/>
    <n v="4657.5"/>
    <n v="0"/>
    <n v="0"/>
    <n v="182"/>
    <n v="156338"/>
    <n v="30176.47058823529"/>
    <n v="6"/>
    <n v="173"/>
    <n v="6"/>
    <n v="0"/>
    <n v="0"/>
    <n v="0"/>
    <n v="89527.5"/>
    <n v="3105"/>
    <n v="0"/>
    <n v="0"/>
    <n v="173"/>
    <n v="89527.5"/>
    <n v="20117.64705882353"/>
    <n v="8"/>
    <n v="167"/>
    <n v="8"/>
    <n v="0"/>
    <n v="0"/>
    <n v="0"/>
    <m/>
    <n v="86422.5"/>
    <n v="4140"/>
    <n v="0"/>
    <n v="0"/>
    <n v="167"/>
    <n v="86422.5"/>
    <n v="26823.52941176471"/>
    <n v="8"/>
    <n v="159"/>
    <n v="8"/>
    <n v="0"/>
    <n v="0"/>
    <n v="82282.5"/>
    <n v="4140"/>
    <n v="0"/>
    <n v="0"/>
    <n v="159"/>
    <n v="82282.5"/>
    <n v="28164.70588235294"/>
    <n v="8"/>
    <n v="151"/>
    <n v="8"/>
    <n v="0"/>
    <n v="0"/>
    <n v="78142.5"/>
    <n v="4140"/>
    <n v="0"/>
    <n v="151"/>
    <n v="78142.5"/>
    <n v="26823.52941176471"/>
    <n v="4.8"/>
    <n v="143"/>
    <n v="4.8"/>
    <n v="0"/>
    <m/>
    <n v="74002.5"/>
    <n v="4123.2"/>
    <n v="0"/>
    <n v="143"/>
    <n v="74002.5"/>
    <n v="16094.11764705882"/>
  </r>
  <r>
    <s v="Lhotse-Hidratación"/>
    <x v="4"/>
    <x v="19"/>
    <x v="44"/>
    <s v="LHTRMU"/>
    <x v="302"/>
    <x v="289"/>
    <x v="0"/>
    <x v="3"/>
    <n v="1"/>
    <x v="173"/>
    <n v="15"/>
    <m/>
    <n v="0"/>
    <n v="3219"/>
    <n v="48285"/>
    <n v="2.8"/>
    <n v="3059"/>
    <n v="8394.957983193277"/>
    <n v="10915.96638655462"/>
    <s v="Shenzhen"/>
    <s v="30/70"/>
    <n v="30"/>
    <n v="100"/>
    <n v="1"/>
    <n v="0.7773068571828816"/>
    <n v="1"/>
    <n v="0.6872218396458436"/>
    <n v="25"/>
    <n v="0.7199195598891323"/>
    <n v="27"/>
    <n v="0.6788598389066207"/>
    <n v="49"/>
    <n v="0.6547592891120794"/>
    <n v="94"/>
    <n v="0.5999708279443079"/>
    <n v="1"/>
    <n v="0.6788805423231953"/>
    <n v="13"/>
    <n v="0.5385207638116425"/>
    <n v="8"/>
    <n v="0.7049439255719161"/>
    <n v="37"/>
    <n v="0.5112026101736352"/>
    <n v="33"/>
    <n v="0.6392242985488047"/>
    <n v="155"/>
    <n v="0.5970605021413333"/>
    <n v="30"/>
    <n v="0.5017138831384642"/>
    <n v="57"/>
    <n v="0.5289118299737144"/>
    <n v="93"/>
    <n v="0.4474463269034016"/>
    <n v="104"/>
    <n v="0.4194648160571726"/>
    <n v="1.3"/>
    <n v="34"/>
    <n v="0.6705620986982823"/>
    <n v="0.4722222222222222"/>
    <n v="40"/>
    <n v="0.5129525005823553"/>
    <n v="0.3007518796992481"/>
    <n v="4"/>
    <n v="0.7141895107957204"/>
    <n v="0.05063291139240506"/>
    <n v="22"/>
    <n v="0.4549994100534925"/>
    <n v="0.6285714285714286"/>
    <m/>
    <m/>
    <m/>
    <m/>
    <m/>
    <m/>
    <m/>
    <m/>
    <m/>
    <m/>
    <m/>
    <m/>
    <n v="35"/>
    <n v="97"/>
    <n v="30"/>
    <n v="100"/>
    <n v="100"/>
    <n v="0"/>
    <n v="671161.5"/>
    <n v="281106"/>
    <n v="96570"/>
    <n v="0"/>
    <n v="15"/>
    <n v="48285"/>
    <n v="211637.5962149566"/>
    <n v="30"/>
    <n v="182"/>
    <n v="85.5"/>
    <n v="100"/>
    <n v="0"/>
    <n v="0"/>
    <n v="909367.5"/>
    <n v="527436"/>
    <n v="275224.5"/>
    <n v="0"/>
    <n v="15"/>
    <n v="48285"/>
    <n v="603167.1492126263"/>
    <n v="45"/>
    <n v="108"/>
    <n v="93"/>
    <n v="0"/>
    <n v="0"/>
    <n v="842799"/>
    <n v="347652"/>
    <n v="299367"/>
    <n v="0"/>
    <n v="15"/>
    <n v="48285"/>
    <n v="780731.0924369748"/>
    <n v="80"/>
    <n v="218"/>
    <n v="104"/>
    <n v="100"/>
    <n v="0"/>
    <n v="631764"/>
    <n v="334776"/>
    <n v="289800"/>
    <n v="0"/>
    <n v="15"/>
    <n v="48285"/>
    <n v="873075.6302521008"/>
    <n v="72"/>
    <n v="49"/>
    <n v="72"/>
    <m/>
    <n v="0"/>
    <n v="0"/>
    <n v="157731"/>
    <n v="208656"/>
    <n v="0"/>
    <n v="0"/>
    <n v="15"/>
    <n v="48285"/>
    <n v="604436.974789916"/>
    <n v="133"/>
    <n v="55"/>
    <n v="40"/>
    <m/>
    <n v="0"/>
    <n v="0"/>
    <n v="177045"/>
    <n v="115920"/>
    <n v="0"/>
    <n v="0"/>
    <n v="55"/>
    <n v="48285"/>
    <n v="335798.3193277311"/>
    <n v="79"/>
    <n v="19"/>
    <n v="4"/>
    <n v="0"/>
    <n v="0"/>
    <n v="0"/>
    <n v="61161"/>
    <n v="11592"/>
    <n v="0"/>
    <n v="0"/>
    <n v="19"/>
    <n v="48285"/>
    <n v="33579.83193277311"/>
    <n v="35"/>
    <n v="15"/>
    <n v="35"/>
    <n v="100"/>
    <n v="100"/>
    <n v="0"/>
    <n v="48285"/>
    <n v="101430"/>
    <n v="289800"/>
    <n v="0"/>
    <n v="15"/>
    <n v="48285"/>
    <n v="293823.5294117647"/>
    <n v="40"/>
    <n v="0"/>
    <n v="40"/>
    <n v="0"/>
    <n v="0"/>
    <n v="100"/>
    <n v="0"/>
    <n v="115920"/>
    <n v="0"/>
    <n v="289800"/>
    <n v="100"/>
    <n v="289800"/>
    <n v="335798.3193277311"/>
    <n v="60"/>
    <n v="60"/>
    <n v="60"/>
    <n v="200"/>
    <n v="200"/>
    <n v="200"/>
    <n v="0"/>
    <n v="173880"/>
    <n v="173880"/>
    <n v="579600"/>
    <n v="579600"/>
    <n v="260"/>
    <n v="753480"/>
    <n v="654957.9831932774"/>
    <n v="40"/>
    <n v="200"/>
    <n v="40"/>
    <n v="0"/>
    <n v="0"/>
    <n v="579600"/>
    <n v="115920"/>
    <n v="0"/>
    <n v="0"/>
    <n v="200"/>
    <n v="579600"/>
    <n v="458470.5882352942"/>
    <n v="80"/>
    <n v="160"/>
    <n v="80"/>
    <n v="0"/>
    <n v="0"/>
    <n v="463680"/>
    <n v="231840"/>
    <n v="0"/>
    <n v="160"/>
    <n v="463680"/>
    <n v="671596.6386554622"/>
    <n v="24"/>
    <n v="80"/>
    <n v="24"/>
    <n v="0"/>
    <m/>
    <n v="231840"/>
    <n v="77256"/>
    <n v="0"/>
    <n v="80"/>
    <n v="231840"/>
    <n v="201478.9915966386"/>
  </r>
  <r>
    <s v="Lhotse-Hidratación"/>
    <x v="4"/>
    <x v="19"/>
    <x v="44"/>
    <s v="LHTRMU"/>
    <x v="303"/>
    <x v="290"/>
    <x v="0"/>
    <x v="3"/>
    <n v="1"/>
    <x v="174"/>
    <n v="87"/>
    <m/>
    <n v="0"/>
    <n v="3221"/>
    <n v="280227"/>
    <n v="2.8"/>
    <n v="3059"/>
    <n v="8394.957983193277"/>
    <n v="10915.96638655462"/>
    <s v="Shenzhen"/>
    <s v="30/70"/>
    <n v="30"/>
    <n v="100"/>
    <n v="29"/>
    <n v="0.7501112046860131"/>
    <n v="41"/>
    <n v="0.7252319955455326"/>
    <n v="47"/>
    <n v="0.7215015889315992"/>
    <n v="26"/>
    <n v="0.6780205699230371"/>
    <n v="30"/>
    <n v="0.694593280912629"/>
    <n v="26"/>
    <n v="0.6256856402236548"/>
    <n v="10"/>
    <n v="0.7357053852644097"/>
    <n v="14"/>
    <n v="0.5772518395768759"/>
    <n v="6"/>
    <n v="0.6940817047099038"/>
    <n v="17"/>
    <n v="0.6350095879186536"/>
    <n v="17"/>
    <n v="0.6418991952147994"/>
    <n v="25"/>
    <n v="0.6252089986533577"/>
    <n v="41"/>
    <n v="0.390499821027688"/>
    <n v="23"/>
    <n v="0.5236232834934582"/>
    <n v="48"/>
    <n v="0.5495101687740563"/>
    <n v="30"/>
    <n v="0.4260513405517711"/>
    <n v="1"/>
    <n v="10"/>
    <n v="0.6206576461005159"/>
    <n v="0.4545454545454545"/>
    <n v="33"/>
    <n v="0.3045677777592721"/>
    <n v="1.32"/>
    <n v="0"/>
    <s v=""/>
    <n v="0"/>
    <n v="23"/>
    <n v="0.4504978275369818"/>
    <n v="1.533333333333333"/>
    <m/>
    <m/>
    <m/>
    <m/>
    <m/>
    <m/>
    <m/>
    <m/>
    <m/>
    <m/>
    <m/>
    <m/>
    <n v="35"/>
    <n v="228"/>
    <n v="30"/>
    <n v="100"/>
    <n v="100"/>
    <n v="0"/>
    <n v="362362.5"/>
    <n v="660744"/>
    <n v="96630"/>
    <n v="0"/>
    <n v="87"/>
    <n v="280227"/>
    <n v="211637.5962149566"/>
    <n v="35"/>
    <n v="276"/>
    <n v="34.5"/>
    <n v="0"/>
    <n v="0"/>
    <n v="0"/>
    <n v="362362.5"/>
    <n v="799848"/>
    <n v="111124.5"/>
    <n v="0"/>
    <n v="87"/>
    <n v="280227"/>
    <n v="243383.2356472001"/>
    <n v="45"/>
    <n v="248"/>
    <n v="48"/>
    <n v="0"/>
    <n v="0"/>
    <n v="314994"/>
    <n v="798808"/>
    <n v="154608"/>
    <n v="0"/>
    <n v="87"/>
    <n v="280227"/>
    <n v="402957.9831932773"/>
    <n v="30"/>
    <n v="196"/>
    <n v="30"/>
    <n v="0"/>
    <n v="0"/>
    <n v="568008"/>
    <n v="96630"/>
    <n v="0"/>
    <n v="0"/>
    <n v="87"/>
    <n v="280227"/>
    <n v="251848.7394957983"/>
    <n v="22"/>
    <n v="97"/>
    <n v="22"/>
    <m/>
    <n v="0"/>
    <n v="0"/>
    <n v="312437"/>
    <n v="63756"/>
    <n v="0"/>
    <n v="0"/>
    <n v="87"/>
    <n v="280227"/>
    <n v="184689.0756302521"/>
    <n v="25"/>
    <n v="120"/>
    <n v="33"/>
    <m/>
    <n v="0"/>
    <n v="0"/>
    <n v="386520"/>
    <n v="95634"/>
    <n v="0"/>
    <n v="0"/>
    <n v="120"/>
    <n v="280227"/>
    <n v="277033.6134453781"/>
    <n v="20"/>
    <n v="87"/>
    <n v="0"/>
    <n v="0"/>
    <n v="0"/>
    <n v="0"/>
    <n v="280227"/>
    <n v="0"/>
    <n v="0"/>
    <n v="0"/>
    <n v="87"/>
    <n v="280227"/>
    <n v="0"/>
    <n v="15"/>
    <n v="87"/>
    <n v="15"/>
    <n v="0"/>
    <n v="0"/>
    <n v="0"/>
    <n v="280227"/>
    <n v="43470"/>
    <n v="0"/>
    <n v="0"/>
    <n v="87"/>
    <n v="280227"/>
    <n v="125924.3697478992"/>
    <n v="15"/>
    <n v="72"/>
    <n v="15"/>
    <n v="0"/>
    <n v="0"/>
    <n v="0"/>
    <n v="208656"/>
    <n v="43470"/>
    <n v="0"/>
    <n v="0"/>
    <n v="72"/>
    <n v="208656"/>
    <n v="125924.3697478992"/>
    <n v="25"/>
    <n v="57"/>
    <n v="25"/>
    <n v="0"/>
    <n v="0"/>
    <n v="0"/>
    <m/>
    <n v="165186"/>
    <n v="72450"/>
    <n v="0"/>
    <n v="0"/>
    <n v="57"/>
    <n v="165186"/>
    <n v="272899.1596638656"/>
    <n v="17"/>
    <n v="32"/>
    <n v="17"/>
    <n v="0"/>
    <n v="0"/>
    <n v="92736"/>
    <n v="49266"/>
    <n v="0"/>
    <n v="0"/>
    <n v="32"/>
    <n v="92736"/>
    <n v="194850"/>
    <n v="30"/>
    <n v="15"/>
    <n v="30"/>
    <n v="0"/>
    <n v="0"/>
    <n v="43470"/>
    <n v="86940"/>
    <n v="0"/>
    <n v="15"/>
    <n v="43470"/>
    <n v="251848.7394957983"/>
    <n v="10.2"/>
    <n v="0"/>
    <n v="10.2"/>
    <n v="0"/>
    <m/>
    <n v="0"/>
    <n v="32854.2"/>
    <n v="0"/>
    <n v="0"/>
    <n v="0"/>
    <n v="85628.57142857142"/>
  </r>
  <r>
    <s v="Lhotse-Hidratación"/>
    <x v="4"/>
    <x v="19"/>
    <x v="44"/>
    <s v="LHTRMU"/>
    <x v="304"/>
    <x v="291"/>
    <x v="0"/>
    <x v="3"/>
    <n v="1"/>
    <x v="175"/>
    <n v="35"/>
    <m/>
    <n v="0"/>
    <n v="3180"/>
    <n v="111300"/>
    <n v="2.8"/>
    <n v="3059"/>
    <n v="8394.957983193277"/>
    <n v="10915.96638655462"/>
    <s v="Shenzhen"/>
    <s v="30/70"/>
    <n v="30"/>
    <n v="100"/>
    <n v="14"/>
    <n v="0.7774894762830503"/>
    <n v="0"/>
    <n v="0.7478113836627769"/>
    <n v="17"/>
    <n v="0.7247721679765025"/>
    <n v="33"/>
    <n v="0.674843506502964"/>
    <n v="43"/>
    <n v="0.6699094099903123"/>
    <n v="93"/>
    <n v="0.5971811740385301"/>
    <n v="11"/>
    <n v="0.5893036544383687"/>
    <n v="18"/>
    <n v="0.5920866359446014"/>
    <n v="9"/>
    <n v="0.6970074655074655"/>
    <n v="29"/>
    <n v="0.6113952659419755"/>
    <n v="39"/>
    <n v="0.6509731543580923"/>
    <n v="64"/>
    <n v="0.6358265807908856"/>
    <n v="39"/>
    <n v="0.4753627846595041"/>
    <n v="51"/>
    <n v="0.4745095393975495"/>
    <n v="72"/>
    <n v="0.427320668165052"/>
    <n v="65"/>
    <n v="0.4646101123642114"/>
    <n v="1.857142857142857"/>
    <n v="29"/>
    <n v="0.6060783386764041"/>
    <n v="0.4603174603174603"/>
    <n v="6"/>
    <n v="0.3972252668002858"/>
    <n v="0.04615384615384616"/>
    <n v="5"/>
    <n v="0.7067792418198525"/>
    <n v="0.0625"/>
    <n v="19"/>
    <n v="0.4118219749652294"/>
    <n v="0.6551724137931034"/>
    <m/>
    <m/>
    <m/>
    <m/>
    <m/>
    <m/>
    <m/>
    <m/>
    <m/>
    <m/>
    <m/>
    <m/>
    <n v="30"/>
    <n v="142"/>
    <n v="30"/>
    <n v="100"/>
    <n v="100"/>
    <n v="0"/>
    <n v="567630"/>
    <n v="411516"/>
    <n v="95400"/>
    <n v="0"/>
    <n v="35"/>
    <n v="111300"/>
    <n v="211637.5962149566"/>
    <n v="30"/>
    <n v="205"/>
    <n v="76.5"/>
    <n v="0"/>
    <n v="0"/>
    <n v="0"/>
    <n v="678930"/>
    <n v="594090"/>
    <n v="243270"/>
    <n v="0"/>
    <n v="35"/>
    <n v="111300"/>
    <n v="539675.8703481393"/>
    <n v="50"/>
    <n v="136"/>
    <n v="72"/>
    <n v="0"/>
    <n v="0"/>
    <n v="618234"/>
    <n v="432480"/>
    <n v="228960"/>
    <n v="0"/>
    <n v="35"/>
    <n v="111300"/>
    <n v="604436.974789916"/>
    <n v="35"/>
    <n v="169"/>
    <n v="65"/>
    <n v="100"/>
    <n v="0"/>
    <n v="489762"/>
    <n v="206700"/>
    <n v="289800"/>
    <n v="0"/>
    <n v="35"/>
    <n v="111300"/>
    <n v="545672.2689075629"/>
    <n v="63"/>
    <n v="64"/>
    <n v="63"/>
    <m/>
    <n v="0"/>
    <n v="0"/>
    <n v="203520"/>
    <n v="182574"/>
    <n v="0"/>
    <n v="0"/>
    <n v="35"/>
    <n v="111300"/>
    <n v="528882.3529411765"/>
    <n v="130"/>
    <n v="41"/>
    <n v="6"/>
    <m/>
    <n v="0"/>
    <n v="0"/>
    <n v="130380"/>
    <n v="17388"/>
    <n v="0"/>
    <n v="0"/>
    <n v="41"/>
    <n v="111300"/>
    <n v="50369.74789915966"/>
    <n v="80"/>
    <n v="40"/>
    <n v="5"/>
    <n v="0"/>
    <n v="0"/>
    <n v="0"/>
    <n v="127200"/>
    <n v="14490"/>
    <n v="0"/>
    <n v="0"/>
    <n v="40"/>
    <n v="111300"/>
    <n v="41974.78991596639"/>
    <n v="29"/>
    <n v="35"/>
    <n v="29"/>
    <n v="100"/>
    <n v="100"/>
    <n v="0"/>
    <n v="111300"/>
    <n v="84042"/>
    <n v="289800"/>
    <n v="0"/>
    <n v="35"/>
    <n v="111300"/>
    <n v="243453.781512605"/>
    <n v="37"/>
    <n v="6"/>
    <n v="37"/>
    <n v="0"/>
    <n v="0"/>
    <n v="100"/>
    <n v="17388"/>
    <n v="107226"/>
    <n v="0"/>
    <n v="289800"/>
    <n v="106"/>
    <n v="307188"/>
    <n v="310613.4453781513"/>
    <n v="35"/>
    <n v="69"/>
    <n v="35"/>
    <n v="0"/>
    <n v="0"/>
    <n v="0"/>
    <m/>
    <n v="199962"/>
    <n v="101430"/>
    <n v="0"/>
    <n v="0"/>
    <n v="69"/>
    <n v="199962"/>
    <n v="382058.8235294118"/>
    <n v="30"/>
    <n v="34"/>
    <n v="30"/>
    <n v="0"/>
    <n v="0"/>
    <n v="98532"/>
    <n v="86940"/>
    <n v="0"/>
    <n v="0"/>
    <n v="34"/>
    <n v="98532"/>
    <n v="343852.9411764707"/>
    <n v="50"/>
    <n v="4"/>
    <n v="50"/>
    <n v="0"/>
    <n v="0"/>
    <n v="11592"/>
    <n v="144900"/>
    <n v="0"/>
    <n v="4"/>
    <n v="11592"/>
    <n v="419747.8991596638"/>
    <n v="18"/>
    <n v="0"/>
    <n v="18"/>
    <n v="0"/>
    <m/>
    <n v="0"/>
    <n v="57240"/>
    <n v="0"/>
    <n v="0"/>
    <n v="0"/>
    <n v="151109.243697479"/>
  </r>
  <r>
    <s v="Lhotse-Hidratación"/>
    <x v="4"/>
    <x v="19"/>
    <x v="44"/>
    <s v="LHTRMU"/>
    <x v="305"/>
    <x v="292"/>
    <x v="0"/>
    <x v="3"/>
    <n v="1"/>
    <x v="176"/>
    <n v="102"/>
    <m/>
    <n v="0"/>
    <n v="3201"/>
    <n v="326502"/>
    <n v="2.8"/>
    <n v="3059"/>
    <n v="8394.957983193277"/>
    <n v="10915.96638655462"/>
    <s v="Shenzhen"/>
    <s v="30/70"/>
    <n v="30"/>
    <n v="100"/>
    <n v="24"/>
    <n v="0.7633472652046743"/>
    <n v="19"/>
    <n v="0.753846815992506"/>
    <n v="19"/>
    <n v="0.7237297744432212"/>
    <n v="64"/>
    <n v="0.6303859600744536"/>
    <n v="20"/>
    <n v="0.6432662637704791"/>
    <n v="81"/>
    <n v="0.6187427508222059"/>
    <n v="11"/>
    <n v="0.6863439118881245"/>
    <n v="18"/>
    <n v="0.5765628671043126"/>
    <n v="9"/>
    <n v="0.6999372281646523"/>
    <n v="27"/>
    <n v="0.6135355308427267"/>
    <n v="29"/>
    <n v="0.6148716319101408"/>
    <n v="67"/>
    <n v="0.6395807116286146"/>
    <n v="35"/>
    <n v="0.4570297969151815"/>
    <n v="49"/>
    <n v="0.4273020507972028"/>
    <n v="78"/>
    <n v="0.4740637314948105"/>
    <n v="64"/>
    <n v="0.4642465728607005"/>
    <n v="1.066666666666667"/>
    <n v="16"/>
    <n v="0.6724050245427108"/>
    <n v="0.1538461538461539"/>
    <n v="93"/>
    <n v="0.4293257614144476"/>
    <n v="0.8157894736842105"/>
    <n v="4"/>
    <n v="0.7202514100717798"/>
    <n v="0.0547945205479452"/>
    <n v="1"/>
    <n v="0.7459132755170113"/>
    <n v="0.03448275862068965"/>
    <m/>
    <m/>
    <m/>
    <m/>
    <m/>
    <m/>
    <m/>
    <m/>
    <m/>
    <m/>
    <m/>
    <m/>
    <n v="45"/>
    <n v="165"/>
    <n v="25"/>
    <n v="100"/>
    <n v="100"/>
    <n v="0"/>
    <n v="564976.5"/>
    <n v="478170"/>
    <n v="80025"/>
    <n v="0"/>
    <n v="102"/>
    <n v="326502"/>
    <n v="176364.6635124638"/>
    <n v="40"/>
    <n v="224"/>
    <n v="73.5"/>
    <n v="100"/>
    <n v="0"/>
    <n v="0"/>
    <n v="689815.5"/>
    <n v="649152"/>
    <n v="235273.5"/>
    <n v="0"/>
    <n v="102"/>
    <n v="326502"/>
    <n v="518512.1107266436"/>
    <n v="50"/>
    <n v="180"/>
    <n v="78"/>
    <n v="0"/>
    <n v="0"/>
    <n v="755934"/>
    <n v="576180"/>
    <n v="249678"/>
    <n v="0"/>
    <n v="102"/>
    <n v="326502"/>
    <n v="654806.7226890756"/>
    <n v="60"/>
    <n v="292"/>
    <n v="64"/>
    <n v="100"/>
    <n v="0"/>
    <n v="846216"/>
    <n v="204864"/>
    <n v="289800"/>
    <n v="0"/>
    <n v="102"/>
    <n v="326502"/>
    <n v="537277.3109243697"/>
    <n v="104"/>
    <n v="118"/>
    <n v="104"/>
    <m/>
    <n v="0"/>
    <n v="0"/>
    <n v="377718"/>
    <n v="301392"/>
    <n v="0"/>
    <n v="0"/>
    <n v="102"/>
    <n v="326502"/>
    <n v="873075.6302521008"/>
    <n v="114"/>
    <n v="195"/>
    <n v="93"/>
    <m/>
    <n v="0"/>
    <n v="0"/>
    <n v="624195"/>
    <n v="269514"/>
    <n v="0"/>
    <n v="0"/>
    <n v="195"/>
    <n v="326502"/>
    <n v="780731.0924369748"/>
    <n v="73"/>
    <n v="106"/>
    <n v="4"/>
    <n v="0"/>
    <n v="0"/>
    <n v="0"/>
    <n v="339306"/>
    <n v="11592"/>
    <n v="0"/>
    <n v="0"/>
    <n v="106"/>
    <n v="326502"/>
    <n v="33579.83193277311"/>
    <n v="29"/>
    <n v="102"/>
    <n v="29"/>
    <n v="100"/>
    <n v="100"/>
    <n v="0"/>
    <n v="326502"/>
    <n v="84042"/>
    <n v="289800"/>
    <n v="0"/>
    <n v="102"/>
    <n v="326502"/>
    <n v="243453.781512605"/>
    <n v="17"/>
    <n v="73"/>
    <n v="17"/>
    <n v="0"/>
    <n v="0"/>
    <n v="100"/>
    <n v="211554"/>
    <n v="49266"/>
    <n v="0"/>
    <n v="289800"/>
    <n v="173"/>
    <n v="501354"/>
    <n v="142714.2857142857"/>
    <n v="35"/>
    <n v="156"/>
    <n v="35"/>
    <n v="0"/>
    <n v="0"/>
    <n v="0"/>
    <m/>
    <n v="452088"/>
    <n v="101430"/>
    <n v="0"/>
    <n v="0"/>
    <n v="156"/>
    <n v="452088"/>
    <n v="382058.8235294118"/>
    <n v="30"/>
    <n v="121"/>
    <n v="30"/>
    <n v="0"/>
    <n v="0"/>
    <n v="350658"/>
    <n v="86940"/>
    <n v="0"/>
    <n v="0"/>
    <n v="121"/>
    <n v="350658"/>
    <n v="343852.9411764707"/>
    <n v="70"/>
    <n v="91"/>
    <n v="70"/>
    <n v="0"/>
    <n v="0"/>
    <n v="263718"/>
    <n v="202860"/>
    <n v="0"/>
    <n v="91"/>
    <n v="263718"/>
    <n v="587647.0588235294"/>
    <n v="18"/>
    <n v="21"/>
    <n v="18"/>
    <n v="0"/>
    <m/>
    <n v="60858"/>
    <n v="57618"/>
    <n v="0"/>
    <n v="21"/>
    <n v="60858"/>
    <n v="151109.243697479"/>
  </r>
  <r>
    <s v="Lhotse-Hidratación"/>
    <x v="4"/>
    <x v="19"/>
    <x v="44"/>
    <s v="LHTRMU"/>
    <x v="306"/>
    <x v="293"/>
    <x v="0"/>
    <x v="3"/>
    <n v="1"/>
    <x v="177"/>
    <n v="32"/>
    <m/>
    <n v="0"/>
    <n v="3304"/>
    <n v="105728"/>
    <n v="2.8"/>
    <n v="3059"/>
    <n v="8394.957983193277"/>
    <n v="10915.96638655462"/>
    <s v="Shenzhen"/>
    <s v="30/70"/>
    <n v="30"/>
    <n v="200"/>
    <n v="1"/>
    <n v="0.7777467255025565"/>
    <n v="0"/>
    <s v=""/>
    <n v="18"/>
    <n v="0.6622519264035226"/>
    <n v="23"/>
    <n v="0.6537925141757822"/>
    <n v="39"/>
    <n v="0.6513957140962603"/>
    <n v="85"/>
    <n v="0.6120158230354579"/>
    <n v="23"/>
    <n v="0.6630652952644368"/>
    <n v="3"/>
    <n v="0.4709182305630026"/>
    <n v="4"/>
    <n v="0.6973424610936303"/>
    <n v="24"/>
    <n v="0.6071910218179267"/>
    <n v="24"/>
    <n v="0.6301125132219128"/>
    <n v="49"/>
    <n v="0.6360654061706312"/>
    <n v="8"/>
    <n v="0.5772938177398532"/>
    <n v="25"/>
    <n v="0.380740516561661"/>
    <n v="47"/>
    <n v="0.3361434488909718"/>
    <n v="20"/>
    <n v="0.4278383205381208"/>
    <n v="0.8"/>
    <n v="8"/>
    <n v="0.6001150398695628"/>
    <n v="0.1454545454545454"/>
    <n v="206"/>
    <n v="0.4004029390937965"/>
    <n v="1.760683760683761"/>
    <n v="2"/>
    <n v="0.7065481587009245"/>
    <n v="0.06060606060606061"/>
    <n v="0"/>
    <s v=""/>
    <n v="0"/>
    <m/>
    <m/>
    <m/>
    <m/>
    <m/>
    <m/>
    <m/>
    <m/>
    <m/>
    <m/>
    <m/>
    <m/>
    <n v="30"/>
    <n v="132"/>
    <n v="20"/>
    <n v="0"/>
    <n v="0"/>
    <n v="0"/>
    <n v="345268"/>
    <n v="382536"/>
    <n v="66080"/>
    <n v="0"/>
    <n v="32"/>
    <n v="105728"/>
    <n v="141091.730809971"/>
    <n v="25"/>
    <n v="140"/>
    <n v="37.5"/>
    <n v="100"/>
    <n v="100"/>
    <n v="0"/>
    <n v="345268"/>
    <n v="405720"/>
    <n v="123900"/>
    <n v="0"/>
    <n v="32"/>
    <n v="105728"/>
    <n v="264546.9952686957"/>
    <n v="24"/>
    <n v="79"/>
    <n v="47"/>
    <n v="0"/>
    <n v="0"/>
    <n v="380758"/>
    <n v="261016"/>
    <n v="155288"/>
    <n v="0"/>
    <n v="32"/>
    <n v="105728"/>
    <n v="394563.025210084"/>
    <n v="25"/>
    <n v="263"/>
    <n v="20"/>
    <n v="100"/>
    <n v="0"/>
    <n v="762174"/>
    <n v="66080"/>
    <n v="289800"/>
    <n v="0"/>
    <n v="32"/>
    <n v="105728"/>
    <n v="167899.1596638655"/>
    <n v="55"/>
    <n v="40"/>
    <n v="55"/>
    <m/>
    <n v="0"/>
    <n v="0"/>
    <n v="132160"/>
    <n v="159390"/>
    <n v="0"/>
    <n v="0"/>
    <n v="32"/>
    <n v="105728"/>
    <n v="461722.6890756302"/>
    <n v="117"/>
    <n v="238"/>
    <n v="206"/>
    <m/>
    <n v="0"/>
    <n v="0"/>
    <n v="786352"/>
    <n v="596988"/>
    <n v="0"/>
    <n v="0"/>
    <n v="238"/>
    <n v="105728"/>
    <n v="1729361.344537815"/>
    <n v="33"/>
    <n v="34"/>
    <n v="2"/>
    <n v="0"/>
    <n v="0"/>
    <n v="0"/>
    <n v="112336"/>
    <n v="5796"/>
    <n v="0"/>
    <n v="0"/>
    <n v="34"/>
    <n v="105728"/>
    <n v="16789.91596638655"/>
    <n v="21"/>
    <n v="32"/>
    <n v="21"/>
    <n v="0"/>
    <n v="0"/>
    <n v="0"/>
    <n v="105728"/>
    <n v="60858"/>
    <n v="0"/>
    <n v="0"/>
    <n v="32"/>
    <n v="105728"/>
    <n v="176294.1176470588"/>
    <n v="28"/>
    <n v="11"/>
    <n v="28"/>
    <n v="0"/>
    <n v="0"/>
    <n v="0"/>
    <n v="31878"/>
    <n v="81144"/>
    <n v="0"/>
    <n v="0"/>
    <n v="11"/>
    <n v="31878"/>
    <n v="235058.8235294117"/>
    <n v="35"/>
    <n v="0"/>
    <n v="0"/>
    <n v="0"/>
    <n v="0"/>
    <n v="0"/>
    <m/>
    <n v="0"/>
    <n v="0"/>
    <n v="0"/>
    <n v="0"/>
    <n v="0"/>
    <n v="0"/>
    <n v="0"/>
    <n v="30"/>
    <n v="0"/>
    <n v="30"/>
    <n v="0"/>
    <n v="0"/>
    <n v="0"/>
    <n v="86940"/>
    <n v="0"/>
    <n v="0"/>
    <n v="0"/>
    <n v="0"/>
    <n v="343852.9411764707"/>
    <n v="50"/>
    <n v="0"/>
    <n v="50"/>
    <n v="0"/>
    <n v="0"/>
    <n v="0"/>
    <n v="144900"/>
    <n v="0"/>
    <n v="0"/>
    <n v="0"/>
    <n v="419747.8991596638"/>
    <n v="18"/>
    <n v="0"/>
    <n v="18"/>
    <n v="0"/>
    <m/>
    <n v="0"/>
    <n v="59472"/>
    <n v="0"/>
    <n v="0"/>
    <n v="0"/>
    <n v="151109.243697479"/>
  </r>
  <r>
    <s v="Lhotse-Hidratación"/>
    <x v="4"/>
    <x v="19"/>
    <x v="45"/>
    <s v="LHCAMU"/>
    <x v="307"/>
    <x v="294"/>
    <x v="0"/>
    <x v="0"/>
    <n v="0.7"/>
    <x v="178"/>
    <n v="147"/>
    <m/>
    <n v="0"/>
    <n v="2618"/>
    <n v="384846"/>
    <n v="2.5"/>
    <n v="2731.25"/>
    <n v="8394.957983193277"/>
    <n v="7554.621848739496"/>
    <s v="Shenzhen"/>
    <s v="30/70"/>
    <n v="30"/>
    <n v="50"/>
    <n v="21"/>
    <n v="0.5636203541647217"/>
    <n v="37"/>
    <n v="0.5850669901092361"/>
    <n v="25"/>
    <n v="0.5309084853111494"/>
    <n v="3"/>
    <n v="0.5415177241584749"/>
    <n v="0"/>
    <s v=""/>
    <n v="48"/>
    <n v="0.6191376013318437"/>
    <n v="38"/>
    <n v="0.4502246661953444"/>
    <n v="19"/>
    <n v="0.6194494641859586"/>
    <n v="21"/>
    <n v="0.6230346982101453"/>
    <n v="25"/>
    <n v="0.5347934445537297"/>
    <n v="123"/>
    <n v="0.6087109908615529"/>
    <n v="37"/>
    <n v="0.5712733857791269"/>
    <n v="3"/>
    <n v="0.5736429320254349"/>
    <n v="0"/>
    <s v=""/>
    <n v="0"/>
    <s v=""/>
    <n v="8"/>
    <n v="0.5360890750986371"/>
    <n v="0.4"/>
    <n v="141"/>
    <n v="0.464063448452126"/>
    <n v="7.05"/>
    <n v="27"/>
    <n v="0.5035611734014724"/>
    <n v="0.54"/>
    <n v="21"/>
    <n v="0.6370633149044288"/>
    <n v="0.84"/>
    <n v="9"/>
    <n v="0.6536000583408991"/>
    <n v="0.36"/>
    <m/>
    <m/>
    <m/>
    <m/>
    <m/>
    <m/>
    <m/>
    <m/>
    <m/>
    <m/>
    <m/>
    <m/>
    <n v="20"/>
    <n v="6"/>
    <n v="10"/>
    <n v="100"/>
    <n v="100"/>
    <n v="0"/>
    <n v="26180"/>
    <n v="15525"/>
    <n v="26180"/>
    <n v="0"/>
    <n v="147"/>
    <n v="384846"/>
    <n v="70545.86540498552"/>
    <n v="35"/>
    <n v="4"/>
    <n v="0"/>
    <n v="0"/>
    <n v="0"/>
    <n v="0"/>
    <n v="20944"/>
    <n v="10350"/>
    <n v="0"/>
    <n v="0"/>
    <n v="147"/>
    <n v="384846"/>
    <n v="0"/>
    <n v="30"/>
    <n v="3"/>
    <n v="0"/>
    <n v="0"/>
    <n v="0"/>
    <n v="57169"/>
    <n v="7854"/>
    <n v="0"/>
    <n v="0"/>
    <n v="147"/>
    <n v="384846"/>
    <n v="0"/>
    <n v="20"/>
    <n v="110"/>
    <n v="8"/>
    <n v="100"/>
    <n v="0"/>
    <n v="284625"/>
    <n v="20944"/>
    <n v="258750"/>
    <n v="0"/>
    <n v="147"/>
    <n v="384846"/>
    <n v="67159.66386554622"/>
    <n v="20"/>
    <n v="288"/>
    <n v="14"/>
    <m/>
    <n v="0"/>
    <n v="0"/>
    <n v="753984"/>
    <n v="36225"/>
    <n v="0"/>
    <n v="0"/>
    <n v="147"/>
    <n v="384846"/>
    <n v="117529.4117647059"/>
    <n v="50"/>
    <n v="174"/>
    <n v="27"/>
    <m/>
    <n v="0"/>
    <n v="0"/>
    <n v="455532"/>
    <n v="69862.5"/>
    <n v="0"/>
    <n v="0"/>
    <n v="174"/>
    <n v="384846"/>
    <n v="226663.8655462185"/>
    <n v="25"/>
    <n v="168"/>
    <n v="21"/>
    <n v="100"/>
    <n v="100"/>
    <n v="0"/>
    <n v="439824"/>
    <n v="54337.5"/>
    <n v="250125"/>
    <n v="0"/>
    <n v="168"/>
    <n v="384846"/>
    <n v="176294.1176470588"/>
    <n v="25"/>
    <n v="147"/>
    <n v="17.5"/>
    <n v="100"/>
    <n v="100"/>
    <n v="0"/>
    <n v="384846"/>
    <n v="45281.25"/>
    <n v="258750"/>
    <n v="0"/>
    <n v="147"/>
    <n v="384846"/>
    <n v="146911.7647058823"/>
    <n v="25"/>
    <n v="129.5"/>
    <n v="17.5"/>
    <n v="0"/>
    <n v="0"/>
    <n v="100"/>
    <n v="335081.25"/>
    <n v="45281.25"/>
    <n v="0"/>
    <n v="258750"/>
    <n v="229.5"/>
    <n v="593831.25"/>
    <n v="146911.7647058823"/>
    <n v="50"/>
    <n v="212"/>
    <n v="35"/>
    <n v="0"/>
    <n v="0"/>
    <n v="0"/>
    <m/>
    <n v="548550"/>
    <n v="90562.5"/>
    <n v="0"/>
    <n v="0"/>
    <n v="212"/>
    <n v="548550"/>
    <n v="264411.7647058823"/>
    <n v="40"/>
    <n v="177"/>
    <n v="28"/>
    <n v="0"/>
    <n v="0"/>
    <n v="457987.5"/>
    <n v="72450"/>
    <n v="0"/>
    <n v="0"/>
    <n v="177"/>
    <n v="457987.5"/>
    <n v="222105.8823529412"/>
    <n v="50"/>
    <n v="149"/>
    <n v="35"/>
    <n v="0"/>
    <n v="0"/>
    <n v="385537.5"/>
    <n v="90562.5"/>
    <n v="0"/>
    <n v="149"/>
    <n v="385537.5"/>
    <n v="293823.5294117647"/>
    <n v="24"/>
    <n v="114"/>
    <n v="16.8"/>
    <n v="0"/>
    <m/>
    <n v="294975"/>
    <n v="43982.39999999999"/>
    <n v="0"/>
    <n v="114"/>
    <n v="294975"/>
    <n v="141035.294117647"/>
  </r>
  <r>
    <s v="Lhotse-Hidratación"/>
    <x v="4"/>
    <x v="19"/>
    <x v="45"/>
    <s v="LHCAMU"/>
    <x v="308"/>
    <x v="295"/>
    <x v="0"/>
    <x v="0"/>
    <n v="1"/>
    <x v="179"/>
    <n v="10"/>
    <m/>
    <n v="0"/>
    <n v="2872"/>
    <n v="28720"/>
    <n v="2.5"/>
    <n v="2731.25"/>
    <n v="8394.957983193277"/>
    <n v="7554.621848739496"/>
    <s v="Shenzhen"/>
    <s v="30/70"/>
    <n v="30"/>
    <n v="50"/>
    <n v="17"/>
    <n v="0.6209137052837812"/>
    <n v="15"/>
    <n v="0.578964371666245"/>
    <n v="21"/>
    <n v="0.5032739732091063"/>
    <n v="8"/>
    <n v="0.5490661038266489"/>
    <n v="3"/>
    <n v="0.6562733991544906"/>
    <n v="14"/>
    <n v="1.476775244299675"/>
    <n v="1"/>
    <n v="0.6562739726027398"/>
    <n v="3"/>
    <n v="1.501919477046501"/>
    <n v="3"/>
    <n v="0.5154952818027123"/>
    <n v="6"/>
    <n v="0.5628706167997385"/>
    <n v="73"/>
    <n v="0.5981509395318421"/>
    <n v="15"/>
    <n v="0.5504439879761991"/>
    <n v="23"/>
    <n v="0.4445522449950599"/>
    <n v="6"/>
    <n v="0.450513529111508"/>
    <n v="25"/>
    <n v="0.469807318317881"/>
    <n v="11"/>
    <n v="0.5067815282202541"/>
    <n v="0.7333333333333333"/>
    <n v="16"/>
    <n v="0.5878854456273592"/>
    <n v="1.066666666666667"/>
    <n v="17"/>
    <n v="0.4209284375565952"/>
    <n v="0.68"/>
    <n v="16"/>
    <n v="0.5707926163506254"/>
    <n v="1.495327102803738"/>
    <n v="3"/>
    <n v="0.5111832006483291"/>
    <n v="0.2380952380952381"/>
    <m/>
    <m/>
    <m/>
    <m/>
    <m/>
    <m/>
    <m/>
    <m/>
    <m/>
    <m/>
    <m/>
    <m/>
    <n v="20"/>
    <n v="98"/>
    <n v="20"/>
    <n v="0"/>
    <n v="0"/>
    <n v="0"/>
    <n v="155088"/>
    <n v="253575"/>
    <n v="57440"/>
    <n v="0"/>
    <n v="10"/>
    <n v="28720"/>
    <n v="141091.730809971"/>
    <n v="20"/>
    <n v="180"/>
    <n v="9"/>
    <n v="0"/>
    <n v="0"/>
    <n v="0"/>
    <n v="129240"/>
    <n v="465750"/>
    <n v="25848"/>
    <n v="0"/>
    <n v="10"/>
    <n v="28720"/>
    <n v="63491.27886448697"/>
    <n v="25"/>
    <n v="174"/>
    <n v="25"/>
    <n v="0"/>
    <n v="0"/>
    <n v="142204.5"/>
    <n v="499728"/>
    <n v="71800"/>
    <n v="0"/>
    <n v="10"/>
    <n v="28720"/>
    <n v="209873.9495798319"/>
    <n v="15"/>
    <n v="149"/>
    <n v="11"/>
    <n v="0"/>
    <n v="0"/>
    <n v="385537.5"/>
    <n v="31592"/>
    <n v="0"/>
    <n v="0"/>
    <n v="10"/>
    <n v="28720"/>
    <n v="92344.53781512605"/>
    <n v="15"/>
    <n v="26"/>
    <n v="15"/>
    <m/>
    <n v="0"/>
    <n v="0"/>
    <n v="74672"/>
    <n v="38812.5"/>
    <n v="0"/>
    <n v="0"/>
    <n v="10"/>
    <n v="28720"/>
    <n v="125924.3697478992"/>
    <n v="25"/>
    <n v="27"/>
    <n v="17"/>
    <m/>
    <n v="0"/>
    <n v="0"/>
    <n v="77544"/>
    <n v="43987.5"/>
    <n v="0"/>
    <n v="0"/>
    <n v="27"/>
    <n v="28720"/>
    <n v="142714.2857142857"/>
    <n v="10.7"/>
    <n v="26"/>
    <n v="16"/>
    <n v="0"/>
    <n v="0"/>
    <n v="0"/>
    <n v="74672"/>
    <n v="41400"/>
    <n v="0"/>
    <n v="0"/>
    <n v="26"/>
    <n v="28720"/>
    <n v="134319.3277310924"/>
    <n v="12.6"/>
    <n v="10"/>
    <n v="12.6"/>
    <n v="0"/>
    <n v="0"/>
    <n v="0"/>
    <n v="28720"/>
    <n v="32602.5"/>
    <n v="0"/>
    <n v="0"/>
    <n v="10"/>
    <n v="28720"/>
    <n v="105776.4705882353"/>
    <n v="13"/>
    <n v="0"/>
    <n v="13"/>
    <n v="0"/>
    <n v="0"/>
    <n v="0"/>
    <n v="0"/>
    <n v="33637.5"/>
    <n v="0"/>
    <n v="0"/>
    <n v="0"/>
    <n v="0"/>
    <n v="109134.453781512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Hidratación"/>
    <x v="4"/>
    <x v="19"/>
    <x v="45"/>
    <s v="LHCAMU"/>
    <x v="309"/>
    <x v="296"/>
    <x v="0"/>
    <x v="0"/>
    <n v="1"/>
    <x v="180"/>
    <n v="170"/>
    <m/>
    <n v="0"/>
    <n v="2643"/>
    <n v="449310"/>
    <n v="2.5"/>
    <n v="2731.25"/>
    <n v="8394.957983193277"/>
    <n v="7554.621848739496"/>
    <s v="Shenzhen"/>
    <s v="30/70"/>
    <n v="30"/>
    <n v="50"/>
    <n v="11"/>
    <n v="0.5327596776883893"/>
    <n v="15"/>
    <n v="0.6055298793775512"/>
    <n v="28"/>
    <n v="0.5021365747359909"/>
    <n v="35"/>
    <n v="0.449113778861337"/>
    <n v="19"/>
    <n v="0.5860987376014427"/>
    <n v="38"/>
    <n v="0.6317881972297983"/>
    <n v="3"/>
    <n v="0.6771518497678998"/>
    <n v="8"/>
    <n v="0.650850684130033"/>
    <n v="4"/>
    <n v="0.5500172736432992"/>
    <n v="11"/>
    <n v="0.5995511419794757"/>
    <n v="175"/>
    <n v="0.59803823756439"/>
    <n v="12"/>
    <n v="0.5698057161207452"/>
    <n v="2"/>
    <n v="0.5731237917064426"/>
    <n v="0"/>
    <s v=""/>
    <n v="0"/>
    <s v=""/>
    <n v="9"/>
    <n v="0.6009049925817564"/>
    <n v="0"/>
    <n v="9"/>
    <n v="0.5635321567715299"/>
    <n v="0.45"/>
    <n v="19"/>
    <n v="0.4540962164064539"/>
    <n v="0.475"/>
    <n v="19"/>
    <n v="0.622727676758429"/>
    <n v="0.475"/>
    <n v="7"/>
    <n v="0.6556425743897574"/>
    <n v="0.2966101694915254"/>
    <m/>
    <m/>
    <m/>
    <m/>
    <m/>
    <m/>
    <m/>
    <m/>
    <m/>
    <m/>
    <m/>
    <m/>
    <n v="15"/>
    <n v="6"/>
    <n v="6"/>
    <n v="0"/>
    <n v="0"/>
    <n v="0"/>
    <n v="15858"/>
    <n v="15525"/>
    <n v="15858"/>
    <n v="0"/>
    <n v="170"/>
    <n v="449310"/>
    <n v="42327.51924299131"/>
    <n v="0"/>
    <n v="5"/>
    <n v="0"/>
    <n v="0"/>
    <n v="0"/>
    <n v="0"/>
    <n v="23787"/>
    <n v="12937.5"/>
    <n v="0"/>
    <n v="0"/>
    <n v="170"/>
    <n v="449310"/>
    <n v="0"/>
    <n v="0"/>
    <n v="4"/>
    <n v="0"/>
    <n v="0"/>
    <n v="0"/>
    <n v="75537"/>
    <n v="10572"/>
    <n v="0"/>
    <n v="0"/>
    <n v="170"/>
    <n v="449310"/>
    <n v="0"/>
    <n v="0"/>
    <n v="103"/>
    <n v="9"/>
    <n v="100"/>
    <n v="0"/>
    <n v="266512.5"/>
    <n v="23787"/>
    <n v="258750"/>
    <n v="0"/>
    <n v="170"/>
    <n v="449310"/>
    <n v="75554.62184873949"/>
    <n v="20"/>
    <n v="179"/>
    <n v="20"/>
    <m/>
    <n v="0"/>
    <n v="0"/>
    <n v="473097"/>
    <n v="51750"/>
    <n v="0"/>
    <n v="0"/>
    <n v="170"/>
    <n v="449310"/>
    <n v="167899.1596638655"/>
    <n v="40"/>
    <n v="189"/>
    <n v="19"/>
    <m/>
    <n v="0"/>
    <n v="0"/>
    <n v="499527"/>
    <n v="49162.5"/>
    <n v="0"/>
    <n v="0"/>
    <n v="189"/>
    <n v="449310"/>
    <n v="159504.2016806723"/>
    <n v="40"/>
    <n v="189"/>
    <n v="19"/>
    <n v="100"/>
    <n v="100"/>
    <n v="0"/>
    <n v="499527"/>
    <n v="49162.5"/>
    <n v="250125"/>
    <n v="0"/>
    <n v="189"/>
    <n v="449310"/>
    <n v="159504.2016806723"/>
    <n v="23.6"/>
    <n v="170"/>
    <n v="23.6"/>
    <n v="0"/>
    <n v="0"/>
    <n v="0"/>
    <n v="449310"/>
    <n v="61065.00000000001"/>
    <n v="0"/>
    <n v="0"/>
    <n v="170"/>
    <n v="449310"/>
    <n v="198121.0084033613"/>
    <n v="20"/>
    <n v="146.4"/>
    <n v="20"/>
    <n v="0"/>
    <n v="0"/>
    <n v="0"/>
    <n v="378810"/>
    <n v="51750"/>
    <n v="0"/>
    <n v="0"/>
    <n v="146.4"/>
    <n v="378810"/>
    <n v="167899.1596638655"/>
    <n v="20"/>
    <n v="126.4"/>
    <n v="20"/>
    <n v="0"/>
    <n v="0"/>
    <n v="0"/>
    <m/>
    <n v="327060"/>
    <n v="51750"/>
    <n v="0"/>
    <n v="0"/>
    <n v="126.4"/>
    <n v="327060"/>
    <n v="151092.4369747899"/>
    <n v="40"/>
    <n v="106.4"/>
    <n v="40"/>
    <n v="0"/>
    <n v="0"/>
    <n v="275310"/>
    <n v="103500"/>
    <n v="0"/>
    <n v="0"/>
    <n v="106.4"/>
    <n v="275310"/>
    <n v="317294.1176470589"/>
    <n v="40"/>
    <n v="66.40000000000001"/>
    <n v="40"/>
    <n v="0"/>
    <n v="0"/>
    <n v="171810"/>
    <n v="103500"/>
    <n v="0"/>
    <n v="66.40000000000001"/>
    <n v="171810"/>
    <n v="335798.3193277311"/>
    <n v="24"/>
    <n v="26.40000000000001"/>
    <n v="24"/>
    <n v="0"/>
    <m/>
    <n v="68310.00000000001"/>
    <n v="63432"/>
    <n v="0"/>
    <n v="26.40000000000001"/>
    <n v="68310.00000000001"/>
    <n v="201478.9915966386"/>
  </r>
  <r>
    <s v="Lhotse-Hidratación"/>
    <x v="4"/>
    <x v="19"/>
    <x v="45"/>
    <s v="LHCAMU"/>
    <x v="310"/>
    <x v="297"/>
    <x v="0"/>
    <x v="0"/>
    <n v="0.8"/>
    <x v="181"/>
    <n v="239"/>
    <m/>
    <n v="0"/>
    <n v="2743"/>
    <n v="655577"/>
    <n v="2.5"/>
    <n v="2731.25"/>
    <n v="8394.957983193277"/>
    <n v="7554.621848739496"/>
    <s v="Shenzhen"/>
    <s v="30/70"/>
    <n v="30"/>
    <n v="50"/>
    <n v="7"/>
    <n v="0.5583807195747105"/>
    <n v="15"/>
    <n v="0.6189195664954686"/>
    <n v="27"/>
    <n v="0.4879997984086407"/>
    <n v="65"/>
    <n v="0.5432077945031962"/>
    <n v="3"/>
    <n v="0.6589898749255507"/>
    <n v="14"/>
    <n v="1"/>
    <n v="2"/>
    <n v="0.6210497054735588"/>
    <n v="6"/>
    <n v="0.6569571382654894"/>
    <n v="6"/>
    <n v="0.5936324963459062"/>
    <n v="11"/>
    <n v="0.5655167938931296"/>
    <n v="78"/>
    <n v="0.6034138369348102"/>
    <n v="11"/>
    <n v="0.6297086677098293"/>
    <n v="23"/>
    <n v="0.5395474208833687"/>
    <n v="13"/>
    <n v="0.4615905836303272"/>
    <n v="7"/>
    <n v="0.3586444428549543"/>
    <n v="8"/>
    <n v="0.5165874710705927"/>
    <n v="0.2285714285714286"/>
    <n v="16"/>
    <n v="0.6301823661387"/>
    <n v="0.8"/>
    <n v="23"/>
    <n v="0.4995446124215402"/>
    <n v="0.7666666666666667"/>
    <n v="13"/>
    <n v="0.6470074702562477"/>
    <n v="0.4333333333333333"/>
    <n v="5"/>
    <n v="0.6015812477109022"/>
    <n v="0.2450980392156863"/>
    <m/>
    <m/>
    <m/>
    <m/>
    <m/>
    <m/>
    <m/>
    <m/>
    <m/>
    <m/>
    <m/>
    <m/>
    <n v="20"/>
    <n v="25"/>
    <n v="18"/>
    <n v="0"/>
    <n v="0"/>
    <n v="0"/>
    <n v="122063.5"/>
    <n v="64687.5"/>
    <n v="49374"/>
    <n v="0"/>
    <n v="239"/>
    <n v="655577"/>
    <n v="126982.5577289739"/>
    <n v="20"/>
    <n v="15"/>
    <n v="19.5"/>
    <n v="0"/>
    <n v="0"/>
    <n v="0"/>
    <n v="94633.5"/>
    <n v="38812.5"/>
    <n v="53488.5"/>
    <n v="0"/>
    <n v="239"/>
    <n v="655577"/>
    <n v="137564.4375397218"/>
    <n v="30"/>
    <n v="3"/>
    <n v="7"/>
    <n v="0"/>
    <n v="0"/>
    <n v="82545"/>
    <n v="8229"/>
    <n v="19201"/>
    <n v="0"/>
    <n v="239"/>
    <n v="655577"/>
    <n v="58764.70588235294"/>
    <n v="35"/>
    <n v="173"/>
    <n v="8"/>
    <n v="100"/>
    <n v="0"/>
    <n v="447637.5"/>
    <n v="21944"/>
    <n v="258750"/>
    <n v="0"/>
    <n v="239"/>
    <n v="655577"/>
    <n v="67159.66386554622"/>
    <n v="20"/>
    <n v="255"/>
    <n v="16"/>
    <m/>
    <n v="0"/>
    <n v="0"/>
    <n v="699465"/>
    <n v="41400"/>
    <n v="0"/>
    <n v="0"/>
    <n v="239"/>
    <n v="655577"/>
    <n v="134319.3277310924"/>
    <n v="30"/>
    <n v="262"/>
    <n v="23"/>
    <m/>
    <n v="0"/>
    <n v="0"/>
    <n v="718666"/>
    <n v="59512.5"/>
    <n v="0"/>
    <n v="0"/>
    <n v="262"/>
    <n v="655577"/>
    <n v="193084.0336134454"/>
    <n v="30"/>
    <n v="252"/>
    <n v="13"/>
    <n v="100"/>
    <n v="100"/>
    <n v="0"/>
    <n v="691236"/>
    <n v="33637.5"/>
    <n v="250125"/>
    <n v="0"/>
    <n v="252"/>
    <n v="655577"/>
    <n v="109134.4537815126"/>
    <n v="20.4"/>
    <n v="239"/>
    <n v="16.32"/>
    <n v="0"/>
    <n v="0"/>
    <n v="0"/>
    <n v="655577"/>
    <n v="42228"/>
    <n v="0"/>
    <n v="0"/>
    <n v="239"/>
    <n v="655577"/>
    <n v="137005.7142857143"/>
    <n v="20.1"/>
    <n v="222.68"/>
    <n v="16.08"/>
    <n v="0"/>
    <n v="0"/>
    <n v="0"/>
    <n v="576184.5"/>
    <n v="41607.00000000001"/>
    <n v="0"/>
    <n v="0"/>
    <n v="222.68"/>
    <n v="576184.5"/>
    <n v="134990.9243697479"/>
    <n v="20"/>
    <n v="206.6"/>
    <n v="16"/>
    <n v="0"/>
    <n v="0"/>
    <n v="0"/>
    <m/>
    <n v="534577.5"/>
    <n v="41400"/>
    <n v="0"/>
    <n v="0"/>
    <n v="206.6"/>
    <n v="534577.5"/>
    <n v="120873.9495798319"/>
    <n v="35"/>
    <n v="190.6"/>
    <n v="28"/>
    <n v="0"/>
    <n v="0"/>
    <n v="493177.5"/>
    <n v="72450"/>
    <n v="0"/>
    <n v="0"/>
    <n v="190.6"/>
    <n v="493177.5"/>
    <n v="222105.8823529412"/>
    <n v="35"/>
    <n v="162.6"/>
    <n v="28"/>
    <n v="0"/>
    <n v="0"/>
    <n v="420727.5"/>
    <n v="72450"/>
    <n v="0"/>
    <n v="162.6"/>
    <n v="420727.5"/>
    <n v="235058.8235294117"/>
    <n v="21"/>
    <n v="134.6"/>
    <n v="16.8"/>
    <n v="0"/>
    <m/>
    <n v="348277.5"/>
    <n v="46082.4"/>
    <n v="0"/>
    <n v="134.6"/>
    <n v="348277.5"/>
    <n v="141035.294117647"/>
  </r>
  <r>
    <s v="Lhotse-Hidratación"/>
    <x v="4"/>
    <x v="19"/>
    <x v="45"/>
    <s v="LHMAMU"/>
    <x v="311"/>
    <x v="298"/>
    <x v="0"/>
    <x v="3"/>
    <n v="1"/>
    <x v="182"/>
    <n v="63"/>
    <m/>
    <n v="0"/>
    <n v="2619"/>
    <n v="164997"/>
    <n v="2.3"/>
    <n v="2512.75"/>
    <n v="8394.957983193277"/>
    <n v="7554.621848739496"/>
    <s v="Shenzhen"/>
    <s v="30/70"/>
    <n v="30"/>
    <n v="100"/>
    <n v="17"/>
    <n v="0.6741726633595844"/>
    <n v="31"/>
    <n v="0.6782062372711508"/>
    <n v="34"/>
    <n v="0.6572816378750099"/>
    <n v="85"/>
    <n v="0.6507573881605475"/>
    <n v="14"/>
    <n v="0.5882568717891025"/>
    <n v="73"/>
    <n v="0.611981358453148"/>
    <n v="10"/>
    <n v="0.6427111975911828"/>
    <n v="-3"/>
    <n v="0.2048040638606677"/>
    <n v="8"/>
    <n v="0.5857319038609767"/>
    <n v="50"/>
    <n v="0.6387454767939865"/>
    <n v="104"/>
    <n v="0.6655401513114942"/>
    <n v="80"/>
    <n v="0.6137708483490143"/>
    <n v="24"/>
    <n v="0.6565667863174252"/>
    <n v="47"/>
    <n v="0.4746227950838974"/>
    <n v="104"/>
    <n v="0.5377361176685685"/>
    <n v="96"/>
    <n v="0.4389899680385366"/>
    <n v="1.129411764705882"/>
    <n v="93"/>
    <n v="0.6711588142389453"/>
    <n v="2.657142857142857"/>
    <n v="6"/>
    <n v="0.6290283355059151"/>
    <n v="0.05"/>
    <n v="61"/>
    <n v="0.6595487270653083"/>
    <n v="0.5083333333333333"/>
    <n v="22"/>
    <n v="0.6580220438379764"/>
    <n v="0.55"/>
    <m/>
    <m/>
    <m/>
    <m/>
    <m/>
    <m/>
    <m/>
    <m/>
    <m/>
    <m/>
    <m/>
    <m/>
    <n v="40"/>
    <n v="19"/>
    <n v="40"/>
    <n v="100"/>
    <n v="100"/>
    <n v="0"/>
    <n v="561775.5"/>
    <n v="45229.5"/>
    <n v="104760"/>
    <n v="0"/>
    <n v="63"/>
    <n v="164997"/>
    <n v="282183.4616199421"/>
    <n v="25"/>
    <n v="144"/>
    <n v="70.5"/>
    <n v="100"/>
    <n v="100"/>
    <n v="0"/>
    <n v="708439.5"/>
    <n v="342792"/>
    <n v="184639.5"/>
    <n v="0"/>
    <n v="63"/>
    <n v="164997"/>
    <n v="497348.351105148"/>
    <n v="40"/>
    <n v="211"/>
    <n v="104"/>
    <n v="0"/>
    <n v="0"/>
    <n v="607117.5"/>
    <n v="552609"/>
    <n v="272376"/>
    <n v="0"/>
    <n v="63"/>
    <n v="164997"/>
    <n v="873075.6302521008"/>
    <n v="85"/>
    <n v="201"/>
    <n v="96"/>
    <n v="160"/>
    <n v="0"/>
    <n v="478480.5"/>
    <n v="251424"/>
    <n v="380880"/>
    <n v="0"/>
    <n v="63"/>
    <n v="164997"/>
    <n v="805915.9663865545"/>
    <n v="35"/>
    <n v="156"/>
    <n v="35"/>
    <m/>
    <n v="0"/>
    <n v="0"/>
    <n v="408564"/>
    <n v="83317.5"/>
    <n v="0"/>
    <n v="0"/>
    <n v="63"/>
    <n v="164997"/>
    <n v="293823.5294117647"/>
    <n v="120"/>
    <n v="69"/>
    <n v="6"/>
    <m/>
    <n v="0"/>
    <n v="0"/>
    <n v="180711"/>
    <n v="14283"/>
    <n v="0"/>
    <n v="0"/>
    <n v="69"/>
    <n v="164997"/>
    <n v="50369.74789915966"/>
    <n v="120"/>
    <n v="124"/>
    <n v="61"/>
    <n v="150"/>
    <n v="150"/>
    <n v="0"/>
    <n v="324756"/>
    <n v="145210.5"/>
    <n v="345172.4999999999"/>
    <n v="0"/>
    <n v="124"/>
    <n v="164997"/>
    <n v="512092.4369747899"/>
    <n v="40"/>
    <n v="63"/>
    <n v="40"/>
    <n v="150"/>
    <n v="150"/>
    <n v="0"/>
    <n v="164997"/>
    <n v="95220"/>
    <n v="357075"/>
    <n v="0"/>
    <n v="63"/>
    <n v="164997"/>
    <n v="335798.3193277311"/>
    <n v="36"/>
    <n v="23"/>
    <n v="36"/>
    <n v="0"/>
    <n v="0"/>
    <n v="150"/>
    <n v="54751.5"/>
    <n v="85698"/>
    <n v="0"/>
    <n v="357075"/>
    <n v="173"/>
    <n v="411826.5"/>
    <n v="302218.487394958"/>
    <n v="100"/>
    <n v="137"/>
    <n v="100"/>
    <n v="200"/>
    <n v="200"/>
    <n v="200"/>
    <n v="0"/>
    <n v="326128.5"/>
    <n v="238050"/>
    <n v="476100"/>
    <n v="476100"/>
    <n v="337"/>
    <n v="802228.5"/>
    <n v="755462.1848739496"/>
    <n v="80"/>
    <n v="237"/>
    <n v="80"/>
    <n v="0"/>
    <n v="0"/>
    <n v="564178.5"/>
    <n v="190440"/>
    <n v="0"/>
    <n v="0"/>
    <n v="237"/>
    <n v="564178.5"/>
    <n v="634588.2352941177"/>
    <n v="100"/>
    <n v="157"/>
    <n v="100"/>
    <n v="0"/>
    <n v="0"/>
    <n v="373738.5"/>
    <n v="238050"/>
    <n v="0"/>
    <n v="157"/>
    <n v="373738.5"/>
    <n v="839495.7983193276"/>
    <n v="48"/>
    <n v="57"/>
    <n v="48"/>
    <n v="0"/>
    <m/>
    <n v="135688.5"/>
    <n v="125712"/>
    <n v="0"/>
    <n v="57"/>
    <n v="135688.5"/>
    <n v="402957.9831932773"/>
  </r>
  <r>
    <s v="Lhotse-Hidratación"/>
    <x v="4"/>
    <x v="19"/>
    <x v="45"/>
    <s v="LHMAMU"/>
    <x v="312"/>
    <x v="299"/>
    <x v="0"/>
    <x v="3"/>
    <n v="0.8"/>
    <x v="183"/>
    <n v="192"/>
    <m/>
    <n v="0"/>
    <n v="2612"/>
    <n v="501504"/>
    <n v="2.3"/>
    <n v="2512.75"/>
    <n v="8394.957983193277"/>
    <n v="7554.621848739496"/>
    <s v="Shenzhen"/>
    <s v="30/70"/>
    <n v="30"/>
    <n v="100"/>
    <n v="9"/>
    <n v="0.6536976582044868"/>
    <n v="20"/>
    <n v="0.6578257672555291"/>
    <n v="13"/>
    <n v="0.6690739193758707"/>
    <n v="56"/>
    <n v="0.5955277258174666"/>
    <n v="33"/>
    <n v="0.6340217167293526"/>
    <n v="108"/>
    <n v="0.6466036657678006"/>
    <n v="12"/>
    <n v="0.6151608169390165"/>
    <n v="1"/>
    <n v="0.700212265384012"/>
    <n v="6"/>
    <n v="0.637328171530673"/>
    <n v="22"/>
    <n v="0.6280535081646781"/>
    <n v="75"/>
    <n v="0.6661615153878754"/>
    <n v="45"/>
    <n v="0.5565585757079967"/>
    <n v="39"/>
    <n v="0.567458769796803"/>
    <n v="18"/>
    <n v="0.5462319017036059"/>
    <n v="23"/>
    <n v="0.4543675899437618"/>
    <n v="27"/>
    <n v="0.5827313195935869"/>
    <n v="0.4909090909090909"/>
    <n v="58"/>
    <n v="0.5938528604488456"/>
    <n v="1.657142857142857"/>
    <n v="79"/>
    <n v="0.5020587728658376"/>
    <n v="0.7181818181818181"/>
    <n v="21"/>
    <n v="0.6613892889913154"/>
    <n v="0.175"/>
    <n v="13"/>
    <n v="0.6439789441414724"/>
    <n v="0.3631284916201117"/>
    <m/>
    <m/>
    <m/>
    <m/>
    <m/>
    <m/>
    <m/>
    <m/>
    <m/>
    <m/>
    <m/>
    <m/>
    <n v="20"/>
    <n v="56"/>
    <n v="20"/>
    <n v="0"/>
    <n v="0"/>
    <n v="0"/>
    <n v="182840"/>
    <n v="133308"/>
    <n v="52240"/>
    <n v="0"/>
    <n v="192"/>
    <n v="501504"/>
    <n v="141091.730809971"/>
    <n v="50"/>
    <n v="18"/>
    <n v="27"/>
    <n v="100"/>
    <n v="100"/>
    <n v="0"/>
    <n v="201124"/>
    <n v="42849"/>
    <n v="70524"/>
    <n v="0"/>
    <n v="192"/>
    <n v="501504"/>
    <n v="190473.8365934609"/>
    <n v="25"/>
    <n v="109"/>
    <n v="23"/>
    <n v="0"/>
    <n v="0"/>
    <n v="197254"/>
    <n v="284708"/>
    <n v="60076"/>
    <n v="0"/>
    <n v="192"/>
    <n v="501504"/>
    <n v="193084.0336134454"/>
    <n v="55"/>
    <n v="185"/>
    <n v="27"/>
    <n v="120"/>
    <n v="0"/>
    <n v="440392.5"/>
    <n v="70524"/>
    <n v="285660"/>
    <n v="0"/>
    <n v="192"/>
    <n v="501504"/>
    <n v="226663.8655462185"/>
    <n v="35"/>
    <n v="250"/>
    <n v="28"/>
    <m/>
    <n v="0"/>
    <n v="0"/>
    <n v="653000"/>
    <n v="66654"/>
    <n v="0"/>
    <n v="0"/>
    <n v="192"/>
    <n v="501504"/>
    <n v="235058.8235294117"/>
    <n v="110"/>
    <n v="271"/>
    <n v="79"/>
    <m/>
    <n v="0"/>
    <n v="0"/>
    <n v="707852"/>
    <n v="188059.5"/>
    <n v="0"/>
    <n v="0"/>
    <n v="271"/>
    <n v="501504"/>
    <n v="663201.6806722688"/>
    <n v="120"/>
    <n v="213"/>
    <n v="21"/>
    <n v="180"/>
    <n v="180"/>
    <n v="0"/>
    <n v="556356"/>
    <n v="49990.5"/>
    <n v="414206.9999999999"/>
    <n v="0"/>
    <n v="213"/>
    <n v="501504"/>
    <n v="176294.1176470588"/>
    <n v="35.8"/>
    <n v="192"/>
    <n v="28.64"/>
    <n v="150"/>
    <n v="150"/>
    <n v="0"/>
    <n v="501504"/>
    <n v="68177.52"/>
    <n v="357075"/>
    <n v="0"/>
    <n v="192"/>
    <n v="501504"/>
    <n v="240431.5966386555"/>
    <n v="37.8"/>
    <n v="163.36"/>
    <n v="30.24"/>
    <n v="0"/>
    <n v="0"/>
    <n v="150"/>
    <n v="388878.48"/>
    <n v="71986.31999999999"/>
    <n v="0"/>
    <n v="357075"/>
    <n v="313.36"/>
    <n v="745953.48"/>
    <n v="253863.5294117647"/>
    <n v="100"/>
    <n v="283.12"/>
    <n v="80"/>
    <n v="0"/>
    <n v="0"/>
    <n v="0"/>
    <m/>
    <n v="673967.16"/>
    <n v="190440"/>
    <n v="0"/>
    <n v="0"/>
    <n v="283.12"/>
    <n v="673967.16"/>
    <n v="604369.7478991597"/>
    <n v="80"/>
    <n v="203.12"/>
    <n v="64"/>
    <n v="0"/>
    <n v="0"/>
    <n v="483527.16"/>
    <n v="152352"/>
    <n v="0"/>
    <n v="0"/>
    <n v="203.12"/>
    <n v="483527.16"/>
    <n v="507670.5882352942"/>
    <n v="110"/>
    <n v="139.12"/>
    <n v="88"/>
    <n v="0"/>
    <n v="0"/>
    <n v="331175.16"/>
    <n v="209484"/>
    <n v="0"/>
    <n v="139.12"/>
    <n v="331175.16"/>
    <n v="738756.3025210084"/>
    <n v="48"/>
    <n v="51.12"/>
    <n v="38.40000000000001"/>
    <n v="0"/>
    <m/>
    <n v="121691.16"/>
    <n v="100300.8"/>
    <n v="0"/>
    <n v="51.12"/>
    <n v="121691.16"/>
    <n v="322366.3865546219"/>
  </r>
  <r>
    <s v="Lhotse-Hidratación"/>
    <x v="4"/>
    <x v="19"/>
    <x v="45"/>
    <s v="LHMAMU"/>
    <x v="313"/>
    <x v="300"/>
    <x v="0"/>
    <x v="3"/>
    <n v="1.4"/>
    <x v="184"/>
    <n v="66"/>
    <m/>
    <n v="0"/>
    <n v="2736"/>
    <n v="180576"/>
    <n v="2.6"/>
    <n v="2840.5"/>
    <n v="8394.957983193277"/>
    <n v="7554.621848739496"/>
    <s v="Shenzhen"/>
    <s v="30/70"/>
    <n v="30"/>
    <n v="100"/>
    <n v="10"/>
    <n v="0.654653130118523"/>
    <n v="9"/>
    <n v="0.6654804690470338"/>
    <n v="10"/>
    <n v="0.6504936894791397"/>
    <n v="22"/>
    <n v="0.6493342106021087"/>
    <n v="15"/>
    <n v="0.6859999265985933"/>
    <n v="51"/>
    <n v="0.6691708732872732"/>
    <n v="55"/>
    <n v="0.5910712909921063"/>
    <n v="9"/>
    <n v="0.5380492860879167"/>
    <n v="2"/>
    <n v="0.5491065350578626"/>
    <n v="5"/>
    <n v="0.6653322967098098"/>
    <n v="10"/>
    <n v="0.6301531213191991"/>
    <n v="34"/>
    <n v="0.6617329880093562"/>
    <n v="32"/>
    <n v="0.4408324201161456"/>
    <n v="29"/>
    <n v="0.4862306528757385"/>
    <n v="14"/>
    <n v="0.413098612721193"/>
    <n v="36"/>
    <n v="0.4354536276170712"/>
    <n v="1.8"/>
    <n v="5"/>
    <n v="0.6190547612128258"/>
    <n v="0.3333333333333333"/>
    <n v="4"/>
    <n v="0.5410570905023492"/>
    <n v="0.08"/>
    <n v="24"/>
    <n v="0.665479170310939"/>
    <n v="0.3785488958990537"/>
    <n v="24"/>
    <n v="0.6422828058293384"/>
    <n v="1.2"/>
    <m/>
    <m/>
    <m/>
    <m/>
    <m/>
    <m/>
    <m/>
    <m/>
    <m/>
    <m/>
    <m/>
    <m/>
    <n v="15"/>
    <n v="101"/>
    <n v="15"/>
    <n v="0"/>
    <n v="0"/>
    <n v="0"/>
    <n v="198360"/>
    <n v="271791"/>
    <n v="41040"/>
    <n v="0"/>
    <n v="66"/>
    <n v="180576"/>
    <n v="105818.7981074783"/>
    <n v="10"/>
    <n v="57"/>
    <n v="43.5"/>
    <n v="0"/>
    <n v="0"/>
    <n v="0"/>
    <n v="255816"/>
    <n v="153387"/>
    <n v="119016"/>
    <n v="0"/>
    <n v="66"/>
    <n v="180576"/>
    <n v="306874.514511687"/>
    <n v="55"/>
    <n v="27"/>
    <n v="14"/>
    <n v="0"/>
    <n v="0"/>
    <n v="193311"/>
    <n v="73872"/>
    <n v="38304"/>
    <n v="0"/>
    <n v="66"/>
    <n v="180576"/>
    <n v="117529.4117647059"/>
    <n v="20"/>
    <n v="54"/>
    <n v="36"/>
    <n v="40"/>
    <n v="0"/>
    <n v="145314"/>
    <n v="98496"/>
    <n v="107640"/>
    <n v="0"/>
    <n v="66"/>
    <n v="180576"/>
    <n v="302218.487394958"/>
    <n v="15"/>
    <n v="71"/>
    <n v="21"/>
    <m/>
    <n v="0"/>
    <n v="0"/>
    <n v="194256"/>
    <n v="56511"/>
    <n v="0"/>
    <n v="0"/>
    <n v="66"/>
    <n v="180576"/>
    <n v="176294.1176470588"/>
    <n v="50"/>
    <n v="70"/>
    <n v="4"/>
    <m/>
    <n v="0"/>
    <n v="0"/>
    <n v="191520"/>
    <n v="10764"/>
    <n v="0"/>
    <n v="0"/>
    <n v="70"/>
    <n v="180576"/>
    <n v="33579.83193277311"/>
    <n v="63.4"/>
    <n v="90"/>
    <n v="24"/>
    <n v="100"/>
    <n v="100"/>
    <n v="0"/>
    <n v="246240"/>
    <n v="64584"/>
    <n v="260130"/>
    <n v="0"/>
    <n v="90"/>
    <n v="180576"/>
    <n v="201478.9915966386"/>
    <n v="20"/>
    <n v="66"/>
    <n v="28"/>
    <n v="100"/>
    <n v="100"/>
    <n v="0"/>
    <n v="180576"/>
    <n v="75348"/>
    <n v="269100"/>
    <n v="0"/>
    <n v="66"/>
    <n v="180576"/>
    <n v="235058.8235294117"/>
    <n v="18"/>
    <n v="38"/>
    <n v="25.2"/>
    <n v="0"/>
    <n v="0"/>
    <n v="100"/>
    <n v="102258"/>
    <n v="67813.2"/>
    <n v="0"/>
    <n v="269100"/>
    <n v="138"/>
    <n v="371358"/>
    <n v="211552.9411764706"/>
    <n v="35"/>
    <n v="112.8"/>
    <n v="49"/>
    <n v="100"/>
    <n v="100"/>
    <n v="100"/>
    <n v="0"/>
    <n v="303544.8"/>
    <n v="131859"/>
    <n v="269100"/>
    <n v="269100"/>
    <n v="212.8"/>
    <n v="572644.8"/>
    <n v="370176.4705882353"/>
    <n v="35"/>
    <n v="163.8"/>
    <n v="49"/>
    <n v="0"/>
    <n v="0"/>
    <n v="440785.8"/>
    <n v="131859"/>
    <n v="0"/>
    <n v="0"/>
    <n v="163.8"/>
    <n v="440785.8"/>
    <n v="388685.2941176471"/>
    <n v="50"/>
    <n v="114.8"/>
    <n v="70"/>
    <n v="0"/>
    <n v="0"/>
    <n v="308926.8"/>
    <n v="188370"/>
    <n v="0"/>
    <n v="114.8"/>
    <n v="308926.8"/>
    <n v="587647.0588235294"/>
    <n v="21"/>
    <n v="44.80000000000001"/>
    <n v="29.4"/>
    <n v="0"/>
    <m/>
    <n v="120556.8"/>
    <n v="80438.39999999999"/>
    <n v="0"/>
    <n v="44.80000000000001"/>
    <n v="120556.8"/>
    <n v="246811.7647058823"/>
  </r>
  <r>
    <s v="Lhotse-Hidratación"/>
    <x v="4"/>
    <x v="19"/>
    <x v="45"/>
    <s v="LHMAMU"/>
    <x v="314"/>
    <x v="301"/>
    <x v="0"/>
    <x v="3"/>
    <n v="1"/>
    <x v="185"/>
    <n v="10"/>
    <m/>
    <n v="0"/>
    <n v="2693"/>
    <n v="26930"/>
    <n v="2.3"/>
    <n v="2512.75"/>
    <n v="8394.957983193277"/>
    <n v="7554.621848739496"/>
    <s v="Shenzhen"/>
    <s v="30/70"/>
    <n v="30"/>
    <n v="100"/>
    <n v="37"/>
    <n v="0.6655603428863101"/>
    <n v="47"/>
    <n v="0.658680908328951"/>
    <n v="15"/>
    <n v="0.7543516231474947"/>
    <n v="69"/>
    <n v="0.6621631712142305"/>
    <n v="27"/>
    <n v="0.621859161508817"/>
    <n v="5"/>
    <n v="0.6785765336509827"/>
    <n v="9"/>
    <n v="0.702951074905248"/>
    <n v="1"/>
    <n v="0.5498361408882082"/>
    <n v="11"/>
    <n v="0.6929878041797881"/>
    <n v="21"/>
    <n v="0.6764854169117747"/>
    <n v="105"/>
    <n v="0.6585765497619253"/>
    <n v="37"/>
    <n v="0.6911223429268796"/>
    <n v="10"/>
    <n v="0.5133783048312121"/>
    <n v="65"/>
    <n v="0.5324363521571958"/>
    <n v="53"/>
    <n v="0.5449964858446634"/>
    <n v="65"/>
    <n v="0.4335009897243367"/>
    <n v="1.083333333333333"/>
    <n v="116"/>
    <n v="0.6826046556922228"/>
    <n v="3.314285714285715"/>
    <n v="18"/>
    <n v="0.5363385048414111"/>
    <n v="0.225"/>
    <n v="24"/>
    <n v="0.6807619470796296"/>
    <n v="0.48"/>
    <n v="15"/>
    <n v="0.6584443450635222"/>
    <n v="0.6"/>
    <m/>
    <m/>
    <m/>
    <m/>
    <m/>
    <m/>
    <m/>
    <m/>
    <m/>
    <m/>
    <m/>
    <m/>
    <n v="40"/>
    <n v="12"/>
    <n v="20"/>
    <n v="100"/>
    <n v="100"/>
    <n v="0"/>
    <n v="459156.5"/>
    <n v="28566"/>
    <n v="53860"/>
    <n v="0"/>
    <n v="10"/>
    <n v="26930"/>
    <n v="141091.730809971"/>
    <n v="20"/>
    <n v="128"/>
    <n v="97.5"/>
    <n v="100"/>
    <n v="100"/>
    <n v="0"/>
    <n v="580341.5"/>
    <n v="304704"/>
    <n v="262567.5"/>
    <n v="0"/>
    <n v="10"/>
    <n v="26930"/>
    <n v="687822.1876986088"/>
    <n v="35"/>
    <n v="163"/>
    <n v="53"/>
    <n v="0"/>
    <n v="0"/>
    <n v="401091.5"/>
    <n v="438959"/>
    <n v="142729"/>
    <n v="0"/>
    <n v="10"/>
    <n v="26930"/>
    <n v="444932.7731092437"/>
    <n v="60"/>
    <n v="228"/>
    <n v="65"/>
    <n v="120"/>
    <n v="0"/>
    <n v="542754"/>
    <n v="175045"/>
    <n v="285660"/>
    <n v="0"/>
    <n v="10"/>
    <n v="26930"/>
    <n v="545672.2689075629"/>
    <n v="35"/>
    <n v="126"/>
    <n v="35"/>
    <m/>
    <n v="0"/>
    <n v="0"/>
    <n v="339318"/>
    <n v="83317.5"/>
    <n v="0"/>
    <n v="0"/>
    <n v="10"/>
    <n v="26930"/>
    <n v="293823.5294117647"/>
    <n v="80"/>
    <n v="28"/>
    <n v="18"/>
    <m/>
    <n v="0"/>
    <n v="0"/>
    <n v="75404"/>
    <n v="42849"/>
    <n v="0"/>
    <n v="0"/>
    <n v="28"/>
    <n v="26930"/>
    <n v="151109.243697479"/>
    <n v="50"/>
    <n v="34"/>
    <n v="24"/>
    <n v="0"/>
    <n v="0"/>
    <n v="0"/>
    <n v="91562"/>
    <n v="57132"/>
    <n v="0"/>
    <n v="0"/>
    <n v="34"/>
    <n v="26930"/>
    <n v="201478.9915966386"/>
    <n v="25"/>
    <n v="10"/>
    <n v="25"/>
    <n v="150"/>
    <n v="150"/>
    <n v="0"/>
    <n v="26930"/>
    <n v="59512.5"/>
    <n v="357075"/>
    <n v="0"/>
    <n v="10"/>
    <n v="26930"/>
    <n v="209873.9495798319"/>
    <n v="28.4"/>
    <n v="0"/>
    <n v="28.4"/>
    <n v="0"/>
    <n v="0"/>
    <n v="150"/>
    <n v="0"/>
    <n v="67606.2"/>
    <n v="0"/>
    <n v="357075"/>
    <n v="150"/>
    <n v="357075"/>
    <n v="238416.806722689"/>
    <n v="60"/>
    <n v="121.6"/>
    <n v="60"/>
    <n v="150"/>
    <n v="150"/>
    <n v="150"/>
    <n v="0"/>
    <n v="289468.8"/>
    <n v="142830"/>
    <n v="357075"/>
    <n v="357075"/>
    <n v="271.6"/>
    <n v="646543.8"/>
    <n v="453277.3109243698"/>
    <n v="80"/>
    <n v="211.6"/>
    <n v="80"/>
    <n v="0"/>
    <n v="0"/>
    <n v="503713.8"/>
    <n v="190440"/>
    <n v="0"/>
    <n v="0"/>
    <n v="211.6"/>
    <n v="503713.8"/>
    <n v="634588.2352941177"/>
    <n v="80"/>
    <n v="131.6"/>
    <n v="80"/>
    <n v="0"/>
    <n v="0"/>
    <n v="313273.8"/>
    <n v="190440"/>
    <n v="0"/>
    <n v="131.6"/>
    <n v="313273.8"/>
    <n v="671596.6386554622"/>
    <n v="48"/>
    <n v="51.59999999999999"/>
    <n v="48"/>
    <n v="0"/>
    <m/>
    <n v="122833.8"/>
    <n v="129264"/>
    <n v="0"/>
    <n v="51.59999999999999"/>
    <n v="122833.8"/>
    <n v="402957.9831932773"/>
  </r>
  <r>
    <s v="Lhotse-Hidratación"/>
    <x v="4"/>
    <x v="19"/>
    <x v="45"/>
    <s v="LHMAMU"/>
    <x v="315"/>
    <x v="302"/>
    <x v="0"/>
    <x v="3"/>
    <n v="1"/>
    <x v="186"/>
    <n v="97"/>
    <m/>
    <n v="0"/>
    <n v="2614"/>
    <n v="253558"/>
    <n v="2.3"/>
    <n v="2512.75"/>
    <n v="8394.957983193277"/>
    <n v="7554.621848739496"/>
    <s v="Shenzhen"/>
    <s v="30/70"/>
    <n v="30"/>
    <n v="100"/>
    <n v="2"/>
    <n v="0.5817524828113063"/>
    <n v="10"/>
    <n v="0.6742519672178551"/>
    <n v="10"/>
    <n v="0.6501239775051124"/>
    <n v="18"/>
    <n v="0.5683799929922916"/>
    <n v="35"/>
    <n v="0.6374183739558483"/>
    <n v="77"/>
    <n v="0.6494717247979968"/>
    <n v="94"/>
    <n v="0.4961206790374931"/>
    <n v="14"/>
    <n v="0.5784225247289674"/>
    <n v="13"/>
    <n v="0.5617249606722967"/>
    <n v="5"/>
    <n v="0.7283152131872045"/>
    <n v="17"/>
    <n v="0.6524475229125312"/>
    <n v="41"/>
    <n v="0.6298119013769161"/>
    <n v="47"/>
    <n v="0.5063041580018197"/>
    <n v="15"/>
    <n v="0.5800846742043708"/>
    <n v="14"/>
    <n v="0.5175229478724931"/>
    <n v="36"/>
    <n v="0.4635847635648032"/>
    <n v="1.2"/>
    <n v="89"/>
    <n v="0.6683149342012094"/>
    <n v="2.542857142857143"/>
    <n v="22"/>
    <n v="0.4013436445123321"/>
    <n v="0.2933333333333333"/>
    <n v="26"/>
    <n v="0.6571086545750188"/>
    <n v="0.2400738688827332"/>
    <n v="19"/>
    <n v="0.6619211850673111"/>
    <n v="0.5428571428571428"/>
    <m/>
    <m/>
    <m/>
    <m/>
    <m/>
    <m/>
    <m/>
    <m/>
    <m/>
    <m/>
    <m/>
    <m/>
    <n v="20"/>
    <n v="55"/>
    <n v="35"/>
    <n v="100"/>
    <n v="100"/>
    <n v="0"/>
    <n v="186901"/>
    <n v="130927.5"/>
    <n v="91490"/>
    <n v="0"/>
    <n v="97"/>
    <n v="253558"/>
    <n v="246910.5289174494"/>
    <n v="35"/>
    <n v="110"/>
    <n v="22.5"/>
    <n v="0"/>
    <n v="0"/>
    <n v="0"/>
    <n v="189515"/>
    <n v="261855"/>
    <n v="58815"/>
    <n v="0"/>
    <n v="97"/>
    <n v="253558"/>
    <n v="158728.1971612174"/>
    <n v="30"/>
    <n v="92"/>
    <n v="14"/>
    <n v="0"/>
    <n v="0"/>
    <n v="214017.5"/>
    <n v="240488"/>
    <n v="36596"/>
    <n v="0"/>
    <n v="97"/>
    <n v="253558"/>
    <n v="117529.4117647059"/>
    <n v="30"/>
    <n v="154"/>
    <n v="36"/>
    <n v="60"/>
    <n v="0"/>
    <n v="366597"/>
    <n v="94104"/>
    <n v="142830"/>
    <n v="0"/>
    <n v="97"/>
    <n v="253558"/>
    <n v="302218.487394958"/>
    <n v="35"/>
    <n v="186"/>
    <n v="35"/>
    <m/>
    <n v="0"/>
    <n v="0"/>
    <n v="486204"/>
    <n v="83317.5"/>
    <n v="0"/>
    <n v="0"/>
    <n v="97"/>
    <n v="253558"/>
    <n v="293823.5294117647"/>
    <n v="75"/>
    <n v="119"/>
    <n v="22"/>
    <m/>
    <n v="0"/>
    <n v="0"/>
    <n v="311066"/>
    <n v="52371"/>
    <n v="0"/>
    <n v="0"/>
    <n v="119"/>
    <n v="253558"/>
    <n v="184689.0756302521"/>
    <n v="108.3"/>
    <n v="123"/>
    <n v="26"/>
    <n v="150"/>
    <n v="150"/>
    <n v="0"/>
    <n v="321522"/>
    <n v="61893"/>
    <n v="345172.4999999999"/>
    <n v="0"/>
    <n v="123"/>
    <n v="253558"/>
    <n v="218268.9075630252"/>
    <n v="35"/>
    <n v="97"/>
    <n v="35"/>
    <n v="100"/>
    <n v="100"/>
    <n v="0"/>
    <n v="253558"/>
    <n v="83317.5"/>
    <n v="238050"/>
    <n v="0"/>
    <n v="97"/>
    <n v="253558"/>
    <n v="293823.5294117647"/>
    <n v="30"/>
    <n v="62"/>
    <n v="30"/>
    <n v="0"/>
    <n v="0"/>
    <n v="100"/>
    <n v="147591"/>
    <n v="71415"/>
    <n v="0"/>
    <n v="238050"/>
    <n v="162"/>
    <n v="385641"/>
    <n v="251848.7394957983"/>
    <n v="50"/>
    <n v="132"/>
    <n v="50"/>
    <n v="100"/>
    <n v="100"/>
    <n v="100"/>
    <n v="0"/>
    <n v="314226"/>
    <n v="119025"/>
    <n v="238050"/>
    <n v="238050"/>
    <n v="232"/>
    <n v="552276"/>
    <n v="377731.0924369748"/>
    <n v="40"/>
    <n v="182"/>
    <n v="40"/>
    <n v="0"/>
    <n v="0"/>
    <n v="433251"/>
    <n v="95220"/>
    <n v="0"/>
    <n v="0"/>
    <n v="182"/>
    <n v="433251"/>
    <n v="317294.1176470589"/>
    <n v="45"/>
    <n v="142"/>
    <n v="45"/>
    <n v="0"/>
    <n v="0"/>
    <n v="338031"/>
    <n v="107122.5"/>
    <n v="0"/>
    <n v="142"/>
    <n v="338031"/>
    <n v="377773.1092436975"/>
    <n v="24"/>
    <n v="97"/>
    <n v="24"/>
    <n v="0"/>
    <m/>
    <n v="230908.5"/>
    <n v="62736"/>
    <n v="0"/>
    <n v="97"/>
    <n v="230908.5"/>
    <n v="201478.9915966386"/>
  </r>
  <r>
    <s v="Lhotse-Hidratación"/>
    <x v="4"/>
    <x v="19"/>
    <x v="45"/>
    <s v="LHMAMU"/>
    <x v="316"/>
    <x v="303"/>
    <x v="0"/>
    <x v="3"/>
    <n v="1"/>
    <x v="187"/>
    <n v="221"/>
    <m/>
    <n v="0"/>
    <n v="2581"/>
    <n v="570401"/>
    <n v="2.3"/>
    <n v="2512.75"/>
    <n v="8394.957983193277"/>
    <n v="7554.621848739496"/>
    <s v="Shenzhen"/>
    <s v="30/70"/>
    <n v="30"/>
    <n v="100"/>
    <n v="3"/>
    <n v="0.6372053191158815"/>
    <n v="22"/>
    <n v="0.6710938072133956"/>
    <n v="21"/>
    <n v="0.6456338134742113"/>
    <n v="38"/>
    <n v="0.6434438537338341"/>
    <n v="63"/>
    <n v="0.5905144715874319"/>
    <n v="98"/>
    <n v="0.6437581558617809"/>
    <n v="36"/>
    <n v="0.5633926465865994"/>
    <n v="1"/>
    <n v="0.7718764442961975"/>
    <n v="2"/>
    <n v="0.6381465157832042"/>
    <n v="14"/>
    <n v="0.6545931087924846"/>
    <n v="84"/>
    <n v="0.6562906442382728"/>
    <n v="30"/>
    <n v="0.5736085061600047"/>
    <n v="15"/>
    <n v="0.4911354387768144"/>
    <n v="16"/>
    <n v="0.4742185628787282"/>
    <n v="13"/>
    <n v="0.5522411659900067"/>
    <n v="24"/>
    <n v="0.5199603076255229"/>
    <n v="0.6857142857142857"/>
    <n v="56"/>
    <n v="0.6617239050698193"/>
    <n v="0.8888888888888888"/>
    <n v="6"/>
    <n v="0.3985702846445165"/>
    <n v="0.06"/>
    <n v="28"/>
    <n v="0.6906544345260666"/>
    <n v="0.28"/>
    <n v="12"/>
    <n v="0.6791780805902464"/>
    <n v="0.2"/>
    <m/>
    <m/>
    <m/>
    <m/>
    <m/>
    <m/>
    <m/>
    <m/>
    <m/>
    <m/>
    <m/>
    <m/>
    <n v="25"/>
    <n v="27"/>
    <n v="30"/>
    <n v="0"/>
    <n v="0"/>
    <n v="0"/>
    <n v="172927"/>
    <n v="64273.5"/>
    <n v="77430"/>
    <n v="0"/>
    <n v="221"/>
    <n v="570401"/>
    <n v="211637.5962149566"/>
    <n v="30"/>
    <n v="24"/>
    <n v="24"/>
    <n v="100"/>
    <n v="100"/>
    <n v="0"/>
    <n v="157441"/>
    <n v="57132"/>
    <n v="61944"/>
    <n v="0"/>
    <n v="221"/>
    <n v="570401"/>
    <n v="169310.0769719653"/>
    <n v="35"/>
    <n v="114"/>
    <n v="13"/>
    <n v="0"/>
    <n v="0"/>
    <n v="245468.5"/>
    <n v="294234"/>
    <n v="33553"/>
    <n v="0"/>
    <n v="221"/>
    <n v="570401"/>
    <n v="109134.4537815126"/>
    <n v="35"/>
    <n v="94"/>
    <n v="24"/>
    <n v="150"/>
    <n v="0"/>
    <n v="223767"/>
    <n v="61944"/>
    <n v="357075"/>
    <n v="0"/>
    <n v="221"/>
    <n v="570401"/>
    <n v="201478.9915966386"/>
    <n v="63"/>
    <n v="277"/>
    <n v="63"/>
    <m/>
    <n v="0"/>
    <n v="0"/>
    <n v="714937"/>
    <n v="149971.5"/>
    <n v="0"/>
    <n v="0"/>
    <n v="221"/>
    <n v="570401"/>
    <n v="528882.3529411765"/>
    <n v="100"/>
    <n v="227"/>
    <n v="6"/>
    <m/>
    <n v="150"/>
    <n v="0"/>
    <n v="585887"/>
    <n v="14283"/>
    <n v="0"/>
    <n v="0"/>
    <n v="227"/>
    <n v="570401"/>
    <n v="50369.74789915966"/>
    <n v="100"/>
    <n v="249"/>
    <n v="28"/>
    <n v="220"/>
    <n v="220"/>
    <n v="0"/>
    <n v="642669"/>
    <n v="66654"/>
    <n v="506252.9999999999"/>
    <n v="0"/>
    <n v="249"/>
    <n v="570401"/>
    <n v="235058.8235294117"/>
    <n v="60"/>
    <n v="221"/>
    <n v="60"/>
    <n v="0"/>
    <n v="0"/>
    <n v="0"/>
    <n v="570401"/>
    <n v="142830"/>
    <n v="0"/>
    <n v="0"/>
    <n v="221"/>
    <n v="570401"/>
    <n v="503697.4789915966"/>
    <n v="55"/>
    <n v="161"/>
    <n v="55"/>
    <n v="0"/>
    <n v="0"/>
    <n v="0"/>
    <n v="383260.5"/>
    <n v="130927.5"/>
    <n v="0"/>
    <n v="0"/>
    <n v="161"/>
    <n v="383260.5"/>
    <n v="461722.6890756302"/>
    <n v="70"/>
    <n v="106"/>
    <n v="70"/>
    <n v="200"/>
    <n v="200"/>
    <n v="200"/>
    <n v="0"/>
    <n v="252333"/>
    <n v="166635"/>
    <n v="476100"/>
    <n v="476100"/>
    <n v="306"/>
    <n v="728433"/>
    <n v="528823.5294117647"/>
    <n v="60"/>
    <n v="236"/>
    <n v="60"/>
    <n v="0"/>
    <n v="0"/>
    <n v="561798"/>
    <n v="142830"/>
    <n v="0"/>
    <n v="0"/>
    <n v="236"/>
    <n v="561798"/>
    <n v="475941.1764705883"/>
    <n v="90"/>
    <n v="176"/>
    <n v="90"/>
    <n v="0"/>
    <n v="0"/>
    <n v="418968"/>
    <n v="214245"/>
    <n v="0"/>
    <n v="176"/>
    <n v="418968"/>
    <n v="755546.218487395"/>
    <n v="36"/>
    <n v="86"/>
    <n v="36"/>
    <n v="0"/>
    <m/>
    <n v="204723"/>
    <n v="92916"/>
    <n v="0"/>
    <n v="86"/>
    <n v="204723"/>
    <n v="302218.487394958"/>
  </r>
  <r>
    <s v="Lhotse-Hidratación"/>
    <x v="4"/>
    <x v="19"/>
    <x v="45"/>
    <s v="LHVACAM"/>
    <x v="317"/>
    <x v="304"/>
    <x v="0"/>
    <x v="2"/>
    <n v="1"/>
    <x v="3"/>
    <n v="1"/>
    <m/>
    <n v="0"/>
    <n v="2867"/>
    <n v="2867"/>
    <n v="2.4"/>
    <n v="2622"/>
    <n v="7554.621848739496"/>
    <n v="6714.285714285715"/>
    <s v="Shenzhen"/>
    <s v="30/70"/>
    <n v="30"/>
    <n v="500"/>
    <n v="5"/>
    <n v="0.6458396126195124"/>
    <n v="4"/>
    <n v="0.5981339887767004"/>
    <n v="17"/>
    <n v="0.4374103096886038"/>
    <n v="12"/>
    <n v="0.4329464506452623"/>
    <n v="5"/>
    <n v="0.5096511031298101"/>
    <n v="29"/>
    <n v="0.4438735163121731"/>
    <n v="32"/>
    <n v="0.3510867496448239"/>
    <n v="16"/>
    <n v="0.4660934681755828"/>
    <n v="15"/>
    <n v="0.2774757832432975"/>
    <n v="0"/>
    <s v=""/>
    <n v="7"/>
    <n v="0.4852776108645969"/>
    <n v="2"/>
    <n v="0.6204972191323693"/>
    <n v="1"/>
    <n v="0.5646165598078566"/>
    <n v="0"/>
    <s v=""/>
    <n v="0"/>
    <s v=""/>
    <n v="0"/>
    <s v=""/>
    <n v="0"/>
    <n v="1"/>
    <n v="0.6205472747497218"/>
    <n v="0"/>
    <n v="1"/>
    <n v="0.2000539273153576"/>
    <n v="0"/>
    <n v="0"/>
    <s v=""/>
    <n v="0"/>
    <n v="0"/>
    <s v=""/>
    <n v="0"/>
    <m/>
    <m/>
    <m/>
    <m/>
    <m/>
    <m/>
    <m/>
    <m/>
    <m/>
    <m/>
    <m/>
    <m/>
    <n v="0"/>
    <n v="2"/>
    <n v="0"/>
    <n v="0"/>
    <n v="0"/>
    <n v="0"/>
    <n v="0"/>
    <n v="4968"/>
    <n v="0"/>
    <n v="0"/>
    <n v="1"/>
    <n v="2867"/>
    <n v="0"/>
    <n v="0"/>
    <n v="1"/>
    <n v="0"/>
    <n v="0"/>
    <n v="0"/>
    <n v="0"/>
    <n v="0"/>
    <n v="2484"/>
    <n v="0"/>
    <n v="0"/>
    <n v="1"/>
    <n v="2867"/>
    <n v="0"/>
    <n v="0"/>
    <n v="1"/>
    <n v="0"/>
    <n v="0"/>
    <n v="0"/>
    <n v="0"/>
    <n v="2867"/>
    <n v="0"/>
    <n v="0"/>
    <n v="1"/>
    <n v="2867"/>
    <n v="0"/>
    <n v="12"/>
    <n v="3"/>
    <n v="0"/>
    <n v="0"/>
    <n v="0"/>
    <n v="7452"/>
    <n v="0"/>
    <n v="0"/>
    <n v="0"/>
    <n v="1"/>
    <n v="2867"/>
    <n v="0"/>
    <n v="0"/>
    <n v="2"/>
    <n v="0"/>
    <m/>
    <n v="0"/>
    <n v="0"/>
    <n v="5734"/>
    <n v="0"/>
    <n v="0"/>
    <n v="0"/>
    <n v="1"/>
    <n v="2867"/>
    <n v="0"/>
    <n v="0"/>
    <n v="2"/>
    <n v="1"/>
    <m/>
    <n v="0"/>
    <n v="0"/>
    <n v="5734"/>
    <n v="2484"/>
    <n v="0"/>
    <n v="0"/>
    <n v="2"/>
    <n v="2867"/>
    <n v="7554.621848739496"/>
    <n v="0"/>
    <n v="1"/>
    <n v="0"/>
    <n v="0"/>
    <n v="0"/>
    <n v="0"/>
    <n v="2867"/>
    <n v="0"/>
    <n v="0"/>
    <n v="0"/>
    <n v="1"/>
    <n v="2867"/>
    <n v="0"/>
    <n v="0"/>
    <n v="1"/>
    <n v="0"/>
    <n v="0"/>
    <n v="0"/>
    <n v="0"/>
    <n v="2867"/>
    <n v="0"/>
    <n v="0"/>
    <n v="0"/>
    <n v="1"/>
    <n v="2867"/>
    <n v="0"/>
    <n v="0"/>
    <n v="1"/>
    <n v="0"/>
    <n v="0"/>
    <n v="0"/>
    <n v="0"/>
    <n v="2484"/>
    <n v="0"/>
    <n v="0"/>
    <n v="0"/>
    <n v="1"/>
    <n v="2484"/>
    <n v="0"/>
    <n v="0"/>
    <n v="1"/>
    <n v="0"/>
    <n v="0"/>
    <n v="0"/>
    <n v="0"/>
    <m/>
    <n v="2484"/>
    <n v="0"/>
    <n v="0"/>
    <n v="0"/>
    <n v="1"/>
    <n v="2484"/>
    <n v="0"/>
    <n v="0"/>
    <n v="1"/>
    <n v="0"/>
    <n v="0"/>
    <n v="0"/>
    <n v="2484"/>
    <n v="0"/>
    <n v="0"/>
    <n v="0"/>
    <n v="1"/>
    <n v="2484"/>
    <n v="0"/>
    <n v="0"/>
    <n v="1"/>
    <n v="0"/>
    <n v="0"/>
    <n v="0"/>
    <n v="2484"/>
    <n v="0"/>
    <n v="0"/>
    <n v="1"/>
    <n v="2484"/>
    <n v="0"/>
    <n v="0"/>
    <n v="1"/>
    <n v="0"/>
    <n v="0"/>
    <m/>
    <n v="2484"/>
    <n v="0"/>
    <n v="0"/>
    <n v="1"/>
    <n v="2484"/>
    <n v="0"/>
  </r>
  <r>
    <s v="Lhotse-Hidratación"/>
    <x v="4"/>
    <x v="19"/>
    <x v="45"/>
    <s v="LHVACAM"/>
    <x v="318"/>
    <x v="305"/>
    <x v="0"/>
    <x v="2"/>
    <n v="1"/>
    <x v="3"/>
    <n v="29"/>
    <m/>
    <n v="0"/>
    <n v="2872"/>
    <n v="83288"/>
    <n v="2.4"/>
    <n v="2622"/>
    <n v="7554.621848739496"/>
    <n v="6714.285714285715"/>
    <s v="Shenzhen"/>
    <s v="30/70"/>
    <n v="30"/>
    <n v="500"/>
    <n v="2"/>
    <n v="0.5470499171989591"/>
    <n v="2"/>
    <n v="0.5722475424486149"/>
    <n v="12"/>
    <n v="0.4711369077130108"/>
    <n v="4"/>
    <n v="0.5902364901016586"/>
    <n v="2"/>
    <n v="0.5777401489903939"/>
    <n v="4"/>
    <n v="0.4294795391338895"/>
    <n v="23"/>
    <n v="0.3397664097873999"/>
    <n v="8"/>
    <n v="0.4522875941642033"/>
    <n v="10"/>
    <n v="0.4729334989671023"/>
    <n v="4"/>
    <n v="0.4453056494447127"/>
    <n v="2"/>
    <n v="0.4734140080674734"/>
    <n v="4"/>
    <n v="0.5225667026847312"/>
    <n v="8"/>
    <n v="0.3942845041740947"/>
    <n v="6"/>
    <n v="0.5031768569351404"/>
    <n v="2"/>
    <n v="0.4898475767771597"/>
    <n v="1"/>
    <n v="0.1999999954281853"/>
    <n v="0.2"/>
    <n v="9"/>
    <n v="0.3670429897310312"/>
    <n v="4.5"/>
    <n v="7"/>
    <n v="0.4681099900525792"/>
    <n v="0.5384615384615384"/>
    <n v="2"/>
    <n v="0.4815957527493364"/>
    <n v="0.08695652173913043"/>
    <n v="1"/>
    <n v="0.5722127659574467"/>
    <n v="0.2"/>
    <m/>
    <m/>
    <m/>
    <m/>
    <m/>
    <m/>
    <m/>
    <m/>
    <m/>
    <m/>
    <m/>
    <m/>
    <n v="3"/>
    <n v="96"/>
    <n v="3"/>
    <n v="0"/>
    <n v="0"/>
    <n v="0"/>
    <n v="40208"/>
    <n v="238464"/>
    <n v="8616"/>
    <n v="0"/>
    <n v="29"/>
    <n v="83288"/>
    <n v="19045.26516488949"/>
    <n v="3"/>
    <n v="54"/>
    <n v="9"/>
    <n v="0"/>
    <n v="0"/>
    <n v="0"/>
    <n v="34464"/>
    <n v="134136"/>
    <n v="25848"/>
    <n v="0"/>
    <n v="29"/>
    <n v="83288"/>
    <n v="57135.79549466846"/>
    <n v="12"/>
    <n v="49"/>
    <n v="2"/>
    <n v="0"/>
    <n v="0"/>
    <n v="13584"/>
    <n v="140728"/>
    <n v="5744"/>
    <n v="0"/>
    <n v="29"/>
    <n v="83288"/>
    <n v="15109.24369747899"/>
    <n v="5"/>
    <n v="46"/>
    <n v="1"/>
    <n v="0"/>
    <n v="0"/>
    <n v="114264"/>
    <n v="2872"/>
    <n v="0"/>
    <n v="0"/>
    <n v="29"/>
    <n v="83288"/>
    <n v="7554.621848739496"/>
    <n v="2"/>
    <n v="38"/>
    <n v="2"/>
    <m/>
    <n v="0"/>
    <n v="0"/>
    <n v="109136"/>
    <n v="4968"/>
    <n v="0"/>
    <n v="0"/>
    <n v="29"/>
    <n v="83288"/>
    <n v="15109.24369747899"/>
    <n v="13"/>
    <n v="36"/>
    <n v="7"/>
    <m/>
    <n v="0"/>
    <n v="0"/>
    <n v="103392"/>
    <n v="17388"/>
    <n v="0"/>
    <n v="0"/>
    <n v="36"/>
    <n v="83288"/>
    <n v="52882.35294117648"/>
    <n v="23"/>
    <n v="31"/>
    <n v="2"/>
    <n v="0"/>
    <n v="0"/>
    <n v="0"/>
    <n v="89032"/>
    <n v="4968"/>
    <n v="0"/>
    <n v="0"/>
    <n v="31"/>
    <n v="83288"/>
    <n v="15109.24369747899"/>
    <n v="5"/>
    <n v="29"/>
    <n v="5"/>
    <n v="0"/>
    <n v="0"/>
    <n v="0"/>
    <n v="83288"/>
    <n v="12420"/>
    <n v="0"/>
    <n v="0"/>
    <n v="29"/>
    <n v="83288"/>
    <n v="37773.10924369748"/>
    <n v="0"/>
    <n v="24"/>
    <n v="0"/>
    <n v="0"/>
    <n v="0"/>
    <n v="0"/>
    <n v="59616"/>
    <n v="0"/>
    <n v="0"/>
    <n v="0"/>
    <n v="24"/>
    <n v="59616"/>
    <n v="0"/>
    <n v="0"/>
    <n v="24"/>
    <n v="0"/>
    <n v="0"/>
    <n v="0"/>
    <n v="0"/>
    <m/>
    <n v="59616"/>
    <n v="0"/>
    <n v="0"/>
    <n v="0"/>
    <n v="24"/>
    <n v="59616"/>
    <n v="0"/>
    <n v="0"/>
    <n v="24"/>
    <n v="0"/>
    <n v="0"/>
    <n v="0"/>
    <n v="59616"/>
    <n v="0"/>
    <n v="0"/>
    <n v="0"/>
    <n v="24"/>
    <n v="59616"/>
    <n v="0"/>
    <n v="0"/>
    <n v="24"/>
    <n v="0"/>
    <n v="0"/>
    <n v="0"/>
    <n v="59616"/>
    <n v="0"/>
    <n v="0"/>
    <n v="24"/>
    <n v="59616"/>
    <n v="0"/>
    <n v="0"/>
    <n v="24"/>
    <n v="0"/>
    <n v="0"/>
    <m/>
    <n v="59616"/>
    <n v="0"/>
    <n v="0"/>
    <n v="24"/>
    <n v="59616"/>
    <n v="0"/>
  </r>
  <r>
    <s v="Lhotse-Hidratación"/>
    <x v="4"/>
    <x v="19"/>
    <x v="45"/>
    <s v="LHVACAM"/>
    <x v="319"/>
    <x v="306"/>
    <x v="0"/>
    <x v="2"/>
    <n v="1"/>
    <x v="3"/>
    <n v="3"/>
    <m/>
    <n v="0"/>
    <n v="2856"/>
    <n v="8568"/>
    <n v="2.4"/>
    <n v="2622"/>
    <n v="7554.621848739496"/>
    <n v="6714.285714285715"/>
    <s v="Shenzhen"/>
    <s v="30/70"/>
    <n v="30"/>
    <n v="500"/>
    <n v="5"/>
    <n v="0.6708991372638941"/>
    <n v="1"/>
    <n v="0.5724605302353292"/>
    <n v="10"/>
    <n v="0.4779787392332236"/>
    <n v="8"/>
    <n v="0.4203059524410562"/>
    <n v="8"/>
    <n v="0.5275985781054572"/>
    <n v="3"/>
    <s v=""/>
    <n v="28"/>
    <n v="0.349440694154404"/>
    <n v="4"/>
    <s v=""/>
    <n v="8"/>
    <n v="0.3583314979033833"/>
    <n v="6"/>
    <n v="0.3987852131113205"/>
    <n v="80"/>
    <n v="0.4571671709531014"/>
    <n v="14"/>
    <n v="0.5110100002433149"/>
    <n v="0"/>
    <s v=""/>
    <n v="2"/>
    <n v="0.6790600147579555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2"/>
    <n v="0"/>
    <n v="0"/>
    <n v="0"/>
    <n v="0"/>
    <n v="8568"/>
    <n v="4968"/>
    <n v="0"/>
    <n v="0"/>
    <n v="3"/>
    <n v="8568"/>
    <n v="0"/>
    <n v="0"/>
    <n v="4"/>
    <n v="3"/>
    <n v="0"/>
    <n v="0"/>
    <n v="0"/>
    <n v="8568"/>
    <n v="9936"/>
    <n v="8568"/>
    <n v="0"/>
    <n v="3"/>
    <n v="8568"/>
    <n v="19045.26516488949"/>
    <n v="10"/>
    <n v="2"/>
    <n v="0"/>
    <n v="0"/>
    <n v="0"/>
    <n v="0"/>
    <n v="5712"/>
    <n v="0"/>
    <n v="0"/>
    <n v="3"/>
    <n v="8568"/>
    <n v="0"/>
    <n v="5"/>
    <n v="2"/>
    <n v="0"/>
    <n v="0"/>
    <n v="0"/>
    <n v="4968"/>
    <n v="0"/>
    <n v="0"/>
    <n v="0"/>
    <n v="3"/>
    <n v="8568"/>
    <n v="0"/>
    <n v="0"/>
    <n v="3"/>
    <n v="0"/>
    <m/>
    <n v="0"/>
    <n v="0"/>
    <n v="8568"/>
    <n v="0"/>
    <n v="0"/>
    <n v="0"/>
    <n v="3"/>
    <n v="8568"/>
    <n v="0"/>
    <n v="0"/>
    <n v="3"/>
    <n v="0"/>
    <m/>
    <n v="0"/>
    <n v="0"/>
    <n v="8568"/>
    <n v="0"/>
    <n v="0"/>
    <n v="0"/>
    <n v="3"/>
    <n v="8568"/>
    <n v="0"/>
    <n v="0"/>
    <n v="3"/>
    <n v="0"/>
    <n v="0"/>
    <n v="0"/>
    <n v="0"/>
    <n v="8568"/>
    <n v="0"/>
    <n v="0"/>
    <n v="0"/>
    <n v="3"/>
    <n v="8568"/>
    <n v="0"/>
    <n v="0"/>
    <n v="3"/>
    <n v="0"/>
    <n v="0"/>
    <n v="0"/>
    <n v="0"/>
    <n v="8568"/>
    <n v="0"/>
    <n v="0"/>
    <n v="0"/>
    <n v="3"/>
    <n v="8568"/>
    <n v="0"/>
    <n v="0"/>
    <n v="3"/>
    <n v="0"/>
    <n v="0"/>
    <n v="0"/>
    <n v="0"/>
    <n v="7452"/>
    <n v="0"/>
    <n v="0"/>
    <n v="0"/>
    <n v="3"/>
    <n v="7452"/>
    <n v="0"/>
    <n v="0"/>
    <n v="3"/>
    <n v="0"/>
    <n v="0"/>
    <n v="0"/>
    <n v="0"/>
    <m/>
    <n v="7452"/>
    <n v="0"/>
    <n v="0"/>
    <n v="0"/>
    <n v="3"/>
    <n v="7452"/>
    <n v="0"/>
    <n v="0"/>
    <n v="3"/>
    <n v="0"/>
    <n v="0"/>
    <n v="0"/>
    <n v="7452"/>
    <n v="0"/>
    <n v="0"/>
    <n v="0"/>
    <n v="3"/>
    <n v="7452"/>
    <n v="0"/>
    <n v="0"/>
    <n v="3"/>
    <n v="0"/>
    <n v="0"/>
    <n v="0"/>
    <n v="7452"/>
    <n v="0"/>
    <n v="0"/>
    <n v="3"/>
    <n v="7452"/>
    <n v="0"/>
    <n v="0"/>
    <n v="3"/>
    <n v="0"/>
    <n v="0"/>
    <m/>
    <n v="7452"/>
    <n v="0"/>
    <n v="0"/>
    <n v="3"/>
    <n v="7452"/>
    <n v="0"/>
  </r>
  <r>
    <s v="Lhotse-Hidratación"/>
    <x v="4"/>
    <x v="19"/>
    <x v="45"/>
    <s v="LHVACAM"/>
    <x v="320"/>
    <x v="307"/>
    <x v="0"/>
    <x v="2"/>
    <n v="1"/>
    <x v="3"/>
    <n v="0"/>
    <m/>
    <n v="0"/>
    <n v="2873"/>
    <n v="0"/>
    <n v="2.4"/>
    <n v="2622"/>
    <n v="4825.361344537816"/>
    <n v="6714.285714285715"/>
    <s v="Shenzhen"/>
    <s v="30/70"/>
    <n v="30"/>
    <n v="500"/>
    <n v="0"/>
    <n v="0.5202404408081482"/>
    <n v="2"/>
    <n v="0.6560593727555661"/>
    <n v="16"/>
    <n v="0.3942408581899399"/>
    <n v="6"/>
    <n v="0.4017531318319047"/>
    <n v="7"/>
    <n v="0.5450431478109413"/>
    <n v="4"/>
    <n v="0.388663829787234"/>
    <n v="25"/>
    <n v="0.3219330727627481"/>
    <n v="6"/>
    <n v="0.4458476374156219"/>
    <n v="21"/>
    <n v="0.3102709128735054"/>
    <n v="11"/>
    <n v="0.5956492036077529"/>
    <n v="71"/>
    <n v="0.4599026249950359"/>
    <n v="7"/>
    <n v="0.5535452648403854"/>
    <n v="1"/>
    <n v="0.4517175501775222"/>
    <n v="1"/>
    <n v="0.6197220249220609"/>
    <n v="0"/>
    <s v=""/>
    <n v="0"/>
    <s v=""/>
    <n v="0"/>
    <n v="1"/>
    <n v="0.6197530589543937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1"/>
    <n v="0"/>
    <n v="0"/>
    <n v="0"/>
    <n v="0"/>
    <n v="4309.5"/>
    <n v="2484"/>
    <n v="0"/>
    <n v="0"/>
    <n v="0"/>
    <n v="0"/>
    <n v="0"/>
    <n v="0"/>
    <n v="1"/>
    <n v="1.5"/>
    <n v="0"/>
    <n v="0"/>
    <n v="0"/>
    <n v="4309.5"/>
    <n v="2484"/>
    <n v="4309.5"/>
    <n v="0"/>
    <n v="0"/>
    <n v="0"/>
    <n v="6082.388249417415"/>
    <n v="16"/>
    <n v="0"/>
    <n v="0"/>
    <n v="0"/>
    <n v="0"/>
    <n v="0"/>
    <n v="0"/>
    <n v="0"/>
    <n v="0"/>
    <n v="0"/>
    <n v="0"/>
    <n v="0"/>
    <n v="5"/>
    <n v="2"/>
    <n v="0"/>
    <n v="0"/>
    <n v="0"/>
    <n v="4968"/>
    <n v="0"/>
    <n v="0"/>
    <n v="0"/>
    <n v="0"/>
    <n v="0"/>
    <n v="0"/>
    <n v="0"/>
    <n v="1"/>
    <n v="0"/>
    <m/>
    <n v="0"/>
    <n v="0"/>
    <n v="2873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Hidratación"/>
    <x v="4"/>
    <x v="19"/>
    <x v="46"/>
    <s v="LHTHCLA"/>
    <x v="321"/>
    <x v="308"/>
    <x v="0"/>
    <x v="3"/>
    <n v="1"/>
    <x v="188"/>
    <n v="256"/>
    <m/>
    <n v="0"/>
    <n v="6987"/>
    <n v="1788672"/>
    <n v="6.3"/>
    <n v="6882.749999999999"/>
    <n v="16798.31932773109"/>
    <n v="15117.64705882353"/>
    <s v="Shenzhen"/>
    <s v="30/70"/>
    <n v="30"/>
    <n v="100"/>
    <n v="2"/>
    <n v="0.5981714082041021"/>
    <n v="0"/>
    <s v=""/>
    <n v="5"/>
    <s v=""/>
    <n v="63"/>
    <n v="0.5760060898718677"/>
    <n v="19"/>
    <n v="0.5471246159512051"/>
    <n v="110"/>
    <n v="0.5371204589955214"/>
    <n v="48"/>
    <n v="0.4825717814801149"/>
    <n v="0"/>
    <n v="0.7688224862273089"/>
    <n v="12"/>
    <n v="0.5893159457413985"/>
    <n v="59"/>
    <n v="0.502227397666414"/>
    <n v="43"/>
    <n v="0.4711788087572337"/>
    <n v="75"/>
    <n v="0.5087318378977823"/>
    <n v="30"/>
    <n v="0.3845519436086257"/>
    <n v="59"/>
    <n v="0.4366269099244621"/>
    <n v="91"/>
    <n v="0.3729544351140552"/>
    <n v="47"/>
    <n v="0.3941921643956701"/>
    <n v="0.7230769230769231"/>
    <n v="65"/>
    <n v="0.5942803067595825"/>
    <n v="1.3"/>
    <n v="52"/>
    <n v="0.373459428252544"/>
    <n v="0.3466666666666667"/>
    <n v="59"/>
    <n v="0.6011229530058191"/>
    <n v="0.4916666666666666"/>
    <n v="23"/>
    <n v="0.51560441270441"/>
    <n v="0.46"/>
    <m/>
    <m/>
    <m/>
    <m/>
    <m/>
    <m/>
    <m/>
    <m/>
    <m/>
    <m/>
    <m/>
    <m/>
    <n v="50"/>
    <n v="232"/>
    <n v="50"/>
    <n v="0"/>
    <n v="0"/>
    <n v="0"/>
    <n v="1603516.5"/>
    <n v="1512756"/>
    <n v="349350"/>
    <n v="0"/>
    <n v="256"/>
    <n v="1788672"/>
    <n v="705811.7364592897"/>
    <n v="35"/>
    <n v="179"/>
    <n v="88.5"/>
    <n v="0"/>
    <n v="0"/>
    <n v="0"/>
    <n v="1582555.5"/>
    <n v="1167169.5"/>
    <n v="618349.5"/>
    <n v="0"/>
    <n v="256"/>
    <n v="1788672"/>
    <n v="1249286.773532943"/>
    <n v="60"/>
    <n v="147"/>
    <n v="91"/>
    <n v="0"/>
    <n v="0"/>
    <n v="1290231"/>
    <n v="1027089"/>
    <n v="635817"/>
    <n v="0"/>
    <n v="256"/>
    <n v="1788672"/>
    <n v="1528647.058823529"/>
    <n v="65"/>
    <n v="335"/>
    <n v="47"/>
    <n v="200"/>
    <n v="0"/>
    <n v="2184367.5"/>
    <n v="328389"/>
    <n v="1304100"/>
    <n v="0"/>
    <n v="256"/>
    <n v="1788672"/>
    <n v="789521.0084033613"/>
    <n v="50"/>
    <n v="321"/>
    <n v="50"/>
    <m/>
    <n v="0"/>
    <n v="0"/>
    <n v="2242827"/>
    <n v="326024.9999999999"/>
    <n v="0"/>
    <n v="0"/>
    <n v="256"/>
    <n v="1788672"/>
    <n v="839915.9663865546"/>
    <n v="150"/>
    <n v="308"/>
    <n v="52"/>
    <m/>
    <n v="0"/>
    <n v="0"/>
    <n v="2151996"/>
    <n v="339065.9999999999"/>
    <n v="0"/>
    <n v="0"/>
    <n v="308"/>
    <n v="1788672"/>
    <n v="873512.6050420168"/>
    <n v="120"/>
    <n v="315"/>
    <n v="59"/>
    <n v="200"/>
    <n v="200"/>
    <n v="0"/>
    <n v="2200905"/>
    <n v="384709.4999999999"/>
    <n v="1260630"/>
    <n v="0"/>
    <n v="315"/>
    <n v="1788672"/>
    <n v="991100.8403361344"/>
    <n v="50"/>
    <n v="256"/>
    <n v="50"/>
    <n v="200"/>
    <n v="200"/>
    <n v="0"/>
    <n v="1788672"/>
    <n v="326024.9999999999"/>
    <n v="1304100"/>
    <n v="0"/>
    <n v="256"/>
    <n v="1788672"/>
    <n v="839915.9663865546"/>
    <n v="48"/>
    <n v="206"/>
    <n v="48"/>
    <n v="0"/>
    <n v="0"/>
    <n v="200"/>
    <n v="1343223"/>
    <n v="312983.9999999999"/>
    <n v="0"/>
    <n v="1304100"/>
    <n v="406"/>
    <n v="2647323"/>
    <n v="806319.3277310925"/>
    <n v="100"/>
    <n v="358"/>
    <n v="100"/>
    <n v="0"/>
    <n v="0"/>
    <n v="0"/>
    <m/>
    <n v="2334339"/>
    <n v="652049.9999999999"/>
    <n v="0"/>
    <n v="0"/>
    <n v="358"/>
    <n v="2334339"/>
    <n v="1511764.705882353"/>
    <n v="80"/>
    <n v="258"/>
    <n v="80"/>
    <n v="0"/>
    <n v="0"/>
    <n v="1682289"/>
    <n v="521639.9999999999"/>
    <n v="0"/>
    <n v="0"/>
    <n v="258"/>
    <n v="1682289"/>
    <n v="1269882.352941177"/>
    <n v="100"/>
    <n v="178"/>
    <n v="100"/>
    <n v="0"/>
    <n v="0"/>
    <n v="1160649"/>
    <n v="652049.9999999999"/>
    <n v="0"/>
    <n v="178"/>
    <n v="1160649"/>
    <n v="1679831.932773109"/>
    <n v="48"/>
    <n v="78"/>
    <n v="48"/>
    <n v="0"/>
    <m/>
    <n v="508598.9999999999"/>
    <n v="335376"/>
    <n v="0"/>
    <n v="78"/>
    <n v="508598.9999999999"/>
    <n v="806319.3277310925"/>
  </r>
  <r>
    <s v="Lhotse-Hidratación"/>
    <x v="4"/>
    <x v="19"/>
    <x v="46"/>
    <s v="LHTHCLA"/>
    <x v="322"/>
    <x v="309"/>
    <x v="0"/>
    <x v="3"/>
    <n v="1"/>
    <x v="189"/>
    <n v="176"/>
    <m/>
    <n v="0"/>
    <n v="7076"/>
    <n v="1245376"/>
    <n v="6.3"/>
    <n v="6882.749999999999"/>
    <n v="16798.31932773109"/>
    <n v="15117.64705882353"/>
    <s v="Shenzhen"/>
    <s v="30/70"/>
    <n v="30"/>
    <n v="100"/>
    <n v="1"/>
    <n v="0.580496004408928"/>
    <n v="0"/>
    <n v="0.5685108553936851"/>
    <n v="1"/>
    <n v="0.5417535388278872"/>
    <n v="28"/>
    <n v="0.5741945199080504"/>
    <n v="34"/>
    <n v="0.542616499924778"/>
    <n v="107"/>
    <n v="0.564934451693072"/>
    <n v="31"/>
    <n v="0.4853870182339196"/>
    <n v="4"/>
    <n v="0.6078075453516644"/>
    <n v="5"/>
    <n v="0.613098023397448"/>
    <n v="30"/>
    <n v="0.5135665468072456"/>
    <n v="16"/>
    <n v="0.546600437155103"/>
    <n v="32"/>
    <n v="0.5274690562515059"/>
    <n v="60"/>
    <n v="0.2661707555214181"/>
    <n v="20"/>
    <n v="0.4141206458996907"/>
    <n v="15"/>
    <n v="0.4179195760793491"/>
    <n v="27"/>
    <n v="0.459819368696217"/>
    <n v="0.7714285714285715"/>
    <n v="31"/>
    <n v="0.5560964670459656"/>
    <n v="0.8857142857142857"/>
    <n v="55"/>
    <n v="0.4168108036403337"/>
    <n v="0.5"/>
    <n v="23"/>
    <n v="0.6056427578334236"/>
    <n v="0.2090909090909091"/>
    <n v="6"/>
    <n v="0.5127641519475108"/>
    <n v="0.1714285714285714"/>
    <m/>
    <m/>
    <m/>
    <m/>
    <m/>
    <m/>
    <m/>
    <m/>
    <m/>
    <m/>
    <m/>
    <m/>
    <n v="20"/>
    <n v="223"/>
    <n v="20"/>
    <n v="0"/>
    <n v="0"/>
    <n v="0"/>
    <n v="459940"/>
    <n v="1454071.5"/>
    <n v="141520"/>
    <n v="0"/>
    <n v="176"/>
    <n v="1245376"/>
    <n v="282324.6945837159"/>
    <n v="60"/>
    <n v="154"/>
    <n v="30"/>
    <n v="0"/>
    <n v="0"/>
    <n v="0"/>
    <n v="509472"/>
    <n v="1004157"/>
    <n v="212280"/>
    <n v="0"/>
    <n v="176"/>
    <n v="1245376"/>
    <n v="423487.0418755738"/>
    <n v="28"/>
    <n v="141"/>
    <n v="15"/>
    <n v="0"/>
    <n v="0"/>
    <n v="525409.5"/>
    <n v="997716"/>
    <n v="106140"/>
    <n v="0"/>
    <n v="176"/>
    <n v="1245376"/>
    <n v="251974.7899159664"/>
    <n v="35"/>
    <n v="111"/>
    <n v="27"/>
    <n v="0"/>
    <n v="0"/>
    <n v="723775.4999999999"/>
    <n v="191052"/>
    <n v="0"/>
    <n v="0"/>
    <n v="176"/>
    <n v="1245376"/>
    <n v="453554.6218487395"/>
    <n v="35"/>
    <n v="207"/>
    <n v="35"/>
    <m/>
    <n v="0"/>
    <n v="0"/>
    <n v="1464732"/>
    <n v="228217.5"/>
    <n v="0"/>
    <n v="0"/>
    <n v="176"/>
    <n v="1245376"/>
    <n v="587941.1764705882"/>
    <n v="110"/>
    <n v="231"/>
    <n v="55"/>
    <m/>
    <n v="0"/>
    <n v="0"/>
    <n v="1634556"/>
    <n v="358627.4999999999"/>
    <n v="0"/>
    <n v="0"/>
    <n v="231"/>
    <n v="1245376"/>
    <n v="923907.5630252101"/>
    <n v="110"/>
    <n v="199"/>
    <n v="23"/>
    <n v="200"/>
    <n v="200"/>
    <n v="0"/>
    <n v="1408124"/>
    <n v="149971.5"/>
    <n v="1260630"/>
    <n v="0"/>
    <n v="199"/>
    <n v="1245376"/>
    <n v="386361.3445378151"/>
    <n v="35"/>
    <n v="176"/>
    <n v="35"/>
    <n v="100"/>
    <n v="100"/>
    <n v="0"/>
    <n v="1245376"/>
    <n v="228217.5"/>
    <n v="652049.9999999999"/>
    <n v="0"/>
    <n v="176"/>
    <n v="1245376"/>
    <n v="587941.1764705882"/>
    <n v="34"/>
    <n v="141"/>
    <n v="34"/>
    <n v="0"/>
    <n v="0"/>
    <n v="100"/>
    <n v="919390.4999999999"/>
    <n v="221697"/>
    <n v="0"/>
    <n v="652049.9999999999"/>
    <n v="241"/>
    <n v="1571440.5"/>
    <n v="571142.8571428572"/>
    <n v="80"/>
    <n v="207"/>
    <n v="80"/>
    <n v="100"/>
    <n v="100"/>
    <n v="100"/>
    <n v="0"/>
    <n v="1349743.5"/>
    <n v="521639.9999999999"/>
    <n v="652049.9999999999"/>
    <n v="652049.9999999999"/>
    <n v="307"/>
    <n v="2001793.5"/>
    <n v="1209411.764705882"/>
    <n v="60"/>
    <n v="227"/>
    <n v="60"/>
    <n v="0"/>
    <n v="0"/>
    <n v="1480153.5"/>
    <n v="391229.9999999999"/>
    <n v="0"/>
    <n v="0"/>
    <n v="227"/>
    <n v="1480153.5"/>
    <n v="952411.7647058824"/>
    <n v="80"/>
    <n v="167"/>
    <n v="80"/>
    <n v="0"/>
    <n v="0"/>
    <n v="1088923.5"/>
    <n v="521639.9999999999"/>
    <n v="0"/>
    <n v="167"/>
    <n v="1088923.5"/>
    <n v="1343865.546218487"/>
    <n v="36"/>
    <n v="87"/>
    <n v="36"/>
    <n v="0"/>
    <m/>
    <n v="567283.4999999999"/>
    <n v="254736"/>
    <n v="0"/>
    <n v="87"/>
    <n v="567283.4999999999"/>
    <n v="604739.4957983193"/>
  </r>
  <r>
    <s v="Lhotse-Hidratación"/>
    <x v="4"/>
    <x v="19"/>
    <x v="46"/>
    <s v="LHTHCLA"/>
    <x v="323"/>
    <x v="310"/>
    <x v="0"/>
    <x v="3"/>
    <n v="1"/>
    <x v="190"/>
    <n v="189"/>
    <m/>
    <n v="0"/>
    <n v="7476"/>
    <n v="1412964"/>
    <n v="6.3"/>
    <n v="6882.749999999999"/>
    <n v="16798.31932773109"/>
    <n v="15117.64705882353"/>
    <s v="Shenzhen"/>
    <s v="30/70"/>
    <n v="30"/>
    <n v="100"/>
    <n v="42"/>
    <n v="0.563799740603786"/>
    <n v="35"/>
    <n v="0.5353558600720133"/>
    <n v="22"/>
    <n v="0.5688779903295098"/>
    <n v="60"/>
    <n v="0.5725581182360753"/>
    <n v="27"/>
    <n v="0.5285517575561792"/>
    <n v="33"/>
    <n v="0.529971150428589"/>
    <n v="53"/>
    <n v="0.4904087754446957"/>
    <n v="9"/>
    <n v="0.5439614783793032"/>
    <n v="6"/>
    <n v="0.6320700739835773"/>
    <n v="24"/>
    <n v="0.5671722209404417"/>
    <n v="17"/>
    <n v="0.5850917870510578"/>
    <n v="64"/>
    <n v="0.3954113277239175"/>
    <n v="32"/>
    <n v="0.2867384670601882"/>
    <n v="29"/>
    <n v="0.3632430336602359"/>
    <n v="36"/>
    <n v="0.3725741203024884"/>
    <n v="40"/>
    <n v="0.4858407812692473"/>
    <n v="0.6666666666666666"/>
    <n v="51"/>
    <n v="0.5652258822075273"/>
    <n v="1.7"/>
    <n v="21"/>
    <n v="0.3778149667304712"/>
    <n v="0.35"/>
    <n v="33"/>
    <n v="0.5625488504504687"/>
    <n v="0.33"/>
    <n v="11"/>
    <n v="0.4749417455017916"/>
    <n v="0.22"/>
    <m/>
    <m/>
    <m/>
    <m/>
    <m/>
    <m/>
    <m/>
    <m/>
    <m/>
    <m/>
    <m/>
    <m/>
    <n v="50"/>
    <n v="344"/>
    <n v="50"/>
    <n v="0"/>
    <n v="0"/>
    <n v="0"/>
    <n v="968142"/>
    <n v="2243052"/>
    <n v="373800"/>
    <n v="0"/>
    <n v="189"/>
    <n v="1412964"/>
    <n v="705811.7364592897"/>
    <n v="25"/>
    <n v="321"/>
    <n v="43.5"/>
    <n v="0"/>
    <n v="0"/>
    <n v="0"/>
    <n v="893382"/>
    <n v="2093080.5"/>
    <n v="325206"/>
    <n v="0"/>
    <n v="189"/>
    <n v="1412964"/>
    <n v="614056.210719582"/>
    <n v="50"/>
    <n v="309"/>
    <n v="36"/>
    <n v="0"/>
    <n v="0"/>
    <n v="763791"/>
    <n v="2310084"/>
    <n v="269136"/>
    <n v="0"/>
    <n v="189"/>
    <n v="1412964"/>
    <n v="604739.4957983193"/>
    <n v="60"/>
    <n v="254"/>
    <n v="40"/>
    <n v="0"/>
    <n v="0"/>
    <n v="1656207"/>
    <n v="299040"/>
    <n v="0"/>
    <n v="0"/>
    <n v="189"/>
    <n v="1412964"/>
    <n v="671932.7731092437"/>
    <n v="30"/>
    <n v="240"/>
    <n v="30"/>
    <m/>
    <n v="0"/>
    <n v="0"/>
    <n v="1794240"/>
    <n v="195615"/>
    <n v="0"/>
    <n v="0"/>
    <n v="189"/>
    <n v="1412964"/>
    <n v="503949.5798319328"/>
    <n v="60"/>
    <n v="210"/>
    <n v="21"/>
    <m/>
    <n v="0"/>
    <n v="0"/>
    <n v="1569960"/>
    <n v="136930.5"/>
    <n v="0"/>
    <n v="0"/>
    <n v="210"/>
    <n v="1412964"/>
    <n v="352764.705882353"/>
    <n v="100"/>
    <n v="222"/>
    <n v="33"/>
    <n v="0"/>
    <n v="0"/>
    <n v="0"/>
    <n v="1659672"/>
    <n v="215176.5"/>
    <n v="0"/>
    <n v="0"/>
    <n v="222"/>
    <n v="1412964"/>
    <n v="554344.5378151261"/>
    <n v="50"/>
    <n v="189"/>
    <n v="50"/>
    <n v="100"/>
    <n v="100"/>
    <n v="0"/>
    <n v="1412964"/>
    <n v="326024.9999999999"/>
    <n v="652049.9999999999"/>
    <n v="0"/>
    <n v="189"/>
    <n v="1412964"/>
    <n v="839915.9663865546"/>
    <n v="45"/>
    <n v="139"/>
    <n v="45"/>
    <n v="0"/>
    <n v="0"/>
    <n v="100"/>
    <n v="906349.4999999999"/>
    <n v="293422.4999999999"/>
    <n v="0"/>
    <n v="652049.9999999999"/>
    <n v="239"/>
    <n v="1558399.5"/>
    <n v="755924.3697478992"/>
    <n v="60"/>
    <n v="194"/>
    <n v="60"/>
    <n v="0"/>
    <n v="0"/>
    <n v="0"/>
    <m/>
    <n v="1264977"/>
    <n v="391229.9999999999"/>
    <n v="0"/>
    <n v="0"/>
    <n v="194"/>
    <n v="1264977"/>
    <n v="907058.8235294118"/>
    <n v="50"/>
    <n v="134"/>
    <n v="50"/>
    <n v="0"/>
    <n v="0"/>
    <n v="873746.9999999999"/>
    <n v="326024.9999999999"/>
    <n v="0"/>
    <n v="0"/>
    <n v="134"/>
    <n v="873746.9999999999"/>
    <n v="793676.4705882354"/>
    <n v="70"/>
    <n v="84"/>
    <n v="70"/>
    <n v="0"/>
    <n v="0"/>
    <n v="547721.9999999999"/>
    <n v="456434.9999999999"/>
    <n v="0"/>
    <n v="84"/>
    <n v="547721.9999999999"/>
    <n v="1175882.352941176"/>
    <n v="30"/>
    <n v="14"/>
    <n v="30"/>
    <n v="0"/>
    <m/>
    <n v="91286.99999999999"/>
    <n v="224280"/>
    <n v="0"/>
    <n v="14"/>
    <n v="91286.99999999999"/>
    <n v="503949.5798319328"/>
  </r>
  <r>
    <s v="Lhotse-Hidratación"/>
    <x v="4"/>
    <x v="19"/>
    <x v="46"/>
    <s v="LHTHCLA"/>
    <x v="324"/>
    <x v="311"/>
    <x v="0"/>
    <x v="3"/>
    <n v="0.6"/>
    <x v="191"/>
    <n v="334"/>
    <m/>
    <n v="0"/>
    <n v="7346"/>
    <n v="2453564"/>
    <n v="6.3"/>
    <n v="6882.749999999999"/>
    <n v="16798.31932773109"/>
    <n v="15117.64705882353"/>
    <s v="Shenzhen"/>
    <s v="30/70"/>
    <n v="30"/>
    <n v="100"/>
    <n v="1"/>
    <n v="0.5661507322300274"/>
    <n v="0"/>
    <s v=""/>
    <n v="6"/>
    <n v="0.5433939674560126"/>
    <n v="35"/>
    <n v="0.5806826465156963"/>
    <n v="54"/>
    <n v="0.5297488744831789"/>
    <n v="76"/>
    <n v="0.53706982765153"/>
    <n v="37"/>
    <n v="0.4809199608498673"/>
    <n v="1"/>
    <n v="0.3723718606414774"/>
    <n v="4"/>
    <n v="0.5739602772458439"/>
    <n v="16"/>
    <n v="0.4901804269890426"/>
    <n v="8"/>
    <n v="0.5599528330687509"/>
    <n v="59"/>
    <n v="0.4003130859882676"/>
    <n v="17"/>
    <n v="0.3084864861553714"/>
    <n v="21"/>
    <n v="0.336454373788927"/>
    <n v="10"/>
    <n v="0.3590794211189723"/>
    <n v="12"/>
    <n v="0.4580257035004069"/>
    <n v="0.2"/>
    <n v="19"/>
    <n v="0.5590186686145331"/>
    <n v="0.3518518518518519"/>
    <n v="8"/>
    <n v="0.3997383006992068"/>
    <n v="0.1"/>
    <n v="14"/>
    <n v="0.5285192542787286"/>
    <n v="0.14"/>
    <n v="2"/>
    <n v="0.5396872284969592"/>
    <n v="0.04444444444444445"/>
    <m/>
    <m/>
    <m/>
    <m/>
    <m/>
    <m/>
    <m/>
    <m/>
    <m/>
    <m/>
    <m/>
    <m/>
    <n v="45"/>
    <n v="316"/>
    <n v="45"/>
    <n v="0"/>
    <n v="0"/>
    <n v="0"/>
    <n v="635429"/>
    <n v="2060478"/>
    <n v="330570"/>
    <n v="0"/>
    <n v="334"/>
    <n v="2453564"/>
    <n v="635230.5628133607"/>
    <n v="35"/>
    <n v="305"/>
    <n v="31.5"/>
    <n v="0"/>
    <n v="0"/>
    <n v="0"/>
    <n v="393011"/>
    <n v="1988752.5"/>
    <n v="231399"/>
    <n v="0"/>
    <n v="334"/>
    <n v="2453564"/>
    <n v="444661.3939693525"/>
    <n v="35"/>
    <n v="297"/>
    <n v="10"/>
    <n v="0"/>
    <n v="0"/>
    <n v="372876.2"/>
    <n v="2181762"/>
    <n v="73460"/>
    <n v="0"/>
    <n v="334"/>
    <n v="2453564"/>
    <n v="167983.1932773109"/>
    <n v="60"/>
    <n v="275"/>
    <n v="12"/>
    <n v="100"/>
    <n v="0"/>
    <n v="1793137.5"/>
    <n v="88152"/>
    <n v="652049.9999999999"/>
    <n v="0"/>
    <n v="334"/>
    <n v="2453564"/>
    <n v="201579.8319327731"/>
    <n v="54"/>
    <n v="353"/>
    <n v="32.4"/>
    <m/>
    <n v="0"/>
    <n v="0"/>
    <n v="2593138"/>
    <n v="211264.2"/>
    <n v="0"/>
    <n v="0"/>
    <n v="334"/>
    <n v="2453564"/>
    <n v="544265.5462184874"/>
    <n v="80"/>
    <n v="342"/>
    <n v="8"/>
    <m/>
    <n v="0"/>
    <n v="0"/>
    <n v="2512332"/>
    <n v="52163.99999999999"/>
    <n v="0"/>
    <n v="0"/>
    <n v="342"/>
    <n v="2453564"/>
    <n v="134386.5546218487"/>
    <n v="100"/>
    <n v="348"/>
    <n v="14"/>
    <n v="200"/>
    <n v="200"/>
    <n v="0"/>
    <n v="2556408"/>
    <n v="91286.99999999999"/>
    <n v="1260630"/>
    <n v="0"/>
    <n v="348"/>
    <n v="2453564"/>
    <n v="235176.4705882353"/>
    <n v="45"/>
    <n v="334"/>
    <n v="27"/>
    <n v="0"/>
    <n v="0"/>
    <n v="0"/>
    <n v="2453564"/>
    <n v="176053.5"/>
    <n v="0"/>
    <n v="0"/>
    <n v="334"/>
    <n v="2453564"/>
    <n v="453554.6218487395"/>
    <n v="30"/>
    <n v="307"/>
    <n v="18"/>
    <n v="0"/>
    <n v="0"/>
    <n v="0"/>
    <n v="2001793.5"/>
    <n v="117369"/>
    <n v="0"/>
    <n v="0"/>
    <n v="307"/>
    <n v="2001793.5"/>
    <n v="302369.7478991597"/>
    <n v="60"/>
    <n v="289"/>
    <n v="36"/>
    <n v="0"/>
    <n v="0"/>
    <n v="0"/>
    <m/>
    <n v="1884424.5"/>
    <n v="234738"/>
    <n v="0"/>
    <n v="0"/>
    <n v="289"/>
    <n v="1884424.5"/>
    <n v="544235.2941176471"/>
    <n v="50"/>
    <n v="253"/>
    <n v="30"/>
    <n v="0"/>
    <n v="0"/>
    <n v="1649686.5"/>
    <n v="195615"/>
    <n v="0"/>
    <n v="0"/>
    <n v="253"/>
    <n v="1649686.5"/>
    <n v="476205.8823529412"/>
    <n v="70"/>
    <n v="223"/>
    <n v="42"/>
    <n v="0"/>
    <n v="0"/>
    <n v="1454071.5"/>
    <n v="273860.9999999999"/>
    <n v="0"/>
    <n v="223"/>
    <n v="1454071.5"/>
    <n v="705529.4117647059"/>
    <n v="30"/>
    <n v="181"/>
    <n v="18"/>
    <n v="0"/>
    <m/>
    <n v="1180210.5"/>
    <n v="132228"/>
    <n v="0"/>
    <n v="181"/>
    <n v="1180210.5"/>
    <n v="302369.7478991597"/>
  </r>
  <r>
    <s v="Lhotse-Smartwatch"/>
    <x v="4"/>
    <x v="20"/>
    <x v="47"/>
    <s v="LHSWFLO"/>
    <x v="325"/>
    <x v="312"/>
    <x v="0"/>
    <x v="2"/>
    <n v="1"/>
    <x v="3"/>
    <n v="19"/>
    <m/>
    <n v="0"/>
    <n v="13582"/>
    <n v="258058"/>
    <n v="12.65"/>
    <n v="13820.125"/>
    <n v="21000"/>
    <n v="18478.99159663866"/>
    <s v="Shenzhen"/>
    <s v="20/80"/>
    <n v="45"/>
    <n v="100"/>
    <n v="11"/>
    <n v="0.5685325594869186"/>
    <n v="20"/>
    <n v="0.5332121040563985"/>
    <n v="29"/>
    <n v="0.474508333104778"/>
    <n v="23"/>
    <n v="0.5468454226303181"/>
    <n v="13"/>
    <n v="0.4302132101940426"/>
    <n v="15"/>
    <n v="0.3956178876005488"/>
    <n v="8"/>
    <n v="0.4213515217402096"/>
    <n v="9"/>
    <n v="0.4809104324820186"/>
    <n v="7"/>
    <n v="0.5310331566265309"/>
    <n v="37"/>
    <n v="0.4702998578506217"/>
    <n v="31"/>
    <n v="0.4370952891164152"/>
    <n v="49"/>
    <n v="0.4368063914433626"/>
    <n v="27"/>
    <n v="0.2662171860325774"/>
    <n v="32"/>
    <n v="0.2411373947819155"/>
    <n v="28"/>
    <n v="0.3186668314421015"/>
    <n v="21"/>
    <n v="0.5094524984455404"/>
    <n v="1.05"/>
    <n v="12"/>
    <n v="0.3733444912228551"/>
    <n v="0.8"/>
    <n v="24"/>
    <n v="0.1948135659517103"/>
    <n v="1.2"/>
    <n v="2"/>
    <n v="-0.5869957776904949"/>
    <n v="0.1"/>
    <n v="0"/>
    <n v="1.000166666666667"/>
    <n v="0"/>
    <m/>
    <m/>
    <m/>
    <m/>
    <m/>
    <m/>
    <m/>
    <m/>
    <m/>
    <m/>
    <m/>
    <m/>
    <n v="20"/>
    <n v="58"/>
    <n v="30"/>
    <n v="100"/>
    <n v="50"/>
    <n v="0"/>
    <n v="1439692"/>
    <n v="759379.4999999999"/>
    <n v="407460"/>
    <n v="0"/>
    <n v="19"/>
    <n v="258058"/>
    <n v="529411.7647058824"/>
    <n v="20"/>
    <n v="238"/>
    <n v="48"/>
    <n v="0"/>
    <n v="0"/>
    <n v="0"/>
    <n v="1317454"/>
    <n v="3116074.5"/>
    <n v="651936"/>
    <n v="0"/>
    <n v="19"/>
    <n v="258058"/>
    <n v="847058.8235294118"/>
    <n v="39"/>
    <n v="202"/>
    <n v="28"/>
    <n v="0"/>
    <n v="0"/>
    <n v="861909.25"/>
    <n v="2743564"/>
    <n v="380296"/>
    <n v="0"/>
    <n v="19"/>
    <n v="258058"/>
    <n v="588000"/>
    <n v="20"/>
    <n v="176"/>
    <n v="21"/>
    <n v="0"/>
    <n v="0"/>
    <n v="2304324"/>
    <n v="285222"/>
    <n v="0"/>
    <n v="0"/>
    <n v="19"/>
    <n v="258058"/>
    <n v="441000"/>
    <n v="15"/>
    <n v="31"/>
    <n v="15"/>
    <m/>
    <n v="0"/>
    <n v="0"/>
    <n v="421042"/>
    <n v="196391.25"/>
    <n v="0"/>
    <n v="0"/>
    <n v="19"/>
    <n v="258058"/>
    <n v="315000"/>
    <n v="20"/>
    <n v="43"/>
    <n v="24"/>
    <m/>
    <n v="0"/>
    <n v="0"/>
    <n v="584026"/>
    <n v="314225.9999999999"/>
    <n v="0"/>
    <n v="0"/>
    <n v="43"/>
    <n v="258058"/>
    <n v="504000"/>
    <n v="20"/>
    <n v="21"/>
    <n v="2"/>
    <n v="0"/>
    <n v="0"/>
    <n v="0"/>
    <n v="285222"/>
    <n v="26185.5"/>
    <n v="0"/>
    <n v="0"/>
    <n v="21"/>
    <n v="258058"/>
    <n v="42000"/>
    <n v="20"/>
    <n v="19"/>
    <n v="20"/>
    <n v="0"/>
    <n v="0"/>
    <n v="0"/>
    <n v="258058"/>
    <n v="261855"/>
    <n v="0"/>
    <n v="0"/>
    <n v="19"/>
    <n v="258058"/>
    <n v="420000"/>
    <n v="15"/>
    <n v="0"/>
    <n v="15"/>
    <n v="0"/>
    <n v="0"/>
    <n v="0"/>
    <n v="0"/>
    <n v="196391.25"/>
    <n v="0"/>
    <n v="0"/>
    <n v="0"/>
    <n v="0"/>
    <n v="315000"/>
    <n v="42.1"/>
    <n v="0"/>
    <n v="0"/>
    <n v="0"/>
    <n v="0"/>
    <n v="0"/>
    <m/>
    <n v="0"/>
    <n v="0"/>
    <n v="0"/>
    <n v="0"/>
    <n v="0"/>
    <n v="0"/>
    <n v="0"/>
    <n v="28"/>
    <n v="0"/>
    <n v="28"/>
    <n v="0"/>
    <n v="0"/>
    <n v="0"/>
    <n v="366596.9999999999"/>
    <n v="0"/>
    <n v="0"/>
    <n v="0"/>
    <n v="0"/>
    <n v="543282.3529411765"/>
    <n v="0"/>
    <n v="0"/>
    <n v="0"/>
    <n v="0"/>
    <n v="0"/>
    <n v="0"/>
    <n v="0"/>
    <n v="0"/>
    <n v="0"/>
    <n v="0"/>
    <n v="0"/>
    <n v="16.8"/>
    <n v="0"/>
    <n v="16.8"/>
    <n v="0"/>
    <m/>
    <n v="0"/>
    <n v="228177.6"/>
    <n v="0"/>
    <n v="0"/>
    <n v="0"/>
    <n v="352800"/>
  </r>
  <r>
    <s v="Lhotse-Smartwatch"/>
    <x v="4"/>
    <x v="20"/>
    <x v="47"/>
    <s v="LHSWFLO"/>
    <x v="326"/>
    <x v="312"/>
    <x v="0"/>
    <x v="2"/>
    <n v="1.8"/>
    <x v="3"/>
    <n v="68"/>
    <m/>
    <n v="0"/>
    <n v="13074"/>
    <n v="889032"/>
    <n v="12.65"/>
    <n v="13820.125"/>
    <n v="21000"/>
    <n v="18478.99159663866"/>
    <s v="Shenzhen"/>
    <s v="20/80"/>
    <n v="45"/>
    <n v="100"/>
    <n v="28"/>
    <n v="0.6097073282098924"/>
    <n v="18"/>
    <n v="0.5753897160068512"/>
    <n v="28"/>
    <n v="0.5252227097651341"/>
    <n v="3"/>
    <n v="0.4975050800052195"/>
    <n v="0"/>
    <s v=""/>
    <n v="6"/>
    <n v="0.4804076692101408"/>
    <n v="15"/>
    <n v="0.464132492920935"/>
    <n v="5"/>
    <n v="0.5073671509320895"/>
    <n v="5"/>
    <n v="0.4235323790862983"/>
    <n v="38"/>
    <n v="0.4245840792189477"/>
    <n v="20"/>
    <n v="0.370354078206134"/>
    <n v="44"/>
    <n v="0.4532372453294436"/>
    <n v="27"/>
    <n v="0.2837801098001374"/>
    <n v="21"/>
    <n v="0.3432715697354091"/>
    <n v="20"/>
    <n v="0.2293007062419053"/>
    <n v="16"/>
    <n v="0.4211313799113411"/>
    <n v="2.666666666666667"/>
    <n v="10"/>
    <n v="0.4492881213142376"/>
    <n v="0.5"/>
    <n v="5"/>
    <n v="0.09688233706652273"/>
    <n v="0.25"/>
    <n v="7"/>
    <n v="0.502124923425771"/>
    <n v="0.2592592592592592"/>
    <n v="0"/>
    <s v=""/>
    <n v="0"/>
    <m/>
    <m/>
    <m/>
    <m/>
    <m/>
    <m/>
    <m/>
    <m/>
    <m/>
    <m/>
    <m/>
    <m/>
    <n v="24.66666666666667"/>
    <n v="66"/>
    <n v="20"/>
    <n v="100"/>
    <n v="50"/>
    <n v="0"/>
    <n v="934791"/>
    <n v="864121.4999999999"/>
    <n v="261480"/>
    <n v="0"/>
    <n v="68"/>
    <n v="889032"/>
    <n v="352941.1764705883"/>
    <n v="20"/>
    <n v="46"/>
    <n v="31.5"/>
    <n v="0"/>
    <n v="0"/>
    <n v="0"/>
    <n v="882495"/>
    <n v="602266.4999999999"/>
    <n v="411831"/>
    <n v="0"/>
    <n v="68"/>
    <n v="889032"/>
    <n v="555882.3529411765"/>
    <n v="32"/>
    <n v="25"/>
    <n v="20"/>
    <n v="0"/>
    <n v="0"/>
    <n v="942003"/>
    <n v="326850"/>
    <n v="261480"/>
    <n v="0"/>
    <n v="68"/>
    <n v="889032"/>
    <n v="420000"/>
    <n v="6"/>
    <n v="37"/>
    <n v="16"/>
    <n v="0"/>
    <n v="0"/>
    <n v="484431.7499999999"/>
    <n v="209184"/>
    <n v="0"/>
    <n v="0"/>
    <n v="68"/>
    <n v="889032"/>
    <n v="336000"/>
    <n v="20"/>
    <n v="78"/>
    <n v="36"/>
    <m/>
    <n v="0"/>
    <n v="0"/>
    <n v="1019772"/>
    <n v="471338.9999999999"/>
    <n v="0"/>
    <n v="0"/>
    <n v="68"/>
    <n v="889032"/>
    <n v="756000"/>
    <n v="20"/>
    <n v="73"/>
    <n v="5"/>
    <m/>
    <n v="0"/>
    <n v="0"/>
    <n v="954402"/>
    <n v="65463.74999999999"/>
    <n v="0"/>
    <n v="0"/>
    <n v="73"/>
    <n v="889032"/>
    <n v="105000"/>
    <n v="27"/>
    <n v="75"/>
    <n v="7"/>
    <n v="0"/>
    <n v="0"/>
    <n v="0"/>
    <n v="980550"/>
    <n v="91649.24999999999"/>
    <n v="0"/>
    <n v="0"/>
    <n v="75"/>
    <n v="889032"/>
    <n v="147000"/>
    <n v="18.2"/>
    <n v="68"/>
    <n v="32.76"/>
    <n v="0"/>
    <n v="0"/>
    <n v="0"/>
    <n v="889032"/>
    <n v="428918.4899999999"/>
    <n v="0"/>
    <n v="0"/>
    <n v="68"/>
    <n v="889032"/>
    <n v="687960"/>
    <n v="16.3"/>
    <n v="35.24"/>
    <n v="29.34"/>
    <n v="0"/>
    <n v="0"/>
    <n v="0"/>
    <n v="461388.51"/>
    <n v="384141.285"/>
    <n v="0"/>
    <n v="0"/>
    <n v="35.24"/>
    <n v="461388.51"/>
    <n v="616140.0000000001"/>
    <n v="0"/>
    <n v="5.899999999999999"/>
    <n v="0"/>
    <n v="0"/>
    <n v="0"/>
    <n v="0"/>
    <m/>
    <n v="77247.22499999998"/>
    <n v="0"/>
    <n v="0"/>
    <n v="0"/>
    <n v="5.899999999999999"/>
    <n v="77247.22499999998"/>
    <n v="0"/>
    <n v="0"/>
    <n v="5.899999999999999"/>
    <n v="0"/>
    <n v="0"/>
    <n v="0"/>
    <n v="77247.22499999998"/>
    <n v="0"/>
    <n v="0"/>
    <n v="0"/>
    <n v="5.899999999999999"/>
    <n v="77247.22499999998"/>
    <n v="0"/>
    <n v="0"/>
    <n v="5.899999999999999"/>
    <n v="0"/>
    <n v="0"/>
    <n v="0"/>
    <n v="77247.22499999998"/>
    <n v="0"/>
    <n v="0"/>
    <n v="5.899999999999999"/>
    <n v="77247.22499999998"/>
    <n v="0"/>
    <n v="0"/>
    <n v="5.899999999999999"/>
    <n v="0"/>
    <n v="0"/>
    <m/>
    <n v="77247.22499999998"/>
    <n v="0"/>
    <n v="0"/>
    <n v="5.899999999999999"/>
    <n v="77247.22499999998"/>
    <n v="0"/>
  </r>
  <r>
    <s v="Lhotse-Smartwatch"/>
    <x v="4"/>
    <x v="20"/>
    <x v="48"/>
    <n v="1639085706913"/>
    <x v="327"/>
    <x v="313"/>
    <x v="0"/>
    <x v="2"/>
    <n v="1"/>
    <x v="3"/>
    <n v="2"/>
    <m/>
    <n v="0"/>
    <n v="21290"/>
    <n v="42580"/>
    <n v="20.95"/>
    <n v="22887.875"/>
    <n v="50411.76470588236"/>
    <n v="27722.68907563025"/>
    <s v="Shenzhen"/>
    <s v="20/80"/>
    <n v="45"/>
    <n v="100"/>
    <n v="0"/>
    <n v="0.4344227193029063"/>
    <n v="1"/>
    <s v=""/>
    <n v="4"/>
    <n v="0.55285203206497"/>
    <n v="0"/>
    <s v=""/>
    <n v="0"/>
    <s v=""/>
    <n v="0"/>
    <s v=""/>
    <n v="5"/>
    <n v="0.5600987684932639"/>
    <n v="3"/>
    <n v="0.5680950255619572"/>
    <n v="3"/>
    <n v="0.5307659868343717"/>
    <n v="3"/>
    <n v="0.5776906292152661"/>
    <n v="3"/>
    <n v="0.5490763137271514"/>
    <n v="2"/>
    <n v="0.5776906292152663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2"/>
    <n v="0"/>
    <n v="0"/>
    <n v="0"/>
    <n v="0"/>
    <n v="0"/>
    <n v="43366.5"/>
    <n v="0"/>
    <n v="0"/>
    <n v="2"/>
    <n v="42580"/>
    <n v="0"/>
    <n v="0"/>
    <n v="2"/>
    <n v="0"/>
    <n v="0"/>
    <n v="0"/>
    <n v="0"/>
    <n v="0"/>
    <n v="43366.5"/>
    <n v="0"/>
    <n v="0"/>
    <n v="2"/>
    <n v="42580"/>
    <n v="0"/>
    <n v="0"/>
    <n v="2"/>
    <n v="0"/>
    <n v="0"/>
    <n v="0"/>
    <n v="0"/>
    <n v="42580"/>
    <n v="0"/>
    <n v="0"/>
    <n v="2"/>
    <n v="42580"/>
    <n v="0"/>
    <n v="0"/>
    <n v="2"/>
    <n v="0"/>
    <n v="0"/>
    <n v="0"/>
    <n v="43366.5"/>
    <n v="0"/>
    <n v="0"/>
    <n v="0"/>
    <n v="2"/>
    <n v="42580"/>
    <n v="0"/>
    <n v="0"/>
    <n v="2"/>
    <n v="0"/>
    <m/>
    <n v="0"/>
    <n v="0"/>
    <n v="42580"/>
    <n v="0"/>
    <n v="0"/>
    <n v="0"/>
    <n v="2"/>
    <n v="42580"/>
    <n v="0"/>
    <n v="0"/>
    <n v="2"/>
    <n v="0"/>
    <m/>
    <n v="0"/>
    <n v="0"/>
    <n v="42580"/>
    <n v="0"/>
    <n v="0"/>
    <n v="0"/>
    <n v="2"/>
    <n v="42580"/>
    <n v="0"/>
    <n v="0"/>
    <n v="2"/>
    <n v="0"/>
    <n v="0"/>
    <n v="0"/>
    <n v="0"/>
    <n v="42580"/>
    <n v="0"/>
    <n v="0"/>
    <n v="0"/>
    <n v="2"/>
    <n v="42580"/>
    <n v="0"/>
    <n v="0"/>
    <n v="2"/>
    <n v="0"/>
    <n v="0"/>
    <n v="0"/>
    <n v="0"/>
    <n v="42580"/>
    <n v="0"/>
    <n v="0"/>
    <n v="0"/>
    <n v="2"/>
    <n v="42580"/>
    <n v="0"/>
    <n v="0"/>
    <n v="2"/>
    <n v="0"/>
    <n v="0"/>
    <n v="0"/>
    <n v="0"/>
    <n v="43366.5"/>
    <n v="0"/>
    <n v="0"/>
    <n v="0"/>
    <n v="2"/>
    <n v="43366.5"/>
    <n v="0"/>
    <n v="0"/>
    <n v="2"/>
    <n v="0"/>
    <n v="0"/>
    <n v="0"/>
    <n v="0"/>
    <m/>
    <n v="43366.5"/>
    <n v="0"/>
    <n v="0"/>
    <n v="0"/>
    <n v="2"/>
    <n v="43366.5"/>
    <n v="0"/>
    <n v="0"/>
    <n v="2"/>
    <n v="0"/>
    <n v="0"/>
    <n v="0"/>
    <n v="43366.5"/>
    <n v="0"/>
    <n v="0"/>
    <n v="0"/>
    <n v="2"/>
    <n v="43366.5"/>
    <n v="0"/>
    <n v="0"/>
    <n v="2"/>
    <n v="0"/>
    <n v="0"/>
    <n v="0"/>
    <n v="43366.5"/>
    <n v="0"/>
    <n v="0"/>
    <n v="2"/>
    <n v="43366.5"/>
    <n v="0"/>
    <n v="0"/>
    <n v="2"/>
    <n v="0"/>
    <n v="0"/>
    <m/>
    <n v="43366.5"/>
    <n v="0"/>
    <n v="0"/>
    <n v="2"/>
    <n v="43366.5"/>
    <n v="0"/>
  </r>
  <r>
    <s v="Lhotse-Smartwatch"/>
    <x v="4"/>
    <x v="20"/>
    <x v="48"/>
    <n v="1639085745522"/>
    <x v="328"/>
    <x v="314"/>
    <x v="0"/>
    <x v="2"/>
    <n v="1"/>
    <x v="3"/>
    <n v="44"/>
    <m/>
    <n v="0"/>
    <n v="32149"/>
    <n v="1414556"/>
    <n v="31.75"/>
    <n v="34686.875"/>
    <n v="87445.90336134454"/>
    <n v="74329.01785714286"/>
    <s v="Shenzhen"/>
    <s v="20/80"/>
    <n v="45"/>
    <n v="100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1"/>
    <n v="1"/>
    <n v="0.5748704115095736"/>
    <n v="2"/>
    <n v="0.5885885853221575"/>
    <n v="0"/>
    <s v=""/>
    <n v="0"/>
    <s v=""/>
    <n v="0"/>
    <s v=""/>
    <n v="1"/>
    <n v="0.6811627367627401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31"/>
    <n v="0"/>
    <n v="0"/>
    <n v="0"/>
    <n v="0"/>
    <n v="0"/>
    <n v="1018698.75"/>
    <n v="0"/>
    <n v="0"/>
    <n v="44"/>
    <n v="1414556"/>
    <n v="0"/>
    <n v="0"/>
    <n v="44"/>
    <n v="0"/>
    <n v="0"/>
    <n v="0"/>
    <n v="0"/>
    <n v="32149"/>
    <n v="1445895"/>
    <n v="0"/>
    <n v="0"/>
    <n v="44"/>
    <n v="1414556"/>
    <n v="0"/>
    <n v="0"/>
    <n v="44"/>
    <n v="0"/>
    <n v="0"/>
    <n v="0"/>
    <n v="65010.25"/>
    <n v="1414556"/>
    <n v="0"/>
    <n v="0"/>
    <n v="44"/>
    <n v="1414556"/>
    <n v="0"/>
    <n v="0"/>
    <n v="44"/>
    <n v="1"/>
    <n v="0"/>
    <n v="0"/>
    <n v="1445895"/>
    <n v="32149"/>
    <n v="0"/>
    <n v="0"/>
    <n v="44"/>
    <n v="1414556"/>
    <n v="87445.90336134454"/>
    <n v="1"/>
    <n v="44"/>
    <n v="1"/>
    <m/>
    <n v="0"/>
    <n v="0"/>
    <n v="1414556"/>
    <n v="32861.25"/>
    <n v="0"/>
    <n v="0"/>
    <n v="44"/>
    <n v="1414556"/>
    <n v="87445.90336134454"/>
    <n v="1"/>
    <n v="44"/>
    <n v="0"/>
    <m/>
    <n v="0"/>
    <n v="0"/>
    <n v="1414556"/>
    <n v="0"/>
    <n v="0"/>
    <n v="0"/>
    <n v="44"/>
    <n v="1414556"/>
    <n v="0"/>
    <n v="1"/>
    <n v="44"/>
    <n v="0"/>
    <n v="0"/>
    <n v="0"/>
    <n v="0"/>
    <n v="1414556"/>
    <n v="0"/>
    <n v="0"/>
    <n v="0"/>
    <n v="44"/>
    <n v="1414556"/>
    <n v="0"/>
    <n v="1"/>
    <n v="44"/>
    <n v="1"/>
    <n v="0"/>
    <n v="0"/>
    <n v="0"/>
    <n v="1414556"/>
    <n v="32861.25"/>
    <n v="0"/>
    <n v="0"/>
    <n v="44"/>
    <n v="1414556"/>
    <n v="87445.90336134454"/>
    <n v="1"/>
    <n v="43"/>
    <n v="1"/>
    <n v="0"/>
    <n v="0"/>
    <n v="0"/>
    <n v="1413033.75"/>
    <n v="32861.25"/>
    <n v="0"/>
    <n v="0"/>
    <n v="43"/>
    <n v="1413033.75"/>
    <n v="87445.90336134454"/>
    <n v="0"/>
    <n v="42"/>
    <n v="0"/>
    <n v="0"/>
    <n v="0"/>
    <n v="0"/>
    <m/>
    <n v="1380172.5"/>
    <n v="0"/>
    <n v="0"/>
    <n v="0"/>
    <n v="42"/>
    <n v="1380172.5"/>
    <n v="0"/>
    <n v="0"/>
    <n v="42"/>
    <n v="0"/>
    <n v="0"/>
    <n v="0"/>
    <n v="1380172.5"/>
    <n v="0"/>
    <n v="0"/>
    <n v="0"/>
    <n v="42"/>
    <n v="1380172.5"/>
    <n v="0"/>
    <n v="0"/>
    <n v="42"/>
    <n v="0"/>
    <n v="0"/>
    <n v="0"/>
    <n v="1380172.5"/>
    <n v="0"/>
    <n v="0"/>
    <n v="42"/>
    <n v="1380172.5"/>
    <n v="0"/>
    <n v="0"/>
    <n v="42"/>
    <n v="0"/>
    <n v="0"/>
    <m/>
    <n v="1380172.5"/>
    <n v="0"/>
    <n v="0"/>
    <n v="42"/>
    <n v="1380172.5"/>
    <n v="0"/>
  </r>
  <r>
    <s v="Lhotse-Smartwatch"/>
    <x v="4"/>
    <x v="20"/>
    <x v="48"/>
    <n v="1639085755244"/>
    <x v="329"/>
    <x v="315"/>
    <x v="0"/>
    <x v="2"/>
    <n v="1"/>
    <x v="3"/>
    <n v="23"/>
    <m/>
    <n v="0"/>
    <n v="32051"/>
    <n v="737173"/>
    <n v="31.75"/>
    <n v="34686.875"/>
    <n v="87445.90336134454"/>
    <n v="74329.01785714286"/>
    <s v="Shenzhen"/>
    <s v="20/80"/>
    <n v="45"/>
    <n v="1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5748704115095736"/>
    <n v="2"/>
    <n v="0.6026702700022314"/>
    <n v="1"/>
    <n v="0.6026702758881407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23"/>
    <n v="0"/>
    <n v="0"/>
    <n v="0"/>
    <n v="0"/>
    <n v="0"/>
    <n v="755808.75"/>
    <n v="0"/>
    <n v="0"/>
    <n v="23"/>
    <n v="737173"/>
    <n v="0"/>
    <n v="0"/>
    <n v="20"/>
    <n v="0"/>
    <n v="0"/>
    <n v="0"/>
    <n v="0"/>
    <n v="0"/>
    <n v="657225"/>
    <n v="0"/>
    <n v="0"/>
    <n v="23"/>
    <n v="737173"/>
    <n v="0"/>
    <n v="0"/>
    <n v="20"/>
    <n v="0"/>
    <n v="0"/>
    <n v="0"/>
    <n v="65722.5"/>
    <n v="641020"/>
    <n v="0"/>
    <n v="0"/>
    <n v="23"/>
    <n v="737173"/>
    <n v="0"/>
    <n v="0"/>
    <n v="20"/>
    <n v="0"/>
    <n v="0"/>
    <n v="0"/>
    <n v="657225"/>
    <n v="0"/>
    <n v="0"/>
    <n v="0"/>
    <n v="23"/>
    <n v="737173"/>
    <n v="0"/>
    <n v="2"/>
    <n v="23"/>
    <n v="2"/>
    <m/>
    <n v="0"/>
    <n v="0"/>
    <n v="737173"/>
    <n v="65722.5"/>
    <n v="0"/>
    <n v="0"/>
    <n v="23"/>
    <n v="737173"/>
    <n v="174891.8067226891"/>
    <n v="2"/>
    <n v="23"/>
    <n v="0"/>
    <m/>
    <n v="0"/>
    <n v="0"/>
    <n v="737173"/>
    <n v="0"/>
    <n v="0"/>
    <n v="0"/>
    <n v="23"/>
    <n v="737173"/>
    <n v="0"/>
    <n v="2"/>
    <n v="23"/>
    <n v="0"/>
    <n v="0"/>
    <n v="0"/>
    <n v="0"/>
    <n v="737173"/>
    <n v="0"/>
    <n v="0"/>
    <n v="0"/>
    <n v="23"/>
    <n v="737173"/>
    <n v="0"/>
    <n v="2"/>
    <n v="23"/>
    <n v="2"/>
    <n v="0"/>
    <n v="0"/>
    <n v="0"/>
    <n v="737173"/>
    <n v="65722.5"/>
    <n v="0"/>
    <n v="0"/>
    <n v="23"/>
    <n v="737173"/>
    <n v="174891.8067226891"/>
    <n v="2"/>
    <n v="21"/>
    <n v="2"/>
    <n v="0"/>
    <n v="0"/>
    <n v="0"/>
    <n v="690086.25"/>
    <n v="65722.5"/>
    <n v="0"/>
    <n v="0"/>
    <n v="21"/>
    <n v="690086.25"/>
    <n v="174891.8067226891"/>
    <n v="0"/>
    <n v="19"/>
    <n v="0"/>
    <n v="0"/>
    <n v="0"/>
    <n v="0"/>
    <m/>
    <n v="624363.75"/>
    <n v="0"/>
    <n v="0"/>
    <n v="0"/>
    <n v="19"/>
    <n v="624363.75"/>
    <n v="0"/>
    <n v="0"/>
    <n v="19"/>
    <n v="0"/>
    <n v="0"/>
    <n v="0"/>
    <n v="624363.75"/>
    <n v="0"/>
    <n v="0"/>
    <n v="0"/>
    <n v="19"/>
    <n v="624363.75"/>
    <n v="0"/>
    <n v="0"/>
    <n v="19"/>
    <n v="0"/>
    <n v="0"/>
    <n v="0"/>
    <n v="624363.75"/>
    <n v="0"/>
    <n v="0"/>
    <n v="19"/>
    <n v="624363.75"/>
    <n v="0"/>
    <n v="0"/>
    <n v="19"/>
    <n v="0"/>
    <n v="0"/>
    <m/>
    <n v="624363.75"/>
    <n v="0"/>
    <n v="0"/>
    <n v="19"/>
    <n v="624363.75"/>
    <n v="0"/>
  </r>
  <r>
    <s v="Lhotse-Smartwatch"/>
    <x v="4"/>
    <x v="20"/>
    <x v="48"/>
    <n v="1639085763857"/>
    <x v="330"/>
    <x v="316"/>
    <x v="0"/>
    <x v="2"/>
    <n v="1"/>
    <x v="3"/>
    <n v="2"/>
    <m/>
    <n v="0"/>
    <n v="30769"/>
    <n v="61538"/>
    <n v="31.75"/>
    <n v="34686.875"/>
    <n v="87445.90336134454"/>
    <n v="74329.01785714286"/>
    <s v="Shenzhen"/>
    <s v="20/80"/>
    <n v="45"/>
    <n v="1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15"/>
    <n v="0"/>
    <n v="0"/>
    <n v="0"/>
    <n v="0"/>
    <n v="0"/>
    <n v="492918.75"/>
    <n v="0"/>
    <n v="0"/>
    <n v="2"/>
    <n v="61538"/>
    <n v="0"/>
    <n v="0"/>
    <n v="2"/>
    <n v="0"/>
    <n v="0"/>
    <n v="0"/>
    <n v="0"/>
    <n v="0"/>
    <n v="65722.5"/>
    <n v="0"/>
    <n v="0"/>
    <n v="2"/>
    <n v="61538"/>
    <n v="0"/>
    <n v="0"/>
    <n v="2"/>
    <n v="0"/>
    <n v="0"/>
    <n v="0"/>
    <n v="32861.25"/>
    <n v="61538"/>
    <n v="0"/>
    <n v="0"/>
    <n v="2"/>
    <n v="61538"/>
    <n v="0"/>
    <n v="0"/>
    <n v="2"/>
    <n v="0"/>
    <n v="0"/>
    <n v="0"/>
    <n v="65722.5"/>
    <n v="0"/>
    <n v="0"/>
    <n v="0"/>
    <n v="2"/>
    <n v="61538"/>
    <n v="0"/>
    <n v="1"/>
    <n v="2"/>
    <n v="1"/>
    <m/>
    <n v="0"/>
    <n v="0"/>
    <n v="61538"/>
    <n v="32861.25"/>
    <n v="0"/>
    <n v="0"/>
    <n v="2"/>
    <n v="61538"/>
    <n v="87445.90336134454"/>
    <n v="0"/>
    <n v="2"/>
    <n v="0"/>
    <m/>
    <n v="0"/>
    <n v="0"/>
    <n v="61538"/>
    <n v="0"/>
    <n v="0"/>
    <n v="0"/>
    <n v="2"/>
    <n v="61538"/>
    <n v="0"/>
    <n v="0"/>
    <n v="2"/>
    <n v="0"/>
    <n v="0"/>
    <n v="0"/>
    <n v="0"/>
    <n v="61538"/>
    <n v="0"/>
    <n v="0"/>
    <n v="0"/>
    <n v="2"/>
    <n v="61538"/>
    <n v="0"/>
    <n v="0"/>
    <n v="2"/>
    <n v="0"/>
    <n v="0"/>
    <n v="0"/>
    <n v="0"/>
    <n v="61538"/>
    <n v="0"/>
    <n v="0"/>
    <n v="0"/>
    <n v="2"/>
    <n v="61538"/>
    <n v="0"/>
    <n v="0"/>
    <n v="2"/>
    <n v="0"/>
    <n v="0"/>
    <n v="0"/>
    <n v="0"/>
    <n v="65722.5"/>
    <n v="0"/>
    <n v="0"/>
    <n v="0"/>
    <n v="2"/>
    <n v="65722.5"/>
    <n v="0"/>
    <n v="0"/>
    <n v="2"/>
    <n v="0"/>
    <n v="0"/>
    <n v="0"/>
    <n v="0"/>
    <m/>
    <n v="65722.5"/>
    <n v="0"/>
    <n v="0"/>
    <n v="0"/>
    <n v="2"/>
    <n v="65722.5"/>
    <n v="0"/>
    <n v="0"/>
    <n v="2"/>
    <n v="0"/>
    <n v="0"/>
    <n v="0"/>
    <n v="65722.5"/>
    <n v="0"/>
    <n v="0"/>
    <n v="0"/>
    <n v="2"/>
    <n v="65722.5"/>
    <n v="0"/>
    <n v="0"/>
    <n v="2"/>
    <n v="0"/>
    <n v="0"/>
    <n v="0"/>
    <n v="65722.5"/>
    <n v="0"/>
    <n v="0"/>
    <n v="2"/>
    <n v="65722.5"/>
    <n v="0"/>
    <n v="0"/>
    <n v="2"/>
    <n v="0"/>
    <n v="0"/>
    <m/>
    <n v="65722.5"/>
    <n v="0"/>
    <n v="0"/>
    <n v="2"/>
    <n v="65722.5"/>
    <n v="0"/>
  </r>
  <r>
    <s v="Lhotse-Smartwatch"/>
    <x v="4"/>
    <x v="20"/>
    <x v="48"/>
    <n v="1652824924113"/>
    <x v="331"/>
    <x v="317"/>
    <x v="0"/>
    <x v="2"/>
    <n v="1"/>
    <x v="3"/>
    <n v="6"/>
    <m/>
    <n v="0"/>
    <n v="20635"/>
    <n v="123810"/>
    <n v="20.6"/>
    <n v="22505.5"/>
    <n v="42008.40336134454"/>
    <n v="25201.68067226891"/>
    <s v="Shenzhen"/>
    <s v="20/80"/>
    <n v="45"/>
    <n v="100"/>
    <n v="0"/>
    <s v=""/>
    <n v="0"/>
    <s v=""/>
    <n v="0"/>
    <s v=""/>
    <n v="0"/>
    <s v=""/>
    <n v="0"/>
    <s v=""/>
    <n v="0"/>
    <s v=""/>
    <n v="0"/>
    <s v=""/>
    <n v="1"/>
    <n v="0.5277059348607265"/>
    <n v="0"/>
    <s v=""/>
    <n v="3"/>
    <n v="0.55914713611212"/>
    <n v="2"/>
    <n v="0.5365101675319082"/>
    <n v="2"/>
    <n v="0.3988177945832669"/>
    <n v="0"/>
    <s v=""/>
    <n v="1"/>
    <n v="0.5614426701528493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7"/>
    <n v="0"/>
    <n v="0"/>
    <n v="0"/>
    <n v="0"/>
    <n v="30952.5"/>
    <n v="149247"/>
    <n v="0"/>
    <n v="0"/>
    <n v="6"/>
    <n v="123810"/>
    <n v="0"/>
    <n v="0"/>
    <n v="5"/>
    <n v="1.5"/>
    <n v="0"/>
    <n v="0"/>
    <n v="0"/>
    <n v="30952.5"/>
    <n v="106605"/>
    <n v="30952.5"/>
    <n v="0"/>
    <n v="6"/>
    <n v="123810"/>
    <n v="52951.76894287128"/>
    <n v="0"/>
    <n v="4"/>
    <n v="0"/>
    <n v="0"/>
    <n v="0"/>
    <n v="42642"/>
    <n v="82540"/>
    <n v="0"/>
    <n v="0"/>
    <n v="6"/>
    <n v="123810"/>
    <n v="0"/>
    <n v="0"/>
    <n v="3"/>
    <n v="0"/>
    <n v="0"/>
    <n v="0"/>
    <n v="63963"/>
    <n v="0"/>
    <n v="0"/>
    <n v="0"/>
    <n v="6"/>
    <n v="123810"/>
    <n v="0"/>
    <n v="2"/>
    <n v="6"/>
    <n v="2"/>
    <m/>
    <n v="0"/>
    <n v="0"/>
    <n v="123810"/>
    <n v="42642"/>
    <n v="0"/>
    <n v="0"/>
    <n v="6"/>
    <n v="123810"/>
    <n v="84016.80672268909"/>
    <n v="0"/>
    <n v="6"/>
    <n v="0"/>
    <m/>
    <n v="0"/>
    <n v="0"/>
    <n v="123810"/>
    <n v="0"/>
    <n v="0"/>
    <n v="0"/>
    <n v="6"/>
    <n v="123810"/>
    <n v="0"/>
    <n v="0"/>
    <n v="6"/>
    <n v="0"/>
    <n v="0"/>
    <n v="0"/>
    <n v="0"/>
    <n v="123810"/>
    <n v="0"/>
    <n v="0"/>
    <n v="0"/>
    <n v="6"/>
    <n v="123810"/>
    <n v="0"/>
    <n v="0"/>
    <n v="6"/>
    <n v="0"/>
    <n v="0"/>
    <n v="0"/>
    <n v="0"/>
    <n v="123810"/>
    <n v="0"/>
    <n v="0"/>
    <n v="0"/>
    <n v="6"/>
    <n v="123810"/>
    <n v="0"/>
    <n v="0"/>
    <n v="6"/>
    <n v="0"/>
    <n v="0"/>
    <n v="0"/>
    <n v="0"/>
    <n v="127926"/>
    <n v="0"/>
    <n v="0"/>
    <n v="0"/>
    <n v="6"/>
    <n v="127926"/>
    <n v="0"/>
    <n v="0"/>
    <n v="6"/>
    <n v="0"/>
    <n v="0"/>
    <n v="0"/>
    <n v="0"/>
    <m/>
    <n v="127926"/>
    <n v="0"/>
    <n v="0"/>
    <n v="0"/>
    <n v="6"/>
    <n v="127926"/>
    <n v="0"/>
    <n v="0"/>
    <n v="6"/>
    <n v="0"/>
    <n v="0"/>
    <n v="0"/>
    <n v="127926"/>
    <n v="0"/>
    <n v="0"/>
    <n v="0"/>
    <n v="6"/>
    <n v="127926"/>
    <n v="0"/>
    <n v="0"/>
    <n v="6"/>
    <n v="0"/>
    <n v="0"/>
    <n v="0"/>
    <n v="127926"/>
    <n v="0"/>
    <n v="0"/>
    <n v="6"/>
    <n v="127926"/>
    <n v="0"/>
    <n v="0"/>
    <n v="6"/>
    <n v="0"/>
    <n v="0"/>
    <m/>
    <n v="127926"/>
    <n v="0"/>
    <n v="0"/>
    <n v="6"/>
    <n v="127926"/>
    <n v="0"/>
  </r>
  <r>
    <s v="Lhotse-Smartwatch"/>
    <x v="4"/>
    <x v="20"/>
    <x v="48"/>
    <n v="1652824942453"/>
    <x v="332"/>
    <x v="318"/>
    <x v="0"/>
    <x v="2"/>
    <n v="1"/>
    <x v="3"/>
    <n v="13"/>
    <m/>
    <n v="0"/>
    <n v="20256"/>
    <n v="263328"/>
    <n v="20.6"/>
    <n v="22505.5"/>
    <n v="42008.40336134454"/>
    <n v="25201.68067226891"/>
    <s v="Shenzhen"/>
    <s v="20/80"/>
    <n v="45"/>
    <n v="100"/>
    <n v="3"/>
    <n v="0.4998398441920194"/>
    <n v="1"/>
    <n v="0.3257381578509371"/>
    <n v="0"/>
    <n v="-0.06607894736842106"/>
    <n v="3"/>
    <n v="0.5649654214573102"/>
    <n v="0"/>
    <s v=""/>
    <n v="0"/>
    <s v=""/>
    <n v="0"/>
    <s v=""/>
    <n v="0"/>
    <s v=""/>
    <n v="1"/>
    <n v="0.3738059170865923"/>
    <n v="4"/>
    <n v="0.3916104163955107"/>
    <n v="2"/>
    <n v="0.4551607827314907"/>
    <n v="6"/>
    <n v="0.4913689370122239"/>
    <n v="0"/>
    <s v=""/>
    <n v="2"/>
    <n v="0.5193472623758302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8"/>
    <n v="0"/>
    <n v="0"/>
    <n v="0"/>
    <n v="0"/>
    <n v="60768"/>
    <n v="170568"/>
    <n v="0"/>
    <n v="0"/>
    <n v="13"/>
    <n v="263328"/>
    <n v="0"/>
    <n v="0"/>
    <n v="10"/>
    <n v="3"/>
    <n v="0"/>
    <n v="0"/>
    <n v="0"/>
    <n v="60768"/>
    <n v="213210"/>
    <n v="60768"/>
    <n v="0"/>
    <n v="13"/>
    <n v="263328"/>
    <n v="105903.5378857426"/>
    <n v="0"/>
    <n v="8"/>
    <n v="0"/>
    <n v="0"/>
    <n v="0"/>
    <n v="63963"/>
    <n v="162048"/>
    <n v="0"/>
    <n v="0"/>
    <n v="13"/>
    <n v="263328"/>
    <n v="0"/>
    <n v="0"/>
    <n v="8"/>
    <n v="0"/>
    <n v="0"/>
    <n v="0"/>
    <n v="170568"/>
    <n v="0"/>
    <n v="0"/>
    <n v="0"/>
    <n v="13"/>
    <n v="263328"/>
    <n v="0"/>
    <n v="3"/>
    <n v="13"/>
    <n v="3"/>
    <m/>
    <n v="0"/>
    <n v="0"/>
    <n v="263328"/>
    <n v="63963"/>
    <n v="0"/>
    <n v="0"/>
    <n v="13"/>
    <n v="263328"/>
    <n v="126025.2100840336"/>
    <n v="2"/>
    <n v="13"/>
    <n v="0"/>
    <m/>
    <n v="0"/>
    <n v="0"/>
    <n v="263328"/>
    <n v="0"/>
    <n v="0"/>
    <n v="0"/>
    <n v="13"/>
    <n v="263328"/>
    <n v="0"/>
    <n v="0"/>
    <n v="13"/>
    <n v="0"/>
    <n v="0"/>
    <n v="0"/>
    <n v="0"/>
    <n v="263328"/>
    <n v="0"/>
    <n v="0"/>
    <n v="0"/>
    <n v="13"/>
    <n v="263328"/>
    <n v="0"/>
    <n v="0"/>
    <n v="13"/>
    <n v="0"/>
    <n v="0"/>
    <n v="0"/>
    <n v="0"/>
    <n v="263328"/>
    <n v="0"/>
    <n v="0"/>
    <n v="0"/>
    <n v="13"/>
    <n v="263328"/>
    <n v="0"/>
    <n v="0"/>
    <n v="13"/>
    <n v="0"/>
    <n v="0"/>
    <n v="0"/>
    <n v="0"/>
    <n v="277173"/>
    <n v="0"/>
    <n v="0"/>
    <n v="0"/>
    <n v="13"/>
    <n v="277173"/>
    <n v="0"/>
    <n v="0"/>
    <n v="13"/>
    <n v="0"/>
    <n v="0"/>
    <n v="0"/>
    <n v="0"/>
    <m/>
    <n v="277173"/>
    <n v="0"/>
    <n v="0"/>
    <n v="0"/>
    <n v="13"/>
    <n v="277173"/>
    <n v="0"/>
    <n v="0"/>
    <n v="13"/>
    <n v="0"/>
    <n v="0"/>
    <n v="0"/>
    <n v="277173"/>
    <n v="0"/>
    <n v="0"/>
    <n v="0"/>
    <n v="13"/>
    <n v="277173"/>
    <n v="0"/>
    <n v="0"/>
    <n v="13"/>
    <n v="0"/>
    <n v="0"/>
    <n v="0"/>
    <n v="277173"/>
    <n v="0"/>
    <n v="0"/>
    <n v="13"/>
    <n v="277173"/>
    <n v="0"/>
    <n v="0"/>
    <n v="13"/>
    <n v="0"/>
    <n v="0"/>
    <m/>
    <n v="277173"/>
    <n v="0"/>
    <n v="0"/>
    <n v="13"/>
    <n v="277173"/>
    <n v="0"/>
  </r>
  <r>
    <s v="Lhotse-Smartwatch"/>
    <x v="4"/>
    <x v="20"/>
    <x v="48"/>
    <n v="1652824957424"/>
    <x v="333"/>
    <x v="319"/>
    <x v="0"/>
    <x v="2"/>
    <n v="1"/>
    <x v="3"/>
    <n v="6"/>
    <m/>
    <n v="0"/>
    <n v="20647"/>
    <n v="123882"/>
    <n v="20.6"/>
    <n v="22505.5"/>
    <n v="42008.40336134454"/>
    <n v="25201.68067226891"/>
    <s v="Shenzhen"/>
    <s v="20/80"/>
    <n v="45"/>
    <n v="100"/>
    <n v="0"/>
    <n v="0.5319330779170728"/>
    <n v="0"/>
    <s v=""/>
    <n v="2"/>
    <n v="1.429919833420094"/>
    <n v="3"/>
    <n v="0.4985086590075538"/>
    <n v="0"/>
    <s v=""/>
    <n v="1"/>
    <s v=""/>
    <n v="1"/>
    <s v=""/>
    <n v="0"/>
    <n v="0.4218336086919997"/>
    <n v="1"/>
    <n v="0.5274335675539584"/>
    <n v="2"/>
    <n v="0.4131819409114809"/>
    <n v="2"/>
    <n v="0.4446399031672382"/>
    <n v="6"/>
    <n v="0.485352175800185"/>
    <n v="0"/>
    <s v=""/>
    <n v="1"/>
    <n v="0.02262517518979721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4"/>
    <n v="0"/>
    <n v="0"/>
    <n v="0"/>
    <n v="0"/>
    <n v="30970.5"/>
    <n v="85284"/>
    <n v="0"/>
    <n v="0"/>
    <n v="6"/>
    <n v="123882"/>
    <n v="0"/>
    <n v="0"/>
    <n v="5"/>
    <n v="1.5"/>
    <n v="0"/>
    <n v="0"/>
    <n v="0"/>
    <n v="30970.5"/>
    <n v="106605"/>
    <n v="30970.5"/>
    <n v="0"/>
    <n v="6"/>
    <n v="123882"/>
    <n v="52951.76894287128"/>
    <n v="0"/>
    <n v="4"/>
    <n v="0"/>
    <n v="0"/>
    <n v="0"/>
    <n v="21321"/>
    <n v="82588"/>
    <n v="0"/>
    <n v="0"/>
    <n v="6"/>
    <n v="123882"/>
    <n v="0"/>
    <n v="0"/>
    <n v="4"/>
    <n v="0"/>
    <n v="0"/>
    <n v="0"/>
    <n v="85284"/>
    <n v="0"/>
    <n v="0"/>
    <n v="0"/>
    <n v="6"/>
    <n v="123882"/>
    <n v="0"/>
    <n v="1"/>
    <n v="6"/>
    <n v="1"/>
    <m/>
    <n v="0"/>
    <n v="0"/>
    <n v="123882"/>
    <n v="21321"/>
    <n v="0"/>
    <n v="0"/>
    <n v="6"/>
    <n v="123882"/>
    <n v="42008.40336134454"/>
    <n v="0"/>
    <n v="6"/>
    <n v="0"/>
    <m/>
    <n v="0"/>
    <n v="0"/>
    <n v="123882"/>
    <n v="0"/>
    <n v="0"/>
    <n v="0"/>
    <n v="6"/>
    <n v="123882"/>
    <n v="0"/>
    <n v="0"/>
    <n v="6"/>
    <n v="0"/>
    <n v="0"/>
    <n v="0"/>
    <n v="0"/>
    <n v="123882"/>
    <n v="0"/>
    <n v="0"/>
    <n v="0"/>
    <n v="6"/>
    <n v="123882"/>
    <n v="0"/>
    <n v="0"/>
    <n v="6"/>
    <n v="0"/>
    <n v="0"/>
    <n v="0"/>
    <n v="0"/>
    <n v="123882"/>
    <n v="0"/>
    <n v="0"/>
    <n v="0"/>
    <n v="6"/>
    <n v="123882"/>
    <n v="0"/>
    <n v="0"/>
    <n v="6"/>
    <n v="0"/>
    <n v="0"/>
    <n v="0"/>
    <n v="0"/>
    <n v="127926"/>
    <n v="0"/>
    <n v="0"/>
    <n v="0"/>
    <n v="6"/>
    <n v="127926"/>
    <n v="0"/>
    <n v="0"/>
    <n v="6"/>
    <n v="0"/>
    <n v="0"/>
    <n v="0"/>
    <n v="0"/>
    <m/>
    <n v="127926"/>
    <n v="0"/>
    <n v="0"/>
    <n v="0"/>
    <n v="6"/>
    <n v="127926"/>
    <n v="0"/>
    <n v="0"/>
    <n v="6"/>
    <n v="0"/>
    <n v="0"/>
    <n v="0"/>
    <n v="127926"/>
    <n v="0"/>
    <n v="0"/>
    <n v="0"/>
    <n v="6"/>
    <n v="127926"/>
    <n v="0"/>
    <n v="0"/>
    <n v="6"/>
    <n v="0"/>
    <n v="0"/>
    <n v="0"/>
    <n v="127926"/>
    <n v="0"/>
    <n v="0"/>
    <n v="6"/>
    <n v="127926"/>
    <n v="0"/>
    <n v="0"/>
    <n v="6"/>
    <n v="0"/>
    <n v="0"/>
    <m/>
    <n v="127926"/>
    <n v="0"/>
    <n v="0"/>
    <n v="6"/>
    <n v="127926"/>
    <n v="0"/>
  </r>
  <r>
    <s v="Lhotse-Smartwatch"/>
    <x v="4"/>
    <x v="20"/>
    <x v="48"/>
    <s v="LHSWMOVON7"/>
    <x v="334"/>
    <x v="320"/>
    <x v="0"/>
    <x v="2"/>
    <n v="1"/>
    <x v="3"/>
    <n v="21"/>
    <m/>
    <n v="0"/>
    <n v="22124"/>
    <n v="464604"/>
    <n v="21"/>
    <n v="22942.5"/>
    <n v="42008.40336134454"/>
    <n v="42008.40336134454"/>
    <s v="Shenzhen"/>
    <s v="30/70"/>
    <n v="30"/>
    <n v="100"/>
    <n v="18"/>
    <n v="0.5552029797910659"/>
    <n v="27"/>
    <n v="0.5515869691043137"/>
    <n v="12"/>
    <n v="0.5417695273009733"/>
    <n v="14"/>
    <n v="0.5271333594342411"/>
    <n v="7"/>
    <n v="0.5160339003399856"/>
    <n v="23"/>
    <n v="0.4467854187818482"/>
    <n v="9"/>
    <n v="0.4583236265653772"/>
    <n v="14"/>
    <n v="0.5000324169050016"/>
    <n v="11"/>
    <n v="0.4704822907339778"/>
    <n v="24"/>
    <n v="0.3852958539188143"/>
    <n v="14"/>
    <n v="0.4329288975269177"/>
    <n v="40"/>
    <n v="0.4537702356982428"/>
    <n v="21"/>
    <n v="0.3891880021933691"/>
    <n v="15"/>
    <n v="0.1705258951946944"/>
    <n v="7"/>
    <n v="0.268335166755311"/>
    <n v="0"/>
    <s v=""/>
    <n v="0"/>
    <n v="0"/>
    <s v=""/>
    <n v="0"/>
    <n v="-3"/>
    <n v="0.3923390832012556"/>
    <n v="0"/>
    <n v="0"/>
    <s v=""/>
    <n v="0"/>
    <n v="0"/>
    <s v=""/>
    <n v="0"/>
    <m/>
    <m/>
    <m/>
    <m/>
    <m/>
    <m/>
    <m/>
    <m/>
    <m/>
    <m/>
    <m/>
    <m/>
    <n v="19"/>
    <n v="71"/>
    <n v="21"/>
    <n v="0"/>
    <n v="0"/>
    <n v="0"/>
    <n v="1117262"/>
    <n v="1543185"/>
    <n v="464604"/>
    <n v="0"/>
    <n v="21"/>
    <n v="464604"/>
    <n v="741324.7652001978"/>
    <n v="20"/>
    <n v="36"/>
    <n v="22.5"/>
    <n v="0"/>
    <n v="0"/>
    <n v="0"/>
    <n v="652658"/>
    <n v="782460"/>
    <n v="497790"/>
    <n v="0"/>
    <n v="21"/>
    <n v="464604"/>
    <n v="794276.5341430691"/>
    <n v="20"/>
    <n v="18"/>
    <n v="7"/>
    <n v="0"/>
    <n v="0"/>
    <n v="154868"/>
    <n v="398232"/>
    <n v="154868"/>
    <n v="0"/>
    <n v="21"/>
    <n v="464604"/>
    <n v="294058.8235294118"/>
    <n v="12"/>
    <n v="9"/>
    <n v="0"/>
    <n v="0"/>
    <n v="0"/>
    <n v="195615"/>
    <n v="0"/>
    <n v="0"/>
    <n v="0"/>
    <n v="21"/>
    <n v="464604"/>
    <n v="0"/>
    <n v="0"/>
    <n v="21"/>
    <n v="0"/>
    <m/>
    <n v="0"/>
    <n v="0"/>
    <n v="464604"/>
    <n v="0"/>
    <n v="0"/>
    <n v="0"/>
    <n v="21"/>
    <n v="464604"/>
    <n v="0"/>
    <n v="0"/>
    <n v="18"/>
    <n v="-3"/>
    <m/>
    <n v="0"/>
    <n v="0"/>
    <n v="398232"/>
    <n v="-65205"/>
    <n v="0"/>
    <n v="0"/>
    <n v="18"/>
    <n v="464604"/>
    <n v="-126025.2100840336"/>
    <n v="0"/>
    <n v="21"/>
    <n v="0"/>
    <n v="0"/>
    <n v="0"/>
    <n v="0"/>
    <n v="464604"/>
    <n v="0"/>
    <n v="0"/>
    <n v="0"/>
    <n v="21"/>
    <n v="464604"/>
    <n v="0"/>
    <n v="0"/>
    <n v="21"/>
    <n v="0"/>
    <n v="0"/>
    <n v="0"/>
    <n v="0"/>
    <n v="464604"/>
    <n v="0"/>
    <n v="0"/>
    <n v="0"/>
    <n v="21"/>
    <n v="464604"/>
    <n v="0"/>
    <n v="0"/>
    <n v="21"/>
    <n v="0"/>
    <n v="0"/>
    <n v="0"/>
    <n v="0"/>
    <n v="456435"/>
    <n v="0"/>
    <n v="0"/>
    <n v="0"/>
    <n v="21"/>
    <n v="456435"/>
    <n v="0"/>
    <n v="0"/>
    <n v="21"/>
    <n v="0"/>
    <n v="0"/>
    <n v="0"/>
    <n v="0"/>
    <m/>
    <n v="456435"/>
    <n v="0"/>
    <n v="0"/>
    <n v="0"/>
    <n v="21"/>
    <n v="456435"/>
    <n v="0"/>
    <n v="0"/>
    <n v="21"/>
    <n v="0"/>
    <n v="0"/>
    <n v="0"/>
    <n v="456435"/>
    <n v="0"/>
    <n v="0"/>
    <n v="0"/>
    <n v="21"/>
    <n v="456435"/>
    <n v="0"/>
    <n v="0"/>
    <n v="21"/>
    <n v="0"/>
    <n v="0"/>
    <n v="0"/>
    <n v="456435"/>
    <n v="0"/>
    <n v="0"/>
    <n v="21"/>
    <n v="456435"/>
    <n v="0"/>
    <n v="0"/>
    <n v="21"/>
    <n v="0"/>
    <n v="0"/>
    <m/>
    <n v="456435"/>
    <n v="0"/>
    <n v="0"/>
    <n v="21"/>
    <n v="456435"/>
    <n v="0"/>
  </r>
  <r>
    <s v="Lhotse-Smartwatch"/>
    <x v="4"/>
    <x v="20"/>
    <x v="48"/>
    <s v="LHSWRHYX10"/>
    <x v="335"/>
    <x v="321"/>
    <x v="0"/>
    <x v="2"/>
    <n v="1"/>
    <x v="3"/>
    <n v="3"/>
    <m/>
    <n v="0"/>
    <n v="22305"/>
    <n v="66915"/>
    <n v="19.5"/>
    <n v="21303.75"/>
    <n v="37806.72268907564"/>
    <n v="27722.68907563025"/>
    <s v="Shenzhen"/>
    <s v="20/80"/>
    <n v="30"/>
    <n v="100"/>
    <n v="19"/>
    <n v="0.4845223815887214"/>
    <n v="16"/>
    <n v="0.4593606453764115"/>
    <n v="10"/>
    <n v="0.4802065226386326"/>
    <n v="2"/>
    <n v="0.5151196865117976"/>
    <n v="1"/>
    <n v="0.5151220144028806"/>
    <n v="3"/>
    <n v="0.4706518615982394"/>
    <n v="5"/>
    <n v="0.3593505462979918"/>
    <n v="2"/>
    <n v="0.4321554881247207"/>
    <n v="2"/>
    <n v="0.3337188744822333"/>
    <n v="105"/>
    <n v="0.2111648872776061"/>
    <n v="4"/>
    <n v="0.3583253382047281"/>
    <n v="9"/>
    <n v="0.3563848951909333"/>
    <n v="0"/>
    <s v=""/>
    <n v="7"/>
    <n v="0.2998882570425849"/>
    <n v="13"/>
    <n v="0.2389232082690668"/>
    <n v="8"/>
    <n v="0.2910002884887628"/>
    <n v="0"/>
    <n v="18"/>
    <n v="0.2539143626781183"/>
    <n v="18"/>
    <n v="17"/>
    <n v="0.1097490912062882"/>
    <n v="5.666666666666667"/>
    <n v="4"/>
    <n v="0.2133514610870725"/>
    <n v="0.8"/>
    <n v="0"/>
    <s v=""/>
    <n v="0"/>
    <m/>
    <m/>
    <m/>
    <m/>
    <m/>
    <m/>
    <m/>
    <m/>
    <m/>
    <m/>
    <m/>
    <m/>
    <n v="0"/>
    <n v="2"/>
    <n v="0"/>
    <n v="0"/>
    <n v="0"/>
    <n v="0"/>
    <n v="524167.5"/>
    <n v="40365"/>
    <n v="0"/>
    <n v="0"/>
    <n v="3"/>
    <n v="66915"/>
    <n v="0"/>
    <n v="0"/>
    <n v="74"/>
    <n v="10.5"/>
    <n v="0"/>
    <n v="0"/>
    <n v="0"/>
    <n v="702607.5"/>
    <n v="1493505"/>
    <n v="234202.5"/>
    <n v="0"/>
    <n v="3"/>
    <n v="66915"/>
    <n v="333588.729609491"/>
    <n v="0"/>
    <n v="65"/>
    <n v="13"/>
    <n v="0"/>
    <n v="0"/>
    <n v="488587.5"/>
    <n v="1449825"/>
    <n v="289965"/>
    <n v="0"/>
    <n v="3"/>
    <n v="66915"/>
    <n v="491487.3949579833"/>
    <n v="0"/>
    <n v="53"/>
    <n v="8"/>
    <n v="0"/>
    <n v="0"/>
    <n v="1069672.5"/>
    <n v="178440"/>
    <n v="0"/>
    <n v="0"/>
    <n v="3"/>
    <n v="66915"/>
    <n v="302453.7815126051"/>
    <n v="1"/>
    <n v="21"/>
    <n v="1"/>
    <m/>
    <n v="0"/>
    <n v="0"/>
    <n v="468405"/>
    <n v="20182.5"/>
    <n v="0"/>
    <n v="0"/>
    <n v="3"/>
    <n v="66915"/>
    <n v="37806.72268907564"/>
    <n v="3"/>
    <n v="20"/>
    <n v="17"/>
    <m/>
    <n v="0"/>
    <n v="0"/>
    <n v="446100"/>
    <n v="343102.5"/>
    <n v="0"/>
    <n v="0"/>
    <n v="20"/>
    <n v="66915"/>
    <n v="642714.2857142858"/>
    <n v="5"/>
    <n v="7"/>
    <n v="4"/>
    <n v="0"/>
    <n v="0"/>
    <n v="0"/>
    <n v="156135"/>
    <n v="80730"/>
    <n v="0"/>
    <n v="0"/>
    <n v="7"/>
    <n v="66915"/>
    <n v="151226.8907563025"/>
    <n v="2"/>
    <n v="3"/>
    <n v="2"/>
    <n v="0"/>
    <n v="0"/>
    <n v="0"/>
    <n v="66915"/>
    <n v="40365"/>
    <n v="0"/>
    <n v="0"/>
    <n v="3"/>
    <n v="66915"/>
    <n v="75613.44537815127"/>
    <n v="47"/>
    <n v="1"/>
    <n v="47"/>
    <n v="0"/>
    <n v="0"/>
    <n v="0"/>
    <n v="20182.5"/>
    <n v="948577.5"/>
    <n v="0"/>
    <n v="0"/>
    <n v="1"/>
    <n v="20182.5"/>
    <n v="1776915.96638655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Smartwatch"/>
    <x v="4"/>
    <x v="20"/>
    <x v="48"/>
    <s v="LHSWRHYX10"/>
    <x v="336"/>
    <x v="321"/>
    <x v="0"/>
    <x v="2"/>
    <n v="1"/>
    <x v="3"/>
    <n v="3"/>
    <m/>
    <n v="0"/>
    <n v="21770"/>
    <n v="65310"/>
    <n v="19.5"/>
    <n v="21303.75"/>
    <n v="37806.72268907564"/>
    <n v="27722.68907563025"/>
    <s v="Shenzhen"/>
    <s v="20/80"/>
    <n v="30"/>
    <n v="100"/>
    <n v="16"/>
    <n v="0.4645280989875271"/>
    <n v="20"/>
    <n v="0.4836271882690142"/>
    <n v="9"/>
    <n v="0.4022758756428081"/>
    <n v="2"/>
    <n v="0.5587396253411545"/>
    <n v="2"/>
    <n v="0.5587396253411545"/>
    <n v="2"/>
    <n v="0.4792913112477683"/>
    <n v="8"/>
    <n v="0.4031240629019307"/>
    <n v="2"/>
    <n v="0.4624908171754016"/>
    <n v="2"/>
    <n v="0.4119041084381214"/>
    <n v="42"/>
    <n v="0.2430476914253338"/>
    <n v="11"/>
    <n v="0.3573332349270676"/>
    <n v="41"/>
    <n v="0.3734797293779921"/>
    <n v="7"/>
    <n v="0.2997258119786219"/>
    <n v="21"/>
    <n v="0.2857139250423906"/>
    <n v="37"/>
    <n v="0.2408126834847856"/>
    <n v="24"/>
    <n v="0.2315049670719056"/>
    <n v="2.4"/>
    <n v="0"/>
    <s v=""/>
    <n v="0"/>
    <n v="1"/>
    <n v="0.3522090522630658"/>
    <n v="0.3333333333333333"/>
    <n v="0"/>
    <s v=""/>
    <n v="0"/>
    <n v="0"/>
    <s v=""/>
    <n v="0"/>
    <m/>
    <m/>
    <m/>
    <m/>
    <m/>
    <m/>
    <m/>
    <m/>
    <m/>
    <m/>
    <m/>
    <m/>
    <n v="15"/>
    <n v="98"/>
    <n v="10"/>
    <n v="0"/>
    <n v="0"/>
    <n v="0"/>
    <n v="1708945"/>
    <n v="1977885"/>
    <n v="217700"/>
    <n v="0"/>
    <n v="3"/>
    <n v="65310"/>
    <n v="317703.552009039"/>
    <n v="10"/>
    <n v="89"/>
    <n v="31.5"/>
    <n v="0"/>
    <n v="0"/>
    <n v="0"/>
    <n v="2013725"/>
    <n v="1796242.5"/>
    <n v="685755"/>
    <n v="0"/>
    <n v="3"/>
    <n v="65310"/>
    <n v="1000766.188828473"/>
    <n v="15"/>
    <n v="70"/>
    <n v="37"/>
    <n v="0"/>
    <n v="0"/>
    <n v="1388517.5"/>
    <n v="1523900"/>
    <n v="805490"/>
    <n v="0"/>
    <n v="3"/>
    <n v="65310"/>
    <n v="1398848.739495798"/>
    <n v="10"/>
    <n v="31"/>
    <n v="24"/>
    <n v="0"/>
    <n v="0"/>
    <n v="625657.5"/>
    <n v="522480"/>
    <n v="0"/>
    <n v="0"/>
    <n v="3"/>
    <n v="65310"/>
    <n v="907361.3445378153"/>
    <n v="3"/>
    <n v="3"/>
    <n v="3"/>
    <m/>
    <n v="0"/>
    <n v="0"/>
    <n v="65310"/>
    <n v="60547.5"/>
    <n v="0"/>
    <n v="0"/>
    <n v="3"/>
    <n v="65310"/>
    <n v="113420.1680672269"/>
    <n v="3"/>
    <n v="4"/>
    <n v="1"/>
    <m/>
    <n v="0"/>
    <n v="0"/>
    <n v="87080"/>
    <n v="20182.5"/>
    <n v="0"/>
    <n v="0"/>
    <n v="4"/>
    <n v="65310"/>
    <n v="37806.72268907564"/>
    <n v="12"/>
    <n v="3"/>
    <n v="0"/>
    <n v="0"/>
    <n v="0"/>
    <n v="0"/>
    <n v="65310"/>
    <n v="0"/>
    <n v="0"/>
    <n v="0"/>
    <n v="3"/>
    <n v="65310"/>
    <n v="0"/>
    <n v="3"/>
    <n v="3"/>
    <n v="3"/>
    <n v="0"/>
    <n v="0"/>
    <n v="0"/>
    <n v="65310"/>
    <n v="60547.5"/>
    <n v="0"/>
    <n v="0"/>
    <n v="3"/>
    <n v="65310"/>
    <n v="113420.1680672269"/>
    <n v="14"/>
    <n v="0"/>
    <n v="14"/>
    <n v="0"/>
    <n v="0"/>
    <n v="0"/>
    <n v="0"/>
    <n v="282555"/>
    <n v="0"/>
    <n v="0"/>
    <n v="0"/>
    <n v="0"/>
    <n v="529294.117647058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Smartwatch"/>
    <x v="4"/>
    <x v="20"/>
    <x v="48"/>
    <s v="LHSWSHAR-BK"/>
    <x v="337"/>
    <x v="322"/>
    <x v="0"/>
    <x v="4"/>
    <n v="1"/>
    <x v="3"/>
    <n v="0"/>
    <m/>
    <n v="0"/>
    <n v="23511.75"/>
    <n v="0"/>
    <n v="23.5"/>
    <n v="23511.75"/>
    <n v="59273.31932773109"/>
    <n v="50382.32142857143"/>
    <s v="Shenzhen"/>
    <s v="20/80"/>
    <n v="45"/>
    <n v="1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100"/>
    <n v="0"/>
    <n v="0"/>
    <n v="0"/>
    <n v="2432250"/>
    <n v="0"/>
    <n v="0"/>
    <n v="0"/>
    <n v="0"/>
    <n v="25"/>
    <n v="0"/>
    <n v="25"/>
    <n v="0"/>
    <n v="0"/>
    <n v="99"/>
    <n v="0"/>
    <n v="608062.4999999999"/>
    <n v="0"/>
    <n v="2407927.5"/>
    <n v="99"/>
    <n v="2407927.5"/>
    <n v="1481832.983193277"/>
    <n v="50"/>
    <n v="74"/>
    <n v="50"/>
    <n v="0"/>
    <n v="0"/>
    <n v="0"/>
    <m/>
    <n v="1799865"/>
    <n v="1216125"/>
    <n v="0"/>
    <n v="0"/>
    <n v="74"/>
    <n v="1799865"/>
    <n v="2519116.071428571"/>
    <n v="25"/>
    <n v="24"/>
    <n v="25"/>
    <n v="150"/>
    <n v="150"/>
    <n v="583739.9999999999"/>
    <n v="608062.4999999999"/>
    <n v="3648375"/>
    <n v="3648375"/>
    <n v="174"/>
    <n v="4232114.999999999"/>
    <n v="1322535.9375"/>
    <n v="120"/>
    <n v="149"/>
    <n v="120"/>
    <n v="0"/>
    <n v="0"/>
    <n v="3624052.5"/>
    <n v="2918700"/>
    <n v="0"/>
    <n v="149"/>
    <n v="3624052.5"/>
    <n v="7112798.319327731"/>
    <n v="15"/>
    <n v="29"/>
    <n v="15"/>
    <n v="0"/>
    <m/>
    <n v="705352.4999999999"/>
    <n v="352676.25"/>
    <n v="0"/>
    <n v="29"/>
    <n v="705352.4999999999"/>
    <n v="889099.7899159663"/>
  </r>
  <r>
    <s v="Lhotse-Smartwatch"/>
    <x v="4"/>
    <x v="20"/>
    <x v="48"/>
    <s v="LHSWSHAR-CR"/>
    <x v="338"/>
    <x v="323"/>
    <x v="0"/>
    <x v="4"/>
    <n v="1"/>
    <x v="3"/>
    <n v="0"/>
    <m/>
    <n v="0"/>
    <n v="23511.75"/>
    <n v="0"/>
    <n v="23.5"/>
    <n v="23511.75"/>
    <n v="59273.31932773109"/>
    <n v="50382.32142857143"/>
    <s v="Shenzhen"/>
    <s v="20/80"/>
    <n v="45"/>
    <n v="1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100"/>
    <n v="0"/>
    <n v="0"/>
    <n v="0"/>
    <n v="2432250"/>
    <n v="0"/>
    <n v="0"/>
    <n v="0"/>
    <n v="0"/>
    <n v="15"/>
    <n v="0"/>
    <n v="15"/>
    <n v="0"/>
    <n v="0"/>
    <n v="99"/>
    <n v="0"/>
    <n v="364837.4999999999"/>
    <n v="0"/>
    <n v="2407927.5"/>
    <n v="99"/>
    <n v="2407927.5"/>
    <n v="889099.7899159663"/>
    <n v="20"/>
    <n v="84"/>
    <n v="20"/>
    <n v="0"/>
    <n v="0"/>
    <n v="0"/>
    <m/>
    <n v="2043090"/>
    <n v="486449.9999999999"/>
    <n v="0"/>
    <n v="0"/>
    <n v="84"/>
    <n v="2043090"/>
    <n v="1007646.428571429"/>
    <n v="15"/>
    <n v="64"/>
    <n v="15"/>
    <n v="100"/>
    <n v="100"/>
    <n v="1556640"/>
    <n v="364837.4999999999"/>
    <n v="2432250"/>
    <n v="2432250"/>
    <n v="164"/>
    <n v="3988889.999999999"/>
    <n v="793521.5625"/>
    <n v="50"/>
    <n v="149"/>
    <n v="50"/>
    <n v="0"/>
    <n v="0"/>
    <n v="3624052.5"/>
    <n v="1216125"/>
    <n v="0"/>
    <n v="149"/>
    <n v="3624052.5"/>
    <n v="2963665.966386555"/>
    <n v="9"/>
    <n v="99"/>
    <n v="9"/>
    <n v="0"/>
    <m/>
    <n v="2407927.5"/>
    <n v="211605.75"/>
    <n v="0"/>
    <n v="99"/>
    <n v="2407927.5"/>
    <n v="533459.8739495799"/>
  </r>
  <r>
    <s v="Lhotse-Smartwatch"/>
    <x v="4"/>
    <x v="20"/>
    <x v="48"/>
    <s v="LHSWSHAR-PK"/>
    <x v="339"/>
    <x v="324"/>
    <x v="0"/>
    <x v="4"/>
    <n v="1"/>
    <x v="3"/>
    <n v="0"/>
    <m/>
    <n v="0"/>
    <n v="23511.75"/>
    <n v="0"/>
    <n v="23.5"/>
    <n v="23511.75"/>
    <n v="59273.31932773109"/>
    <n v="50382.32142857143"/>
    <s v="Shenzhen"/>
    <s v="20/80"/>
    <n v="45"/>
    <n v="1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100"/>
    <n v="0"/>
    <n v="0"/>
    <n v="0"/>
    <n v="2432250"/>
    <n v="0"/>
    <n v="0"/>
    <n v="0"/>
    <n v="0"/>
    <n v="20"/>
    <n v="0"/>
    <n v="20"/>
    <n v="0"/>
    <n v="0"/>
    <n v="99"/>
    <n v="0"/>
    <n v="486449.9999999999"/>
    <n v="0"/>
    <n v="2407927.5"/>
    <n v="99"/>
    <n v="2407927.5"/>
    <n v="1185466.386554622"/>
    <n v="40"/>
    <n v="79"/>
    <n v="40"/>
    <n v="0"/>
    <n v="0"/>
    <n v="0"/>
    <m/>
    <n v="1921477.5"/>
    <n v="972899.9999999999"/>
    <n v="0"/>
    <n v="0"/>
    <n v="79"/>
    <n v="1921477.5"/>
    <n v="2015292.857142857"/>
    <n v="30"/>
    <n v="39"/>
    <n v="30"/>
    <n v="100"/>
    <n v="100"/>
    <n v="948577.4999999999"/>
    <n v="729674.9999999999"/>
    <n v="2432250"/>
    <n v="2432250"/>
    <n v="139"/>
    <n v="3380827.5"/>
    <n v="1587043.125"/>
    <n v="100"/>
    <n v="109"/>
    <n v="100"/>
    <n v="0"/>
    <n v="0"/>
    <n v="2651152.5"/>
    <n v="2432250"/>
    <n v="0"/>
    <n v="109"/>
    <n v="2651152.5"/>
    <n v="5927331.93277311"/>
    <n v="18"/>
    <n v="9"/>
    <n v="18"/>
    <n v="0"/>
    <m/>
    <n v="218902.5"/>
    <n v="423211.5"/>
    <n v="0"/>
    <n v="9"/>
    <n v="218902.5"/>
    <n v="1066919.74789916"/>
  </r>
  <r>
    <s v="Lhotse-Smartwatch"/>
    <x v="4"/>
    <x v="20"/>
    <x v="48"/>
    <s v="LHSWVIBBK"/>
    <x v="340"/>
    <x v="325"/>
    <x v="0"/>
    <x v="1"/>
    <n v="1"/>
    <x v="192"/>
    <n v="94"/>
    <m/>
    <n v="0"/>
    <n v="27646"/>
    <n v="2598724"/>
    <n v="29.65"/>
    <n v="32392.625"/>
    <n v="67218.48739495799"/>
    <n v="67218.48739495799"/>
    <s v="Shenzhen"/>
    <s v="20/80"/>
    <n v="45"/>
    <n v="100"/>
    <n v="5"/>
    <n v="0.5962883567273599"/>
    <n v="19"/>
    <n v="0.5182875457206999"/>
    <n v="14"/>
    <n v="0.537126545009607"/>
    <n v="35"/>
    <n v="0.626743499932488"/>
    <n v="11"/>
    <n v="0.5976235241325265"/>
    <n v="19"/>
    <n v="0.5187367613574355"/>
    <n v="34"/>
    <n v="0.5067068753042098"/>
    <n v="22"/>
    <n v="0.4719194920550853"/>
    <n v="12"/>
    <n v="0.4970280957462707"/>
    <n v="41"/>
    <n v="0.3868885263267245"/>
    <n v="44"/>
    <n v="0.4513917295956013"/>
    <n v="128"/>
    <n v="0.4878655188217387"/>
    <n v="50"/>
    <n v="0.3778756621406431"/>
    <n v="42"/>
    <n v="0.4491559497658233"/>
    <n v="20"/>
    <n v="0.4173605374801631"/>
    <n v="1"/>
    <n v="0.4088283548430134"/>
    <n v="0.04"/>
    <n v="0"/>
    <s v=""/>
    <n v="0"/>
    <n v="0"/>
    <s v=""/>
    <n v="0"/>
    <n v="7"/>
    <n v="0.4962957681169564"/>
    <n v="0.14"/>
    <n v="4"/>
    <n v="0.5523343661311897"/>
    <n v="0.09090909090909091"/>
    <m/>
    <m/>
    <m/>
    <m/>
    <m/>
    <m/>
    <m/>
    <m/>
    <m/>
    <m/>
    <m/>
    <m/>
    <n v="25"/>
    <n v="100"/>
    <n v="35"/>
    <n v="0"/>
    <n v="100"/>
    <n v="0"/>
    <n v="3262228"/>
    <n v="3068775"/>
    <n v="967610"/>
    <n v="0"/>
    <n v="94"/>
    <n v="2598724"/>
    <n v="1977014.335145823"/>
    <n v="25"/>
    <n v="71"/>
    <n v="63"/>
    <n v="0"/>
    <n v="0"/>
    <n v="0"/>
    <n v="2322264"/>
    <n v="2178830.25"/>
    <n v="1741698"/>
    <n v="0"/>
    <n v="94"/>
    <n v="2598724"/>
    <n v="3558625.803262482"/>
    <n v="50"/>
    <n v="32"/>
    <n v="20"/>
    <n v="0"/>
    <n v="0"/>
    <n v="1654637.25"/>
    <n v="884672"/>
    <n v="552920"/>
    <n v="0"/>
    <n v="94"/>
    <n v="2598724"/>
    <n v="1344369.74789916"/>
    <n v="25"/>
    <n v="1"/>
    <n v="1"/>
    <n v="0"/>
    <n v="0"/>
    <n v="30687.75"/>
    <n v="27646"/>
    <n v="0"/>
    <n v="0"/>
    <n v="94"/>
    <n v="2598724"/>
    <n v="67218.48739495799"/>
    <n v="35"/>
    <n v="94"/>
    <n v="35"/>
    <m/>
    <n v="0"/>
    <n v="0"/>
    <n v="2598724"/>
    <n v="1074071.25"/>
    <n v="0"/>
    <n v="0"/>
    <n v="94"/>
    <n v="2598724"/>
    <n v="2352647.05882353"/>
    <n v="60"/>
    <n v="94"/>
    <n v="0"/>
    <m/>
    <n v="0"/>
    <n v="0"/>
    <n v="2598724"/>
    <n v="0"/>
    <n v="0"/>
    <n v="0"/>
    <n v="94"/>
    <n v="2598724"/>
    <n v="0"/>
    <n v="50"/>
    <n v="101"/>
    <n v="7"/>
    <n v="100"/>
    <n v="100"/>
    <n v="0"/>
    <n v="2792246"/>
    <n v="214814.25"/>
    <n v="2966482.5"/>
    <n v="0"/>
    <n v="101"/>
    <n v="2598724"/>
    <n v="470529.411764706"/>
    <n v="44"/>
    <n v="94"/>
    <n v="44"/>
    <n v="100"/>
    <n v="100"/>
    <n v="0"/>
    <n v="2598724"/>
    <n v="1350261"/>
    <n v="3068775"/>
    <n v="0"/>
    <n v="94"/>
    <n v="2598724"/>
    <n v="2957613.445378152"/>
    <n v="35"/>
    <n v="50"/>
    <n v="35"/>
    <n v="100"/>
    <n v="100"/>
    <n v="200"/>
    <n v="1534387.5"/>
    <n v="1074071.25"/>
    <n v="3068775"/>
    <n v="6137549.999999999"/>
    <n v="250"/>
    <n v="7671937.499999999"/>
    <n v="2352647.05882353"/>
    <n v="60"/>
    <n v="215"/>
    <n v="60"/>
    <n v="0"/>
    <n v="0"/>
    <n v="0"/>
    <n v="0"/>
    <n v="6597866.249999999"/>
    <n v="1841265"/>
    <n v="0"/>
    <n v="0"/>
    <n v="215"/>
    <n v="6597866.249999999"/>
    <n v="4033109.243697479"/>
    <n v="50"/>
    <n v="155"/>
    <n v="50"/>
    <n v="0"/>
    <n v="0"/>
    <n v="4756601.249999999"/>
    <n v="1534387.5"/>
    <n v="0"/>
    <n v="0"/>
    <n v="155"/>
    <n v="4756601.249999999"/>
    <n v="3528970.588235294"/>
    <n v="61"/>
    <n v="105"/>
    <n v="61"/>
    <n v="0"/>
    <n v="0"/>
    <n v="3222213.75"/>
    <n v="1871952.75"/>
    <n v="0"/>
    <n v="105"/>
    <n v="3222213.75"/>
    <n v="4100327.731092438"/>
    <n v="30"/>
    <n v="44"/>
    <n v="30"/>
    <n v="0"/>
    <m/>
    <n v="1350261"/>
    <n v="829380"/>
    <n v="0"/>
    <n v="44"/>
    <n v="1350261"/>
    <n v="2016554.62184874"/>
  </r>
  <r>
    <s v="Lhotse-Smartwatch"/>
    <x v="4"/>
    <x v="20"/>
    <x v="48"/>
    <s v="LHSWVIBCR"/>
    <x v="341"/>
    <x v="326"/>
    <x v="0"/>
    <x v="1"/>
    <n v="1"/>
    <x v="193"/>
    <n v="89"/>
    <m/>
    <n v="0"/>
    <n v="27664"/>
    <n v="2462096"/>
    <n v="29.65"/>
    <n v="32392.625"/>
    <n v="67218.48739495799"/>
    <n v="67218.48739495799"/>
    <s v="Shenzhen"/>
    <s v="20/80"/>
    <n v="45"/>
    <n v="100"/>
    <n v="3"/>
    <n v="0.5940678415307762"/>
    <n v="12"/>
    <n v="0.5668466903147772"/>
    <n v="16"/>
    <n v="0.4940991453385815"/>
    <n v="14"/>
    <n v="0.5858179642658369"/>
    <n v="18"/>
    <n v="0.6115404625014783"/>
    <n v="34"/>
    <n v="0.4699570192884019"/>
    <n v="33"/>
    <n v="0.5238845978815075"/>
    <n v="25"/>
    <n v="0.5611432773735169"/>
    <n v="16"/>
    <n v="0.5640170350472532"/>
    <n v="28"/>
    <n v="0.4638910837130868"/>
    <n v="26"/>
    <n v="0.4726742799537123"/>
    <n v="69"/>
    <n v="0.451574154585433"/>
    <n v="44"/>
    <n v="0.3564912369239374"/>
    <n v="27"/>
    <n v="0.4507499716479438"/>
    <n v="34"/>
    <n v="0.4043542737297059"/>
    <n v="1"/>
    <n v="0.4129638611394514"/>
    <n v="0.06666666666666667"/>
    <n v="1"/>
    <n v="0.5704680585073133"/>
    <n v="0.02857142857142857"/>
    <n v="0"/>
    <s v=""/>
    <n v="0"/>
    <n v="11"/>
    <n v="0.4997567001781661"/>
    <n v="0.3142857142857143"/>
    <n v="7"/>
    <n v="0.5399696564390234"/>
    <n v="0.2"/>
    <m/>
    <m/>
    <m/>
    <m/>
    <m/>
    <m/>
    <m/>
    <m/>
    <m/>
    <m/>
    <m/>
    <m/>
    <n v="15"/>
    <n v="98"/>
    <n v="18"/>
    <n v="0"/>
    <n v="199"/>
    <n v="0"/>
    <n v="2558920"/>
    <n v="3007399.5"/>
    <n v="497952"/>
    <n v="0"/>
    <n v="89"/>
    <n v="2462096"/>
    <n v="1016750.229503566"/>
    <n v="15"/>
    <n v="68"/>
    <n v="40.5"/>
    <n v="0"/>
    <n v="0"/>
    <n v="0"/>
    <n v="2088632"/>
    <n v="2086767"/>
    <n v="1120392"/>
    <n v="0"/>
    <n v="89"/>
    <n v="2462096"/>
    <n v="2287688.016383024"/>
    <n v="30"/>
    <n v="29"/>
    <n v="34"/>
    <n v="0"/>
    <n v="0"/>
    <n v="2042311.25"/>
    <n v="802256"/>
    <n v="940576"/>
    <n v="0"/>
    <n v="89"/>
    <n v="2462096"/>
    <n v="2285428.571428572"/>
    <n v="15"/>
    <n v="1"/>
    <n v="1"/>
    <n v="0"/>
    <n v="0"/>
    <n v="30687.75"/>
    <n v="27664"/>
    <n v="0"/>
    <n v="0"/>
    <n v="89"/>
    <n v="2462096"/>
    <n v="67218.48739495799"/>
    <n v="35"/>
    <n v="90"/>
    <n v="35"/>
    <m/>
    <n v="0"/>
    <n v="0"/>
    <n v="2489760"/>
    <n v="1074071.25"/>
    <n v="0"/>
    <n v="0"/>
    <n v="89"/>
    <n v="2462096"/>
    <n v="2352647.05882353"/>
    <n v="50"/>
    <n v="89"/>
    <n v="0"/>
    <m/>
    <n v="0"/>
    <n v="0"/>
    <n v="2462096"/>
    <n v="0"/>
    <n v="0"/>
    <n v="0"/>
    <n v="89"/>
    <n v="2462096"/>
    <n v="0"/>
    <n v="35"/>
    <n v="100"/>
    <n v="11"/>
    <n v="100"/>
    <n v="100"/>
    <n v="0"/>
    <n v="2766400"/>
    <n v="337565.2499999999"/>
    <n v="2966482.5"/>
    <n v="0"/>
    <n v="100"/>
    <n v="2462096"/>
    <n v="739403.3613445379"/>
    <n v="35"/>
    <n v="89"/>
    <n v="35"/>
    <n v="100"/>
    <n v="100"/>
    <n v="0"/>
    <n v="2462096"/>
    <n v="1074071.25"/>
    <n v="3068775"/>
    <n v="0"/>
    <n v="89"/>
    <n v="2462096"/>
    <n v="2352647.05882353"/>
    <n v="26"/>
    <n v="54"/>
    <n v="26"/>
    <n v="0"/>
    <n v="0"/>
    <n v="100"/>
    <n v="1657138.5"/>
    <n v="797881.4999999999"/>
    <n v="0"/>
    <n v="3068775"/>
    <n v="154"/>
    <n v="4725913.499999999"/>
    <n v="1747680.672268908"/>
    <n v="50"/>
    <n v="128"/>
    <n v="50"/>
    <n v="0"/>
    <n v="0"/>
    <n v="0"/>
    <m/>
    <n v="3928032"/>
    <n v="1534387.5"/>
    <n v="0"/>
    <n v="0"/>
    <n v="128"/>
    <n v="3928032"/>
    <n v="3360924.369747899"/>
    <n v="40"/>
    <n v="78"/>
    <n v="40"/>
    <n v="0"/>
    <n v="0"/>
    <n v="2393644.5"/>
    <n v="1227510"/>
    <n v="0"/>
    <n v="0"/>
    <n v="78"/>
    <n v="2393644.5"/>
    <n v="2823176.470588236"/>
    <n v="15"/>
    <n v="38"/>
    <n v="15"/>
    <n v="0"/>
    <n v="0"/>
    <n v="1166134.5"/>
    <n v="460316.2499999999"/>
    <n v="0"/>
    <n v="38"/>
    <n v="1166134.5"/>
    <n v="1008277.31092437"/>
    <n v="24"/>
    <n v="23"/>
    <n v="24"/>
    <n v="0"/>
    <m/>
    <n v="705818.2499999999"/>
    <n v="663936"/>
    <n v="0"/>
    <n v="23"/>
    <n v="705818.2499999999"/>
    <n v="1613243.697478992"/>
  </r>
  <r>
    <s v="Lhotse-Vestuario"/>
    <x v="4"/>
    <x v="21"/>
    <x v="49"/>
    <s v="LTS26-WLG03"/>
    <x v="342"/>
    <x v="327"/>
    <x v="0"/>
    <x v="5"/>
    <n v="1"/>
    <x v="194"/>
    <n v="14"/>
    <m/>
    <n v="0"/>
    <n v="9466"/>
    <n v="132524"/>
    <n v="8.6"/>
    <n v="9395.5"/>
    <n v="16798.31932773109"/>
    <n v="15117.64705882353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288841029750576"/>
    <n v="0"/>
    <s v=""/>
    <n v="0"/>
    <s v=""/>
    <n v="1"/>
    <n v="0.2584991376715183"/>
    <n v="0"/>
    <s v=""/>
    <n v="0"/>
    <n v="2"/>
    <n v="0.2956117312322171"/>
    <n v="0.6666666666666666"/>
    <n v="4"/>
    <n v="0.08159556470516297"/>
    <n v="0.6666666666666666"/>
    <n v="2"/>
    <n v="0.1412141196203255"/>
    <n v="0.2857142857142857"/>
    <n v="0"/>
    <s v=""/>
    <n v="0"/>
    <m/>
    <m/>
    <m/>
    <m/>
    <m/>
    <m/>
    <m/>
    <m/>
    <m/>
    <m/>
    <m/>
    <m/>
    <n v="5"/>
    <n v="13"/>
    <n v="5"/>
    <n v="0"/>
    <n v="0"/>
    <n v="0"/>
    <n v="56796"/>
    <n v="115713"/>
    <n v="47330"/>
    <n v="0"/>
    <n v="14"/>
    <n v="132524"/>
    <n v="70581.17364592897"/>
    <n v="3"/>
    <n v="23"/>
    <n v="0"/>
    <n v="0"/>
    <n v="0"/>
    <n v="0"/>
    <n v="9466"/>
    <n v="204723"/>
    <n v="0"/>
    <n v="0"/>
    <n v="14"/>
    <n v="132524"/>
    <n v="0"/>
    <n v="3"/>
    <n v="24"/>
    <n v="1"/>
    <n v="0"/>
    <n v="0"/>
    <n v="36169"/>
    <n v="227184"/>
    <n v="9466"/>
    <n v="0"/>
    <n v="14"/>
    <n v="132524"/>
    <n v="16798.31932773109"/>
    <n v="3"/>
    <n v="23"/>
    <n v="0"/>
    <n v="0"/>
    <n v="0"/>
    <n v="204723"/>
    <n v="0"/>
    <n v="0"/>
    <n v="0"/>
    <n v="14"/>
    <n v="132524"/>
    <n v="0"/>
    <n v="3"/>
    <n v="16"/>
    <n v="3"/>
    <m/>
    <n v="0"/>
    <n v="0"/>
    <n v="151456"/>
    <n v="26703"/>
    <n v="0"/>
    <n v="0"/>
    <n v="14"/>
    <n v="132524"/>
    <n v="50394.95798319328"/>
    <n v="6"/>
    <n v="18"/>
    <n v="4"/>
    <m/>
    <n v="0"/>
    <n v="0"/>
    <n v="170388"/>
    <n v="35604"/>
    <n v="0"/>
    <n v="0"/>
    <n v="18"/>
    <n v="132524"/>
    <n v="67193.27731092437"/>
    <n v="7"/>
    <n v="16"/>
    <n v="2"/>
    <n v="0"/>
    <n v="0"/>
    <n v="0"/>
    <n v="151456"/>
    <n v="17802"/>
    <n v="0"/>
    <n v="0"/>
    <n v="16"/>
    <n v="132524"/>
    <n v="33596.63865546219"/>
    <n v="7"/>
    <n v="14"/>
    <n v="7"/>
    <n v="0"/>
    <n v="0"/>
    <n v="0"/>
    <n v="132524"/>
    <n v="62307"/>
    <n v="0"/>
    <n v="0"/>
    <n v="14"/>
    <n v="132524"/>
    <n v="117588.2352941177"/>
    <n v="7"/>
    <n v="7"/>
    <n v="7"/>
    <n v="0"/>
    <n v="0"/>
    <n v="0"/>
    <n v="62307"/>
    <n v="62307"/>
    <n v="0"/>
    <n v="0"/>
    <n v="7"/>
    <n v="62307"/>
    <n v="117588.235294117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49"/>
    <s v="LTS26-WLG03"/>
    <x v="343"/>
    <x v="327"/>
    <x v="0"/>
    <x v="2"/>
    <n v="1"/>
    <x v="3"/>
    <n v="23"/>
    <m/>
    <n v="0"/>
    <n v="9466"/>
    <n v="217718"/>
    <n v="8.6"/>
    <n v="9395.5"/>
    <n v="16798.31932773109"/>
    <n v="15117.64705882353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1"/>
    <n v="-0.00190518544872365"/>
    <n v="0.125"/>
    <n v="0"/>
    <s v=""/>
    <n v="0"/>
    <m/>
    <m/>
    <m/>
    <m/>
    <m/>
    <m/>
    <m/>
    <m/>
    <m/>
    <m/>
    <m/>
    <m/>
    <n v="5"/>
    <n v="24"/>
    <n v="5"/>
    <n v="0"/>
    <n v="0"/>
    <n v="0"/>
    <n v="47330"/>
    <n v="213624"/>
    <n v="47330"/>
    <n v="0"/>
    <n v="23"/>
    <n v="217718"/>
    <n v="70581.17364592897"/>
    <n v="3"/>
    <n v="23"/>
    <n v="0"/>
    <n v="0"/>
    <n v="0"/>
    <n v="0"/>
    <n v="0"/>
    <n v="204723"/>
    <n v="0"/>
    <n v="0"/>
    <n v="23"/>
    <n v="217718"/>
    <n v="0"/>
    <n v="3"/>
    <n v="24"/>
    <n v="0"/>
    <n v="0"/>
    <n v="0"/>
    <n v="26703"/>
    <n v="227184"/>
    <n v="0"/>
    <n v="0"/>
    <n v="23"/>
    <n v="217718"/>
    <n v="0"/>
    <n v="3"/>
    <n v="24"/>
    <n v="0"/>
    <n v="0"/>
    <n v="0"/>
    <n v="213624"/>
    <n v="0"/>
    <n v="0"/>
    <n v="0"/>
    <n v="23"/>
    <n v="217718"/>
    <n v="0"/>
    <n v="3"/>
    <n v="23"/>
    <n v="3"/>
    <m/>
    <n v="0"/>
    <n v="0"/>
    <n v="217718"/>
    <n v="26703"/>
    <n v="0"/>
    <n v="0"/>
    <n v="23"/>
    <n v="217718"/>
    <n v="50394.95798319328"/>
    <n v="6"/>
    <n v="23"/>
    <n v="0"/>
    <m/>
    <n v="0"/>
    <n v="0"/>
    <n v="217718"/>
    <n v="0"/>
    <n v="0"/>
    <n v="0"/>
    <n v="23"/>
    <n v="217718"/>
    <n v="0"/>
    <n v="8"/>
    <n v="24"/>
    <n v="1"/>
    <n v="0"/>
    <n v="0"/>
    <n v="0"/>
    <n v="227184"/>
    <n v="8901"/>
    <n v="0"/>
    <n v="0"/>
    <n v="24"/>
    <n v="217718"/>
    <n v="16798.31932773109"/>
    <n v="8"/>
    <n v="23"/>
    <n v="8"/>
    <n v="0"/>
    <n v="0"/>
    <n v="0"/>
    <n v="217718"/>
    <n v="71208"/>
    <n v="0"/>
    <n v="0"/>
    <n v="23"/>
    <n v="217718"/>
    <n v="134386.5546218487"/>
    <n v="8"/>
    <n v="15"/>
    <n v="8"/>
    <n v="0"/>
    <n v="0"/>
    <n v="0"/>
    <n v="133515"/>
    <n v="71208"/>
    <n v="0"/>
    <n v="0"/>
    <n v="15"/>
    <n v="133515"/>
    <n v="134386.5546218487"/>
    <n v="0"/>
    <n v="7"/>
    <n v="0"/>
    <n v="0"/>
    <n v="0"/>
    <n v="0"/>
    <m/>
    <n v="62307"/>
    <n v="0"/>
    <n v="0"/>
    <n v="0"/>
    <n v="7"/>
    <n v="62307"/>
    <n v="0"/>
    <n v="0"/>
    <n v="7"/>
    <n v="0"/>
    <n v="0"/>
    <n v="0"/>
    <n v="62307"/>
    <n v="0"/>
    <n v="0"/>
    <n v="0"/>
    <n v="7"/>
    <n v="62307"/>
    <n v="0"/>
    <n v="0"/>
    <n v="7"/>
    <n v="0"/>
    <n v="0"/>
    <n v="0"/>
    <n v="62307"/>
    <n v="0"/>
    <n v="0"/>
    <n v="7"/>
    <n v="62307"/>
    <n v="0"/>
    <n v="0"/>
    <n v="7"/>
    <n v="0"/>
    <n v="0"/>
    <m/>
    <n v="62307"/>
    <n v="0"/>
    <n v="0"/>
    <n v="7"/>
    <n v="62307"/>
    <n v="0"/>
  </r>
  <r>
    <s v="Lhotse-Vestuario"/>
    <x v="4"/>
    <x v="21"/>
    <x v="49"/>
    <s v="LTS26-WLG03"/>
    <x v="344"/>
    <x v="327"/>
    <x v="0"/>
    <x v="5"/>
    <n v="1"/>
    <x v="195"/>
    <n v="9"/>
    <m/>
    <n v="0"/>
    <n v="9203"/>
    <n v="82827"/>
    <n v="8.6"/>
    <n v="9395.5"/>
    <n v="16798.31932773109"/>
    <n v="15117.64705882353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"/>
    <n v="10"/>
    <n v="0.261390540855063"/>
    <n v="0"/>
    <s v=""/>
    <n v="0"/>
    <s v=""/>
    <n v="0"/>
    <s v=""/>
    <n v="1"/>
    <n v="0.2000173886816917"/>
    <n v="0.3333333333333333"/>
    <n v="1"/>
    <n v="0.2173686843421711"/>
    <n v="0.3333333333333333"/>
    <n v="4"/>
    <n v="0.2557913693510024"/>
    <n v="0.6666666666666666"/>
    <n v="2"/>
    <n v="0.1650358340957609"/>
    <n v="0.3333333333333333"/>
    <n v="2"/>
    <n v="0.1650749056531849"/>
    <n v="0.3333333333333333"/>
    <m/>
    <m/>
    <m/>
    <m/>
    <m/>
    <m/>
    <m/>
    <m/>
    <m/>
    <m/>
    <m/>
    <m/>
    <n v="5"/>
    <n v="19"/>
    <n v="5"/>
    <n v="0"/>
    <n v="0"/>
    <n v="0"/>
    <n v="46015"/>
    <n v="169119"/>
    <n v="46015"/>
    <n v="0"/>
    <n v="9"/>
    <n v="82827"/>
    <n v="70581.17364592897"/>
    <n v="3"/>
    <n v="17"/>
    <n v="0"/>
    <n v="0"/>
    <n v="0"/>
    <n v="0"/>
    <n v="9203"/>
    <n v="151317"/>
    <n v="0"/>
    <n v="0"/>
    <n v="9"/>
    <n v="82827"/>
    <n v="0"/>
    <n v="3"/>
    <n v="19"/>
    <n v="0"/>
    <n v="0"/>
    <n v="0"/>
    <n v="35906"/>
    <n v="174857"/>
    <n v="0"/>
    <n v="0"/>
    <n v="9"/>
    <n v="82827"/>
    <n v="0"/>
    <n v="3"/>
    <n v="19"/>
    <n v="1"/>
    <n v="0"/>
    <n v="0"/>
    <n v="169119"/>
    <n v="9203"/>
    <n v="0"/>
    <n v="0"/>
    <n v="9"/>
    <n v="82827"/>
    <n v="16798.31932773109"/>
    <n v="3"/>
    <n v="10"/>
    <n v="3"/>
    <m/>
    <n v="0"/>
    <n v="0"/>
    <n v="92030"/>
    <n v="26703"/>
    <n v="0"/>
    <n v="0"/>
    <n v="9"/>
    <n v="82827"/>
    <n v="50394.95798319328"/>
    <n v="6"/>
    <n v="13"/>
    <n v="4"/>
    <m/>
    <n v="0"/>
    <n v="0"/>
    <n v="119639"/>
    <n v="35604"/>
    <n v="0"/>
    <n v="0"/>
    <n v="13"/>
    <n v="82827"/>
    <n v="67193.27731092437"/>
    <n v="6"/>
    <n v="11"/>
    <n v="2"/>
    <n v="0"/>
    <n v="0"/>
    <n v="0"/>
    <n v="101233"/>
    <n v="17802"/>
    <n v="0"/>
    <n v="0"/>
    <n v="11"/>
    <n v="82827"/>
    <n v="33596.63865546219"/>
    <n v="6"/>
    <n v="9"/>
    <n v="6"/>
    <n v="0"/>
    <n v="0"/>
    <n v="0"/>
    <n v="82827"/>
    <n v="53406"/>
    <n v="0"/>
    <n v="0"/>
    <n v="9"/>
    <n v="82827"/>
    <n v="100789.9159663866"/>
    <n v="6"/>
    <n v="3"/>
    <n v="6"/>
    <n v="0"/>
    <n v="0"/>
    <n v="0"/>
    <n v="26703"/>
    <n v="53406"/>
    <n v="0"/>
    <n v="0"/>
    <n v="3"/>
    <n v="26703"/>
    <n v="100789.915966386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49"/>
    <s v="LTS26-WLG03"/>
    <x v="345"/>
    <x v="327"/>
    <x v="0"/>
    <x v="5"/>
    <n v="1"/>
    <x v="196"/>
    <n v="22"/>
    <m/>
    <n v="0"/>
    <n v="9203"/>
    <n v="202466"/>
    <n v="8.6"/>
    <n v="9395.5"/>
    <n v="16798.31932773109"/>
    <n v="15117.64705882353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7"/>
    <n v="0.4306986691175171"/>
    <n v="0"/>
    <s v=""/>
    <n v="1"/>
    <n v="0"/>
    <n v="0"/>
    <s v=""/>
    <n v="0"/>
    <s v=""/>
    <n v="0"/>
    <n v="1"/>
    <n v="0.2173686843421711"/>
    <n v="0.3333333333333333"/>
    <n v="1"/>
    <n v="0.2171601143674053"/>
    <n v="0.1666666666666667"/>
    <n v="1"/>
    <n v="0.2694369579719813"/>
    <n v="0.1111111111111111"/>
    <n v="2"/>
    <n v="-0.311357921207041"/>
    <n v="0.2222222222222222"/>
    <m/>
    <m/>
    <m/>
    <m/>
    <m/>
    <m/>
    <m/>
    <m/>
    <m/>
    <m/>
    <m/>
    <m/>
    <n v="5"/>
    <n v="28"/>
    <n v="5"/>
    <n v="0"/>
    <n v="0"/>
    <n v="0"/>
    <n v="59819.5"/>
    <n v="249228"/>
    <n v="46015"/>
    <n v="0"/>
    <n v="22"/>
    <n v="202466"/>
    <n v="70581.17364592897"/>
    <n v="3"/>
    <n v="26"/>
    <n v="1.5"/>
    <n v="0"/>
    <n v="0"/>
    <n v="0"/>
    <n v="13804.5"/>
    <n v="231426"/>
    <n v="13804.5"/>
    <n v="0"/>
    <n v="22"/>
    <n v="202466"/>
    <n v="21174.35209377869"/>
    <n v="3"/>
    <n v="27"/>
    <n v="0"/>
    <n v="0"/>
    <n v="0"/>
    <n v="26703"/>
    <n v="248481"/>
    <n v="0"/>
    <n v="0"/>
    <n v="22"/>
    <n v="202466"/>
    <n v="0"/>
    <n v="3"/>
    <n v="27"/>
    <n v="0"/>
    <n v="0"/>
    <n v="0"/>
    <n v="240327"/>
    <n v="0"/>
    <n v="0"/>
    <n v="0"/>
    <n v="22"/>
    <n v="202466"/>
    <n v="0"/>
    <n v="3"/>
    <n v="23"/>
    <n v="3"/>
    <m/>
    <n v="0"/>
    <n v="0"/>
    <n v="211669"/>
    <n v="26703"/>
    <n v="0"/>
    <n v="0"/>
    <n v="22"/>
    <n v="202466"/>
    <n v="50394.95798319328"/>
    <n v="6"/>
    <n v="23"/>
    <n v="1"/>
    <m/>
    <n v="0"/>
    <n v="0"/>
    <n v="211669"/>
    <n v="8901"/>
    <n v="0"/>
    <n v="0"/>
    <n v="23"/>
    <n v="202466"/>
    <n v="16798.31932773109"/>
    <n v="9"/>
    <n v="23"/>
    <n v="1"/>
    <n v="0"/>
    <n v="0"/>
    <n v="0"/>
    <n v="211669"/>
    <n v="8901"/>
    <n v="0"/>
    <n v="0"/>
    <n v="23"/>
    <n v="202466"/>
    <n v="16798.31932773109"/>
    <n v="9"/>
    <n v="22"/>
    <n v="9"/>
    <n v="0"/>
    <n v="0"/>
    <n v="0"/>
    <n v="202466"/>
    <n v="80109"/>
    <n v="0"/>
    <n v="0"/>
    <n v="22"/>
    <n v="202466"/>
    <n v="151184.8739495798"/>
    <n v="9"/>
    <n v="13"/>
    <n v="9"/>
    <n v="0"/>
    <n v="0"/>
    <n v="0"/>
    <n v="115713"/>
    <n v="80109"/>
    <n v="0"/>
    <n v="0"/>
    <n v="13"/>
    <n v="115713"/>
    <n v="151184.8739495798"/>
    <n v="0"/>
    <n v="4"/>
    <n v="0"/>
    <n v="0"/>
    <n v="0"/>
    <n v="0"/>
    <m/>
    <n v="35604"/>
    <n v="0"/>
    <n v="0"/>
    <n v="0"/>
    <n v="4"/>
    <n v="35604"/>
    <n v="0"/>
    <n v="0"/>
    <n v="4"/>
    <n v="0"/>
    <n v="0"/>
    <n v="0"/>
    <n v="35604"/>
    <n v="0"/>
    <n v="0"/>
    <n v="0"/>
    <n v="4"/>
    <n v="35604"/>
    <n v="0"/>
    <n v="0"/>
    <n v="4"/>
    <n v="0"/>
    <n v="0"/>
    <n v="0"/>
    <n v="35604"/>
    <n v="0"/>
    <n v="0"/>
    <n v="4"/>
    <n v="35604"/>
    <n v="0"/>
    <n v="0"/>
    <n v="4"/>
    <n v="0"/>
    <n v="0"/>
    <m/>
    <n v="35604"/>
    <n v="0"/>
    <n v="0"/>
    <n v="4"/>
    <n v="35604"/>
    <n v="0"/>
  </r>
  <r>
    <s v="Lhotse-Vestuario"/>
    <x v="4"/>
    <x v="21"/>
    <x v="49"/>
    <s v="LTS26-WLG03"/>
    <x v="346"/>
    <x v="327"/>
    <x v="0"/>
    <x v="5"/>
    <n v="1"/>
    <x v="197"/>
    <n v="12"/>
    <m/>
    <n v="0"/>
    <n v="9203"/>
    <n v="110436"/>
    <n v="8.6"/>
    <n v="9395.5"/>
    <n v="16798.31932773109"/>
    <n v="15117.64705882353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4337312330790057"/>
    <n v="5"/>
    <n v="0.163211492998727"/>
    <n v="0"/>
    <s v=""/>
    <n v="0"/>
    <s v=""/>
    <n v="3"/>
    <n v="0.1428704485659945"/>
    <n v="0"/>
    <s v=""/>
    <n v="0"/>
    <n v="-2"/>
    <n v="0.2000173886816917"/>
    <n v="-1"/>
    <n v="0"/>
    <s v=""/>
    <n v="0"/>
    <n v="1"/>
    <n v="0.2694369579719813"/>
    <n v="0.25"/>
    <n v="0"/>
    <s v=""/>
    <n v="0"/>
    <m/>
    <m/>
    <m/>
    <m/>
    <m/>
    <m/>
    <m/>
    <m/>
    <m/>
    <m/>
    <m/>
    <m/>
    <n v="3"/>
    <n v="12"/>
    <n v="3"/>
    <n v="0"/>
    <n v="0"/>
    <n v="0"/>
    <n v="55218"/>
    <n v="106812"/>
    <n v="27609"/>
    <n v="0"/>
    <n v="12"/>
    <n v="110436"/>
    <n v="42348.70418755738"/>
    <n v="2"/>
    <n v="13"/>
    <n v="0"/>
    <n v="0"/>
    <n v="0"/>
    <n v="0"/>
    <n v="27609"/>
    <n v="115713"/>
    <n v="0"/>
    <n v="0"/>
    <n v="12"/>
    <n v="110436"/>
    <n v="0"/>
    <n v="2"/>
    <n v="15"/>
    <n v="3"/>
    <n v="0"/>
    <n v="0"/>
    <n v="45411"/>
    <n v="138045"/>
    <n v="27609"/>
    <n v="0"/>
    <n v="12"/>
    <n v="110436"/>
    <n v="50394.95798319328"/>
    <n v="2"/>
    <n v="14"/>
    <n v="0"/>
    <n v="0"/>
    <n v="0"/>
    <n v="124614"/>
    <n v="0"/>
    <n v="0"/>
    <n v="0"/>
    <n v="12"/>
    <n v="110436"/>
    <n v="0"/>
    <n v="2"/>
    <n v="10"/>
    <n v="2"/>
    <m/>
    <n v="0"/>
    <n v="0"/>
    <n v="92030"/>
    <n v="17802"/>
    <n v="0"/>
    <n v="0"/>
    <n v="12"/>
    <n v="110436"/>
    <n v="33596.63865546219"/>
    <n v="5"/>
    <n v="12"/>
    <n v="0"/>
    <m/>
    <n v="0"/>
    <n v="0"/>
    <n v="110436"/>
    <n v="0"/>
    <n v="0"/>
    <n v="0"/>
    <n v="12"/>
    <n v="110436"/>
    <n v="0"/>
    <n v="4"/>
    <n v="13"/>
    <n v="1"/>
    <n v="0"/>
    <n v="0"/>
    <n v="0"/>
    <n v="119639"/>
    <n v="8901"/>
    <n v="0"/>
    <n v="0"/>
    <n v="13"/>
    <n v="110436"/>
    <n v="16798.31932773109"/>
    <n v="4"/>
    <n v="12"/>
    <n v="4"/>
    <n v="0"/>
    <n v="0"/>
    <n v="0"/>
    <n v="110436"/>
    <n v="35604"/>
    <n v="0"/>
    <n v="0"/>
    <n v="12"/>
    <n v="110436"/>
    <n v="67193.27731092437"/>
    <n v="4"/>
    <n v="8"/>
    <n v="4"/>
    <n v="0"/>
    <n v="0"/>
    <n v="0"/>
    <n v="71208"/>
    <n v="35604"/>
    <n v="0"/>
    <n v="0"/>
    <n v="8"/>
    <n v="71208"/>
    <n v="67193.27731092437"/>
    <n v="0"/>
    <n v="4"/>
    <n v="0"/>
    <n v="0"/>
    <n v="0"/>
    <n v="0"/>
    <m/>
    <n v="35604"/>
    <n v="0"/>
    <n v="0"/>
    <n v="0"/>
    <n v="4"/>
    <n v="35604"/>
    <n v="0"/>
    <n v="0"/>
    <n v="4"/>
    <n v="0"/>
    <n v="0"/>
    <n v="0"/>
    <n v="35604"/>
    <n v="0"/>
    <n v="0"/>
    <n v="0"/>
    <n v="4"/>
    <n v="35604"/>
    <n v="0"/>
    <n v="0"/>
    <n v="4"/>
    <n v="0"/>
    <n v="0"/>
    <n v="0"/>
    <n v="35604"/>
    <n v="0"/>
    <n v="0"/>
    <n v="4"/>
    <n v="35604"/>
    <n v="0"/>
    <n v="0"/>
    <n v="4"/>
    <n v="0"/>
    <n v="0"/>
    <m/>
    <n v="35604"/>
    <n v="0"/>
    <n v="0"/>
    <n v="4"/>
    <n v="35604"/>
    <n v="0"/>
  </r>
  <r>
    <s v="Lhotse-Vestuario"/>
    <x v="4"/>
    <x v="21"/>
    <x v="49"/>
    <s v="LTS26-WLG03"/>
    <x v="347"/>
    <x v="327"/>
    <x v="0"/>
    <x v="5"/>
    <n v="1"/>
    <x v="198"/>
    <n v="19"/>
    <m/>
    <n v="0"/>
    <n v="9203"/>
    <n v="174857"/>
    <n v="8.6"/>
    <n v="9395.5"/>
    <n v="16798.31932773109"/>
    <n v="15117.64705882353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50945240041221"/>
    <n v="0"/>
    <s v=""/>
    <n v="0"/>
    <s v=""/>
    <n v="0"/>
    <s v=""/>
    <n v="1"/>
    <n v="0"/>
    <n v="0.5"/>
    <n v="0"/>
    <s v=""/>
    <n v="0"/>
    <n v="0"/>
    <s v=""/>
    <n v="0"/>
    <n v="1"/>
    <n v="0.2694369579719813"/>
    <n v="0.1428571428571428"/>
    <n v="0"/>
    <s v=""/>
    <n v="0"/>
    <m/>
    <m/>
    <m/>
    <m/>
    <m/>
    <m/>
    <m/>
    <m/>
    <m/>
    <m/>
    <m/>
    <m/>
    <n v="3"/>
    <n v="18"/>
    <n v="3"/>
    <n v="0"/>
    <n v="0"/>
    <n v="0"/>
    <n v="27609"/>
    <n v="160218"/>
    <n v="27609"/>
    <n v="0"/>
    <n v="19"/>
    <n v="174857"/>
    <n v="42348.70418755738"/>
    <n v="2"/>
    <n v="19"/>
    <n v="0"/>
    <n v="0"/>
    <n v="0"/>
    <n v="0"/>
    <n v="9203"/>
    <n v="169119"/>
    <n v="0"/>
    <n v="0"/>
    <n v="19"/>
    <n v="174857"/>
    <n v="0"/>
    <n v="2"/>
    <n v="21"/>
    <n v="0"/>
    <n v="0"/>
    <n v="0"/>
    <n v="27005"/>
    <n v="193263"/>
    <n v="0"/>
    <n v="0"/>
    <n v="19"/>
    <n v="174857"/>
    <n v="0"/>
    <n v="2"/>
    <n v="21"/>
    <n v="1"/>
    <n v="0"/>
    <n v="0"/>
    <n v="186921"/>
    <n v="9203"/>
    <n v="0"/>
    <n v="0"/>
    <n v="19"/>
    <n v="174857"/>
    <n v="16798.31932773109"/>
    <n v="2"/>
    <n v="19"/>
    <n v="2"/>
    <m/>
    <n v="0"/>
    <n v="0"/>
    <n v="174857"/>
    <n v="17802"/>
    <n v="0"/>
    <n v="0"/>
    <n v="19"/>
    <n v="174857"/>
    <n v="33596.63865546219"/>
    <n v="5"/>
    <n v="19"/>
    <n v="0"/>
    <m/>
    <n v="0"/>
    <n v="0"/>
    <n v="174857"/>
    <n v="0"/>
    <n v="0"/>
    <n v="0"/>
    <n v="19"/>
    <n v="174857"/>
    <n v="0"/>
    <n v="7"/>
    <n v="20"/>
    <n v="1"/>
    <n v="0"/>
    <n v="0"/>
    <n v="0"/>
    <n v="184060"/>
    <n v="8901"/>
    <n v="0"/>
    <n v="0"/>
    <n v="20"/>
    <n v="174857"/>
    <n v="16798.31932773109"/>
    <n v="7"/>
    <n v="19"/>
    <n v="7"/>
    <n v="0"/>
    <n v="0"/>
    <n v="0"/>
    <n v="174857"/>
    <n v="62307"/>
    <n v="0"/>
    <n v="0"/>
    <n v="19"/>
    <n v="174857"/>
    <n v="117588.2352941177"/>
    <n v="7"/>
    <n v="12"/>
    <n v="7"/>
    <n v="0"/>
    <n v="0"/>
    <n v="0"/>
    <n v="106812"/>
    <n v="62307"/>
    <n v="0"/>
    <n v="0"/>
    <n v="12"/>
    <n v="106812"/>
    <n v="117588.2352941177"/>
    <n v="0"/>
    <n v="5"/>
    <n v="0"/>
    <n v="0"/>
    <n v="0"/>
    <n v="0"/>
    <m/>
    <n v="44505"/>
    <n v="0"/>
    <n v="0"/>
    <n v="0"/>
    <n v="5"/>
    <n v="44505"/>
    <n v="0"/>
    <n v="0"/>
    <n v="5"/>
    <n v="0"/>
    <n v="0"/>
    <n v="0"/>
    <n v="44505"/>
    <n v="0"/>
    <n v="0"/>
    <n v="0"/>
    <n v="5"/>
    <n v="44505"/>
    <n v="0"/>
    <n v="0"/>
    <n v="5"/>
    <n v="0"/>
    <n v="0"/>
    <n v="0"/>
    <n v="44505"/>
    <n v="0"/>
    <n v="0"/>
    <n v="5"/>
    <n v="44505"/>
    <n v="0"/>
    <n v="0"/>
    <n v="5"/>
    <n v="0"/>
    <n v="0"/>
    <m/>
    <n v="44505"/>
    <n v="0"/>
    <n v="0"/>
    <n v="5"/>
    <n v="44505"/>
    <n v="0"/>
  </r>
  <r>
    <s v="Lhotse-Vestuario"/>
    <x v="4"/>
    <x v="21"/>
    <x v="49"/>
    <s v="LTS26-WLG03"/>
    <x v="348"/>
    <x v="327"/>
    <x v="0"/>
    <x v="5"/>
    <n v="1"/>
    <x v="199"/>
    <n v="4"/>
    <m/>
    <n v="0"/>
    <n v="9296"/>
    <n v="37184"/>
    <n v="8.6"/>
    <n v="9395.5"/>
    <n v="16798.31932773109"/>
    <n v="15117.64705882353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1041129360662413"/>
    <n v="1"/>
    <n v="0.5573333333333333"/>
    <n v="2"/>
    <n v="0.3025760555894002"/>
    <n v="0"/>
    <s v=""/>
    <n v="2"/>
    <n v="0.1754995032059367"/>
    <n v="1"/>
    <n v="0"/>
    <s v=""/>
    <n v="0"/>
    <n v="1"/>
    <n v="0"/>
    <n v="0.1666666666666667"/>
    <n v="0"/>
    <s v=""/>
    <n v="0"/>
    <n v="0"/>
    <s v=""/>
    <n v="0"/>
    <m/>
    <m/>
    <m/>
    <m/>
    <m/>
    <m/>
    <m/>
    <m/>
    <m/>
    <m/>
    <m/>
    <m/>
    <n v="2"/>
    <n v="12"/>
    <n v="2"/>
    <n v="0"/>
    <n v="0"/>
    <n v="0"/>
    <n v="46480"/>
    <n v="106812"/>
    <n v="18592"/>
    <n v="0"/>
    <n v="4"/>
    <n v="37184"/>
    <n v="28232.46945837159"/>
    <n v="2"/>
    <n v="7"/>
    <n v="3"/>
    <n v="0"/>
    <n v="0"/>
    <n v="0"/>
    <n v="46480"/>
    <n v="62307"/>
    <n v="27888"/>
    <n v="0"/>
    <n v="4"/>
    <n v="37184"/>
    <n v="42348.70418755738"/>
    <n v="2"/>
    <n v="6"/>
    <n v="0"/>
    <n v="0"/>
    <n v="0"/>
    <n v="36394"/>
    <n v="55776"/>
    <n v="0"/>
    <n v="0"/>
    <n v="4"/>
    <n v="37184"/>
    <n v="0"/>
    <n v="2"/>
    <n v="6"/>
    <n v="2"/>
    <n v="0"/>
    <n v="0"/>
    <n v="53406"/>
    <n v="18592"/>
    <n v="0"/>
    <n v="0"/>
    <n v="4"/>
    <n v="37184"/>
    <n v="33596.63865546219"/>
    <n v="2"/>
    <n v="4"/>
    <n v="2"/>
    <m/>
    <n v="0"/>
    <n v="0"/>
    <n v="37184"/>
    <n v="17802"/>
    <n v="0"/>
    <n v="0"/>
    <n v="4"/>
    <n v="37184"/>
    <n v="33596.63865546219"/>
    <n v="6"/>
    <n v="5"/>
    <n v="1"/>
    <m/>
    <n v="0"/>
    <n v="0"/>
    <n v="46480"/>
    <n v="8901"/>
    <n v="0"/>
    <n v="0"/>
    <n v="5"/>
    <n v="37184"/>
    <n v="16798.31932773109"/>
    <n v="2"/>
    <n v="4"/>
    <n v="0"/>
    <n v="0"/>
    <n v="0"/>
    <n v="0"/>
    <n v="37184"/>
    <n v="0"/>
    <n v="0"/>
    <n v="0"/>
    <n v="4"/>
    <n v="37184"/>
    <n v="0"/>
    <n v="2"/>
    <n v="4"/>
    <n v="2"/>
    <n v="0"/>
    <n v="0"/>
    <n v="0"/>
    <n v="37184"/>
    <n v="17802"/>
    <n v="0"/>
    <n v="0"/>
    <n v="4"/>
    <n v="37184"/>
    <n v="33596.63865546219"/>
    <n v="2"/>
    <n v="2"/>
    <n v="2"/>
    <n v="0"/>
    <n v="0"/>
    <n v="0"/>
    <n v="17802"/>
    <n v="17802"/>
    <n v="0"/>
    <n v="0"/>
    <n v="2"/>
    <n v="17802"/>
    <n v="33596.6386554621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49"/>
    <s v="LTS26-WLG03"/>
    <x v="349"/>
    <x v="327"/>
    <x v="0"/>
    <x v="5"/>
    <n v="1"/>
    <x v="200"/>
    <n v="11"/>
    <m/>
    <n v="0"/>
    <n v="9296"/>
    <n v="102256"/>
    <n v="8.6"/>
    <n v="9395.5"/>
    <n v="16798.31932773109"/>
    <n v="15117.64705882353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3851038513879186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2"/>
    <n v="14"/>
    <n v="2"/>
    <n v="0"/>
    <n v="0"/>
    <n v="0"/>
    <n v="27888"/>
    <n v="124614"/>
    <n v="18592"/>
    <n v="0"/>
    <n v="11"/>
    <n v="102256"/>
    <n v="28232.46945837159"/>
    <n v="2"/>
    <n v="12"/>
    <n v="0"/>
    <n v="0"/>
    <n v="0"/>
    <n v="0"/>
    <n v="9296"/>
    <n v="106812"/>
    <n v="0"/>
    <n v="0"/>
    <n v="11"/>
    <n v="102256"/>
    <n v="0"/>
    <n v="2"/>
    <n v="12"/>
    <n v="1"/>
    <n v="0"/>
    <n v="0"/>
    <n v="27098"/>
    <n v="111552"/>
    <n v="9296"/>
    <n v="0"/>
    <n v="11"/>
    <n v="102256"/>
    <n v="16798.31932773109"/>
    <n v="2"/>
    <n v="11"/>
    <n v="0"/>
    <n v="0"/>
    <n v="0"/>
    <n v="97911"/>
    <n v="0"/>
    <n v="0"/>
    <n v="0"/>
    <n v="11"/>
    <n v="102256"/>
    <n v="0"/>
    <n v="2"/>
    <n v="11"/>
    <n v="2"/>
    <m/>
    <n v="0"/>
    <n v="0"/>
    <n v="102256"/>
    <n v="17802"/>
    <n v="0"/>
    <n v="0"/>
    <n v="11"/>
    <n v="102256"/>
    <n v="33596.63865546219"/>
    <n v="6"/>
    <n v="11"/>
    <n v="0"/>
    <m/>
    <n v="0"/>
    <n v="0"/>
    <n v="102256"/>
    <n v="0"/>
    <n v="0"/>
    <n v="0"/>
    <n v="11"/>
    <n v="102256"/>
    <n v="0"/>
    <n v="4"/>
    <n v="11"/>
    <n v="0"/>
    <n v="0"/>
    <n v="0"/>
    <n v="0"/>
    <n v="102256"/>
    <n v="0"/>
    <n v="0"/>
    <n v="0"/>
    <n v="11"/>
    <n v="102256"/>
    <n v="0"/>
    <n v="4"/>
    <n v="11"/>
    <n v="4"/>
    <n v="0"/>
    <n v="0"/>
    <n v="0"/>
    <n v="102256"/>
    <n v="35604"/>
    <n v="0"/>
    <n v="0"/>
    <n v="11"/>
    <n v="102256"/>
    <n v="67193.27731092437"/>
    <n v="4"/>
    <n v="7"/>
    <n v="4"/>
    <n v="0"/>
    <n v="0"/>
    <n v="0"/>
    <n v="62307"/>
    <n v="35604"/>
    <n v="0"/>
    <n v="0"/>
    <n v="7"/>
    <n v="62307"/>
    <n v="67193.27731092437"/>
    <n v="0"/>
    <n v="3"/>
    <n v="0"/>
    <n v="0"/>
    <n v="0"/>
    <n v="0"/>
    <m/>
    <n v="26703"/>
    <n v="0"/>
    <n v="0"/>
    <n v="0"/>
    <n v="3"/>
    <n v="26703"/>
    <n v="0"/>
    <n v="0"/>
    <n v="3"/>
    <n v="0"/>
    <n v="0"/>
    <n v="0"/>
    <n v="26703"/>
    <n v="0"/>
    <n v="0"/>
    <n v="0"/>
    <n v="3"/>
    <n v="26703"/>
    <n v="0"/>
    <n v="0"/>
    <n v="3"/>
    <n v="0"/>
    <n v="0"/>
    <n v="0"/>
    <n v="26703"/>
    <n v="0"/>
    <n v="0"/>
    <n v="3"/>
    <n v="26703"/>
    <n v="0"/>
    <n v="0"/>
    <n v="3"/>
    <n v="0"/>
    <n v="0"/>
    <m/>
    <n v="26703"/>
    <n v="0"/>
    <n v="0"/>
    <n v="3"/>
    <n v="26703"/>
    <n v="0"/>
  </r>
  <r>
    <s v="Lhotse-Vestuario"/>
    <x v="4"/>
    <x v="21"/>
    <x v="49"/>
    <s v="LTS26-WSB01"/>
    <x v="350"/>
    <x v="328"/>
    <x v="0"/>
    <x v="5"/>
    <n v="1"/>
    <x v="201"/>
    <n v="15"/>
    <m/>
    <n v="0"/>
    <n v="6645"/>
    <n v="99675"/>
    <n v="5.9"/>
    <n v="6445.7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2"/>
    <n v="0.3612837155166594"/>
    <n v="0"/>
    <s v=""/>
    <n v="0"/>
    <s v=""/>
    <n v="2"/>
    <n v="0.2276007256760373"/>
    <n v="0.6666666666666666"/>
    <n v="1"/>
    <n v="0.4138670224594174"/>
    <n v="0.3333333333333333"/>
    <n v="1"/>
    <n v="-0.05753453453453454"/>
    <n v="0.1666666666666667"/>
    <n v="1"/>
    <n v="0.2084584584584585"/>
    <n v="0.1666666666666667"/>
    <n v="1"/>
    <n v="0.2084584584584585"/>
    <n v="0.1666666666666667"/>
    <m/>
    <m/>
    <m/>
    <m/>
    <m/>
    <m/>
    <m/>
    <m/>
    <m/>
    <m/>
    <m/>
    <m/>
    <n v="5"/>
    <n v="24"/>
    <n v="5"/>
    <n v="0"/>
    <n v="0"/>
    <n v="0"/>
    <n v="33225"/>
    <n v="146556"/>
    <n v="33225"/>
    <n v="0"/>
    <n v="15"/>
    <n v="99675"/>
    <n v="52927.05317421087"/>
    <n v="3"/>
    <n v="21"/>
    <n v="0"/>
    <n v="0"/>
    <n v="0"/>
    <n v="0"/>
    <n v="13290"/>
    <n v="128236.5"/>
    <n v="0"/>
    <n v="0"/>
    <n v="15"/>
    <n v="99675"/>
    <n v="0"/>
    <n v="3"/>
    <n v="22"/>
    <n v="0"/>
    <n v="0"/>
    <n v="0"/>
    <n v="31609.5"/>
    <n v="146190"/>
    <n v="0"/>
    <n v="0"/>
    <n v="15"/>
    <n v="99675"/>
    <n v="0"/>
    <n v="3"/>
    <n v="21"/>
    <n v="2"/>
    <n v="0"/>
    <n v="0"/>
    <n v="128236.5"/>
    <n v="13290"/>
    <n v="0"/>
    <n v="0"/>
    <n v="15"/>
    <n v="99675"/>
    <n v="25193.27731092437"/>
    <n v="3"/>
    <n v="16"/>
    <n v="3"/>
    <m/>
    <n v="0"/>
    <n v="0"/>
    <n v="106320"/>
    <n v="18319.5"/>
    <n v="0"/>
    <n v="0"/>
    <n v="15"/>
    <n v="99675"/>
    <n v="37789.91596638656"/>
    <n v="6"/>
    <n v="16"/>
    <n v="1"/>
    <m/>
    <n v="0"/>
    <n v="0"/>
    <n v="106320"/>
    <n v="6106.499999999999"/>
    <n v="0"/>
    <n v="0"/>
    <n v="16"/>
    <n v="99675"/>
    <n v="12596.63865546219"/>
    <n v="6"/>
    <n v="16"/>
    <n v="1"/>
    <n v="0"/>
    <n v="0"/>
    <n v="0"/>
    <n v="106320"/>
    <n v="6106.499999999999"/>
    <n v="0"/>
    <n v="0"/>
    <n v="16"/>
    <n v="99675"/>
    <n v="12596.63865546219"/>
    <n v="6"/>
    <n v="15"/>
    <n v="6"/>
    <n v="0"/>
    <n v="0"/>
    <n v="0"/>
    <n v="99675"/>
    <n v="36638.99999999999"/>
    <n v="0"/>
    <n v="0"/>
    <n v="15"/>
    <n v="99675"/>
    <n v="75579.83193277312"/>
    <n v="6"/>
    <n v="9"/>
    <n v="6"/>
    <n v="0"/>
    <n v="0"/>
    <n v="0"/>
    <n v="54958.49999999999"/>
    <n v="36638.99999999999"/>
    <n v="0"/>
    <n v="0"/>
    <n v="9"/>
    <n v="54958.49999999999"/>
    <n v="75579.83193277312"/>
    <n v="0"/>
    <n v="3"/>
    <n v="0"/>
    <n v="0"/>
    <n v="0"/>
    <n v="0"/>
    <m/>
    <n v="18319.5"/>
    <n v="0"/>
    <n v="0"/>
    <n v="0"/>
    <n v="3"/>
    <n v="18319.5"/>
    <n v="0"/>
    <n v="0"/>
    <n v="3"/>
    <n v="0"/>
    <n v="0"/>
    <n v="0"/>
    <n v="18319.5"/>
    <n v="0"/>
    <n v="0"/>
    <n v="0"/>
    <n v="3"/>
    <n v="18319.5"/>
    <n v="0"/>
    <n v="0"/>
    <n v="3"/>
    <n v="0"/>
    <n v="0"/>
    <n v="0"/>
    <n v="18319.5"/>
    <n v="0"/>
    <n v="0"/>
    <n v="3"/>
    <n v="18319.5"/>
    <n v="0"/>
    <n v="0"/>
    <n v="3"/>
    <n v="0"/>
    <n v="0"/>
    <m/>
    <n v="18319.5"/>
    <n v="0"/>
    <n v="0"/>
    <n v="3"/>
    <n v="18319.5"/>
    <n v="0"/>
  </r>
  <r>
    <s v="Lhotse-Vestuario"/>
    <x v="4"/>
    <x v="21"/>
    <x v="49"/>
    <s v="LTS26-WSB01"/>
    <x v="351"/>
    <x v="328"/>
    <x v="0"/>
    <x v="5"/>
    <n v="1"/>
    <x v="202"/>
    <n v="27"/>
    <m/>
    <n v="0"/>
    <n v="6487"/>
    <n v="175149"/>
    <n v="5.9"/>
    <n v="6445.7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5456328360299783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5"/>
    <n v="24"/>
    <n v="5"/>
    <n v="0"/>
    <n v="0"/>
    <n v="0"/>
    <n v="32435"/>
    <n v="146556"/>
    <n v="32435"/>
    <n v="0"/>
    <n v="27"/>
    <n v="175149"/>
    <n v="52927.05317421087"/>
    <n v="3"/>
    <n v="25"/>
    <n v="0"/>
    <n v="0"/>
    <n v="0"/>
    <n v="0"/>
    <n v="0"/>
    <n v="152662.5"/>
    <n v="0"/>
    <n v="0"/>
    <n v="27"/>
    <n v="175149"/>
    <n v="0"/>
    <n v="3"/>
    <n v="26"/>
    <n v="0"/>
    <n v="0"/>
    <n v="0"/>
    <n v="18319.5"/>
    <n v="168662"/>
    <n v="0"/>
    <n v="0"/>
    <n v="27"/>
    <n v="175149"/>
    <n v="0"/>
    <n v="3"/>
    <n v="26"/>
    <n v="0"/>
    <n v="0"/>
    <n v="0"/>
    <n v="158769"/>
    <n v="0"/>
    <n v="0"/>
    <n v="0"/>
    <n v="27"/>
    <n v="175149"/>
    <n v="0"/>
    <n v="3"/>
    <n v="27"/>
    <n v="3"/>
    <m/>
    <n v="0"/>
    <n v="0"/>
    <n v="175149"/>
    <n v="18319.5"/>
    <n v="0"/>
    <n v="0"/>
    <n v="27"/>
    <n v="175149"/>
    <n v="37789.91596638656"/>
    <n v="6"/>
    <n v="27"/>
    <n v="0"/>
    <m/>
    <n v="0"/>
    <n v="0"/>
    <n v="175149"/>
    <n v="0"/>
    <n v="0"/>
    <n v="0"/>
    <n v="27"/>
    <n v="175149"/>
    <n v="0"/>
    <n v="9"/>
    <n v="27"/>
    <n v="0"/>
    <n v="0"/>
    <n v="0"/>
    <n v="0"/>
    <n v="175149"/>
    <n v="0"/>
    <n v="0"/>
    <n v="0"/>
    <n v="27"/>
    <n v="175149"/>
    <n v="0"/>
    <n v="9"/>
    <n v="27"/>
    <n v="9"/>
    <n v="0"/>
    <n v="0"/>
    <n v="0"/>
    <n v="175149"/>
    <n v="54958.49999999999"/>
    <n v="0"/>
    <n v="0"/>
    <n v="27"/>
    <n v="175149"/>
    <n v="113369.7478991597"/>
    <n v="9"/>
    <n v="18"/>
    <n v="9"/>
    <n v="0"/>
    <n v="0"/>
    <n v="0"/>
    <n v="109917"/>
    <n v="54958.49999999999"/>
    <n v="0"/>
    <n v="0"/>
    <n v="18"/>
    <n v="109917"/>
    <n v="113369.7478991597"/>
    <n v="0"/>
    <n v="9"/>
    <n v="0"/>
    <n v="0"/>
    <n v="0"/>
    <n v="0"/>
    <m/>
    <n v="54958.49999999999"/>
    <n v="0"/>
    <n v="0"/>
    <n v="0"/>
    <n v="9"/>
    <n v="54958.49999999999"/>
    <n v="0"/>
    <n v="0"/>
    <n v="9"/>
    <n v="0"/>
    <n v="0"/>
    <n v="0"/>
    <n v="54958.49999999999"/>
    <n v="0"/>
    <n v="0"/>
    <n v="0"/>
    <n v="9"/>
    <n v="54958.49999999999"/>
    <n v="0"/>
    <n v="0"/>
    <n v="9"/>
    <n v="0"/>
    <n v="0"/>
    <n v="0"/>
    <n v="54958.49999999999"/>
    <n v="0"/>
    <n v="0"/>
    <n v="9"/>
    <n v="54958.49999999999"/>
    <n v="0"/>
    <n v="0"/>
    <n v="9"/>
    <n v="0"/>
    <n v="0"/>
    <m/>
    <n v="54958.49999999999"/>
    <n v="0"/>
    <n v="0"/>
    <n v="9"/>
    <n v="54958.49999999999"/>
    <n v="0"/>
  </r>
  <r>
    <s v="Lhotse-Vestuario"/>
    <x v="4"/>
    <x v="21"/>
    <x v="49"/>
    <s v="LTS26-WSB01"/>
    <x v="352"/>
    <x v="328"/>
    <x v="0"/>
    <x v="5"/>
    <n v="1"/>
    <x v="203"/>
    <n v="24"/>
    <m/>
    <n v="0"/>
    <n v="6314"/>
    <n v="151536"/>
    <n v="5.9"/>
    <n v="6445.7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07694556795477803"/>
    <n v="4"/>
    <n v="0.2514966510580286"/>
    <n v="1"/>
    <n v="0"/>
    <n v="0"/>
    <s v=""/>
    <n v="1"/>
    <n v="0.2000506794797389"/>
    <n v="0"/>
    <s v=""/>
    <n v="0"/>
    <n v="1"/>
    <n v="0.2839759839893262"/>
    <n v="0.3333333333333333"/>
    <n v="2"/>
    <n v="0.1159029029029029"/>
    <n v="0.3333333333333333"/>
    <n v="-1"/>
    <n v="0.2478868868868869"/>
    <n v="-0.1111111111111111"/>
    <n v="2"/>
    <n v="0.2478868868868869"/>
    <n v="0.2222222222222222"/>
    <m/>
    <m/>
    <m/>
    <m/>
    <m/>
    <m/>
    <m/>
    <m/>
    <m/>
    <m/>
    <m/>
    <m/>
    <n v="5"/>
    <n v="28"/>
    <n v="5"/>
    <n v="0"/>
    <n v="0"/>
    <n v="0"/>
    <n v="37884"/>
    <n v="170982"/>
    <n v="31570"/>
    <n v="0"/>
    <n v="24"/>
    <n v="151536"/>
    <n v="52927.05317421087"/>
    <n v="3"/>
    <n v="26"/>
    <n v="0"/>
    <n v="0"/>
    <n v="0"/>
    <n v="0"/>
    <n v="6314"/>
    <n v="158769"/>
    <n v="0"/>
    <n v="0"/>
    <n v="24"/>
    <n v="151536"/>
    <n v="0"/>
    <n v="3"/>
    <n v="28"/>
    <n v="1"/>
    <n v="0"/>
    <n v="0"/>
    <n v="24633.5"/>
    <n v="176792"/>
    <n v="6314"/>
    <n v="0"/>
    <n v="24"/>
    <n v="151536"/>
    <n v="12596.63865546219"/>
    <n v="3"/>
    <n v="28"/>
    <n v="0"/>
    <n v="0"/>
    <n v="0"/>
    <n v="170982"/>
    <n v="0"/>
    <n v="0"/>
    <n v="0"/>
    <n v="24"/>
    <n v="151536"/>
    <n v="0"/>
    <n v="3"/>
    <n v="25"/>
    <n v="3"/>
    <m/>
    <n v="0"/>
    <n v="0"/>
    <n v="157850"/>
    <n v="18319.5"/>
    <n v="0"/>
    <n v="0"/>
    <n v="24"/>
    <n v="151536"/>
    <n v="37789.91596638656"/>
    <n v="6"/>
    <n v="26"/>
    <n v="2"/>
    <m/>
    <n v="0"/>
    <n v="0"/>
    <n v="164164"/>
    <n v="12213"/>
    <n v="0"/>
    <n v="0"/>
    <n v="26"/>
    <n v="151536"/>
    <n v="25193.27731092437"/>
    <n v="9"/>
    <n v="23"/>
    <n v="-1"/>
    <n v="0"/>
    <n v="0"/>
    <n v="0"/>
    <n v="145222"/>
    <n v="-6106.499999999999"/>
    <n v="0"/>
    <n v="0"/>
    <n v="23"/>
    <n v="151536"/>
    <n v="-12596.63865546219"/>
    <n v="9"/>
    <n v="24"/>
    <n v="9"/>
    <n v="0"/>
    <n v="0"/>
    <n v="0"/>
    <n v="151536"/>
    <n v="54958.49999999999"/>
    <n v="0"/>
    <n v="0"/>
    <n v="24"/>
    <n v="151536"/>
    <n v="113369.7478991597"/>
    <n v="9"/>
    <n v="15"/>
    <n v="9"/>
    <n v="0"/>
    <n v="0"/>
    <n v="0"/>
    <n v="91597.49999999999"/>
    <n v="54958.49999999999"/>
    <n v="0"/>
    <n v="0"/>
    <n v="15"/>
    <n v="91597.49999999999"/>
    <n v="113369.7478991597"/>
    <n v="0"/>
    <n v="6"/>
    <n v="0"/>
    <n v="0"/>
    <n v="0"/>
    <n v="0"/>
    <m/>
    <n v="36638.99999999999"/>
    <n v="0"/>
    <n v="0"/>
    <n v="0"/>
    <n v="6"/>
    <n v="36638.99999999999"/>
    <n v="0"/>
    <n v="0"/>
    <n v="6"/>
    <n v="0"/>
    <n v="0"/>
    <n v="0"/>
    <n v="36638.99999999999"/>
    <n v="0"/>
    <n v="0"/>
    <n v="0"/>
    <n v="6"/>
    <n v="36638.99999999999"/>
    <n v="0"/>
    <n v="0"/>
    <n v="6"/>
    <n v="0"/>
    <n v="0"/>
    <n v="0"/>
    <n v="36638.99999999999"/>
    <n v="0"/>
    <n v="0"/>
    <n v="6"/>
    <n v="36638.99999999999"/>
    <n v="0"/>
    <n v="0"/>
    <n v="6"/>
    <n v="0"/>
    <n v="0"/>
    <m/>
    <n v="36638.99999999999"/>
    <n v="0"/>
    <n v="0"/>
    <n v="6"/>
    <n v="36638.99999999999"/>
    <n v="0"/>
  </r>
  <r>
    <s v="Lhotse-Vestuario"/>
    <x v="4"/>
    <x v="21"/>
    <x v="49"/>
    <s v="LTS26-WSB01"/>
    <x v="353"/>
    <x v="328"/>
    <x v="0"/>
    <x v="5"/>
    <n v="1"/>
    <x v="204"/>
    <n v="29"/>
    <m/>
    <n v="0"/>
    <n v="6314"/>
    <n v="183106"/>
    <n v="5.9"/>
    <n v="6445.7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"/>
    <n v="4"/>
    <n v="0.3352284691514003"/>
    <n v="0"/>
    <s v=""/>
    <n v="0"/>
    <s v=""/>
    <n v="0"/>
    <s v=""/>
    <n v="0"/>
    <s v=""/>
    <n v="0"/>
    <n v="0"/>
    <s v=""/>
    <n v="0"/>
    <n v="1"/>
    <n v="0.3572748267898384"/>
    <n v="0.1666666666666667"/>
    <n v="0"/>
    <s v=""/>
    <n v="0"/>
    <n v="1"/>
    <n v="0.2478868868868869"/>
    <n v="0.1"/>
    <m/>
    <m/>
    <m/>
    <m/>
    <m/>
    <m/>
    <m/>
    <m/>
    <m/>
    <m/>
    <m/>
    <m/>
    <n v="5"/>
    <n v="29"/>
    <n v="5"/>
    <n v="0"/>
    <n v="0"/>
    <n v="0"/>
    <n v="31570"/>
    <n v="177088.5"/>
    <n v="31570"/>
    <n v="0"/>
    <n v="29"/>
    <n v="183106"/>
    <n v="52927.05317421087"/>
    <n v="3"/>
    <n v="30"/>
    <n v="0"/>
    <n v="0"/>
    <n v="0"/>
    <n v="0"/>
    <n v="0"/>
    <n v="183195"/>
    <n v="0"/>
    <n v="0"/>
    <n v="29"/>
    <n v="183106"/>
    <n v="0"/>
    <n v="3"/>
    <n v="31"/>
    <n v="0"/>
    <n v="0"/>
    <n v="0"/>
    <n v="18319.5"/>
    <n v="195734"/>
    <n v="0"/>
    <n v="0"/>
    <n v="29"/>
    <n v="183106"/>
    <n v="0"/>
    <n v="3"/>
    <n v="31"/>
    <n v="0"/>
    <n v="0"/>
    <n v="0"/>
    <n v="189301.5"/>
    <n v="0"/>
    <n v="0"/>
    <n v="0"/>
    <n v="29"/>
    <n v="183106"/>
    <n v="0"/>
    <n v="3"/>
    <n v="29"/>
    <n v="3"/>
    <m/>
    <n v="0"/>
    <n v="0"/>
    <n v="183106"/>
    <n v="18319.5"/>
    <n v="0"/>
    <n v="0"/>
    <n v="29"/>
    <n v="183106"/>
    <n v="37789.91596638656"/>
    <n v="6"/>
    <n v="30"/>
    <n v="1"/>
    <m/>
    <n v="0"/>
    <n v="0"/>
    <n v="189420"/>
    <n v="6106.499999999999"/>
    <n v="0"/>
    <n v="0"/>
    <n v="30"/>
    <n v="183106"/>
    <n v="12596.63865546219"/>
    <n v="10"/>
    <n v="29"/>
    <n v="0"/>
    <n v="0"/>
    <n v="0"/>
    <n v="0"/>
    <n v="183106"/>
    <n v="0"/>
    <n v="0"/>
    <n v="0"/>
    <n v="29"/>
    <n v="183106"/>
    <n v="0"/>
    <n v="10"/>
    <n v="29"/>
    <n v="10"/>
    <n v="0"/>
    <n v="0"/>
    <n v="0"/>
    <n v="183106"/>
    <n v="61064.99999999999"/>
    <n v="0"/>
    <n v="0"/>
    <n v="29"/>
    <n v="183106"/>
    <n v="125966.3865546219"/>
    <n v="10"/>
    <n v="19"/>
    <n v="10"/>
    <n v="0"/>
    <n v="0"/>
    <n v="0"/>
    <n v="116023.5"/>
    <n v="61064.99999999999"/>
    <n v="0"/>
    <n v="0"/>
    <n v="19"/>
    <n v="116023.5"/>
    <n v="125966.3865546219"/>
    <n v="0"/>
    <n v="9"/>
    <n v="0"/>
    <n v="0"/>
    <n v="0"/>
    <n v="0"/>
    <m/>
    <n v="54958.49999999999"/>
    <n v="0"/>
    <n v="0"/>
    <n v="0"/>
    <n v="9"/>
    <n v="54958.49999999999"/>
    <n v="0"/>
    <n v="0"/>
    <n v="9"/>
    <n v="0"/>
    <n v="0"/>
    <n v="0"/>
    <n v="54958.49999999999"/>
    <n v="0"/>
    <n v="0"/>
    <n v="0"/>
    <n v="9"/>
    <n v="54958.49999999999"/>
    <n v="0"/>
    <n v="0"/>
    <n v="9"/>
    <n v="0"/>
    <n v="0"/>
    <n v="0"/>
    <n v="54958.49999999999"/>
    <n v="0"/>
    <n v="0"/>
    <n v="9"/>
    <n v="54958.49999999999"/>
    <n v="0"/>
    <n v="0"/>
    <n v="9"/>
    <n v="0"/>
    <n v="0"/>
    <m/>
    <n v="54958.49999999999"/>
    <n v="0"/>
    <n v="0"/>
    <n v="9"/>
    <n v="54958.49999999999"/>
    <n v="0"/>
  </r>
  <r>
    <s v="Lhotse-Vestuario"/>
    <x v="4"/>
    <x v="21"/>
    <x v="49"/>
    <s v="LTS26-WSB01"/>
    <x v="354"/>
    <x v="328"/>
    <x v="0"/>
    <x v="5"/>
    <n v="1"/>
    <x v="205"/>
    <n v="14"/>
    <m/>
    <n v="0"/>
    <n v="6314"/>
    <n v="88396"/>
    <n v="5.9"/>
    <n v="6445.7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6241219192761043"/>
    <n v="4"/>
    <n v="0.4702353484079372"/>
    <n v="0"/>
    <s v=""/>
    <n v="1"/>
    <n v="0.2000506794797389"/>
    <n v="1"/>
    <n v="0"/>
    <n v="0"/>
    <s v=""/>
    <n v="0"/>
    <n v="0"/>
    <s v=""/>
    <n v="0"/>
    <n v="1"/>
    <n v="0.4215842956120092"/>
    <n v="0.2"/>
    <n v="2"/>
    <n v="0.2478868868868869"/>
    <n v="0.3333333333333333"/>
    <n v="1"/>
    <n v="0.2478868868868869"/>
    <n v="0.1666666666666667"/>
    <m/>
    <m/>
    <m/>
    <m/>
    <m/>
    <m/>
    <m/>
    <m/>
    <m/>
    <m/>
    <m/>
    <m/>
    <n v="3"/>
    <n v="17"/>
    <n v="3"/>
    <n v="0"/>
    <n v="0"/>
    <n v="0"/>
    <n v="34727"/>
    <n v="103810.5"/>
    <n v="18942"/>
    <n v="0"/>
    <n v="14"/>
    <n v="88396"/>
    <n v="31756.23190452652"/>
    <n v="2"/>
    <n v="16"/>
    <n v="1.5"/>
    <n v="0"/>
    <n v="0"/>
    <n v="0"/>
    <n v="15785"/>
    <n v="97703.99999999999"/>
    <n v="9471"/>
    <n v="0"/>
    <n v="14"/>
    <n v="88396"/>
    <n v="15878.11595226326"/>
    <n v="2"/>
    <n v="17"/>
    <n v="1"/>
    <n v="0"/>
    <n v="0"/>
    <n v="18527"/>
    <n v="107338"/>
    <n v="6314"/>
    <n v="0"/>
    <n v="14"/>
    <n v="88396"/>
    <n v="12596.63865546219"/>
    <n v="2"/>
    <n v="16"/>
    <n v="0"/>
    <n v="0"/>
    <n v="0"/>
    <n v="97703.99999999999"/>
    <n v="0"/>
    <n v="0"/>
    <n v="0"/>
    <n v="14"/>
    <n v="88396"/>
    <n v="0"/>
    <n v="2"/>
    <n v="14"/>
    <n v="2"/>
    <m/>
    <n v="0"/>
    <n v="0"/>
    <n v="88396"/>
    <n v="12213"/>
    <n v="0"/>
    <n v="0"/>
    <n v="14"/>
    <n v="88396"/>
    <n v="25193.27731092437"/>
    <n v="5"/>
    <n v="15"/>
    <n v="1"/>
    <m/>
    <n v="0"/>
    <n v="0"/>
    <n v="94710"/>
    <n v="6106.499999999999"/>
    <n v="0"/>
    <n v="0"/>
    <n v="15"/>
    <n v="88396"/>
    <n v="12596.63865546219"/>
    <n v="6"/>
    <n v="16"/>
    <n v="2"/>
    <n v="0"/>
    <n v="0"/>
    <n v="0"/>
    <n v="101024"/>
    <n v="12213"/>
    <n v="0"/>
    <n v="0"/>
    <n v="16"/>
    <n v="88396"/>
    <n v="25193.27731092437"/>
    <n v="6"/>
    <n v="14"/>
    <n v="6"/>
    <n v="0"/>
    <n v="0"/>
    <n v="0"/>
    <n v="88396"/>
    <n v="36638.99999999999"/>
    <n v="0"/>
    <n v="0"/>
    <n v="14"/>
    <n v="88396"/>
    <n v="75579.83193277312"/>
    <n v="6"/>
    <n v="8"/>
    <n v="6"/>
    <n v="0"/>
    <n v="0"/>
    <n v="0"/>
    <n v="48851.99999999999"/>
    <n v="36638.99999999999"/>
    <n v="0"/>
    <n v="0"/>
    <n v="8"/>
    <n v="48851.99999999999"/>
    <n v="75579.83193277312"/>
    <n v="0"/>
    <n v="2"/>
    <n v="0"/>
    <n v="0"/>
    <n v="0"/>
    <n v="0"/>
    <m/>
    <n v="12213"/>
    <n v="0"/>
    <n v="0"/>
    <n v="0"/>
    <n v="2"/>
    <n v="12213"/>
    <n v="0"/>
    <n v="0"/>
    <n v="2"/>
    <n v="0"/>
    <n v="0"/>
    <n v="0"/>
    <n v="12213"/>
    <n v="0"/>
    <n v="0"/>
    <n v="0"/>
    <n v="2"/>
    <n v="12213"/>
    <n v="0"/>
    <n v="0"/>
    <n v="2"/>
    <n v="0"/>
    <n v="0"/>
    <n v="0"/>
    <n v="12213"/>
    <n v="0"/>
    <n v="0"/>
    <n v="2"/>
    <n v="12213"/>
    <n v="0"/>
    <n v="0"/>
    <n v="2"/>
    <n v="0"/>
    <n v="0"/>
    <m/>
    <n v="12213"/>
    <n v="0"/>
    <n v="0"/>
    <n v="2"/>
    <n v="12213"/>
    <n v="0"/>
  </r>
  <r>
    <s v="Lhotse-Vestuario"/>
    <x v="4"/>
    <x v="21"/>
    <x v="49"/>
    <s v="LTS26-WSB01"/>
    <x v="355"/>
    <x v="328"/>
    <x v="0"/>
    <x v="5"/>
    <n v="1"/>
    <x v="206"/>
    <n v="20"/>
    <m/>
    <n v="0"/>
    <n v="6314"/>
    <n v="126280"/>
    <n v="5.9"/>
    <n v="6445.7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1"/>
    <n v="0.4305041941011996"/>
    <n v="0"/>
    <s v=""/>
    <n v="0"/>
    <s v=""/>
    <n v="0"/>
    <s v=""/>
    <n v="0"/>
    <s v=""/>
    <n v="0"/>
    <n v="0"/>
    <s v=""/>
    <n v="0"/>
    <n v="0"/>
    <s v=""/>
    <n v="0"/>
    <n v="1"/>
    <n v="0.2478868868868869"/>
    <n v="0.125"/>
    <n v="2"/>
    <n v="0.2478868868868869"/>
    <n v="0.25"/>
    <m/>
    <m/>
    <m/>
    <m/>
    <m/>
    <m/>
    <m/>
    <m/>
    <m/>
    <m/>
    <m/>
    <m/>
    <n v="3"/>
    <n v="20"/>
    <n v="3"/>
    <n v="0"/>
    <n v="0"/>
    <n v="0"/>
    <n v="18942"/>
    <n v="122130"/>
    <n v="18942"/>
    <n v="0"/>
    <n v="20"/>
    <n v="126280"/>
    <n v="31756.23190452652"/>
    <n v="2"/>
    <n v="22"/>
    <n v="0"/>
    <n v="0"/>
    <n v="0"/>
    <n v="0"/>
    <n v="0"/>
    <n v="134343"/>
    <n v="0"/>
    <n v="0"/>
    <n v="20"/>
    <n v="126280"/>
    <n v="0"/>
    <n v="2"/>
    <n v="23"/>
    <n v="0"/>
    <n v="0"/>
    <n v="0"/>
    <n v="12213"/>
    <n v="145222"/>
    <n v="0"/>
    <n v="0"/>
    <n v="20"/>
    <n v="126280"/>
    <n v="0"/>
    <n v="2"/>
    <n v="23"/>
    <n v="0"/>
    <n v="0"/>
    <n v="0"/>
    <n v="140449.5"/>
    <n v="0"/>
    <n v="0"/>
    <n v="0"/>
    <n v="20"/>
    <n v="126280"/>
    <n v="0"/>
    <n v="2"/>
    <n v="20"/>
    <n v="2"/>
    <m/>
    <n v="0"/>
    <n v="0"/>
    <n v="126280"/>
    <n v="12213"/>
    <n v="0"/>
    <n v="0"/>
    <n v="20"/>
    <n v="126280"/>
    <n v="25193.27731092437"/>
    <n v="5"/>
    <n v="20"/>
    <n v="0"/>
    <m/>
    <n v="0"/>
    <n v="0"/>
    <n v="126280"/>
    <n v="0"/>
    <n v="0"/>
    <n v="0"/>
    <n v="20"/>
    <n v="126280"/>
    <n v="0"/>
    <n v="8"/>
    <n v="21"/>
    <n v="1"/>
    <n v="0"/>
    <n v="0"/>
    <n v="0"/>
    <n v="132594"/>
    <n v="6106.499999999999"/>
    <n v="0"/>
    <n v="0"/>
    <n v="21"/>
    <n v="126280"/>
    <n v="12596.63865546219"/>
    <n v="8"/>
    <n v="20"/>
    <n v="8"/>
    <n v="0"/>
    <n v="0"/>
    <n v="0"/>
    <n v="126280"/>
    <n v="48851.99999999999"/>
    <n v="0"/>
    <n v="0"/>
    <n v="20"/>
    <n v="126280"/>
    <n v="100773.1092436975"/>
    <n v="8"/>
    <n v="12"/>
    <n v="8"/>
    <n v="0"/>
    <n v="0"/>
    <n v="0"/>
    <n v="73277.99999999999"/>
    <n v="48851.99999999999"/>
    <n v="0"/>
    <n v="0"/>
    <n v="12"/>
    <n v="73277.99999999999"/>
    <n v="100773.1092436975"/>
    <n v="0"/>
    <n v="4"/>
    <n v="0"/>
    <n v="0"/>
    <n v="0"/>
    <n v="0"/>
    <m/>
    <n v="24426"/>
    <n v="0"/>
    <n v="0"/>
    <n v="0"/>
    <n v="4"/>
    <n v="24426"/>
    <n v="0"/>
    <n v="0"/>
    <n v="4"/>
    <n v="0"/>
    <n v="0"/>
    <n v="0"/>
    <n v="24426"/>
    <n v="0"/>
    <n v="0"/>
    <n v="0"/>
    <n v="4"/>
    <n v="24426"/>
    <n v="0"/>
    <n v="0"/>
    <n v="4"/>
    <n v="0"/>
    <n v="0"/>
    <n v="0"/>
    <n v="24426"/>
    <n v="0"/>
    <n v="0"/>
    <n v="4"/>
    <n v="24426"/>
    <n v="0"/>
    <n v="0"/>
    <n v="4"/>
    <n v="0"/>
    <n v="0"/>
    <m/>
    <n v="24426"/>
    <n v="0"/>
    <n v="0"/>
    <n v="4"/>
    <n v="24426"/>
    <n v="0"/>
  </r>
  <r>
    <s v="Lhotse-Vestuario"/>
    <x v="4"/>
    <x v="21"/>
    <x v="49"/>
    <s v="LTS26-WSB01"/>
    <x v="356"/>
    <x v="328"/>
    <x v="0"/>
    <x v="5"/>
    <n v="1"/>
    <x v="207"/>
    <n v="11"/>
    <m/>
    <n v="0"/>
    <n v="6378"/>
    <n v="70158"/>
    <n v="5.9"/>
    <n v="6445.7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936889838568878"/>
    <n v="0.5"/>
    <n v="0"/>
    <s v=""/>
    <n v="0"/>
    <n v="1"/>
    <n v="0.1741485758275597"/>
    <n v="0.1666666666666667"/>
    <n v="1"/>
    <n v="0.2402632632632633"/>
    <n v="0.2"/>
    <n v="0"/>
    <s v=""/>
    <n v="0"/>
    <m/>
    <m/>
    <m/>
    <m/>
    <m/>
    <m/>
    <m/>
    <m/>
    <m/>
    <m/>
    <m/>
    <m/>
    <n v="2"/>
    <n v="14"/>
    <n v="2"/>
    <n v="0"/>
    <n v="0"/>
    <n v="0"/>
    <n v="12756"/>
    <n v="85490.99999999999"/>
    <n v="12756"/>
    <n v="0"/>
    <n v="11"/>
    <n v="70158"/>
    <n v="21170.82126968435"/>
    <n v="2"/>
    <n v="13"/>
    <n v="0"/>
    <n v="0"/>
    <n v="0"/>
    <n v="0"/>
    <n v="6378"/>
    <n v="79384.49999999999"/>
    <n v="0"/>
    <n v="0"/>
    <n v="11"/>
    <n v="70158"/>
    <n v="0"/>
    <n v="2"/>
    <n v="14"/>
    <n v="0"/>
    <n v="0"/>
    <n v="0"/>
    <n v="18591"/>
    <n v="89292"/>
    <n v="0"/>
    <n v="0"/>
    <n v="11"/>
    <n v="70158"/>
    <n v="0"/>
    <n v="2"/>
    <n v="14"/>
    <n v="1"/>
    <n v="0"/>
    <n v="0"/>
    <n v="85490.99999999999"/>
    <n v="6378"/>
    <n v="0"/>
    <n v="0"/>
    <n v="11"/>
    <n v="70158"/>
    <n v="12596.63865546219"/>
    <n v="2"/>
    <n v="11"/>
    <n v="2"/>
    <m/>
    <n v="0"/>
    <n v="0"/>
    <n v="70158"/>
    <n v="12213"/>
    <n v="0"/>
    <n v="0"/>
    <n v="11"/>
    <n v="70158"/>
    <n v="25193.27731092437"/>
    <n v="6"/>
    <n v="12"/>
    <n v="1"/>
    <m/>
    <n v="0"/>
    <n v="0"/>
    <n v="76536"/>
    <n v="6106.499999999999"/>
    <n v="0"/>
    <n v="0"/>
    <n v="12"/>
    <n v="70158"/>
    <n v="12596.63865546219"/>
    <n v="5"/>
    <n v="12"/>
    <n v="1"/>
    <n v="0"/>
    <n v="0"/>
    <n v="0"/>
    <n v="76536"/>
    <n v="6106.499999999999"/>
    <n v="0"/>
    <n v="0"/>
    <n v="12"/>
    <n v="70158"/>
    <n v="12596.63865546219"/>
    <n v="5"/>
    <n v="11"/>
    <n v="5"/>
    <n v="0"/>
    <n v="0"/>
    <n v="0"/>
    <n v="70158"/>
    <n v="30532.5"/>
    <n v="0"/>
    <n v="0"/>
    <n v="11"/>
    <n v="70158"/>
    <n v="62983.19327731093"/>
    <n v="5"/>
    <n v="6"/>
    <n v="5"/>
    <n v="0"/>
    <n v="0"/>
    <n v="0"/>
    <n v="36638.99999999999"/>
    <n v="30532.5"/>
    <n v="0"/>
    <n v="0"/>
    <n v="6"/>
    <n v="36638.99999999999"/>
    <n v="62983.19327731093"/>
    <n v="0"/>
    <n v="1"/>
    <n v="0"/>
    <n v="0"/>
    <n v="0"/>
    <n v="0"/>
    <m/>
    <n v="6106.499999999999"/>
    <n v="0"/>
    <n v="0"/>
    <n v="0"/>
    <n v="1"/>
    <n v="6106.499999999999"/>
    <n v="0"/>
    <n v="0"/>
    <n v="1"/>
    <n v="0"/>
    <n v="0"/>
    <n v="0"/>
    <n v="6106.499999999999"/>
    <n v="0"/>
    <n v="0"/>
    <n v="0"/>
    <n v="1"/>
    <n v="6106.499999999999"/>
    <n v="0"/>
    <n v="0"/>
    <n v="1"/>
    <n v="0"/>
    <n v="0"/>
    <n v="0"/>
    <n v="6106.499999999999"/>
    <n v="0"/>
    <n v="0"/>
    <n v="1"/>
    <n v="6106.499999999999"/>
    <n v="0"/>
    <n v="0"/>
    <n v="1"/>
    <n v="0"/>
    <n v="0"/>
    <m/>
    <n v="6106.499999999999"/>
    <n v="0"/>
    <n v="0"/>
    <n v="1"/>
    <n v="6106.499999999999"/>
    <n v="0"/>
  </r>
  <r>
    <s v="Lhotse-Vestuario"/>
    <x v="4"/>
    <x v="21"/>
    <x v="49"/>
    <s v="LTS26-WSB01"/>
    <x v="357"/>
    <x v="328"/>
    <x v="0"/>
    <x v="5"/>
    <n v="1"/>
    <x v="208"/>
    <n v="9"/>
    <m/>
    <n v="0"/>
    <n v="6374"/>
    <n v="57366"/>
    <n v="5.9"/>
    <n v="6445.7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305041941011996"/>
    <n v="0"/>
    <s v=""/>
    <n v="0"/>
    <s v=""/>
    <n v="0"/>
    <s v=""/>
    <n v="0"/>
    <s v=""/>
    <n v="0"/>
    <n v="0"/>
    <s v=""/>
    <n v="0"/>
    <n v="1"/>
    <n v="0.1391539645881447"/>
    <n v="0.1666666666666667"/>
    <n v="1"/>
    <n v="0.2407397397397397"/>
    <n v="0.25"/>
    <n v="1"/>
    <n v="0.2407397397397397"/>
    <n v="0.25"/>
    <m/>
    <m/>
    <m/>
    <m/>
    <m/>
    <m/>
    <m/>
    <m/>
    <m/>
    <m/>
    <m/>
    <m/>
    <n v="2"/>
    <n v="13"/>
    <n v="2"/>
    <n v="0"/>
    <n v="0"/>
    <n v="0"/>
    <n v="12748"/>
    <n v="79384.49999999999"/>
    <n v="12748"/>
    <n v="0"/>
    <n v="9"/>
    <n v="57366"/>
    <n v="21170.82126968435"/>
    <n v="2"/>
    <n v="12"/>
    <n v="0"/>
    <n v="0"/>
    <n v="0"/>
    <n v="0"/>
    <n v="0"/>
    <n v="73277.99999999999"/>
    <n v="0"/>
    <n v="0"/>
    <n v="9"/>
    <n v="57366"/>
    <n v="0"/>
    <n v="2"/>
    <n v="12"/>
    <n v="0"/>
    <n v="0"/>
    <n v="0"/>
    <n v="12213"/>
    <n v="76488"/>
    <n v="0"/>
    <n v="0"/>
    <n v="9"/>
    <n v="57366"/>
    <n v="0"/>
    <n v="2"/>
    <n v="12"/>
    <n v="0"/>
    <n v="0"/>
    <n v="0"/>
    <n v="73277.99999999999"/>
    <n v="0"/>
    <n v="0"/>
    <n v="0"/>
    <n v="9"/>
    <n v="57366"/>
    <n v="0"/>
    <n v="2"/>
    <n v="9"/>
    <n v="2"/>
    <m/>
    <n v="0"/>
    <n v="0"/>
    <n v="57366"/>
    <n v="12213"/>
    <n v="0"/>
    <n v="0"/>
    <n v="9"/>
    <n v="57366"/>
    <n v="25193.27731092437"/>
    <n v="6"/>
    <n v="10"/>
    <n v="1"/>
    <m/>
    <n v="0"/>
    <n v="0"/>
    <n v="63740"/>
    <n v="6106.499999999999"/>
    <n v="0"/>
    <n v="0"/>
    <n v="10"/>
    <n v="57366"/>
    <n v="12596.63865546219"/>
    <n v="4"/>
    <n v="10"/>
    <n v="1"/>
    <n v="0"/>
    <n v="0"/>
    <n v="0"/>
    <n v="63740"/>
    <n v="6106.499999999999"/>
    <n v="0"/>
    <n v="0"/>
    <n v="10"/>
    <n v="57366"/>
    <n v="12596.63865546219"/>
    <n v="4"/>
    <n v="9"/>
    <n v="4"/>
    <n v="0"/>
    <n v="0"/>
    <n v="0"/>
    <n v="57366"/>
    <n v="24426"/>
    <n v="0"/>
    <n v="0"/>
    <n v="9"/>
    <n v="57366"/>
    <n v="50386.55462184874"/>
    <n v="4"/>
    <n v="5"/>
    <n v="4"/>
    <n v="0"/>
    <n v="0"/>
    <n v="0"/>
    <n v="30532.5"/>
    <n v="24426"/>
    <n v="0"/>
    <n v="0"/>
    <n v="5"/>
    <n v="30532.5"/>
    <n v="50386.55462184874"/>
    <n v="0"/>
    <n v="1"/>
    <n v="0"/>
    <n v="0"/>
    <n v="0"/>
    <n v="0"/>
    <m/>
    <n v="6106.499999999999"/>
    <n v="0"/>
    <n v="0"/>
    <n v="0"/>
    <n v="1"/>
    <n v="6106.499999999999"/>
    <n v="0"/>
    <n v="0"/>
    <n v="1"/>
    <n v="0"/>
    <n v="0"/>
    <n v="0"/>
    <n v="6106.499999999999"/>
    <n v="0"/>
    <n v="0"/>
    <n v="0"/>
    <n v="1"/>
    <n v="6106.499999999999"/>
    <n v="0"/>
    <n v="0"/>
    <n v="1"/>
    <n v="0"/>
    <n v="0"/>
    <n v="0"/>
    <n v="6106.499999999999"/>
    <n v="0"/>
    <n v="0"/>
    <n v="1"/>
    <n v="6106.499999999999"/>
    <n v="0"/>
    <n v="0"/>
    <n v="1"/>
    <n v="0"/>
    <n v="0"/>
    <m/>
    <n v="6106.499999999999"/>
    <n v="0"/>
    <n v="0"/>
    <n v="1"/>
    <n v="6106.499999999999"/>
    <n v="0"/>
  </r>
  <r>
    <s v="Lhotse-Vestuario"/>
    <x v="4"/>
    <x v="21"/>
    <x v="49"/>
    <s v="LTS27-WBS02"/>
    <x v="358"/>
    <x v="329"/>
    <x v="0"/>
    <x v="4"/>
    <n v="1"/>
    <x v="50"/>
    <n v="0"/>
    <m/>
    <n v="0"/>
    <n v="5428"/>
    <n v="0"/>
    <n v="5.9"/>
    <n v="5428"/>
    <n v="13684.03361344538"/>
    <n v="11631.42857142857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7"/>
    <n v="17"/>
    <n v="17"/>
    <n v="0"/>
    <n v="0"/>
    <n v="0"/>
    <n v="103810.5"/>
    <n v="103810.5"/>
    <n v="17"/>
    <n v="103810.5"/>
    <n v="0"/>
    <n v="4"/>
    <n v="17"/>
    <n v="4"/>
    <n v="0"/>
    <n v="0"/>
    <n v="103810.5"/>
    <n v="24426"/>
    <n v="0"/>
    <n v="0"/>
    <n v="17"/>
    <n v="103810.5"/>
    <n v="48852.00000000001"/>
    <n v="5"/>
    <n v="13"/>
    <n v="5"/>
    <n v="0"/>
    <n v="0"/>
    <n v="79384.49999999999"/>
    <n v="30532.5"/>
    <n v="0"/>
    <n v="13"/>
    <n v="79384.49999999999"/>
    <n v="68420.1680672269"/>
    <n v="2.4"/>
    <n v="8"/>
    <n v="2.4"/>
    <n v="0"/>
    <m/>
    <n v="48851.99999999999"/>
    <n v="13027.2"/>
    <n v="0"/>
    <n v="8"/>
    <n v="48851.99999999999"/>
    <n v="32841.68067226891"/>
  </r>
  <r>
    <s v="Lhotse-Vestuario"/>
    <x v="4"/>
    <x v="21"/>
    <x v="49"/>
    <s v="LTS27-WBS02"/>
    <x v="359"/>
    <x v="330"/>
    <x v="0"/>
    <x v="4"/>
    <n v="1"/>
    <x v="50"/>
    <n v="0"/>
    <m/>
    <n v="0"/>
    <n v="5428"/>
    <n v="0"/>
    <n v="5.9"/>
    <n v="5428"/>
    <n v="13684.03361344538"/>
    <n v="11631.42857142857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33"/>
    <n v="33"/>
    <n v="33"/>
    <n v="0"/>
    <n v="0"/>
    <n v="0"/>
    <n v="201514.5"/>
    <n v="201514.5"/>
    <n v="33"/>
    <n v="201514.5"/>
    <n v="0"/>
    <n v="7"/>
    <n v="33"/>
    <n v="7"/>
    <n v="0"/>
    <n v="0"/>
    <n v="201514.5"/>
    <n v="42745.49999999999"/>
    <n v="0"/>
    <n v="0"/>
    <n v="33"/>
    <n v="201514.5"/>
    <n v="85491"/>
    <n v="9"/>
    <n v="26"/>
    <n v="9"/>
    <n v="0"/>
    <n v="0"/>
    <n v="158769"/>
    <n v="54958.49999999999"/>
    <n v="0"/>
    <n v="26"/>
    <n v="158769"/>
    <n v="123156.3025210084"/>
    <n v="4.2"/>
    <n v="17"/>
    <n v="4.2"/>
    <n v="0"/>
    <m/>
    <n v="103810.5"/>
    <n v="22797.6"/>
    <n v="0"/>
    <n v="17"/>
    <n v="103810.5"/>
    <n v="57472.94117647059"/>
  </r>
  <r>
    <m/>
    <x v="4"/>
    <x v="21"/>
    <x v="49"/>
    <s v="LTS27-WBS02"/>
    <x v="360"/>
    <x v="331"/>
    <x v="0"/>
    <x v="4"/>
    <n v="1"/>
    <x v="50"/>
    <n v="0"/>
    <m/>
    <n v="0"/>
    <n v="5428"/>
    <n v="0"/>
    <n v="5.9"/>
    <n v="5428"/>
    <n v="13684.03361344538"/>
    <n v="11631.42857142857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28"/>
    <n v="28"/>
    <n v="28"/>
    <n v="0"/>
    <n v="0"/>
    <n v="0"/>
    <n v="170982"/>
    <n v="170982"/>
    <n v="28"/>
    <n v="170982"/>
    <n v="0"/>
    <n v="6"/>
    <n v="28"/>
    <n v="6"/>
    <n v="0"/>
    <n v="0"/>
    <n v="170982"/>
    <n v="36638.99999999999"/>
    <n v="0"/>
    <n v="0"/>
    <n v="28"/>
    <n v="170982"/>
    <n v="73278.00000000001"/>
    <n v="8"/>
    <n v="22"/>
    <n v="8"/>
    <n v="0"/>
    <n v="0"/>
    <n v="134343"/>
    <n v="48851.99999999999"/>
    <n v="0"/>
    <n v="22"/>
    <n v="134343"/>
    <n v="109472.268907563"/>
    <n v="3.6"/>
    <n v="14"/>
    <n v="3.6"/>
    <n v="0"/>
    <m/>
    <n v="85490.99999999999"/>
    <n v="19540.8"/>
    <n v="0"/>
    <n v="14"/>
    <n v="85490.99999999999"/>
    <n v="49262.52100840336"/>
  </r>
  <r>
    <m/>
    <x v="4"/>
    <x v="21"/>
    <x v="49"/>
    <s v="LTS27-WBS02"/>
    <x v="361"/>
    <x v="332"/>
    <x v="0"/>
    <x v="4"/>
    <n v="1"/>
    <x v="50"/>
    <n v="0"/>
    <m/>
    <n v="0"/>
    <n v="5428"/>
    <n v="0"/>
    <n v="5.9"/>
    <n v="5428"/>
    <n v="13684.03361344538"/>
    <n v="11631.42857142857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8"/>
    <n v="8"/>
    <n v="8"/>
    <n v="0"/>
    <n v="0"/>
    <n v="0"/>
    <n v="48851.99999999999"/>
    <n v="48851.99999999999"/>
    <n v="8"/>
    <n v="48851.99999999999"/>
    <n v="0"/>
    <n v="2"/>
    <n v="8"/>
    <n v="2"/>
    <n v="0"/>
    <n v="0"/>
    <n v="48851.99999999999"/>
    <n v="12213"/>
    <n v="0"/>
    <n v="0"/>
    <n v="8"/>
    <n v="48851.99999999999"/>
    <n v="24426"/>
    <n v="2"/>
    <n v="6"/>
    <n v="2"/>
    <n v="0"/>
    <n v="0"/>
    <n v="36638.99999999999"/>
    <n v="12213"/>
    <n v="0"/>
    <n v="6"/>
    <n v="36638.99999999999"/>
    <n v="27368.06722689076"/>
    <n v="1.2"/>
    <n v="4"/>
    <n v="1.2"/>
    <n v="0"/>
    <m/>
    <n v="24426"/>
    <n v="6513.599999999999"/>
    <n v="0"/>
    <n v="4"/>
    <n v="24426"/>
    <n v="16420.84033613445"/>
  </r>
  <r>
    <m/>
    <x v="4"/>
    <x v="21"/>
    <x v="49"/>
    <s v="LTS27-WBS02"/>
    <x v="362"/>
    <x v="333"/>
    <x v="0"/>
    <x v="4"/>
    <n v="1"/>
    <x v="50"/>
    <n v="0"/>
    <m/>
    <n v="0"/>
    <n v="5428"/>
    <n v="0"/>
    <n v="5.9"/>
    <n v="5428"/>
    <n v="13684.03361344538"/>
    <n v="11631.42857142857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4"/>
    <n v="14"/>
    <n v="14"/>
    <n v="0"/>
    <n v="0"/>
    <n v="0"/>
    <n v="85490.99999999999"/>
    <n v="85490.99999999999"/>
    <n v="14"/>
    <n v="85490.99999999999"/>
    <n v="0"/>
    <n v="3"/>
    <n v="14"/>
    <n v="3"/>
    <n v="0"/>
    <n v="0"/>
    <n v="85490.99999999999"/>
    <n v="18319.5"/>
    <n v="0"/>
    <n v="0"/>
    <n v="14"/>
    <n v="85490.99999999999"/>
    <n v="36639.00000000001"/>
    <n v="4"/>
    <n v="11"/>
    <n v="4"/>
    <n v="0"/>
    <n v="0"/>
    <n v="67171.49999999999"/>
    <n v="24426"/>
    <n v="0"/>
    <n v="11"/>
    <n v="67171.49999999999"/>
    <n v="54736.13445378152"/>
    <n v="1.8"/>
    <n v="7"/>
    <n v="1.8"/>
    <n v="0"/>
    <m/>
    <n v="42745.49999999999"/>
    <n v="9770.4"/>
    <n v="0"/>
    <n v="7"/>
    <n v="42745.49999999999"/>
    <n v="24631.26050420168"/>
  </r>
  <r>
    <m/>
    <x v="4"/>
    <x v="21"/>
    <x v="49"/>
    <s v="LTS27-WFL02"/>
    <x v="363"/>
    <x v="334"/>
    <x v="0"/>
    <x v="4"/>
    <n v="1"/>
    <x v="50"/>
    <n v="0"/>
    <m/>
    <n v="0"/>
    <n v="7912"/>
    <n v="0"/>
    <n v="8.6"/>
    <n v="7912"/>
    <n v="19946.21848739496"/>
    <n v="16954.28571428571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7"/>
    <n v="17"/>
    <n v="17"/>
    <n v="0"/>
    <n v="0"/>
    <n v="0"/>
    <n v="151317"/>
    <n v="151317"/>
    <n v="17"/>
    <n v="151317"/>
    <n v="0"/>
    <n v="4"/>
    <n v="17"/>
    <n v="4"/>
    <n v="0"/>
    <n v="0"/>
    <n v="151317"/>
    <n v="35604"/>
    <n v="0"/>
    <n v="0"/>
    <n v="17"/>
    <n v="151317"/>
    <n v="71208"/>
    <n v="5"/>
    <n v="13"/>
    <n v="5"/>
    <n v="0"/>
    <n v="0"/>
    <n v="115713"/>
    <n v="44505"/>
    <n v="0"/>
    <n v="13"/>
    <n v="115713"/>
    <n v="99731.0924369748"/>
    <n v="2.4"/>
    <n v="8"/>
    <n v="2.4"/>
    <n v="0"/>
    <m/>
    <n v="71208"/>
    <n v="18988.8"/>
    <n v="0"/>
    <n v="8"/>
    <n v="71208"/>
    <n v="47870.9243697479"/>
  </r>
  <r>
    <m/>
    <x v="4"/>
    <x v="21"/>
    <x v="49"/>
    <s v="LTS27-WFL02"/>
    <x v="364"/>
    <x v="335"/>
    <x v="0"/>
    <x v="4"/>
    <n v="1"/>
    <x v="50"/>
    <n v="0"/>
    <m/>
    <n v="0"/>
    <n v="7912"/>
    <n v="0"/>
    <n v="8.6"/>
    <n v="7912"/>
    <n v="19946.21848739496"/>
    <n v="16954.28571428571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33"/>
    <n v="33"/>
    <n v="33"/>
    <n v="0"/>
    <n v="0"/>
    <n v="0"/>
    <n v="293733"/>
    <n v="293733"/>
    <n v="33"/>
    <n v="293733"/>
    <n v="0"/>
    <n v="7"/>
    <n v="33"/>
    <n v="7"/>
    <n v="0"/>
    <n v="0"/>
    <n v="293733"/>
    <n v="62307"/>
    <n v="0"/>
    <n v="0"/>
    <n v="33"/>
    <n v="293733"/>
    <n v="124614"/>
    <n v="9"/>
    <n v="26"/>
    <n v="9"/>
    <n v="0"/>
    <n v="0"/>
    <n v="231426"/>
    <n v="80109"/>
    <n v="0"/>
    <n v="26"/>
    <n v="231426"/>
    <n v="179515.9663865546"/>
    <n v="4.2"/>
    <n v="17"/>
    <n v="4.2"/>
    <n v="0"/>
    <m/>
    <n v="151317"/>
    <n v="33230.4"/>
    <n v="0"/>
    <n v="17"/>
    <n v="151317"/>
    <n v="83774.11764705883"/>
  </r>
  <r>
    <m/>
    <x v="4"/>
    <x v="21"/>
    <x v="49"/>
    <s v="LTS27-WFL02"/>
    <x v="365"/>
    <x v="336"/>
    <x v="0"/>
    <x v="4"/>
    <n v="1"/>
    <x v="50"/>
    <n v="0"/>
    <m/>
    <n v="0"/>
    <n v="7912"/>
    <n v="0"/>
    <n v="8.6"/>
    <n v="7912"/>
    <n v="19946.21848739496"/>
    <n v="16954.28571428571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28"/>
    <n v="28"/>
    <n v="28"/>
    <n v="0"/>
    <n v="0"/>
    <n v="0"/>
    <n v="249228"/>
    <n v="249228"/>
    <n v="28"/>
    <n v="249228"/>
    <n v="0"/>
    <n v="6"/>
    <n v="28"/>
    <n v="6"/>
    <n v="0"/>
    <n v="0"/>
    <n v="249228"/>
    <n v="53406"/>
    <n v="0"/>
    <n v="0"/>
    <n v="28"/>
    <n v="249228"/>
    <n v="106812"/>
    <n v="8"/>
    <n v="22"/>
    <n v="8"/>
    <n v="0"/>
    <n v="0"/>
    <n v="195822"/>
    <n v="71208"/>
    <n v="0"/>
    <n v="22"/>
    <n v="195822"/>
    <n v="159569.7478991597"/>
    <n v="3.6"/>
    <n v="14"/>
    <n v="3.6"/>
    <n v="0"/>
    <m/>
    <n v="124614"/>
    <n v="28483.2"/>
    <n v="0"/>
    <n v="14"/>
    <n v="124614"/>
    <n v="71806.38655462184"/>
  </r>
  <r>
    <m/>
    <x v="4"/>
    <x v="21"/>
    <x v="49"/>
    <s v="LTS27-WFL02"/>
    <x v="366"/>
    <x v="337"/>
    <x v="0"/>
    <x v="4"/>
    <n v="1"/>
    <x v="50"/>
    <n v="0"/>
    <m/>
    <n v="0"/>
    <n v="7912"/>
    <n v="0"/>
    <n v="8.6"/>
    <n v="7912"/>
    <n v="19946.21848739496"/>
    <n v="16954.28571428571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8"/>
    <n v="8"/>
    <n v="8"/>
    <n v="0"/>
    <n v="0"/>
    <n v="0"/>
    <n v="71208"/>
    <n v="71208"/>
    <n v="8"/>
    <n v="71208"/>
    <n v="0"/>
    <n v="2"/>
    <n v="8"/>
    <n v="2"/>
    <n v="0"/>
    <n v="0"/>
    <n v="71208"/>
    <n v="17802"/>
    <n v="0"/>
    <n v="0"/>
    <n v="8"/>
    <n v="71208"/>
    <n v="35604"/>
    <n v="2"/>
    <n v="6"/>
    <n v="2"/>
    <n v="0"/>
    <n v="0"/>
    <n v="53406"/>
    <n v="17802"/>
    <n v="0"/>
    <n v="6"/>
    <n v="53406"/>
    <n v="39892.43697478992"/>
    <n v="1.2"/>
    <n v="4"/>
    <n v="1.2"/>
    <n v="0"/>
    <m/>
    <n v="35604"/>
    <n v="9494.4"/>
    <n v="0"/>
    <n v="4"/>
    <n v="35604"/>
    <n v="23935.46218487395"/>
  </r>
  <r>
    <m/>
    <x v="4"/>
    <x v="21"/>
    <x v="49"/>
    <s v="LTS27-WFL02"/>
    <x v="367"/>
    <x v="338"/>
    <x v="0"/>
    <x v="4"/>
    <n v="1"/>
    <x v="50"/>
    <n v="0"/>
    <m/>
    <n v="0"/>
    <n v="7912"/>
    <n v="0"/>
    <n v="8.6"/>
    <n v="7912"/>
    <n v="19946.21848739496"/>
    <n v="16954.28571428571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4"/>
    <n v="14"/>
    <n v="14"/>
    <n v="0"/>
    <n v="0"/>
    <n v="0"/>
    <n v="124614"/>
    <n v="124614"/>
    <n v="14"/>
    <n v="124614"/>
    <n v="0"/>
    <n v="3"/>
    <n v="14"/>
    <n v="3"/>
    <n v="0"/>
    <n v="0"/>
    <n v="124614"/>
    <n v="26703"/>
    <n v="0"/>
    <n v="0"/>
    <n v="14"/>
    <n v="124614"/>
    <n v="53406.00000000001"/>
    <n v="4"/>
    <n v="11"/>
    <n v="4"/>
    <n v="0"/>
    <n v="0"/>
    <n v="97911"/>
    <n v="35604"/>
    <n v="0"/>
    <n v="11"/>
    <n v="97911"/>
    <n v="79784.87394957984"/>
    <n v="1.8"/>
    <n v="7"/>
    <n v="1.8"/>
    <n v="0"/>
    <m/>
    <n v="62307"/>
    <n v="14241.6"/>
    <n v="0"/>
    <n v="7"/>
    <n v="62307"/>
    <n v="35903.19327731092"/>
  </r>
  <r>
    <m/>
    <x v="4"/>
    <x v="21"/>
    <x v="49"/>
    <s v="LTS27-WSB02"/>
    <x v="368"/>
    <x v="339"/>
    <x v="0"/>
    <x v="4"/>
    <n v="1"/>
    <x v="50"/>
    <n v="0"/>
    <m/>
    <n v="0"/>
    <n v="5244"/>
    <n v="0"/>
    <n v="5.7"/>
    <n v="5244"/>
    <n v="13220.16806722689"/>
    <n v="11237.14285714286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7"/>
    <n v="17"/>
    <n v="17"/>
    <n v="0"/>
    <n v="0"/>
    <n v="0"/>
    <n v="100291.5"/>
    <n v="100291.5"/>
    <n v="17"/>
    <n v="100291.5"/>
    <n v="0"/>
    <n v="4"/>
    <n v="17"/>
    <n v="4"/>
    <n v="0"/>
    <n v="0"/>
    <n v="100291.5"/>
    <n v="23598"/>
    <n v="0"/>
    <n v="0"/>
    <n v="17"/>
    <n v="100291.5"/>
    <n v="47196.00000000001"/>
    <n v="5"/>
    <n v="13"/>
    <n v="5"/>
    <n v="0"/>
    <n v="0"/>
    <n v="76693.49999999999"/>
    <n v="29497.5"/>
    <n v="0"/>
    <n v="13"/>
    <n v="76693.49999999999"/>
    <n v="66100.84033613445"/>
    <n v="2.4"/>
    <n v="8"/>
    <n v="2.4"/>
    <n v="0"/>
    <m/>
    <n v="47195.99999999999"/>
    <n v="12585.6"/>
    <n v="0"/>
    <n v="8"/>
    <n v="47195.99999999999"/>
    <n v="31728.40336134454"/>
  </r>
  <r>
    <m/>
    <x v="4"/>
    <x v="21"/>
    <x v="49"/>
    <s v="LTS27-WSB02"/>
    <x v="369"/>
    <x v="340"/>
    <x v="0"/>
    <x v="4"/>
    <n v="1"/>
    <x v="50"/>
    <n v="0"/>
    <m/>
    <n v="0"/>
    <n v="5244"/>
    <n v="0"/>
    <n v="5.7"/>
    <n v="5244"/>
    <n v="13220.16806722689"/>
    <n v="11237.14285714286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33"/>
    <n v="33"/>
    <n v="33"/>
    <n v="0"/>
    <n v="0"/>
    <n v="0"/>
    <n v="194683.5"/>
    <n v="194683.5"/>
    <n v="33"/>
    <n v="194683.5"/>
    <n v="0"/>
    <n v="7"/>
    <n v="33"/>
    <n v="7"/>
    <n v="0"/>
    <n v="0"/>
    <n v="194683.5"/>
    <n v="41296.49999999999"/>
    <n v="0"/>
    <n v="0"/>
    <n v="33"/>
    <n v="194683.5"/>
    <n v="82593.00000000001"/>
    <n v="9"/>
    <n v="26"/>
    <n v="9"/>
    <n v="0"/>
    <n v="0"/>
    <n v="153387"/>
    <n v="53095.49999999999"/>
    <n v="0"/>
    <n v="26"/>
    <n v="153387"/>
    <n v="118981.512605042"/>
    <n v="4.2"/>
    <n v="17"/>
    <n v="4.2"/>
    <n v="0"/>
    <m/>
    <n v="100291.5"/>
    <n v="22024.8"/>
    <n v="0"/>
    <n v="17"/>
    <n v="100291.5"/>
    <n v="55524.70588235295"/>
  </r>
  <r>
    <m/>
    <x v="4"/>
    <x v="21"/>
    <x v="49"/>
    <s v="LTS27-WSB02"/>
    <x v="370"/>
    <x v="341"/>
    <x v="0"/>
    <x v="4"/>
    <n v="1"/>
    <x v="50"/>
    <n v="0"/>
    <m/>
    <n v="0"/>
    <n v="5244"/>
    <n v="0"/>
    <n v="5.7"/>
    <n v="5244"/>
    <n v="13220.16806722689"/>
    <n v="11237.14285714286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28"/>
    <n v="28"/>
    <n v="28"/>
    <n v="0"/>
    <n v="0"/>
    <n v="0"/>
    <n v="165186"/>
    <n v="165186"/>
    <n v="28"/>
    <n v="165186"/>
    <n v="0"/>
    <n v="6"/>
    <n v="28"/>
    <n v="6"/>
    <n v="0"/>
    <n v="0"/>
    <n v="165186"/>
    <n v="35396.99999999999"/>
    <n v="0"/>
    <n v="0"/>
    <n v="28"/>
    <n v="165186"/>
    <n v="70794.00000000001"/>
    <n v="8"/>
    <n v="22"/>
    <n v="8"/>
    <n v="0"/>
    <n v="0"/>
    <n v="129789"/>
    <n v="47195.99999999999"/>
    <n v="0"/>
    <n v="22"/>
    <n v="129789"/>
    <n v="105761.3445378151"/>
    <n v="3.6"/>
    <n v="14"/>
    <n v="3.6"/>
    <n v="0"/>
    <m/>
    <n v="82592.99999999999"/>
    <n v="18878.4"/>
    <n v="0"/>
    <n v="14"/>
    <n v="82592.99999999999"/>
    <n v="47592.60504201681"/>
  </r>
  <r>
    <m/>
    <x v="4"/>
    <x v="21"/>
    <x v="49"/>
    <s v="LTS27-WSB02"/>
    <x v="371"/>
    <x v="342"/>
    <x v="0"/>
    <x v="4"/>
    <n v="1"/>
    <x v="50"/>
    <n v="0"/>
    <m/>
    <n v="0"/>
    <n v="5244"/>
    <n v="0"/>
    <n v="5.7"/>
    <n v="5244"/>
    <n v="13220.16806722689"/>
    <n v="11237.14285714286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8"/>
    <n v="8"/>
    <n v="8"/>
    <n v="0"/>
    <n v="0"/>
    <n v="0"/>
    <n v="47195.99999999999"/>
    <n v="47195.99999999999"/>
    <n v="8"/>
    <n v="47195.99999999999"/>
    <n v="0"/>
    <n v="2"/>
    <n v="8"/>
    <n v="2"/>
    <n v="0"/>
    <n v="0"/>
    <n v="47195.99999999999"/>
    <n v="11799"/>
    <n v="0"/>
    <n v="0"/>
    <n v="8"/>
    <n v="47195.99999999999"/>
    <n v="23598"/>
    <n v="2"/>
    <n v="6"/>
    <n v="2"/>
    <n v="0"/>
    <n v="0"/>
    <n v="35396.99999999999"/>
    <n v="11799"/>
    <n v="0"/>
    <n v="6"/>
    <n v="35396.99999999999"/>
    <n v="26440.33613445378"/>
    <n v="1.2"/>
    <n v="4"/>
    <n v="1.2"/>
    <n v="0"/>
    <m/>
    <n v="23598"/>
    <n v="6292.8"/>
    <n v="0"/>
    <n v="4"/>
    <n v="23598"/>
    <n v="15864.20168067227"/>
  </r>
  <r>
    <m/>
    <x v="4"/>
    <x v="21"/>
    <x v="49"/>
    <s v="LTS27-WSB02"/>
    <x v="372"/>
    <x v="343"/>
    <x v="0"/>
    <x v="4"/>
    <n v="1"/>
    <x v="50"/>
    <n v="0"/>
    <m/>
    <n v="0"/>
    <n v="5244"/>
    <n v="0"/>
    <n v="5.7"/>
    <n v="5244"/>
    <n v="13220.16806722689"/>
    <n v="11237.14285714286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4"/>
    <n v="14"/>
    <n v="14"/>
    <n v="0"/>
    <n v="0"/>
    <n v="0"/>
    <n v="82592.99999999999"/>
    <n v="82592.99999999999"/>
    <n v="14"/>
    <n v="82592.99999999999"/>
    <n v="0"/>
    <n v="3"/>
    <n v="14"/>
    <n v="3"/>
    <n v="0"/>
    <n v="0"/>
    <n v="82592.99999999999"/>
    <n v="17698.5"/>
    <n v="0"/>
    <n v="0"/>
    <n v="14"/>
    <n v="82592.99999999999"/>
    <n v="35397.00000000001"/>
    <n v="4"/>
    <n v="11"/>
    <n v="4"/>
    <n v="0"/>
    <n v="0"/>
    <n v="64894.49999999999"/>
    <n v="23598"/>
    <n v="0"/>
    <n v="11"/>
    <n v="64894.49999999999"/>
    <n v="52880.67226890757"/>
    <n v="1.8"/>
    <n v="7"/>
    <n v="1.8"/>
    <n v="0"/>
    <m/>
    <n v="41296.49999999999"/>
    <n v="9439.199999999999"/>
    <n v="0"/>
    <n v="7"/>
    <n v="41296.49999999999"/>
    <n v="23796.30252100841"/>
  </r>
  <r>
    <m/>
    <x v="4"/>
    <x v="21"/>
    <x v="50"/>
    <s v="LTS26-MWS06"/>
    <x v="373"/>
    <x v="344"/>
    <x v="0"/>
    <x v="5"/>
    <n v="1"/>
    <x v="209"/>
    <n v="9"/>
    <m/>
    <n v="0"/>
    <n v="12521"/>
    <n v="112689"/>
    <n v="11.7"/>
    <n v="12782.25"/>
    <n v="22680.67226890757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5"/>
    <n v="-0.01391801816179292"/>
    <n v="1"/>
    <n v="0.2201301897449034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5"/>
    <n v="15"/>
    <n v="5"/>
    <n v="0"/>
    <n v="0"/>
    <n v="0"/>
    <n v="81386.5"/>
    <n v="181642.5"/>
    <n v="62605"/>
    <n v="0"/>
    <n v="9"/>
    <n v="112689"/>
    <n v="95296.94230633431"/>
    <n v="3"/>
    <n v="10"/>
    <n v="1.5"/>
    <n v="0"/>
    <n v="0"/>
    <n v="0"/>
    <n v="18781.5"/>
    <n v="121095"/>
    <n v="18781.5"/>
    <n v="0"/>
    <n v="9"/>
    <n v="112689"/>
    <n v="28589.08269190029"/>
    <n v="2"/>
    <n v="9"/>
    <n v="0"/>
    <n v="0"/>
    <n v="0"/>
    <n v="12109.5"/>
    <n v="112689"/>
    <n v="0"/>
    <n v="0"/>
    <n v="9"/>
    <n v="112689"/>
    <n v="0"/>
    <n v="1"/>
    <n v="9"/>
    <n v="0"/>
    <n v="0"/>
    <n v="0"/>
    <n v="108985.5"/>
    <n v="0"/>
    <n v="0"/>
    <n v="0"/>
    <n v="9"/>
    <n v="112689"/>
    <n v="0"/>
    <n v="1"/>
    <n v="9"/>
    <n v="1"/>
    <m/>
    <n v="0"/>
    <n v="0"/>
    <n v="112689"/>
    <n v="12109.5"/>
    <n v="0"/>
    <n v="0"/>
    <n v="9"/>
    <n v="112689"/>
    <n v="22680.67226890757"/>
    <n v="1"/>
    <n v="9"/>
    <n v="0"/>
    <m/>
    <n v="0"/>
    <n v="0"/>
    <n v="112689"/>
    <n v="0"/>
    <n v="0"/>
    <n v="0"/>
    <n v="9"/>
    <n v="112689"/>
    <n v="0"/>
    <n v="3"/>
    <n v="9"/>
    <n v="0"/>
    <n v="0"/>
    <n v="0"/>
    <n v="0"/>
    <n v="112689"/>
    <n v="0"/>
    <n v="0"/>
    <n v="0"/>
    <n v="9"/>
    <n v="112689"/>
    <n v="0"/>
    <n v="3"/>
    <n v="9"/>
    <n v="3"/>
    <n v="0"/>
    <n v="0"/>
    <n v="0"/>
    <n v="112689"/>
    <n v="36328.49999999999"/>
    <n v="0"/>
    <n v="0"/>
    <n v="9"/>
    <n v="112689"/>
    <n v="68042.01680672269"/>
    <n v="3"/>
    <n v="6"/>
    <n v="3"/>
    <n v="0"/>
    <n v="0"/>
    <n v="0"/>
    <n v="72656.99999999999"/>
    <n v="36328.49999999999"/>
    <n v="0"/>
    <n v="0"/>
    <n v="6"/>
    <n v="72656.99999999999"/>
    <n v="68042.01680672269"/>
    <n v="0"/>
    <n v="3"/>
    <n v="0"/>
    <n v="0"/>
    <n v="0"/>
    <n v="0"/>
    <m/>
    <n v="36328.49999999999"/>
    <n v="0"/>
    <n v="0"/>
    <n v="0"/>
    <n v="3"/>
    <n v="36328.49999999999"/>
    <n v="0"/>
    <n v="0"/>
    <n v="3"/>
    <n v="0"/>
    <n v="0"/>
    <n v="0"/>
    <n v="36328.49999999999"/>
    <n v="0"/>
    <n v="0"/>
    <n v="0"/>
    <n v="3"/>
    <n v="36328.49999999999"/>
    <n v="0"/>
    <n v="0"/>
    <n v="3"/>
    <n v="0"/>
    <n v="0"/>
    <n v="0"/>
    <n v="36328.49999999999"/>
    <n v="0"/>
    <n v="0"/>
    <n v="3"/>
    <n v="36328.49999999999"/>
    <n v="0"/>
    <n v="0"/>
    <n v="3"/>
    <n v="0"/>
    <n v="0"/>
    <m/>
    <n v="36328.49999999999"/>
    <n v="0"/>
    <n v="0"/>
    <n v="3"/>
    <n v="36328.49999999999"/>
    <n v="0"/>
  </r>
  <r>
    <m/>
    <x v="4"/>
    <x v="21"/>
    <x v="50"/>
    <s v="LTS26-MWS06"/>
    <x v="374"/>
    <x v="344"/>
    <x v="0"/>
    <x v="2"/>
    <n v="1"/>
    <x v="3"/>
    <n v="16"/>
    <m/>
    <n v="0"/>
    <n v="12521"/>
    <n v="200336"/>
    <n v="11.7"/>
    <n v="12782.25"/>
    <n v="22680.67226890757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5"/>
    <n v="17"/>
    <n v="5"/>
    <n v="0"/>
    <n v="0"/>
    <n v="0"/>
    <n v="62605"/>
    <n v="205861.5"/>
    <n v="62605"/>
    <n v="0"/>
    <n v="16"/>
    <n v="200336"/>
    <n v="95296.94230633431"/>
    <n v="2"/>
    <n v="16"/>
    <n v="0"/>
    <n v="0"/>
    <n v="0"/>
    <n v="0"/>
    <n v="0"/>
    <n v="193752"/>
    <n v="0"/>
    <n v="0"/>
    <n v="16"/>
    <n v="200336"/>
    <n v="0"/>
    <n v="2"/>
    <n v="16"/>
    <n v="0"/>
    <n v="0"/>
    <n v="0"/>
    <n v="8476.649999999998"/>
    <n v="200336"/>
    <n v="0"/>
    <n v="0"/>
    <n v="16"/>
    <n v="200336"/>
    <n v="0"/>
    <n v="0.65"/>
    <n v="16"/>
    <n v="0"/>
    <n v="0"/>
    <n v="0"/>
    <n v="193752"/>
    <n v="0"/>
    <n v="0"/>
    <n v="0"/>
    <n v="16"/>
    <n v="200336"/>
    <n v="0"/>
    <n v="0.7"/>
    <n v="16"/>
    <n v="0.7"/>
    <m/>
    <n v="0"/>
    <n v="0"/>
    <n v="200336"/>
    <n v="8476.649999999998"/>
    <n v="0"/>
    <n v="0"/>
    <n v="16"/>
    <n v="200336"/>
    <n v="15876.47058823529"/>
    <n v="1"/>
    <n v="16"/>
    <n v="0"/>
    <m/>
    <n v="0"/>
    <n v="0"/>
    <n v="200336"/>
    <n v="0"/>
    <n v="0"/>
    <n v="0"/>
    <n v="16"/>
    <n v="200336"/>
    <n v="0"/>
    <n v="5"/>
    <n v="16"/>
    <n v="0"/>
    <n v="0"/>
    <n v="0"/>
    <n v="0"/>
    <n v="200336"/>
    <n v="0"/>
    <n v="0"/>
    <n v="0"/>
    <n v="16"/>
    <n v="200336"/>
    <n v="0"/>
    <n v="5"/>
    <n v="16"/>
    <n v="5"/>
    <n v="0"/>
    <n v="0"/>
    <n v="0"/>
    <n v="200336"/>
    <n v="60547.49999999999"/>
    <n v="0"/>
    <n v="0"/>
    <n v="16"/>
    <n v="200336"/>
    <n v="113403.3613445378"/>
    <n v="5"/>
    <n v="11"/>
    <n v="5"/>
    <n v="0"/>
    <n v="0"/>
    <n v="0"/>
    <n v="133204.5"/>
    <n v="60547.49999999999"/>
    <n v="0"/>
    <n v="0"/>
    <n v="11"/>
    <n v="133204.5"/>
    <n v="113403.3613445378"/>
    <n v="0"/>
    <n v="6"/>
    <n v="0"/>
    <n v="0"/>
    <n v="0"/>
    <n v="0"/>
    <m/>
    <n v="72656.99999999999"/>
    <n v="0"/>
    <n v="0"/>
    <n v="0"/>
    <n v="6"/>
    <n v="72656.99999999999"/>
    <n v="0"/>
    <n v="0"/>
    <n v="6"/>
    <n v="0"/>
    <n v="0"/>
    <n v="0"/>
    <n v="72656.99999999999"/>
    <n v="0"/>
    <n v="0"/>
    <n v="0"/>
    <n v="6"/>
    <n v="72656.99999999999"/>
    <n v="0"/>
    <n v="0"/>
    <n v="6"/>
    <n v="0"/>
    <n v="0"/>
    <n v="0"/>
    <n v="72656.99999999999"/>
    <n v="0"/>
    <n v="0"/>
    <n v="6"/>
    <n v="72656.99999999999"/>
    <n v="0"/>
    <n v="0"/>
    <n v="6"/>
    <n v="0"/>
    <n v="0"/>
    <m/>
    <n v="72656.99999999999"/>
    <n v="0"/>
    <n v="0"/>
    <n v="6"/>
    <n v="72656.99999999999"/>
    <n v="0"/>
  </r>
  <r>
    <m/>
    <x v="4"/>
    <x v="21"/>
    <x v="50"/>
    <s v="LTS26-MWS06"/>
    <x v="375"/>
    <x v="344"/>
    <x v="0"/>
    <x v="5"/>
    <n v="1"/>
    <x v="210"/>
    <n v="19"/>
    <m/>
    <n v="0"/>
    <n v="12521"/>
    <n v="237899"/>
    <n v="11.7"/>
    <n v="12782.25"/>
    <n v="22680.67226890757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"/>
    <n v="2"/>
    <n v="0.4226495135334532"/>
    <n v="6"/>
    <n v="-0.01391801816179292"/>
    <n v="1"/>
    <n v="0.1445644431467218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15"/>
    <n v="27"/>
    <n v="15"/>
    <n v="0"/>
    <n v="0"/>
    <n v="0"/>
    <n v="206596.5"/>
    <n v="326956.4999999999"/>
    <n v="187815"/>
    <n v="0"/>
    <n v="19"/>
    <n v="237899"/>
    <n v="285890.8269190029"/>
    <n v="5"/>
    <n v="21"/>
    <n v="1.5"/>
    <n v="0"/>
    <n v="0"/>
    <n v="0"/>
    <n v="18781.5"/>
    <n v="254299.5"/>
    <n v="18781.5"/>
    <n v="0"/>
    <n v="19"/>
    <n v="237899"/>
    <n v="28589.08269190029"/>
    <n v="4"/>
    <n v="20"/>
    <n v="0"/>
    <n v="0"/>
    <n v="0"/>
    <n v="24219"/>
    <n v="250420"/>
    <n v="0"/>
    <n v="0"/>
    <n v="19"/>
    <n v="237899"/>
    <n v="0"/>
    <n v="2"/>
    <n v="20"/>
    <n v="0"/>
    <n v="0"/>
    <n v="0"/>
    <n v="242190"/>
    <n v="0"/>
    <n v="0"/>
    <n v="0"/>
    <n v="19"/>
    <n v="237899"/>
    <n v="0"/>
    <n v="2"/>
    <n v="19"/>
    <n v="2"/>
    <m/>
    <n v="0"/>
    <n v="0"/>
    <n v="237899"/>
    <n v="24219"/>
    <n v="0"/>
    <n v="0"/>
    <n v="19"/>
    <n v="237899"/>
    <n v="45361.34453781513"/>
    <n v="1"/>
    <n v="19"/>
    <n v="0"/>
    <m/>
    <n v="0"/>
    <n v="0"/>
    <n v="237899"/>
    <n v="0"/>
    <n v="0"/>
    <n v="0"/>
    <n v="19"/>
    <n v="237899"/>
    <n v="0"/>
    <n v="7"/>
    <n v="19"/>
    <n v="0"/>
    <n v="0"/>
    <n v="0"/>
    <n v="0"/>
    <n v="237899"/>
    <n v="0"/>
    <n v="0"/>
    <n v="0"/>
    <n v="19"/>
    <n v="237899"/>
    <n v="0"/>
    <n v="7"/>
    <n v="19"/>
    <n v="7"/>
    <n v="0"/>
    <n v="0"/>
    <n v="0"/>
    <n v="237899"/>
    <n v="84766.49999999999"/>
    <n v="0"/>
    <n v="0"/>
    <n v="19"/>
    <n v="237899"/>
    <n v="158764.705882353"/>
    <n v="7"/>
    <n v="12"/>
    <n v="7"/>
    <n v="0"/>
    <n v="0"/>
    <n v="0"/>
    <n v="145314"/>
    <n v="84766.49999999999"/>
    <n v="0"/>
    <n v="0"/>
    <n v="12"/>
    <n v="145314"/>
    <n v="158764.705882353"/>
    <n v="0"/>
    <n v="5"/>
    <n v="0"/>
    <n v="0"/>
    <n v="0"/>
    <n v="0"/>
    <m/>
    <n v="60547.49999999999"/>
    <n v="0"/>
    <n v="0"/>
    <n v="0"/>
    <n v="5"/>
    <n v="60547.49999999999"/>
    <n v="0"/>
    <n v="0"/>
    <n v="5"/>
    <n v="0"/>
    <n v="0"/>
    <n v="0"/>
    <n v="60547.49999999999"/>
    <n v="0"/>
    <n v="0"/>
    <n v="0"/>
    <n v="5"/>
    <n v="60547.49999999999"/>
    <n v="0"/>
    <n v="0"/>
    <n v="5"/>
    <n v="0"/>
    <n v="0"/>
    <n v="0"/>
    <n v="60547.49999999999"/>
    <n v="0"/>
    <n v="0"/>
    <n v="5"/>
    <n v="60547.49999999999"/>
    <n v="0"/>
    <n v="0"/>
    <n v="5"/>
    <n v="0"/>
    <n v="0"/>
    <m/>
    <n v="60547.49999999999"/>
    <n v="0"/>
    <n v="0"/>
    <n v="5"/>
    <n v="60547.49999999999"/>
    <n v="0"/>
  </r>
  <r>
    <m/>
    <x v="4"/>
    <x v="21"/>
    <x v="50"/>
    <s v="LTS26-MWS06"/>
    <x v="376"/>
    <x v="344"/>
    <x v="0"/>
    <x v="5"/>
    <n v="1"/>
    <x v="211"/>
    <n v="28"/>
    <m/>
    <n v="0"/>
    <n v="12521"/>
    <n v="350588"/>
    <n v="11.7"/>
    <n v="12782.25"/>
    <n v="22680.67226890757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07974423221805763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15"/>
    <n v="30"/>
    <n v="15"/>
    <n v="0"/>
    <n v="0"/>
    <n v="0"/>
    <n v="206596.5"/>
    <n v="363284.9999999999"/>
    <n v="187815"/>
    <n v="0"/>
    <n v="28"/>
    <n v="350588"/>
    <n v="285890.8269190029"/>
    <n v="4"/>
    <n v="29"/>
    <n v="1.5"/>
    <n v="0"/>
    <n v="0"/>
    <n v="0"/>
    <n v="18781.5"/>
    <n v="351175.4999999999"/>
    <n v="18781.5"/>
    <n v="0"/>
    <n v="28"/>
    <n v="350588"/>
    <n v="28589.08269190029"/>
    <n v="3"/>
    <n v="27"/>
    <n v="0"/>
    <n v="0"/>
    <n v="0"/>
    <n v="16953.3"/>
    <n v="338067"/>
    <n v="0"/>
    <n v="0"/>
    <n v="28"/>
    <n v="350588"/>
    <n v="0"/>
    <n v="1.35"/>
    <n v="27"/>
    <n v="0"/>
    <n v="0"/>
    <n v="0"/>
    <n v="326956.4999999999"/>
    <n v="0"/>
    <n v="0"/>
    <n v="0"/>
    <n v="28"/>
    <n v="350588"/>
    <n v="0"/>
    <n v="1.4"/>
    <n v="28"/>
    <n v="1.4"/>
    <m/>
    <n v="0"/>
    <n v="0"/>
    <n v="350588"/>
    <n v="16953.3"/>
    <n v="0"/>
    <n v="0"/>
    <n v="28"/>
    <n v="350588"/>
    <n v="31752.94117647059"/>
    <n v="1"/>
    <n v="28"/>
    <n v="0"/>
    <m/>
    <n v="0"/>
    <n v="0"/>
    <n v="350588"/>
    <n v="0"/>
    <n v="0"/>
    <n v="0"/>
    <n v="28"/>
    <n v="350588"/>
    <n v="0"/>
    <n v="9"/>
    <n v="28"/>
    <n v="0"/>
    <n v="0"/>
    <n v="0"/>
    <n v="0"/>
    <n v="350588"/>
    <n v="0"/>
    <n v="0"/>
    <n v="0"/>
    <n v="28"/>
    <n v="350588"/>
    <n v="0"/>
    <n v="9"/>
    <n v="28"/>
    <n v="9"/>
    <n v="0"/>
    <n v="0"/>
    <n v="0"/>
    <n v="350588"/>
    <n v="108985.5"/>
    <n v="0"/>
    <n v="0"/>
    <n v="28"/>
    <n v="350588"/>
    <n v="204126.0504201681"/>
    <n v="9"/>
    <n v="19"/>
    <n v="9"/>
    <n v="0"/>
    <n v="0"/>
    <n v="0"/>
    <n v="230080.5"/>
    <n v="108985.5"/>
    <n v="0"/>
    <n v="0"/>
    <n v="19"/>
    <n v="230080.5"/>
    <n v="204126.0504201681"/>
    <n v="0"/>
    <n v="10"/>
    <n v="0"/>
    <n v="0"/>
    <n v="0"/>
    <n v="0"/>
    <m/>
    <n v="121095"/>
    <n v="0"/>
    <n v="0"/>
    <n v="0"/>
    <n v="10"/>
    <n v="121095"/>
    <n v="0"/>
    <n v="0"/>
    <n v="10"/>
    <n v="0"/>
    <n v="0"/>
    <n v="0"/>
    <n v="121095"/>
    <n v="0"/>
    <n v="0"/>
    <n v="0"/>
    <n v="10"/>
    <n v="121095"/>
    <n v="0"/>
    <n v="0"/>
    <n v="10"/>
    <n v="0"/>
    <n v="0"/>
    <n v="0"/>
    <n v="121095"/>
    <n v="0"/>
    <n v="0"/>
    <n v="10"/>
    <n v="121095"/>
    <n v="0"/>
    <n v="0"/>
    <n v="10"/>
    <n v="0"/>
    <n v="0"/>
    <m/>
    <n v="121095"/>
    <n v="0"/>
    <n v="0"/>
    <n v="10"/>
    <n v="121095"/>
    <n v="0"/>
  </r>
  <r>
    <m/>
    <x v="4"/>
    <x v="21"/>
    <x v="50"/>
    <s v="LTS26-MWS06"/>
    <x v="377"/>
    <x v="344"/>
    <x v="0"/>
    <x v="5"/>
    <n v="1"/>
    <x v="212"/>
    <n v="8"/>
    <m/>
    <n v="0"/>
    <n v="12521"/>
    <n v="100168"/>
    <n v="11.7"/>
    <n v="12782.25"/>
    <n v="22680.67226890757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4609755047569848"/>
    <n v="14"/>
    <n v="0.03386919800919885"/>
    <n v="1"/>
    <n v="0.2950479696369078"/>
    <n v="1"/>
    <n v="0.4664697215733609"/>
    <n v="0"/>
    <s v=""/>
    <n v="0"/>
    <n v="0"/>
    <s v=""/>
    <n v="0"/>
    <n v="1"/>
    <n v="0.1377142857142857"/>
    <n v="1"/>
    <n v="1"/>
    <n v="0.1717859922178988"/>
    <n v="0.25"/>
    <n v="0"/>
    <s v=""/>
    <n v="0"/>
    <m/>
    <m/>
    <m/>
    <m/>
    <m/>
    <m/>
    <m/>
    <m/>
    <m/>
    <m/>
    <m/>
    <m/>
    <n v="15"/>
    <n v="26"/>
    <n v="15"/>
    <n v="0"/>
    <n v="0"/>
    <n v="0"/>
    <n v="219117.5"/>
    <n v="314846.9999999999"/>
    <n v="187815"/>
    <n v="0"/>
    <n v="8"/>
    <n v="100168"/>
    <n v="285890.8269190029"/>
    <n v="5"/>
    <n v="10"/>
    <n v="1.5"/>
    <n v="0"/>
    <n v="0"/>
    <n v="0"/>
    <n v="31302.5"/>
    <n v="121095"/>
    <n v="18781.5"/>
    <n v="0"/>
    <n v="8"/>
    <n v="100168"/>
    <n v="28589.08269190029"/>
    <n v="4"/>
    <n v="9"/>
    <n v="1"/>
    <n v="0"/>
    <n v="0"/>
    <n v="36740"/>
    <n v="112689"/>
    <n v="12521"/>
    <n v="0"/>
    <n v="8"/>
    <n v="100168"/>
    <n v="22680.67226890757"/>
    <n v="2"/>
    <n v="10"/>
    <n v="0"/>
    <n v="0"/>
    <n v="0"/>
    <n v="121095"/>
    <n v="0"/>
    <n v="0"/>
    <n v="0"/>
    <n v="8"/>
    <n v="100168"/>
    <n v="0"/>
    <n v="2"/>
    <n v="8"/>
    <n v="2"/>
    <m/>
    <n v="0"/>
    <n v="0"/>
    <n v="100168"/>
    <n v="24219"/>
    <n v="0"/>
    <n v="0"/>
    <n v="8"/>
    <n v="100168"/>
    <n v="45361.34453781513"/>
    <n v="1"/>
    <n v="9"/>
    <n v="1"/>
    <m/>
    <n v="0"/>
    <n v="0"/>
    <n v="112689"/>
    <n v="12109.5"/>
    <n v="0"/>
    <n v="0"/>
    <n v="9"/>
    <n v="100168"/>
    <n v="22680.67226890757"/>
    <n v="4"/>
    <n v="9"/>
    <n v="1"/>
    <n v="0"/>
    <n v="0"/>
    <n v="0"/>
    <n v="112689"/>
    <n v="12109.5"/>
    <n v="0"/>
    <n v="0"/>
    <n v="9"/>
    <n v="100168"/>
    <n v="22680.67226890757"/>
    <n v="4"/>
    <n v="8"/>
    <n v="4"/>
    <n v="0"/>
    <n v="0"/>
    <n v="0"/>
    <n v="100168"/>
    <n v="48437.99999999999"/>
    <n v="0"/>
    <n v="0"/>
    <n v="8"/>
    <n v="100168"/>
    <n v="90722.68907563026"/>
    <n v="4"/>
    <n v="4"/>
    <n v="4"/>
    <n v="0"/>
    <n v="0"/>
    <n v="0"/>
    <n v="48437.99999999999"/>
    <n v="48437.99999999999"/>
    <n v="0"/>
    <n v="0"/>
    <n v="4"/>
    <n v="48437.99999999999"/>
    <n v="90722.6890756302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0"/>
    <s v="LTS26-MWS06"/>
    <x v="378"/>
    <x v="344"/>
    <x v="0"/>
    <x v="5"/>
    <n v="1"/>
    <x v="213"/>
    <n v="18"/>
    <m/>
    <n v="0"/>
    <n v="12521"/>
    <n v="225378"/>
    <n v="11.7"/>
    <n v="12782.25"/>
    <n v="22680.67226890757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6274066359172742"/>
    <n v="1"/>
    <n v="0.4086057056489704"/>
    <n v="5"/>
    <n v="-0.07769629598869623"/>
    <n v="1"/>
    <n v="0.07974423221805763"/>
    <n v="1"/>
    <n v="0.4479520199608078"/>
    <n v="0"/>
    <s v=""/>
    <n v="0"/>
    <n v="0"/>
    <s v=""/>
    <n v="0"/>
    <n v="0"/>
    <s v=""/>
    <n v="0"/>
    <n v="0"/>
    <s v=""/>
    <n v="0"/>
    <n v="1"/>
    <n v="0.1717764437774443"/>
    <n v="0.1666666666666667"/>
    <m/>
    <m/>
    <m/>
    <m/>
    <m/>
    <m/>
    <m/>
    <m/>
    <m/>
    <m/>
    <m/>
    <m/>
    <n v="15"/>
    <n v="27"/>
    <n v="15"/>
    <n v="0"/>
    <n v="0"/>
    <n v="0"/>
    <n v="219117.5"/>
    <n v="326956.4999999999"/>
    <n v="187815"/>
    <n v="0"/>
    <n v="18"/>
    <n v="225378"/>
    <n v="285890.8269190029"/>
    <n v="4"/>
    <n v="21"/>
    <n v="1.5"/>
    <n v="0"/>
    <n v="0"/>
    <n v="0"/>
    <n v="31302.5"/>
    <n v="254299.5"/>
    <n v="18781.5"/>
    <n v="0"/>
    <n v="18"/>
    <n v="225378"/>
    <n v="28589.08269190029"/>
    <n v="3"/>
    <n v="20"/>
    <n v="1"/>
    <n v="0"/>
    <n v="0"/>
    <n v="29474.3"/>
    <n v="250420"/>
    <n v="12521"/>
    <n v="0"/>
    <n v="18"/>
    <n v="225378"/>
    <n v="22680.67226890757"/>
    <n v="1.4"/>
    <n v="19"/>
    <n v="0"/>
    <n v="0"/>
    <n v="0"/>
    <n v="230080.5"/>
    <n v="0"/>
    <n v="0"/>
    <n v="0"/>
    <n v="18"/>
    <n v="225378"/>
    <n v="0"/>
    <n v="1.4"/>
    <n v="18"/>
    <n v="1.4"/>
    <m/>
    <n v="0"/>
    <n v="0"/>
    <n v="225378"/>
    <n v="16953.3"/>
    <n v="0"/>
    <n v="0"/>
    <n v="18"/>
    <n v="225378"/>
    <n v="31752.94117647059"/>
    <n v="1"/>
    <n v="18"/>
    <n v="0"/>
    <m/>
    <n v="0"/>
    <n v="0"/>
    <n v="225378"/>
    <n v="0"/>
    <n v="0"/>
    <n v="0"/>
    <n v="18"/>
    <n v="225378"/>
    <n v="0"/>
    <n v="6"/>
    <n v="18"/>
    <n v="0"/>
    <n v="0"/>
    <n v="0"/>
    <n v="0"/>
    <n v="225378"/>
    <n v="0"/>
    <n v="0"/>
    <n v="0"/>
    <n v="18"/>
    <n v="225378"/>
    <n v="0"/>
    <n v="6"/>
    <n v="18"/>
    <n v="6"/>
    <n v="0"/>
    <n v="0"/>
    <n v="0"/>
    <n v="225378"/>
    <n v="72656.99999999999"/>
    <n v="0"/>
    <n v="0"/>
    <n v="18"/>
    <n v="225378"/>
    <n v="136084.0336134454"/>
    <n v="6"/>
    <n v="12"/>
    <n v="6"/>
    <n v="0"/>
    <n v="0"/>
    <n v="0"/>
    <n v="145314"/>
    <n v="72656.99999999999"/>
    <n v="0"/>
    <n v="0"/>
    <n v="12"/>
    <n v="145314"/>
    <n v="136084.0336134454"/>
    <n v="0"/>
    <n v="6"/>
    <n v="0"/>
    <n v="0"/>
    <n v="0"/>
    <n v="0"/>
    <m/>
    <n v="72656.99999999999"/>
    <n v="0"/>
    <n v="0"/>
    <n v="0"/>
    <n v="6"/>
    <n v="72656.99999999999"/>
    <n v="0"/>
    <n v="0"/>
    <n v="6"/>
    <n v="0"/>
    <n v="0"/>
    <n v="0"/>
    <n v="72656.99999999999"/>
    <n v="0"/>
    <n v="0"/>
    <n v="0"/>
    <n v="6"/>
    <n v="72656.99999999999"/>
    <n v="0"/>
    <n v="0"/>
    <n v="6"/>
    <n v="0"/>
    <n v="0"/>
    <n v="0"/>
    <n v="72656.99999999999"/>
    <n v="0"/>
    <n v="0"/>
    <n v="6"/>
    <n v="72656.99999999999"/>
    <n v="0"/>
    <n v="0"/>
    <n v="6"/>
    <n v="0"/>
    <n v="0"/>
    <m/>
    <n v="72656.99999999999"/>
    <n v="0"/>
    <n v="0"/>
    <n v="6"/>
    <n v="72656.99999999999"/>
    <n v="0"/>
  </r>
  <r>
    <m/>
    <x v="4"/>
    <x v="21"/>
    <x v="50"/>
    <s v="LTS26-MWS06"/>
    <x v="379"/>
    <x v="344"/>
    <x v="0"/>
    <x v="5"/>
    <n v="1"/>
    <x v="214"/>
    <n v="4"/>
    <m/>
    <n v="0"/>
    <n v="12521"/>
    <n v="50084"/>
    <n v="11.7"/>
    <n v="12782.25"/>
    <n v="22680.67226890757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4570957811212765"/>
    <n v="0"/>
    <s v=""/>
    <n v="6"/>
    <n v="0.08639846778678383"/>
    <n v="2"/>
    <n v="0.3098905924654428"/>
    <n v="0"/>
    <s v=""/>
    <n v="1"/>
    <n v="0.4479520199608078"/>
    <n v="1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5"/>
    <n v="13"/>
    <n v="5"/>
    <n v="0"/>
    <n v="0"/>
    <n v="0"/>
    <n v="100168"/>
    <n v="157423.5"/>
    <n v="62605"/>
    <n v="0"/>
    <n v="4"/>
    <n v="50084"/>
    <n v="95296.94230633431"/>
    <n v="3"/>
    <n v="6"/>
    <n v="3"/>
    <n v="0"/>
    <n v="0"/>
    <n v="0"/>
    <n v="50084"/>
    <n v="72656.99999999999"/>
    <n v="37563"/>
    <n v="0"/>
    <n v="4"/>
    <n v="50084"/>
    <n v="57178.16538380059"/>
    <n v="2"/>
    <n v="4"/>
    <n v="0"/>
    <n v="0"/>
    <n v="0"/>
    <n v="24630.5"/>
    <n v="50084"/>
    <n v="0"/>
    <n v="0"/>
    <n v="4"/>
    <n v="50084"/>
    <n v="0"/>
    <n v="1"/>
    <n v="4"/>
    <n v="1"/>
    <n v="0"/>
    <n v="0"/>
    <n v="48437.99999999999"/>
    <n v="12521"/>
    <n v="0"/>
    <n v="0"/>
    <n v="4"/>
    <n v="50084"/>
    <n v="22680.67226890757"/>
    <n v="1"/>
    <n v="4"/>
    <n v="1"/>
    <m/>
    <n v="0"/>
    <n v="0"/>
    <n v="50084"/>
    <n v="12109.5"/>
    <n v="0"/>
    <n v="0"/>
    <n v="4"/>
    <n v="50084"/>
    <n v="22680.67226890757"/>
    <n v="1"/>
    <n v="4"/>
    <n v="0"/>
    <m/>
    <n v="0"/>
    <n v="0"/>
    <n v="50084"/>
    <n v="0"/>
    <n v="0"/>
    <n v="0"/>
    <n v="4"/>
    <n v="50084"/>
    <n v="0"/>
    <n v="1"/>
    <n v="4"/>
    <n v="0"/>
    <n v="0"/>
    <n v="0"/>
    <n v="0"/>
    <n v="50084"/>
    <n v="0"/>
    <n v="0"/>
    <n v="0"/>
    <n v="4"/>
    <n v="50084"/>
    <n v="0"/>
    <n v="1"/>
    <n v="4"/>
    <n v="1"/>
    <n v="0"/>
    <n v="0"/>
    <n v="0"/>
    <n v="50084"/>
    <n v="12109.5"/>
    <n v="0"/>
    <n v="0"/>
    <n v="4"/>
    <n v="50084"/>
    <n v="22680.67226890757"/>
    <n v="1"/>
    <n v="3"/>
    <n v="1"/>
    <n v="0"/>
    <n v="0"/>
    <n v="0"/>
    <n v="36328.49999999999"/>
    <n v="12109.5"/>
    <n v="0"/>
    <n v="0"/>
    <n v="3"/>
    <n v="36328.49999999999"/>
    <n v="22680.67226890757"/>
    <n v="0"/>
    <n v="2"/>
    <n v="0"/>
    <n v="0"/>
    <n v="0"/>
    <n v="0"/>
    <m/>
    <n v="24219"/>
    <n v="0"/>
    <n v="0"/>
    <n v="0"/>
    <n v="2"/>
    <n v="24219"/>
    <n v="0"/>
    <n v="0"/>
    <n v="2"/>
    <n v="0"/>
    <n v="0"/>
    <n v="0"/>
    <n v="24219"/>
    <n v="0"/>
    <n v="0"/>
    <n v="0"/>
    <n v="2"/>
    <n v="24219"/>
    <n v="0"/>
    <n v="0"/>
    <n v="2"/>
    <n v="0"/>
    <n v="0"/>
    <n v="0"/>
    <n v="24219"/>
    <n v="0"/>
    <n v="0"/>
    <n v="2"/>
    <n v="24219"/>
    <n v="0"/>
    <n v="0"/>
    <n v="2"/>
    <n v="0"/>
    <n v="0"/>
    <m/>
    <n v="24219"/>
    <n v="0"/>
    <n v="0"/>
    <n v="2"/>
    <n v="24219"/>
    <n v="0"/>
  </r>
  <r>
    <m/>
    <x v="4"/>
    <x v="21"/>
    <x v="50"/>
    <s v="LTS26-MWS06"/>
    <x v="380"/>
    <x v="344"/>
    <x v="0"/>
    <x v="5"/>
    <n v="1"/>
    <x v="215"/>
    <n v="10"/>
    <m/>
    <n v="0"/>
    <n v="12521"/>
    <n v="125210"/>
    <n v="11.7"/>
    <n v="12782.25"/>
    <n v="22680.67226890757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5"/>
    <n v="0.1481241510231477"/>
    <n v="1"/>
    <n v="0.1445644431467218"/>
    <n v="0"/>
    <s v=""/>
    <n v="1"/>
    <n v="0.4479520199608078"/>
    <n v="1.428571428571429"/>
    <n v="0"/>
    <s v=""/>
    <n v="0"/>
    <n v="1"/>
    <n v="0.2546088044022011"/>
    <n v="1"/>
    <n v="0"/>
    <s v=""/>
    <n v="0"/>
    <n v="0"/>
    <s v=""/>
    <n v="0"/>
    <m/>
    <m/>
    <m/>
    <m/>
    <m/>
    <m/>
    <m/>
    <m/>
    <m/>
    <m/>
    <m/>
    <m/>
    <n v="5"/>
    <n v="15"/>
    <n v="5"/>
    <n v="0"/>
    <n v="0"/>
    <n v="0"/>
    <n v="81386.5"/>
    <n v="181642.5"/>
    <n v="62605"/>
    <n v="0"/>
    <n v="10"/>
    <n v="125210"/>
    <n v="95296.94230633431"/>
    <n v="1.536"/>
    <n v="10"/>
    <n v="1.5"/>
    <n v="0"/>
    <n v="0"/>
    <n v="0"/>
    <n v="31302.5"/>
    <n v="121095"/>
    <n v="18781.5"/>
    <n v="0"/>
    <n v="10"/>
    <n v="125210"/>
    <n v="28589.08269190029"/>
    <n v="2"/>
    <n v="9"/>
    <n v="0"/>
    <n v="0"/>
    <n v="0"/>
    <n v="20997.65"/>
    <n v="112689"/>
    <n v="0"/>
    <n v="0"/>
    <n v="10"/>
    <n v="125210"/>
    <n v="0"/>
    <n v="0.7"/>
    <n v="9"/>
    <n v="1"/>
    <n v="0"/>
    <n v="0"/>
    <n v="108985.5"/>
    <n v="12521"/>
    <n v="0"/>
    <n v="0"/>
    <n v="10"/>
    <n v="125210"/>
    <n v="22680.67226890757"/>
    <n v="0.7"/>
    <n v="10"/>
    <n v="0.7"/>
    <m/>
    <n v="0"/>
    <n v="0"/>
    <n v="125210"/>
    <n v="8476.649999999998"/>
    <n v="0"/>
    <n v="0"/>
    <n v="10"/>
    <n v="125210"/>
    <n v="15876.47058823529"/>
    <n v="1"/>
    <n v="11"/>
    <n v="1"/>
    <m/>
    <n v="0"/>
    <n v="0"/>
    <n v="137731"/>
    <n v="12109.5"/>
    <n v="0"/>
    <n v="0"/>
    <n v="11"/>
    <n v="125210"/>
    <n v="22680.67226890757"/>
    <n v="4"/>
    <n v="10"/>
    <n v="0"/>
    <n v="0"/>
    <n v="0"/>
    <n v="0"/>
    <n v="125210"/>
    <n v="0"/>
    <n v="0"/>
    <n v="0"/>
    <n v="10"/>
    <n v="125210"/>
    <n v="0"/>
    <n v="4"/>
    <n v="10"/>
    <n v="4"/>
    <n v="0"/>
    <n v="0"/>
    <n v="0"/>
    <n v="125210"/>
    <n v="48437.99999999999"/>
    <n v="0"/>
    <n v="0"/>
    <n v="10"/>
    <n v="125210"/>
    <n v="90722.68907563026"/>
    <n v="4"/>
    <n v="6"/>
    <n v="4"/>
    <n v="0"/>
    <n v="0"/>
    <n v="0"/>
    <n v="72656.99999999999"/>
    <n v="48437.99999999999"/>
    <n v="0"/>
    <n v="0"/>
    <n v="6"/>
    <n v="72656.99999999999"/>
    <n v="90722.68907563026"/>
    <n v="0"/>
    <n v="2"/>
    <n v="0"/>
    <n v="0"/>
    <n v="0"/>
    <n v="0"/>
    <m/>
    <n v="24219"/>
    <n v="0"/>
    <n v="0"/>
    <n v="0"/>
    <n v="2"/>
    <n v="24219"/>
    <n v="0"/>
    <n v="0"/>
    <n v="2"/>
    <n v="0"/>
    <n v="0"/>
    <n v="0"/>
    <n v="24219"/>
    <n v="0"/>
    <n v="0"/>
    <n v="0"/>
    <n v="2"/>
    <n v="24219"/>
    <n v="0"/>
    <n v="0"/>
    <n v="2"/>
    <n v="0"/>
    <n v="0"/>
    <n v="0"/>
    <n v="24219"/>
    <n v="0"/>
    <n v="0"/>
    <n v="2"/>
    <n v="24219"/>
    <n v="0"/>
    <n v="0"/>
    <n v="2"/>
    <n v="0"/>
    <n v="0"/>
    <m/>
    <n v="24219"/>
    <n v="0"/>
    <n v="0"/>
    <n v="2"/>
    <n v="24219"/>
    <n v="0"/>
  </r>
  <r>
    <m/>
    <x v="4"/>
    <x v="21"/>
    <x v="50"/>
    <s v="LTS26-WLG02"/>
    <x v="381"/>
    <x v="345"/>
    <x v="0"/>
    <x v="5"/>
    <n v="1"/>
    <x v="216"/>
    <n v="19"/>
    <m/>
    <n v="0"/>
    <n v="6274"/>
    <n v="119206"/>
    <n v="5.7"/>
    <n v="6227.2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5605519366813756"/>
    <n v="0"/>
    <s v=""/>
    <n v="1"/>
    <n v="0.5019449179815246"/>
    <n v="0"/>
    <s v=""/>
    <n v="0"/>
    <s v=""/>
    <n v="0"/>
    <n v="0"/>
    <s v=""/>
    <n v="0"/>
    <n v="1"/>
    <s v=""/>
    <n v="0.1666666666666667"/>
    <n v="0"/>
    <s v=""/>
    <n v="0"/>
    <n v="0"/>
    <s v=""/>
    <n v="0"/>
    <m/>
    <m/>
    <m/>
    <m/>
    <m/>
    <m/>
    <m/>
    <m/>
    <m/>
    <m/>
    <m/>
    <m/>
    <n v="5"/>
    <n v="14"/>
    <n v="5"/>
    <n v="0"/>
    <n v="0"/>
    <n v="0"/>
    <n v="40781"/>
    <n v="82592.99999999999"/>
    <n v="31370"/>
    <n v="0"/>
    <n v="19"/>
    <n v="119206"/>
    <n v="52927.05317421087"/>
    <n v="3"/>
    <n v="20"/>
    <n v="1.5"/>
    <n v="0"/>
    <n v="0"/>
    <n v="0"/>
    <n v="9411"/>
    <n v="117990"/>
    <n v="9411"/>
    <n v="0"/>
    <n v="19"/>
    <n v="119206"/>
    <n v="15878.11595226326"/>
    <n v="3"/>
    <n v="20"/>
    <n v="0"/>
    <n v="0"/>
    <n v="0"/>
    <n v="17698.5"/>
    <n v="125480"/>
    <n v="0"/>
    <n v="0"/>
    <n v="19"/>
    <n v="119206"/>
    <n v="0"/>
    <n v="3"/>
    <n v="20"/>
    <n v="0"/>
    <n v="0"/>
    <n v="0"/>
    <n v="117990"/>
    <n v="0"/>
    <n v="0"/>
    <n v="0"/>
    <n v="19"/>
    <n v="119206"/>
    <n v="0"/>
    <n v="3"/>
    <n v="19"/>
    <n v="3"/>
    <m/>
    <n v="0"/>
    <n v="0"/>
    <n v="119206"/>
    <n v="17698.5"/>
    <n v="0"/>
    <n v="0"/>
    <n v="19"/>
    <n v="119206"/>
    <n v="37789.91596638656"/>
    <n v="6"/>
    <n v="20"/>
    <n v="1"/>
    <m/>
    <n v="0"/>
    <n v="0"/>
    <n v="125480"/>
    <n v="5899.499999999999"/>
    <n v="0"/>
    <n v="0"/>
    <n v="20"/>
    <n v="119206"/>
    <n v="12596.63865546219"/>
    <n v="7"/>
    <n v="19"/>
    <n v="0"/>
    <n v="0"/>
    <n v="0"/>
    <n v="0"/>
    <n v="119206"/>
    <n v="0"/>
    <n v="0"/>
    <n v="0"/>
    <n v="19"/>
    <n v="119206"/>
    <n v="0"/>
    <n v="7"/>
    <n v="19"/>
    <n v="7"/>
    <n v="0"/>
    <n v="0"/>
    <n v="0"/>
    <n v="119206"/>
    <n v="41296.49999999999"/>
    <n v="0"/>
    <n v="0"/>
    <n v="19"/>
    <n v="119206"/>
    <n v="88176.4705882353"/>
    <n v="7"/>
    <n v="12"/>
    <n v="7"/>
    <n v="0"/>
    <n v="0"/>
    <n v="0"/>
    <n v="70793.99999999999"/>
    <n v="41296.49999999999"/>
    <n v="0"/>
    <n v="0"/>
    <n v="12"/>
    <n v="70793.99999999999"/>
    <n v="88176.4705882353"/>
    <n v="0"/>
    <n v="5"/>
    <n v="0"/>
    <n v="0"/>
    <n v="0"/>
    <n v="0"/>
    <m/>
    <n v="29497.5"/>
    <n v="0"/>
    <n v="0"/>
    <n v="0"/>
    <n v="5"/>
    <n v="29497.5"/>
    <n v="0"/>
    <n v="0"/>
    <n v="5"/>
    <n v="0"/>
    <n v="0"/>
    <n v="0"/>
    <n v="29497.5"/>
    <n v="0"/>
    <n v="0"/>
    <n v="0"/>
    <n v="5"/>
    <n v="29497.5"/>
    <n v="0"/>
    <n v="0"/>
    <n v="5"/>
    <n v="0"/>
    <n v="0"/>
    <n v="0"/>
    <n v="29497.5"/>
    <n v="0"/>
    <n v="0"/>
    <n v="5"/>
    <n v="29497.5"/>
    <n v="0"/>
    <n v="0"/>
    <n v="5"/>
    <n v="0"/>
    <n v="0"/>
    <m/>
    <n v="29497.5"/>
    <n v="0"/>
    <n v="0"/>
    <n v="5"/>
    <n v="29497.5"/>
    <n v="0"/>
  </r>
  <r>
    <m/>
    <x v="4"/>
    <x v="21"/>
    <x v="50"/>
    <s v="LTS26-WLG02"/>
    <x v="382"/>
    <x v="345"/>
    <x v="0"/>
    <x v="2"/>
    <n v="1"/>
    <x v="3"/>
    <n v="25"/>
    <m/>
    <n v="0"/>
    <n v="6434"/>
    <n v="160850"/>
    <n v="5.7"/>
    <n v="6227.2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5"/>
    <n v="25"/>
    <n v="5"/>
    <n v="0"/>
    <n v="0"/>
    <n v="0"/>
    <n v="32170"/>
    <n v="147487.5"/>
    <n v="32170"/>
    <n v="0"/>
    <n v="25"/>
    <n v="160850"/>
    <n v="52927.05317421087"/>
    <n v="3"/>
    <n v="24"/>
    <n v="0"/>
    <n v="0"/>
    <n v="0"/>
    <n v="0"/>
    <n v="0"/>
    <n v="141588"/>
    <n v="0"/>
    <n v="0"/>
    <n v="25"/>
    <n v="160850"/>
    <n v="0"/>
    <n v="3"/>
    <n v="25"/>
    <n v="0"/>
    <n v="0"/>
    <n v="0"/>
    <n v="17698.5"/>
    <n v="160850"/>
    <n v="0"/>
    <n v="0"/>
    <n v="25"/>
    <n v="160850"/>
    <n v="0"/>
    <n v="3"/>
    <n v="25"/>
    <n v="0"/>
    <n v="0"/>
    <n v="0"/>
    <n v="147487.5"/>
    <n v="0"/>
    <n v="0"/>
    <n v="0"/>
    <n v="25"/>
    <n v="160850"/>
    <n v="0"/>
    <n v="3"/>
    <n v="25"/>
    <n v="3"/>
    <m/>
    <n v="0"/>
    <n v="0"/>
    <n v="160850"/>
    <n v="17698.5"/>
    <n v="0"/>
    <n v="0"/>
    <n v="25"/>
    <n v="160850"/>
    <n v="37789.91596638656"/>
    <n v="6"/>
    <n v="25"/>
    <n v="0"/>
    <m/>
    <n v="0"/>
    <n v="0"/>
    <n v="160850"/>
    <n v="0"/>
    <n v="0"/>
    <n v="0"/>
    <n v="25"/>
    <n v="160850"/>
    <n v="0"/>
    <n v="8"/>
    <n v="25"/>
    <n v="0"/>
    <n v="0"/>
    <n v="0"/>
    <n v="0"/>
    <n v="160850"/>
    <n v="0"/>
    <n v="0"/>
    <n v="0"/>
    <n v="25"/>
    <n v="160850"/>
    <n v="0"/>
    <n v="8"/>
    <n v="25"/>
    <n v="8"/>
    <n v="0"/>
    <n v="0"/>
    <n v="0"/>
    <n v="160850"/>
    <n v="47195.99999999999"/>
    <n v="0"/>
    <n v="0"/>
    <n v="25"/>
    <n v="160850"/>
    <n v="100773.1092436975"/>
    <n v="8"/>
    <n v="17"/>
    <n v="8"/>
    <n v="0"/>
    <n v="0"/>
    <n v="0"/>
    <n v="100291.5"/>
    <n v="47195.99999999999"/>
    <n v="0"/>
    <n v="0"/>
    <n v="17"/>
    <n v="100291.5"/>
    <n v="100773.1092436975"/>
    <n v="0"/>
    <n v="9"/>
    <n v="0"/>
    <n v="0"/>
    <n v="0"/>
    <n v="0"/>
    <m/>
    <n v="53095.49999999999"/>
    <n v="0"/>
    <n v="0"/>
    <n v="0"/>
    <n v="9"/>
    <n v="53095.49999999999"/>
    <n v="0"/>
    <n v="0"/>
    <n v="9"/>
    <n v="0"/>
    <n v="0"/>
    <n v="0"/>
    <n v="53095.49999999999"/>
    <n v="0"/>
    <n v="0"/>
    <n v="0"/>
    <n v="9"/>
    <n v="53095.49999999999"/>
    <n v="0"/>
    <n v="0"/>
    <n v="9"/>
    <n v="0"/>
    <n v="0"/>
    <n v="0"/>
    <n v="53095.49999999999"/>
    <n v="0"/>
    <n v="0"/>
    <n v="9"/>
    <n v="53095.49999999999"/>
    <n v="0"/>
    <n v="0"/>
    <n v="9"/>
    <n v="0"/>
    <n v="0"/>
    <m/>
    <n v="53095.49999999999"/>
    <n v="0"/>
    <n v="0"/>
    <n v="9"/>
    <n v="53095.49999999999"/>
    <n v="0"/>
  </r>
  <r>
    <m/>
    <x v="4"/>
    <x v="21"/>
    <x v="50"/>
    <s v="LTS26-WLG02"/>
    <x v="383"/>
    <x v="345"/>
    <x v="0"/>
    <x v="5"/>
    <n v="1"/>
    <x v="217"/>
    <n v="33"/>
    <m/>
    <n v="0"/>
    <n v="6100"/>
    <n v="201300"/>
    <n v="5.7"/>
    <n v="6227.2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1111111111111111"/>
    <n v="1"/>
    <n v="0.4973632222565132"/>
    <n v="0"/>
    <s v=""/>
    <n v="1"/>
    <n v="0"/>
    <n v="1"/>
    <n v="0.2864113988742817"/>
    <n v="0.3333333333333333"/>
    <n v="1"/>
    <n v="0.5157725150100066"/>
    <n v="0.3333333333333333"/>
    <n v="0"/>
    <s v=""/>
    <n v="0"/>
    <n v="0"/>
    <s v=""/>
    <n v="0"/>
    <n v="0"/>
    <s v=""/>
    <n v="0"/>
    <m/>
    <m/>
    <m/>
    <m/>
    <m/>
    <m/>
    <m/>
    <m/>
    <m/>
    <m/>
    <m/>
    <m/>
    <n v="5"/>
    <n v="34"/>
    <n v="5"/>
    <n v="0"/>
    <n v="0"/>
    <n v="0"/>
    <n v="36600"/>
    <n v="200583"/>
    <n v="30500"/>
    <n v="0"/>
    <n v="33"/>
    <n v="201300"/>
    <n v="52927.05317421087"/>
    <n v="3"/>
    <n v="34"/>
    <n v="0"/>
    <n v="0"/>
    <n v="0"/>
    <n v="0"/>
    <n v="12200"/>
    <n v="200583"/>
    <n v="0"/>
    <n v="0"/>
    <n v="33"/>
    <n v="201300"/>
    <n v="0"/>
    <n v="3"/>
    <n v="34"/>
    <n v="1"/>
    <n v="0"/>
    <n v="0"/>
    <n v="29898.5"/>
    <n v="207400"/>
    <n v="6100"/>
    <n v="0"/>
    <n v="33"/>
    <n v="201300"/>
    <n v="12596.63865546219"/>
    <n v="3"/>
    <n v="35"/>
    <n v="1"/>
    <n v="0"/>
    <n v="0"/>
    <n v="206482.5"/>
    <n v="6100"/>
    <n v="0"/>
    <n v="0"/>
    <n v="33"/>
    <n v="201300"/>
    <n v="12596.63865546219"/>
    <n v="3"/>
    <n v="34"/>
    <n v="3"/>
    <m/>
    <n v="0"/>
    <n v="0"/>
    <n v="207400"/>
    <n v="17698.5"/>
    <n v="0"/>
    <n v="0"/>
    <n v="33"/>
    <n v="201300"/>
    <n v="37789.91596638656"/>
    <n v="6"/>
    <n v="33"/>
    <n v="0"/>
    <m/>
    <n v="0"/>
    <n v="0"/>
    <n v="201300"/>
    <n v="0"/>
    <n v="0"/>
    <n v="0"/>
    <n v="33"/>
    <n v="201300"/>
    <n v="0"/>
    <n v="11"/>
    <n v="33"/>
    <n v="0"/>
    <n v="0"/>
    <n v="0"/>
    <n v="0"/>
    <n v="201300"/>
    <n v="0"/>
    <n v="0"/>
    <n v="0"/>
    <n v="33"/>
    <n v="201300"/>
    <n v="0"/>
    <n v="11"/>
    <n v="33"/>
    <n v="11"/>
    <n v="0"/>
    <n v="0"/>
    <n v="0"/>
    <n v="201300"/>
    <n v="64894.49999999999"/>
    <n v="0"/>
    <n v="0"/>
    <n v="33"/>
    <n v="201300"/>
    <n v="138563.025210084"/>
    <n v="11"/>
    <n v="22"/>
    <n v="11"/>
    <n v="0"/>
    <n v="0"/>
    <n v="0"/>
    <n v="129789"/>
    <n v="64894.49999999999"/>
    <n v="0"/>
    <n v="0"/>
    <n v="22"/>
    <n v="129789"/>
    <n v="138563.025210084"/>
    <n v="0"/>
    <n v="11"/>
    <n v="0"/>
    <n v="0"/>
    <n v="0"/>
    <n v="0"/>
    <m/>
    <n v="64894.49999999999"/>
    <n v="0"/>
    <n v="0"/>
    <n v="0"/>
    <n v="11"/>
    <n v="64894.49999999999"/>
    <n v="0"/>
    <n v="0"/>
    <n v="11"/>
    <n v="0"/>
    <n v="0"/>
    <n v="0"/>
    <n v="64894.49999999999"/>
    <n v="0"/>
    <n v="0"/>
    <n v="0"/>
    <n v="11"/>
    <n v="64894.49999999999"/>
    <n v="0"/>
    <n v="0"/>
    <n v="11"/>
    <n v="0"/>
    <n v="0"/>
    <n v="0"/>
    <n v="64894.49999999999"/>
    <n v="0"/>
    <n v="0"/>
    <n v="11"/>
    <n v="64894.49999999999"/>
    <n v="0"/>
    <n v="0"/>
    <n v="11"/>
    <n v="0"/>
    <n v="0"/>
    <m/>
    <n v="64894.49999999999"/>
    <n v="0"/>
    <n v="0"/>
    <n v="11"/>
    <n v="64894.49999999999"/>
    <n v="0"/>
  </r>
  <r>
    <m/>
    <x v="4"/>
    <x v="21"/>
    <x v="50"/>
    <s v="LTS26-WLG02"/>
    <x v="384"/>
    <x v="345"/>
    <x v="0"/>
    <x v="5"/>
    <n v="1"/>
    <x v="218"/>
    <n v="31"/>
    <m/>
    <n v="0"/>
    <n v="6100"/>
    <n v="189100"/>
    <n v="5.7"/>
    <n v="6227.2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3"/>
    <n v="0"/>
    <n v="0"/>
    <s v=""/>
    <n v="1"/>
    <n v="0.2890797743677607"/>
    <n v="1"/>
    <n v="0.2895507485244492"/>
    <n v="0"/>
    <s v=""/>
    <n v="0"/>
    <n v="0"/>
    <s v=""/>
    <n v="0"/>
    <n v="1"/>
    <n v="0.009410410410410412"/>
    <n v="0.1666666666666667"/>
    <n v="0"/>
    <s v=""/>
    <n v="0"/>
    <n v="0"/>
    <s v=""/>
    <n v="0"/>
    <m/>
    <m/>
    <m/>
    <m/>
    <m/>
    <m/>
    <m/>
    <m/>
    <m/>
    <m/>
    <m/>
    <m/>
    <n v="5"/>
    <n v="32"/>
    <n v="5"/>
    <n v="0"/>
    <n v="0"/>
    <n v="0"/>
    <n v="45750"/>
    <n v="188784"/>
    <n v="30500"/>
    <n v="0"/>
    <n v="31"/>
    <n v="189100"/>
    <n v="52927.05317421087"/>
    <n v="3"/>
    <n v="30"/>
    <n v="1.5"/>
    <n v="0"/>
    <n v="0"/>
    <n v="0"/>
    <n v="15250"/>
    <n v="176985"/>
    <n v="9150"/>
    <n v="0"/>
    <n v="31"/>
    <n v="189100"/>
    <n v="15878.11595226326"/>
    <n v="3"/>
    <n v="31"/>
    <n v="1"/>
    <n v="0"/>
    <n v="0"/>
    <n v="23798.5"/>
    <n v="189100"/>
    <n v="6100"/>
    <n v="0"/>
    <n v="31"/>
    <n v="189100"/>
    <n v="12596.63865546219"/>
    <n v="3"/>
    <n v="30"/>
    <n v="0"/>
    <n v="0"/>
    <n v="0"/>
    <n v="176985"/>
    <n v="0"/>
    <n v="0"/>
    <n v="0"/>
    <n v="31"/>
    <n v="189100"/>
    <n v="0"/>
    <n v="3"/>
    <n v="31"/>
    <n v="3"/>
    <m/>
    <n v="0"/>
    <n v="0"/>
    <n v="189100"/>
    <n v="17698.5"/>
    <n v="0"/>
    <n v="0"/>
    <n v="31"/>
    <n v="189100"/>
    <n v="37789.91596638656"/>
    <n v="6"/>
    <n v="32"/>
    <n v="1"/>
    <m/>
    <n v="0"/>
    <n v="0"/>
    <n v="195200"/>
    <n v="5899.499999999999"/>
    <n v="0"/>
    <n v="0"/>
    <n v="32"/>
    <n v="189100"/>
    <n v="12596.63865546219"/>
    <n v="10"/>
    <n v="31"/>
    <n v="0"/>
    <n v="0"/>
    <n v="0"/>
    <n v="0"/>
    <n v="189100"/>
    <n v="0"/>
    <n v="0"/>
    <n v="0"/>
    <n v="31"/>
    <n v="189100"/>
    <n v="0"/>
    <n v="10"/>
    <n v="31"/>
    <n v="10"/>
    <n v="0"/>
    <n v="0"/>
    <n v="0"/>
    <n v="189100"/>
    <n v="58994.99999999999"/>
    <n v="0"/>
    <n v="0"/>
    <n v="31"/>
    <n v="189100"/>
    <n v="125966.3865546219"/>
    <n v="10"/>
    <n v="21"/>
    <n v="10"/>
    <n v="0"/>
    <n v="0"/>
    <n v="0"/>
    <n v="123889.5"/>
    <n v="58994.99999999999"/>
    <n v="0"/>
    <n v="0"/>
    <n v="21"/>
    <n v="123889.5"/>
    <n v="125966.3865546219"/>
    <n v="0"/>
    <n v="11"/>
    <n v="0"/>
    <n v="0"/>
    <n v="0"/>
    <n v="0"/>
    <m/>
    <n v="64894.49999999999"/>
    <n v="0"/>
    <n v="0"/>
    <n v="0"/>
    <n v="11"/>
    <n v="64894.49999999999"/>
    <n v="0"/>
    <n v="0"/>
    <n v="11"/>
    <n v="0"/>
    <n v="0"/>
    <n v="0"/>
    <n v="64894.49999999999"/>
    <n v="0"/>
    <n v="0"/>
    <n v="0"/>
    <n v="11"/>
    <n v="64894.49999999999"/>
    <n v="0"/>
    <n v="0"/>
    <n v="11"/>
    <n v="0"/>
    <n v="0"/>
    <n v="0"/>
    <n v="64894.49999999999"/>
    <n v="0"/>
    <n v="0"/>
    <n v="11"/>
    <n v="64894.49999999999"/>
    <n v="0"/>
    <n v="0"/>
    <n v="11"/>
    <n v="0"/>
    <n v="0"/>
    <m/>
    <n v="64894.49999999999"/>
    <n v="0"/>
    <n v="0"/>
    <n v="11"/>
    <n v="64894.49999999999"/>
    <n v="0"/>
  </r>
  <r>
    <m/>
    <x v="4"/>
    <x v="21"/>
    <x v="50"/>
    <s v="LTS26-WLG02"/>
    <x v="385"/>
    <x v="345"/>
    <x v="0"/>
    <x v="5"/>
    <n v="1"/>
    <x v="219"/>
    <n v="17"/>
    <m/>
    <n v="0"/>
    <n v="6100"/>
    <n v="103700"/>
    <n v="5.7"/>
    <n v="6227.2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6368615311346589"/>
    <n v="6"/>
    <n v="0.5095083021750493"/>
    <n v="0"/>
    <s v=""/>
    <n v="1"/>
    <n v="0.2"/>
    <n v="0"/>
    <s v=""/>
    <n v="0"/>
    <s v=""/>
    <n v="0"/>
    <n v="0"/>
    <s v=""/>
    <n v="0"/>
    <n v="0"/>
    <s v=""/>
    <n v="0"/>
    <n v="1"/>
    <n v="0.2733783783783784"/>
    <n v="0.1666666666666667"/>
    <n v="0"/>
    <s v=""/>
    <n v="0"/>
    <m/>
    <m/>
    <m/>
    <m/>
    <m/>
    <m/>
    <m/>
    <m/>
    <m/>
    <m/>
    <m/>
    <m/>
    <n v="3"/>
    <n v="15"/>
    <n v="3"/>
    <n v="0"/>
    <n v="0"/>
    <n v="0"/>
    <n v="27450"/>
    <n v="88492.49999999999"/>
    <n v="18300"/>
    <n v="0"/>
    <n v="17"/>
    <n v="103700"/>
    <n v="31756.23190452652"/>
    <n v="2"/>
    <n v="16"/>
    <n v="1.5"/>
    <n v="0"/>
    <n v="0"/>
    <n v="0"/>
    <n v="9150"/>
    <n v="94391.99999999999"/>
    <n v="9150"/>
    <n v="0"/>
    <n v="17"/>
    <n v="103700"/>
    <n v="15878.11595226326"/>
    <n v="2"/>
    <n v="18"/>
    <n v="0"/>
    <n v="0"/>
    <n v="0"/>
    <n v="11799"/>
    <n v="109800"/>
    <n v="0"/>
    <n v="0"/>
    <n v="17"/>
    <n v="103700"/>
    <n v="0"/>
    <n v="2"/>
    <n v="18"/>
    <n v="0"/>
    <n v="0"/>
    <n v="0"/>
    <n v="106191"/>
    <n v="0"/>
    <n v="0"/>
    <n v="0"/>
    <n v="17"/>
    <n v="103700"/>
    <n v="0"/>
    <n v="2"/>
    <n v="17"/>
    <n v="2"/>
    <m/>
    <n v="0"/>
    <n v="0"/>
    <n v="103700"/>
    <n v="11799"/>
    <n v="0"/>
    <n v="0"/>
    <n v="17"/>
    <n v="103700"/>
    <n v="25193.27731092437"/>
    <n v="5"/>
    <n v="17"/>
    <n v="0"/>
    <m/>
    <n v="0"/>
    <n v="0"/>
    <n v="103700"/>
    <n v="0"/>
    <n v="0"/>
    <n v="0"/>
    <n v="17"/>
    <n v="103700"/>
    <n v="0"/>
    <n v="6"/>
    <n v="18"/>
    <n v="1"/>
    <n v="0"/>
    <n v="0"/>
    <n v="0"/>
    <n v="109800"/>
    <n v="5899.499999999999"/>
    <n v="0"/>
    <n v="0"/>
    <n v="18"/>
    <n v="103700"/>
    <n v="12596.63865546219"/>
    <n v="6"/>
    <n v="17"/>
    <n v="6"/>
    <n v="0"/>
    <n v="0"/>
    <n v="0"/>
    <n v="103700"/>
    <n v="35396.99999999999"/>
    <n v="0"/>
    <n v="0"/>
    <n v="17"/>
    <n v="103700"/>
    <n v="75579.83193277312"/>
    <n v="6"/>
    <n v="11"/>
    <n v="6"/>
    <n v="0"/>
    <n v="0"/>
    <n v="0"/>
    <n v="64894.49999999999"/>
    <n v="35396.99999999999"/>
    <n v="0"/>
    <n v="0"/>
    <n v="11"/>
    <n v="64894.49999999999"/>
    <n v="75579.83193277312"/>
    <n v="0"/>
    <n v="5"/>
    <n v="0"/>
    <n v="0"/>
    <n v="0"/>
    <n v="0"/>
    <m/>
    <n v="29497.5"/>
    <n v="0"/>
    <n v="0"/>
    <n v="0"/>
    <n v="5"/>
    <n v="29497.5"/>
    <n v="0"/>
    <n v="0"/>
    <n v="5"/>
    <n v="0"/>
    <n v="0"/>
    <n v="0"/>
    <n v="29497.5"/>
    <n v="0"/>
    <n v="0"/>
    <n v="0"/>
    <n v="5"/>
    <n v="29497.5"/>
    <n v="0"/>
    <n v="0"/>
    <n v="5"/>
    <n v="0"/>
    <n v="0"/>
    <n v="0"/>
    <n v="29497.5"/>
    <n v="0"/>
    <n v="0"/>
    <n v="5"/>
    <n v="29497.5"/>
    <n v="0"/>
    <n v="0"/>
    <n v="5"/>
    <n v="0"/>
    <n v="0"/>
    <m/>
    <n v="29497.5"/>
    <n v="0"/>
    <n v="0"/>
    <n v="5"/>
    <n v="29497.5"/>
    <n v="0"/>
  </r>
  <r>
    <m/>
    <x v="4"/>
    <x v="21"/>
    <x v="50"/>
    <s v="LTS26-WLG02"/>
    <x v="386"/>
    <x v="345"/>
    <x v="0"/>
    <x v="5"/>
    <n v="1"/>
    <x v="220"/>
    <n v="19"/>
    <m/>
    <n v="0"/>
    <n v="6100"/>
    <n v="115900"/>
    <n v="5.7"/>
    <n v="6227.2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3263762354370272"/>
    <n v="0"/>
    <s v=""/>
    <n v="0"/>
    <s v=""/>
    <n v="0"/>
    <s v=""/>
    <n v="0"/>
    <s v=""/>
    <n v="0"/>
    <n v="0"/>
    <s v=""/>
    <n v="0"/>
    <n v="1"/>
    <n v="0.4411886066204773"/>
    <n v="0.2"/>
    <n v="0"/>
    <s v=""/>
    <n v="0"/>
    <n v="0"/>
    <s v=""/>
    <n v="0"/>
    <m/>
    <m/>
    <m/>
    <m/>
    <m/>
    <m/>
    <m/>
    <m/>
    <m/>
    <m/>
    <m/>
    <m/>
    <n v="3"/>
    <n v="20"/>
    <n v="3"/>
    <n v="0"/>
    <n v="0"/>
    <n v="0"/>
    <n v="18300"/>
    <n v="117990"/>
    <n v="18300"/>
    <n v="0"/>
    <n v="19"/>
    <n v="115900"/>
    <n v="31756.23190452652"/>
    <n v="2"/>
    <n v="19"/>
    <n v="0"/>
    <n v="0"/>
    <n v="0"/>
    <n v="0"/>
    <n v="0"/>
    <n v="112090.5"/>
    <n v="0"/>
    <n v="0"/>
    <n v="19"/>
    <n v="115900"/>
    <n v="0"/>
    <n v="2"/>
    <n v="20"/>
    <n v="0"/>
    <n v="0"/>
    <n v="0"/>
    <n v="11799"/>
    <n v="122000"/>
    <n v="0"/>
    <n v="0"/>
    <n v="19"/>
    <n v="115900"/>
    <n v="0"/>
    <n v="2"/>
    <n v="20"/>
    <n v="0"/>
    <n v="0"/>
    <n v="0"/>
    <n v="117990"/>
    <n v="0"/>
    <n v="0"/>
    <n v="0"/>
    <n v="19"/>
    <n v="115900"/>
    <n v="0"/>
    <n v="2"/>
    <n v="19"/>
    <n v="2"/>
    <m/>
    <n v="0"/>
    <n v="0"/>
    <n v="115900"/>
    <n v="11799"/>
    <n v="0"/>
    <n v="0"/>
    <n v="19"/>
    <n v="115900"/>
    <n v="25193.27731092437"/>
    <n v="5"/>
    <n v="20"/>
    <n v="1"/>
    <m/>
    <n v="0"/>
    <n v="0"/>
    <n v="122000"/>
    <n v="5899.499999999999"/>
    <n v="0"/>
    <n v="0"/>
    <n v="20"/>
    <n v="115900"/>
    <n v="12596.63865546219"/>
    <n v="7"/>
    <n v="19"/>
    <n v="0"/>
    <n v="0"/>
    <n v="0"/>
    <n v="0"/>
    <n v="115900"/>
    <n v="0"/>
    <n v="0"/>
    <n v="0"/>
    <n v="19"/>
    <n v="115900"/>
    <n v="0"/>
    <n v="7"/>
    <n v="19"/>
    <n v="7"/>
    <n v="0"/>
    <n v="0"/>
    <n v="0"/>
    <n v="115900"/>
    <n v="41296.49999999999"/>
    <n v="0"/>
    <n v="0"/>
    <n v="19"/>
    <n v="115900"/>
    <n v="88176.4705882353"/>
    <n v="7"/>
    <n v="12"/>
    <n v="7"/>
    <n v="0"/>
    <n v="0"/>
    <n v="0"/>
    <n v="70793.99999999999"/>
    <n v="41296.49999999999"/>
    <n v="0"/>
    <n v="0"/>
    <n v="12"/>
    <n v="70793.99999999999"/>
    <n v="88176.4705882353"/>
    <n v="0"/>
    <n v="5"/>
    <n v="0"/>
    <n v="0"/>
    <n v="0"/>
    <n v="0"/>
    <m/>
    <n v="29497.5"/>
    <n v="0"/>
    <n v="0"/>
    <n v="0"/>
    <n v="5"/>
    <n v="29497.5"/>
    <n v="0"/>
    <n v="0"/>
    <n v="5"/>
    <n v="0"/>
    <n v="0"/>
    <n v="0"/>
    <n v="29497.5"/>
    <n v="0"/>
    <n v="0"/>
    <n v="0"/>
    <n v="5"/>
    <n v="29497.5"/>
    <n v="0"/>
    <n v="0"/>
    <n v="5"/>
    <n v="0"/>
    <n v="0"/>
    <n v="0"/>
    <n v="29497.5"/>
    <n v="0"/>
    <n v="0"/>
    <n v="5"/>
    <n v="29497.5"/>
    <n v="0"/>
    <n v="0"/>
    <n v="5"/>
    <n v="0"/>
    <n v="0"/>
    <m/>
    <n v="29497.5"/>
    <n v="0"/>
    <n v="0"/>
    <n v="5"/>
    <n v="29497.5"/>
    <n v="0"/>
  </r>
  <r>
    <m/>
    <x v="4"/>
    <x v="21"/>
    <x v="50"/>
    <s v="LTS26-WLG02"/>
    <x v="387"/>
    <x v="345"/>
    <x v="0"/>
    <x v="5"/>
    <n v="1"/>
    <x v="221"/>
    <n v="6"/>
    <m/>
    <n v="0"/>
    <n v="6177"/>
    <n v="37062"/>
    <n v="5.7"/>
    <n v="6227.2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5148338164427694"/>
    <n v="1"/>
    <n v="0.4764366312816771"/>
    <n v="1"/>
    <n v="0.455146855024841"/>
    <n v="0"/>
    <s v=""/>
    <n v="0"/>
    <n v="0"/>
    <s v=""/>
    <n v="0"/>
    <n v="3"/>
    <n v="0.07662632696390657"/>
    <n v="0.5"/>
    <n v="1"/>
    <n v="0.2642062062062062"/>
    <n v="0.3333333333333333"/>
    <n v="0"/>
    <s v=""/>
    <n v="0"/>
    <m/>
    <m/>
    <m/>
    <m/>
    <m/>
    <m/>
    <m/>
    <m/>
    <m/>
    <m/>
    <m/>
    <m/>
    <n v="2"/>
    <n v="14"/>
    <n v="2"/>
    <n v="0"/>
    <n v="0"/>
    <n v="0"/>
    <n v="27796.5"/>
    <n v="82592.99999999999"/>
    <n v="12354"/>
    <n v="0"/>
    <n v="6"/>
    <n v="37062"/>
    <n v="21170.82126968435"/>
    <n v="2"/>
    <n v="11"/>
    <n v="1.5"/>
    <n v="0"/>
    <n v="0"/>
    <n v="0"/>
    <n v="15442.5"/>
    <n v="64894.49999999999"/>
    <n v="9265.5"/>
    <n v="0"/>
    <n v="6"/>
    <n v="37062"/>
    <n v="15878.11595226326"/>
    <n v="2"/>
    <n v="10"/>
    <n v="1"/>
    <n v="0"/>
    <n v="0"/>
    <n v="17976"/>
    <n v="61770"/>
    <n v="6177"/>
    <n v="0"/>
    <n v="6"/>
    <n v="37062"/>
    <n v="12596.63865546219"/>
    <n v="2"/>
    <n v="9"/>
    <n v="0"/>
    <n v="0"/>
    <n v="0"/>
    <n v="53095.49999999999"/>
    <n v="0"/>
    <n v="0"/>
    <n v="0"/>
    <n v="6"/>
    <n v="37062"/>
    <n v="0"/>
    <n v="2"/>
    <n v="6"/>
    <n v="2"/>
    <m/>
    <n v="0"/>
    <n v="0"/>
    <n v="37062"/>
    <n v="11799"/>
    <n v="0"/>
    <n v="0"/>
    <n v="6"/>
    <n v="37062"/>
    <n v="25193.27731092437"/>
    <n v="6"/>
    <n v="9"/>
    <n v="3"/>
    <m/>
    <n v="0"/>
    <n v="0"/>
    <n v="55593"/>
    <n v="17698.5"/>
    <n v="0"/>
    <n v="0"/>
    <n v="9"/>
    <n v="37062"/>
    <n v="37789.91596638656"/>
    <n v="3"/>
    <n v="7"/>
    <n v="1"/>
    <n v="0"/>
    <n v="0"/>
    <n v="0"/>
    <n v="43239"/>
    <n v="5899.499999999999"/>
    <n v="0"/>
    <n v="0"/>
    <n v="7"/>
    <n v="37062"/>
    <n v="12596.63865546219"/>
    <n v="3"/>
    <n v="6"/>
    <n v="3"/>
    <n v="0"/>
    <n v="0"/>
    <n v="0"/>
    <n v="37062"/>
    <n v="17698.5"/>
    <n v="0"/>
    <n v="0"/>
    <n v="6"/>
    <n v="37062"/>
    <n v="37789.91596638656"/>
    <n v="3"/>
    <n v="3"/>
    <n v="3"/>
    <n v="0"/>
    <n v="0"/>
    <n v="0"/>
    <n v="17698.5"/>
    <n v="17698.5"/>
    <n v="0"/>
    <n v="0"/>
    <n v="3"/>
    <n v="17698.5"/>
    <n v="37789.9159663865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0"/>
    <s v="LTS26-WLG02"/>
    <x v="388"/>
    <x v="345"/>
    <x v="0"/>
    <x v="5"/>
    <n v="1"/>
    <x v="222"/>
    <n v="11"/>
    <m/>
    <n v="0"/>
    <n v="6166"/>
    <n v="67826"/>
    <n v="5.7"/>
    <n v="6227.249999999999"/>
    <n v="12596.63865546219"/>
    <n v="10915.9663865546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921322121388727"/>
    <n v="1"/>
    <n v="0.3453994921477266"/>
    <n v="0"/>
    <s v=""/>
    <n v="0"/>
    <s v=""/>
    <n v="0"/>
    <s v=""/>
    <n v="0"/>
    <n v="0"/>
    <s v=""/>
    <n v="0"/>
    <n v="0"/>
    <s v=""/>
    <n v="0"/>
    <n v="1"/>
    <n v="0.2655165165165165"/>
    <n v="0.25"/>
    <n v="0"/>
    <s v=""/>
    <n v="0"/>
    <m/>
    <m/>
    <m/>
    <m/>
    <m/>
    <m/>
    <m/>
    <m/>
    <m/>
    <m/>
    <m/>
    <m/>
    <n v="2"/>
    <n v="13"/>
    <n v="2"/>
    <n v="0"/>
    <n v="0"/>
    <n v="0"/>
    <n v="12332"/>
    <n v="76693.49999999999"/>
    <n v="12332"/>
    <n v="0"/>
    <n v="11"/>
    <n v="67826"/>
    <n v="21170.82126968435"/>
    <n v="2"/>
    <n v="11"/>
    <n v="0"/>
    <n v="0"/>
    <n v="0"/>
    <n v="0"/>
    <n v="0"/>
    <n v="64894.49999999999"/>
    <n v="0"/>
    <n v="0"/>
    <n v="11"/>
    <n v="67826"/>
    <n v="0"/>
    <n v="2"/>
    <n v="11"/>
    <n v="0"/>
    <n v="0"/>
    <n v="0"/>
    <n v="11799"/>
    <n v="67826"/>
    <n v="0"/>
    <n v="0"/>
    <n v="11"/>
    <n v="67826"/>
    <n v="0"/>
    <n v="2"/>
    <n v="11"/>
    <n v="0"/>
    <n v="0"/>
    <n v="0"/>
    <n v="64894.49999999999"/>
    <n v="0"/>
    <n v="0"/>
    <n v="0"/>
    <n v="11"/>
    <n v="67826"/>
    <n v="0"/>
    <n v="2"/>
    <n v="11"/>
    <n v="2"/>
    <m/>
    <n v="0"/>
    <n v="0"/>
    <n v="67826"/>
    <n v="11799"/>
    <n v="0"/>
    <n v="0"/>
    <n v="11"/>
    <n v="67826"/>
    <n v="25193.27731092437"/>
    <n v="6"/>
    <n v="11"/>
    <n v="0"/>
    <m/>
    <n v="0"/>
    <n v="0"/>
    <n v="67826"/>
    <n v="0"/>
    <n v="0"/>
    <n v="0"/>
    <n v="11"/>
    <n v="67826"/>
    <n v="0"/>
    <n v="4"/>
    <n v="12"/>
    <n v="1"/>
    <n v="0"/>
    <n v="0"/>
    <n v="0"/>
    <n v="73992"/>
    <n v="5899.499999999999"/>
    <n v="0"/>
    <n v="0"/>
    <n v="12"/>
    <n v="67826"/>
    <n v="12596.63865546219"/>
    <n v="4"/>
    <n v="11"/>
    <n v="4"/>
    <n v="0"/>
    <n v="0"/>
    <n v="0"/>
    <n v="67826"/>
    <n v="23598"/>
    <n v="0"/>
    <n v="0"/>
    <n v="11"/>
    <n v="67826"/>
    <n v="50386.55462184874"/>
    <n v="4"/>
    <n v="7"/>
    <n v="4"/>
    <n v="0"/>
    <n v="0"/>
    <n v="0"/>
    <n v="41296.49999999999"/>
    <n v="23598"/>
    <n v="0"/>
    <n v="0"/>
    <n v="7"/>
    <n v="41296.49999999999"/>
    <n v="50386.55462184874"/>
    <n v="0"/>
    <n v="3"/>
    <n v="0"/>
    <n v="0"/>
    <n v="0"/>
    <n v="0"/>
    <m/>
    <n v="17698.5"/>
    <n v="0"/>
    <n v="0"/>
    <n v="0"/>
    <n v="3"/>
    <n v="17698.5"/>
    <n v="0"/>
    <n v="0"/>
    <n v="3"/>
    <n v="0"/>
    <n v="0"/>
    <n v="0"/>
    <n v="17698.5"/>
    <n v="0"/>
    <n v="0"/>
    <n v="0"/>
    <n v="3"/>
    <n v="17698.5"/>
    <n v="0"/>
    <n v="0"/>
    <n v="3"/>
    <n v="0"/>
    <n v="0"/>
    <n v="0"/>
    <n v="17698.5"/>
    <n v="0"/>
    <n v="0"/>
    <n v="3"/>
    <n v="17698.5"/>
    <n v="0"/>
    <n v="0"/>
    <n v="3"/>
    <n v="0"/>
    <n v="0"/>
    <m/>
    <n v="17698.5"/>
    <n v="0"/>
    <n v="0"/>
    <n v="3"/>
    <n v="17698.5"/>
    <n v="0"/>
  </r>
  <r>
    <m/>
    <x v="4"/>
    <x v="21"/>
    <x v="50"/>
    <s v="LTS26-WPT06"/>
    <x v="389"/>
    <x v="346"/>
    <x v="0"/>
    <x v="5"/>
    <n v="1"/>
    <x v="223"/>
    <n v="0"/>
    <m/>
    <n v="0"/>
    <n v="15945"/>
    <n v="0"/>
    <n v="14.9"/>
    <n v="16278.25"/>
    <n v="33605.04201680672"/>
    <n v="29403.3613445378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2930935422053325"/>
    <n v="3"/>
    <n v="0.3891164099576774"/>
    <n v="1"/>
    <n v="0.5005325332505529"/>
    <n v="0.5"/>
    <n v="1"/>
    <n v="0.4870346039470127"/>
    <n v="0.5"/>
    <n v="1"/>
    <n v="-0.1915238095238095"/>
    <n v="0.2857142857142857"/>
    <n v="7"/>
    <n v="0.2363511182659691"/>
    <n v="0.7777777777777778"/>
    <n v="2"/>
    <n v="0.2252204981625153"/>
    <n v="0.2222222222222222"/>
    <m/>
    <m/>
    <m/>
    <m/>
    <m/>
    <m/>
    <m/>
    <m/>
    <m/>
    <m/>
    <m/>
    <m/>
    <n v="1.8"/>
    <n v="25"/>
    <n v="1.8"/>
    <n v="0"/>
    <n v="0"/>
    <n v="0"/>
    <n v="100453.5"/>
    <n v="385537.4999999999"/>
    <n v="28701"/>
    <n v="0"/>
    <n v="0"/>
    <n v="0"/>
    <n v="50831.15599180849"/>
    <n v="2"/>
    <n v="32"/>
    <n v="1.5"/>
    <n v="0"/>
    <n v="0"/>
    <n v="0"/>
    <n v="87697.5"/>
    <n v="493487.9999999999"/>
    <n v="23917.5"/>
    <n v="0"/>
    <n v="0"/>
    <n v="0"/>
    <n v="42359.29665984041"/>
    <n v="2"/>
    <n v="31"/>
    <n v="3"/>
    <n v="0"/>
    <n v="0"/>
    <n v="94623"/>
    <n v="494295"/>
    <n v="47835"/>
    <n v="0"/>
    <n v="0"/>
    <n v="0"/>
    <n v="100815.1260504202"/>
    <n v="2"/>
    <n v="30"/>
    <n v="1"/>
    <n v="0"/>
    <n v="0"/>
    <n v="462644.9999999999"/>
    <n v="15945"/>
    <n v="0"/>
    <n v="0"/>
    <n v="0"/>
    <n v="0"/>
    <n v="33605.04201680672"/>
    <n v="2"/>
    <n v="1"/>
    <n v="2"/>
    <m/>
    <n v="0"/>
    <n v="0"/>
    <n v="15945"/>
    <n v="30843"/>
    <n v="0"/>
    <n v="0"/>
    <n v="0"/>
    <n v="0"/>
    <n v="67210.08403361344"/>
    <n v="3.5"/>
    <n v="1"/>
    <n v="1"/>
    <m/>
    <n v="0"/>
    <n v="0"/>
    <n v="15945"/>
    <n v="15421.5"/>
    <n v="0"/>
    <n v="0"/>
    <n v="1"/>
    <n v="0"/>
    <n v="33605.04201680672"/>
    <n v="9"/>
    <n v="7"/>
    <n v="7"/>
    <n v="0"/>
    <n v="0"/>
    <n v="0"/>
    <n v="111615"/>
    <n v="107950.5"/>
    <n v="0"/>
    <n v="0"/>
    <n v="7"/>
    <n v="0"/>
    <n v="235235.294117647"/>
    <n v="9"/>
    <n v="0"/>
    <n v="9"/>
    <n v="0"/>
    <n v="0"/>
    <n v="0"/>
    <n v="0"/>
    <n v="138793.5"/>
    <n v="0"/>
    <n v="0"/>
    <n v="0"/>
    <n v="0"/>
    <n v="302445.3781512605"/>
    <n v="9"/>
    <n v="0"/>
    <n v="9"/>
    <n v="0"/>
    <n v="0"/>
    <n v="0"/>
    <n v="0"/>
    <n v="138793.5"/>
    <n v="0"/>
    <n v="0"/>
    <n v="0"/>
    <n v="0"/>
    <n v="302445.378151260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0"/>
    <s v="LTS26-WPT06"/>
    <x v="390"/>
    <x v="346"/>
    <x v="0"/>
    <x v="5"/>
    <n v="1"/>
    <x v="224"/>
    <n v="16"/>
    <m/>
    <n v="0"/>
    <n v="15945"/>
    <n v="255120"/>
    <n v="14.9"/>
    <n v="16278.25"/>
    <n v="33605.04201680672"/>
    <n v="29403.3613445378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2921842627330886"/>
    <n v="0"/>
    <s v=""/>
    <n v="0"/>
    <s v=""/>
    <n v="0"/>
    <n v="0"/>
    <s v=""/>
    <n v="0"/>
    <n v="2"/>
    <n v="0.1031478826275425"/>
    <n v="0.6060606060606061"/>
    <n v="4"/>
    <n v="0.2330456750202102"/>
    <n v="0.5"/>
    <n v="1"/>
    <n v="0.2407142857142857"/>
    <n v="0.125"/>
    <m/>
    <m/>
    <m/>
    <m/>
    <m/>
    <m/>
    <m/>
    <m/>
    <m/>
    <m/>
    <m/>
    <m/>
    <n v="1.6"/>
    <n v="25"/>
    <n v="1.6"/>
    <n v="0"/>
    <n v="0"/>
    <n v="0"/>
    <n v="73347"/>
    <n v="385537.4999999999"/>
    <n v="25512"/>
    <n v="0"/>
    <n v="16"/>
    <n v="255120"/>
    <n v="45183.24977049644"/>
    <n v="2"/>
    <n v="25"/>
    <n v="3"/>
    <n v="0"/>
    <n v="0"/>
    <n v="0"/>
    <n v="47835"/>
    <n v="385537.4999999999"/>
    <n v="47835"/>
    <n v="0"/>
    <n v="16"/>
    <n v="255120"/>
    <n v="84718.59331968082"/>
    <n v="2"/>
    <n v="23"/>
    <n v="0"/>
    <n v="0"/>
    <n v="0"/>
    <n v="30843"/>
    <n v="366735"/>
    <n v="0"/>
    <n v="0"/>
    <n v="16"/>
    <n v="255120"/>
    <n v="0"/>
    <n v="2"/>
    <n v="23"/>
    <n v="0"/>
    <n v="0"/>
    <n v="0"/>
    <n v="354694.4999999999"/>
    <n v="0"/>
    <n v="0"/>
    <n v="0"/>
    <n v="16"/>
    <n v="255120"/>
    <n v="0"/>
    <n v="2"/>
    <n v="16"/>
    <n v="2"/>
    <m/>
    <n v="0"/>
    <n v="0"/>
    <n v="255120"/>
    <n v="30843"/>
    <n v="0"/>
    <n v="0"/>
    <n v="16"/>
    <n v="255120"/>
    <n v="67210.08403361344"/>
    <n v="3.3"/>
    <n v="18"/>
    <n v="2"/>
    <m/>
    <n v="0"/>
    <n v="0"/>
    <n v="287010"/>
    <n v="30843"/>
    <n v="0"/>
    <n v="0"/>
    <n v="18"/>
    <n v="255120"/>
    <n v="67210.08403361344"/>
    <n v="8"/>
    <n v="20"/>
    <n v="4"/>
    <n v="0"/>
    <n v="0"/>
    <n v="0"/>
    <n v="318900"/>
    <n v="61685.99999999999"/>
    <n v="0"/>
    <n v="0"/>
    <n v="20"/>
    <n v="255120"/>
    <n v="134420.1680672269"/>
    <n v="8"/>
    <n v="16"/>
    <n v="8"/>
    <n v="0"/>
    <n v="0"/>
    <n v="0"/>
    <n v="255120"/>
    <n v="123372"/>
    <n v="0"/>
    <n v="0"/>
    <n v="16"/>
    <n v="255120"/>
    <n v="268840.3361344538"/>
    <n v="8"/>
    <n v="8"/>
    <n v="8"/>
    <n v="0"/>
    <n v="0"/>
    <n v="0"/>
    <n v="123372"/>
    <n v="123372"/>
    <n v="0"/>
    <n v="0"/>
    <n v="8"/>
    <n v="123372"/>
    <n v="268840.3361344538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0"/>
    <s v="LTS26-WPT06"/>
    <x v="391"/>
    <x v="346"/>
    <x v="0"/>
    <x v="5"/>
    <n v="1"/>
    <x v="225"/>
    <n v="11"/>
    <m/>
    <n v="0"/>
    <n v="15945"/>
    <n v="175395"/>
    <n v="14.9"/>
    <n v="16278.25"/>
    <n v="33605.04201680672"/>
    <n v="29403.3613445378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4067307871188585"/>
    <n v="0"/>
    <s v=""/>
    <n v="0"/>
    <s v=""/>
    <n v="1"/>
    <n v="0.3380187474993436"/>
    <n v="2"/>
    <n v="0.3090817356205853"/>
    <n v="0.6666666666666666"/>
    <n v="1"/>
    <n v="0.5005267175572519"/>
    <n v="0.3333333333333333"/>
    <n v="1"/>
    <n v="0.02376190476190476"/>
    <n v="0.1851851851851852"/>
    <n v="16"/>
    <n v="0.2330456750202102"/>
    <n v="1.6"/>
    <n v="3"/>
    <n v="0.2304549141543869"/>
    <n v="0.3"/>
    <m/>
    <m/>
    <m/>
    <m/>
    <m/>
    <m/>
    <m/>
    <m/>
    <m/>
    <m/>
    <m/>
    <m/>
    <n v="3"/>
    <n v="39"/>
    <n v="3"/>
    <n v="0"/>
    <n v="0"/>
    <n v="0"/>
    <n v="63780"/>
    <n v="601438.4999999999"/>
    <n v="47835"/>
    <n v="0"/>
    <n v="11"/>
    <n v="175395"/>
    <n v="84718.59331968082"/>
    <n v="3"/>
    <n v="36"/>
    <n v="0"/>
    <n v="0"/>
    <n v="0"/>
    <n v="0"/>
    <n v="47835"/>
    <n v="555173.9999999999"/>
    <n v="0"/>
    <n v="0"/>
    <n v="11"/>
    <n v="175395"/>
    <n v="0"/>
    <n v="2.88"/>
    <n v="36"/>
    <n v="1"/>
    <n v="0"/>
    <n v="0"/>
    <n v="94099.5"/>
    <n v="574020"/>
    <n v="15945"/>
    <n v="0"/>
    <n v="11"/>
    <n v="175395"/>
    <n v="33605.04201680672"/>
    <n v="3"/>
    <n v="34"/>
    <n v="2"/>
    <n v="0"/>
    <n v="0"/>
    <n v="524330.9999999999"/>
    <n v="31890"/>
    <n v="0"/>
    <n v="0"/>
    <n v="11"/>
    <n v="175395"/>
    <n v="67210.08403361344"/>
    <n v="3"/>
    <n v="12"/>
    <n v="3"/>
    <m/>
    <n v="0"/>
    <n v="0"/>
    <n v="191340"/>
    <n v="46264.49999999999"/>
    <n v="0"/>
    <n v="0"/>
    <n v="11"/>
    <n v="175395"/>
    <n v="100815.1260504202"/>
    <n v="5.4"/>
    <n v="12"/>
    <n v="1"/>
    <m/>
    <n v="0"/>
    <n v="0"/>
    <n v="191340"/>
    <n v="15421.5"/>
    <n v="0"/>
    <n v="0"/>
    <n v="12"/>
    <n v="175395"/>
    <n v="33605.04201680672"/>
    <n v="10"/>
    <n v="27"/>
    <n v="16"/>
    <n v="0"/>
    <n v="0"/>
    <n v="0"/>
    <n v="430515"/>
    <n v="246744"/>
    <n v="0"/>
    <n v="0"/>
    <n v="27"/>
    <n v="175395"/>
    <n v="537680.6722689075"/>
    <n v="10"/>
    <n v="11"/>
    <n v="10"/>
    <n v="0"/>
    <n v="0"/>
    <n v="0"/>
    <n v="175395"/>
    <n v="154215"/>
    <n v="0"/>
    <n v="0"/>
    <n v="11"/>
    <n v="175395"/>
    <n v="336050.4201680672"/>
    <n v="10"/>
    <n v="1"/>
    <n v="10"/>
    <n v="0"/>
    <n v="0"/>
    <n v="0"/>
    <n v="15421.5"/>
    <n v="154215"/>
    <n v="0"/>
    <n v="0"/>
    <n v="1"/>
    <n v="15421.5"/>
    <n v="336050.420168067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0"/>
    <s v="LTS26-WPT06"/>
    <x v="392"/>
    <x v="346"/>
    <x v="0"/>
    <x v="5"/>
    <n v="1"/>
    <x v="226"/>
    <n v="30"/>
    <m/>
    <n v="0"/>
    <n v="15945"/>
    <n v="478350"/>
    <n v="14.9"/>
    <n v="16278.25"/>
    <n v="33605.04201680672"/>
    <n v="29403.3613445378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0"/>
    <s v=""/>
    <n v="0"/>
    <n v="0"/>
    <s v=""/>
    <n v="0"/>
    <n v="3"/>
    <n v="0.0144991789819376"/>
    <n v="0.6"/>
    <n v="6"/>
    <n v="0.2034469127164597"/>
    <n v="0.4615384615384616"/>
    <n v="1"/>
    <n v="0.2407142857142857"/>
    <n v="0.07692307692307693"/>
    <m/>
    <m/>
    <m/>
    <m/>
    <m/>
    <m/>
    <m/>
    <m/>
    <m/>
    <m/>
    <m/>
    <m/>
    <n v="3"/>
    <n v="40"/>
    <n v="3"/>
    <n v="0"/>
    <n v="0"/>
    <n v="0"/>
    <n v="63780"/>
    <n v="616859.9999999999"/>
    <n v="47835"/>
    <n v="0"/>
    <n v="30"/>
    <n v="478350"/>
    <n v="84718.59331968082"/>
    <n v="3"/>
    <n v="40"/>
    <n v="0"/>
    <n v="0"/>
    <n v="0"/>
    <n v="0"/>
    <n v="15945"/>
    <n v="616859.9999999999"/>
    <n v="0"/>
    <n v="0"/>
    <n v="30"/>
    <n v="478350"/>
    <n v="0"/>
    <n v="3"/>
    <n v="40"/>
    <n v="1"/>
    <n v="0"/>
    <n v="0"/>
    <n v="62209.49999999999"/>
    <n v="637800"/>
    <n v="15945"/>
    <n v="0"/>
    <n v="30"/>
    <n v="478350"/>
    <n v="33605.04201680672"/>
    <n v="2"/>
    <n v="39"/>
    <n v="0"/>
    <n v="0"/>
    <n v="0"/>
    <n v="601438.4999999999"/>
    <n v="0"/>
    <n v="0"/>
    <n v="0"/>
    <n v="30"/>
    <n v="478350"/>
    <n v="0"/>
    <n v="3"/>
    <n v="30"/>
    <n v="3"/>
    <m/>
    <n v="0"/>
    <n v="0"/>
    <n v="478350"/>
    <n v="46264.49999999999"/>
    <n v="0"/>
    <n v="0"/>
    <n v="30"/>
    <n v="478350"/>
    <n v="100815.1260504202"/>
    <n v="5"/>
    <n v="33"/>
    <n v="3"/>
    <m/>
    <n v="0"/>
    <n v="0"/>
    <n v="526185"/>
    <n v="46264.49999999999"/>
    <n v="0"/>
    <n v="0"/>
    <n v="33"/>
    <n v="478350"/>
    <n v="100815.1260504202"/>
    <n v="13"/>
    <n v="36"/>
    <n v="6"/>
    <n v="0"/>
    <n v="0"/>
    <n v="0"/>
    <n v="574020"/>
    <n v="92528.99999999999"/>
    <n v="0"/>
    <n v="0"/>
    <n v="36"/>
    <n v="478350"/>
    <n v="201630.2521008403"/>
    <n v="13"/>
    <n v="30"/>
    <n v="13"/>
    <n v="0"/>
    <n v="0"/>
    <n v="0"/>
    <n v="478350"/>
    <n v="200479.5"/>
    <n v="0"/>
    <n v="0"/>
    <n v="30"/>
    <n v="478350"/>
    <n v="436865.5462184874"/>
    <n v="13"/>
    <n v="17"/>
    <n v="13"/>
    <n v="0"/>
    <n v="0"/>
    <n v="0"/>
    <n v="262165.4999999999"/>
    <n v="200479.5"/>
    <n v="0"/>
    <n v="0"/>
    <n v="17"/>
    <n v="262165.4999999999"/>
    <n v="436865.5462184874"/>
    <n v="0"/>
    <n v="4"/>
    <n v="0"/>
    <n v="0"/>
    <n v="0"/>
    <n v="0"/>
    <m/>
    <n v="61685.99999999999"/>
    <n v="0"/>
    <n v="0"/>
    <n v="0"/>
    <n v="4"/>
    <n v="61685.99999999999"/>
    <n v="0"/>
    <n v="0"/>
    <n v="4"/>
    <n v="0"/>
    <n v="0"/>
    <n v="0"/>
    <n v="61685.99999999999"/>
    <n v="0"/>
    <n v="0"/>
    <n v="0"/>
    <n v="4"/>
    <n v="61685.99999999999"/>
    <n v="0"/>
    <n v="0"/>
    <n v="4"/>
    <n v="0"/>
    <n v="0"/>
    <n v="0"/>
    <n v="61685.99999999999"/>
    <n v="0"/>
    <n v="0"/>
    <n v="4"/>
    <n v="61685.99999999999"/>
    <n v="0"/>
    <n v="0"/>
    <n v="4"/>
    <n v="0"/>
    <n v="0"/>
    <m/>
    <n v="61685.99999999999"/>
    <n v="0"/>
    <n v="0"/>
    <n v="4"/>
    <n v="61685.99999999999"/>
    <n v="0"/>
  </r>
  <r>
    <m/>
    <x v="4"/>
    <x v="21"/>
    <x v="50"/>
    <s v="LTS26-WPT06"/>
    <x v="393"/>
    <x v="346"/>
    <x v="0"/>
    <x v="5"/>
    <n v="1"/>
    <x v="227"/>
    <n v="0"/>
    <m/>
    <n v="0"/>
    <n v="15945"/>
    <n v="0"/>
    <n v="14.9"/>
    <n v="16278.25"/>
    <n v="33605.04201680672"/>
    <n v="29403.3613445378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6204294478287909"/>
    <n v="0"/>
    <s v=""/>
    <n v="1"/>
    <n v="0.5255170464219183"/>
    <n v="2"/>
    <n v="0.3545937994469466"/>
    <n v="0.6666666666666666"/>
    <n v="2"/>
    <n v="0.3219049405878674"/>
    <n v="0.6666666666666666"/>
    <n v="4"/>
    <n v="0.121702380952381"/>
    <n v="1.333333333333333"/>
    <n v="10"/>
    <n v="0.2283696624644164"/>
    <n v="1.666666666666667"/>
    <n v="6"/>
    <n v="0.2356190412246542"/>
    <n v="1"/>
    <m/>
    <m/>
    <m/>
    <m/>
    <m/>
    <m/>
    <m/>
    <m/>
    <m/>
    <m/>
    <m/>
    <m/>
    <n v="3"/>
    <n v="27"/>
    <n v="3"/>
    <n v="0"/>
    <n v="0"/>
    <n v="0"/>
    <n v="63780"/>
    <n v="416380.4999999999"/>
    <n v="47835"/>
    <n v="0"/>
    <n v="0"/>
    <n v="0"/>
    <n v="84718.59331968082"/>
    <n v="3"/>
    <n v="25"/>
    <n v="0"/>
    <n v="0"/>
    <n v="0"/>
    <n v="0"/>
    <n v="47835"/>
    <n v="385537.4999999999"/>
    <n v="0"/>
    <n v="0"/>
    <n v="0"/>
    <n v="0"/>
    <n v="0"/>
    <n v="3"/>
    <n v="25"/>
    <n v="1"/>
    <n v="0"/>
    <n v="0"/>
    <n v="94099.5"/>
    <n v="398625"/>
    <n v="15945"/>
    <n v="0"/>
    <n v="0"/>
    <n v="0"/>
    <n v="33605.04201680672"/>
    <n v="3"/>
    <n v="23"/>
    <n v="2"/>
    <n v="0"/>
    <n v="0"/>
    <n v="354694.4999999999"/>
    <n v="31890"/>
    <n v="0"/>
    <n v="0"/>
    <n v="0"/>
    <n v="0"/>
    <n v="67210.08403361344"/>
    <n v="3"/>
    <n v="2"/>
    <n v="3"/>
    <m/>
    <n v="0"/>
    <n v="0"/>
    <n v="31890"/>
    <n v="46264.49999999999"/>
    <n v="0"/>
    <n v="0"/>
    <n v="0"/>
    <n v="0"/>
    <n v="100815.1260504202"/>
    <n v="3"/>
    <n v="4"/>
    <n v="4"/>
    <m/>
    <n v="0"/>
    <n v="0"/>
    <n v="63780"/>
    <n v="61685.99999999999"/>
    <n v="0"/>
    <n v="0"/>
    <n v="4"/>
    <n v="0"/>
    <n v="134420.1680672269"/>
    <n v="6"/>
    <n v="10"/>
    <n v="10"/>
    <n v="0"/>
    <n v="0"/>
    <n v="0"/>
    <n v="159450"/>
    <n v="154215"/>
    <n v="0"/>
    <n v="0"/>
    <n v="10"/>
    <n v="0"/>
    <n v="336050.4201680672"/>
    <n v="6"/>
    <n v="0"/>
    <n v="6"/>
    <n v="0"/>
    <n v="0"/>
    <n v="0"/>
    <n v="0"/>
    <n v="92528.99999999999"/>
    <n v="0"/>
    <n v="0"/>
    <n v="0"/>
    <n v="0"/>
    <n v="201630.2521008403"/>
    <n v="6"/>
    <n v="0"/>
    <n v="6"/>
    <n v="0"/>
    <n v="0"/>
    <n v="0"/>
    <n v="0"/>
    <n v="92528.99999999999"/>
    <n v="0"/>
    <n v="0"/>
    <n v="0"/>
    <n v="0"/>
    <n v="201630.252100840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0"/>
    <s v="LTS26-WPT06"/>
    <x v="394"/>
    <x v="346"/>
    <x v="0"/>
    <x v="5"/>
    <n v="1"/>
    <x v="228"/>
    <n v="3"/>
    <m/>
    <n v="0"/>
    <n v="15945"/>
    <n v="47835"/>
    <n v="14.9"/>
    <n v="16278.25"/>
    <n v="33605.04201680672"/>
    <n v="29403.3613445378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032863290797594"/>
    <n v="0"/>
    <s v=""/>
    <n v="2"/>
    <n v="0.3153486155850677"/>
    <n v="1"/>
    <n v="0.4557357625114201"/>
    <n v="0.3333333333333333"/>
    <n v="0"/>
    <s v=""/>
    <n v="0"/>
    <n v="10"/>
    <n v="0.1345465600595017"/>
    <n v="3.333333333333333"/>
    <n v="8"/>
    <n v="0.2252144242547978"/>
    <n v="1.142857142857143"/>
    <n v="2"/>
    <n v="0.2407142857142857"/>
    <n v="0.2857142857142857"/>
    <m/>
    <m/>
    <m/>
    <m/>
    <m/>
    <m/>
    <m/>
    <m/>
    <m/>
    <m/>
    <m/>
    <m/>
    <n v="3"/>
    <n v="27"/>
    <n v="3"/>
    <n v="0"/>
    <n v="0"/>
    <n v="0"/>
    <n v="79725"/>
    <n v="416380.4999999999"/>
    <n v="47835"/>
    <n v="0"/>
    <n v="3"/>
    <n v="47835"/>
    <n v="84718.59331968082"/>
    <n v="3"/>
    <n v="24"/>
    <n v="0"/>
    <n v="0"/>
    <n v="0"/>
    <n v="0"/>
    <n v="47835"/>
    <n v="370115.9999999999"/>
    <n v="0"/>
    <n v="0"/>
    <n v="3"/>
    <n v="47835"/>
    <n v="0"/>
    <n v="3"/>
    <n v="24"/>
    <n v="2"/>
    <n v="0"/>
    <n v="0"/>
    <n v="94099.5"/>
    <n v="382680"/>
    <n v="31890"/>
    <n v="0"/>
    <n v="3"/>
    <n v="47835"/>
    <n v="67210.08403361344"/>
    <n v="3"/>
    <n v="22"/>
    <n v="1"/>
    <n v="0"/>
    <n v="0"/>
    <n v="339272.9999999999"/>
    <n v="15945"/>
    <n v="0"/>
    <n v="0"/>
    <n v="3"/>
    <n v="47835"/>
    <n v="33605.04201680672"/>
    <n v="3"/>
    <n v="3"/>
    <n v="3"/>
    <m/>
    <n v="0"/>
    <n v="0"/>
    <n v="47835"/>
    <n v="46264.49999999999"/>
    <n v="0"/>
    <n v="0"/>
    <n v="3"/>
    <n v="47835"/>
    <n v="100815.1260504202"/>
    <n v="3"/>
    <n v="13"/>
    <n v="10"/>
    <m/>
    <n v="0"/>
    <n v="0"/>
    <n v="207285"/>
    <n v="154215"/>
    <n v="0"/>
    <n v="0"/>
    <n v="13"/>
    <n v="47835"/>
    <n v="336050.4201680672"/>
    <n v="7"/>
    <n v="11"/>
    <n v="8"/>
    <n v="0"/>
    <n v="0"/>
    <n v="0"/>
    <n v="175395"/>
    <n v="123372"/>
    <n v="0"/>
    <n v="0"/>
    <n v="11"/>
    <n v="47835"/>
    <n v="268840.3361344538"/>
    <n v="7"/>
    <n v="3"/>
    <n v="7"/>
    <n v="0"/>
    <n v="0"/>
    <n v="0"/>
    <n v="47835"/>
    <n v="107950.5"/>
    <n v="0"/>
    <n v="0"/>
    <n v="3"/>
    <n v="47835"/>
    <n v="235235.294117647"/>
    <n v="7"/>
    <n v="0"/>
    <n v="7"/>
    <n v="0"/>
    <n v="0"/>
    <n v="0"/>
    <n v="0"/>
    <n v="107950.5"/>
    <n v="0"/>
    <n v="0"/>
    <n v="0"/>
    <n v="0"/>
    <n v="235235.29411764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0"/>
    <s v="LTS26-WPT06"/>
    <x v="395"/>
    <x v="346"/>
    <x v="0"/>
    <x v="5"/>
    <n v="1"/>
    <x v="229"/>
    <n v="0"/>
    <m/>
    <n v="0"/>
    <n v="15945"/>
    <n v="0"/>
    <n v="14.9"/>
    <n v="16278.25"/>
    <n v="33605.04201680672"/>
    <n v="29403.3613445378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0"/>
    <s v=""/>
    <n v="1"/>
    <n v="0.5255170464219183"/>
    <n v="0.3333333333333333"/>
    <n v="2"/>
    <n v="0.5255163790947737"/>
    <n v="1"/>
    <n v="3"/>
    <n v="0.08203174603174603"/>
    <n v="1.5"/>
    <n v="6"/>
    <n v="0.2199143483623407"/>
    <n v="1.5"/>
    <n v="0"/>
    <s v=""/>
    <n v="0"/>
    <m/>
    <m/>
    <m/>
    <m/>
    <m/>
    <m/>
    <m/>
    <m/>
    <m/>
    <m/>
    <m/>
    <m/>
    <n v="2"/>
    <n v="15"/>
    <n v="2"/>
    <n v="0"/>
    <n v="0"/>
    <n v="0"/>
    <n v="55807.5"/>
    <n v="231322.5"/>
    <n v="31890"/>
    <n v="0"/>
    <n v="0"/>
    <n v="0"/>
    <n v="56479.06221312055"/>
    <n v="2"/>
    <n v="13"/>
    <n v="1.5"/>
    <n v="0"/>
    <n v="0"/>
    <n v="0"/>
    <n v="39862.5"/>
    <n v="200479.5"/>
    <n v="23917.5"/>
    <n v="0"/>
    <n v="0"/>
    <n v="0"/>
    <n v="42359.29665984041"/>
    <n v="2"/>
    <n v="13"/>
    <n v="0"/>
    <n v="0"/>
    <n v="0"/>
    <n v="46788"/>
    <n v="207285"/>
    <n v="0"/>
    <n v="0"/>
    <n v="0"/>
    <n v="0"/>
    <n v="0"/>
    <n v="3"/>
    <n v="13"/>
    <n v="1"/>
    <n v="0"/>
    <n v="0"/>
    <n v="200479.5"/>
    <n v="15945"/>
    <n v="0"/>
    <n v="0"/>
    <n v="0"/>
    <n v="0"/>
    <n v="33605.04201680672"/>
    <n v="2"/>
    <n v="2"/>
    <n v="2"/>
    <m/>
    <n v="0"/>
    <n v="0"/>
    <n v="31890"/>
    <n v="30843"/>
    <n v="0"/>
    <n v="0"/>
    <n v="0"/>
    <n v="0"/>
    <n v="67210.08403361344"/>
    <n v="2"/>
    <n v="3"/>
    <n v="3"/>
    <m/>
    <n v="0"/>
    <n v="0"/>
    <n v="47835"/>
    <n v="46264.49999999999"/>
    <n v="0"/>
    <n v="0"/>
    <n v="3"/>
    <n v="0"/>
    <n v="100815.1260504202"/>
    <n v="4"/>
    <n v="6"/>
    <n v="6"/>
    <n v="0"/>
    <n v="0"/>
    <n v="0"/>
    <n v="95670"/>
    <n v="92528.99999999999"/>
    <n v="0"/>
    <n v="0"/>
    <n v="6"/>
    <n v="0"/>
    <n v="201630.2521008403"/>
    <n v="4"/>
    <n v="0"/>
    <n v="4"/>
    <n v="0"/>
    <n v="0"/>
    <n v="0"/>
    <n v="0"/>
    <n v="61685.99999999999"/>
    <n v="0"/>
    <n v="0"/>
    <n v="0"/>
    <n v="0"/>
    <n v="134420.1680672269"/>
    <n v="4"/>
    <n v="0"/>
    <n v="4"/>
    <n v="0"/>
    <n v="0"/>
    <n v="0"/>
    <n v="0"/>
    <n v="61685.99999999999"/>
    <n v="0"/>
    <n v="0"/>
    <n v="0"/>
    <n v="0"/>
    <n v="134420.168067226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0"/>
    <s v="LTS26-WPT06"/>
    <x v="396"/>
    <x v="346"/>
    <x v="0"/>
    <x v="5"/>
    <n v="1"/>
    <x v="230"/>
    <n v="8"/>
    <m/>
    <n v="0"/>
    <n v="15945"/>
    <n v="127560"/>
    <n v="14.9"/>
    <n v="16278.25"/>
    <n v="33605.04201680672"/>
    <n v="29403.36134453782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2912581802781108"/>
    <n v="0"/>
    <s v=""/>
    <n v="1"/>
    <n v="0.5380151868237986"/>
    <n v="0.3333333333333333"/>
    <n v="1"/>
    <n v="0.5255163790947737"/>
    <n v="1"/>
    <n v="4"/>
    <n v="0.09271116341627438"/>
    <n v="2"/>
    <n v="0"/>
    <s v=""/>
    <n v="0"/>
    <n v="0"/>
    <s v=""/>
    <n v="0"/>
    <m/>
    <m/>
    <m/>
    <m/>
    <m/>
    <m/>
    <m/>
    <m/>
    <m/>
    <m/>
    <m/>
    <m/>
    <n v="2"/>
    <n v="16"/>
    <n v="2"/>
    <n v="0"/>
    <n v="0"/>
    <n v="0"/>
    <n v="55807.5"/>
    <n v="246744"/>
    <n v="31890"/>
    <n v="0"/>
    <n v="8"/>
    <n v="127560"/>
    <n v="56479.06221312055"/>
    <n v="2"/>
    <n v="16"/>
    <n v="1.5"/>
    <n v="0"/>
    <n v="0"/>
    <n v="0"/>
    <n v="39862.5"/>
    <n v="246744"/>
    <n v="23917.5"/>
    <n v="0"/>
    <n v="8"/>
    <n v="127560"/>
    <n v="42359.29665984041"/>
    <n v="2"/>
    <n v="15"/>
    <n v="0"/>
    <n v="0"/>
    <n v="0"/>
    <n v="31366.5"/>
    <n v="239175"/>
    <n v="0"/>
    <n v="0"/>
    <n v="8"/>
    <n v="127560"/>
    <n v="0"/>
    <n v="3"/>
    <n v="15"/>
    <n v="1"/>
    <n v="0"/>
    <n v="0"/>
    <n v="231322.5"/>
    <n v="15945"/>
    <n v="0"/>
    <n v="0"/>
    <n v="8"/>
    <n v="127560"/>
    <n v="33605.04201680672"/>
    <n v="1"/>
    <n v="9"/>
    <n v="1"/>
    <m/>
    <n v="0"/>
    <n v="0"/>
    <n v="143505"/>
    <n v="15421.5"/>
    <n v="0"/>
    <n v="0"/>
    <n v="8"/>
    <n v="127560"/>
    <n v="33605.04201680672"/>
    <n v="2"/>
    <n v="12"/>
    <n v="4"/>
    <m/>
    <n v="0"/>
    <n v="0"/>
    <n v="191340"/>
    <n v="61685.99999999999"/>
    <n v="0"/>
    <n v="0"/>
    <n v="12"/>
    <n v="127560"/>
    <n v="134420.1680672269"/>
    <n v="5"/>
    <n v="8"/>
    <n v="0"/>
    <n v="0"/>
    <n v="0"/>
    <n v="0"/>
    <n v="127560"/>
    <n v="0"/>
    <n v="0"/>
    <n v="0"/>
    <n v="8"/>
    <n v="127560"/>
    <n v="0"/>
    <n v="5"/>
    <n v="8"/>
    <n v="5"/>
    <n v="0"/>
    <n v="0"/>
    <n v="0"/>
    <n v="127560"/>
    <n v="77107.49999999999"/>
    <n v="0"/>
    <n v="0"/>
    <n v="8"/>
    <n v="127560"/>
    <n v="168025.2100840336"/>
    <n v="5"/>
    <n v="3"/>
    <n v="5"/>
    <n v="0"/>
    <n v="0"/>
    <n v="0"/>
    <n v="46264.49999999999"/>
    <n v="77107.49999999999"/>
    <n v="0"/>
    <n v="0"/>
    <n v="3"/>
    <n v="46264.49999999999"/>
    <n v="168025.210084033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0"/>
    <s v="LTS27-MPT02"/>
    <x v="397"/>
    <x v="347"/>
    <x v="0"/>
    <x v="4"/>
    <n v="1"/>
    <x v="50"/>
    <n v="0"/>
    <m/>
    <n v="0"/>
    <n v="17388"/>
    <n v="0"/>
    <n v="18.9"/>
    <n v="17388"/>
    <n v="43835.29411764706"/>
    <n v="37260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0"/>
    <n v="20"/>
    <n v="20"/>
    <n v="0"/>
    <n v="0"/>
    <n v="0"/>
    <n v="391230"/>
    <n v="391230"/>
    <n v="20"/>
    <n v="391230"/>
    <n v="0"/>
    <n v="4"/>
    <n v="20"/>
    <n v="4"/>
    <n v="0"/>
    <n v="0"/>
    <n v="391230"/>
    <n v="78246"/>
    <n v="0"/>
    <n v="0"/>
    <n v="20"/>
    <n v="391230"/>
    <n v="156492"/>
    <n v="6"/>
    <n v="16"/>
    <n v="6"/>
    <n v="0"/>
    <n v="0"/>
    <n v="312984"/>
    <n v="117369"/>
    <n v="0"/>
    <n v="16"/>
    <n v="312984"/>
    <n v="263011.7647058824"/>
    <n v="2.4"/>
    <n v="10"/>
    <n v="2.4"/>
    <n v="0"/>
    <m/>
    <n v="195615"/>
    <n v="41731.2"/>
    <n v="0"/>
    <n v="10"/>
    <n v="195615"/>
    <n v="105204.705882353"/>
  </r>
  <r>
    <m/>
    <x v="4"/>
    <x v="21"/>
    <x v="50"/>
    <s v="LTS27-MPT02"/>
    <x v="398"/>
    <x v="348"/>
    <x v="0"/>
    <x v="4"/>
    <n v="1"/>
    <x v="50"/>
    <n v="0"/>
    <m/>
    <n v="0"/>
    <n v="17388"/>
    <n v="0"/>
    <n v="18.9"/>
    <n v="17388"/>
    <n v="43835.29411764706"/>
    <n v="37260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4"/>
    <n v="14"/>
    <n v="14"/>
    <n v="0"/>
    <n v="0"/>
    <n v="0"/>
    <n v="273861"/>
    <n v="273861"/>
    <n v="14"/>
    <n v="273861"/>
    <n v="0"/>
    <n v="3"/>
    <n v="14"/>
    <n v="3"/>
    <n v="0"/>
    <n v="0"/>
    <n v="273861"/>
    <n v="58684.5"/>
    <n v="0"/>
    <n v="0"/>
    <n v="14"/>
    <n v="273861"/>
    <n v="117369"/>
    <n v="4"/>
    <n v="11"/>
    <n v="4"/>
    <n v="0"/>
    <n v="0"/>
    <n v="215176.5"/>
    <n v="78246"/>
    <n v="0"/>
    <n v="11"/>
    <n v="215176.5"/>
    <n v="175341.1764705883"/>
    <n v="1.8"/>
    <n v="7"/>
    <n v="1.8"/>
    <n v="0"/>
    <m/>
    <n v="136930.5"/>
    <n v="31298.4"/>
    <n v="0"/>
    <n v="7"/>
    <n v="136930.5"/>
    <n v="78903.5294117647"/>
  </r>
  <r>
    <m/>
    <x v="4"/>
    <x v="21"/>
    <x v="50"/>
    <s v="LTS27-MPT02"/>
    <x v="399"/>
    <x v="349"/>
    <x v="0"/>
    <x v="4"/>
    <n v="1"/>
    <x v="50"/>
    <n v="0"/>
    <m/>
    <n v="0"/>
    <n v="17388"/>
    <n v="0"/>
    <n v="18.9"/>
    <n v="17388"/>
    <n v="43835.29411764706"/>
    <n v="37260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40"/>
    <n v="40"/>
    <n v="40"/>
    <n v="0"/>
    <n v="0"/>
    <n v="0"/>
    <n v="782460"/>
    <n v="782460"/>
    <n v="40"/>
    <n v="782460"/>
    <n v="0"/>
    <n v="9"/>
    <n v="40"/>
    <n v="9"/>
    <n v="0"/>
    <n v="0"/>
    <n v="782460"/>
    <n v="176053.5"/>
    <n v="0"/>
    <n v="0"/>
    <n v="40"/>
    <n v="782460"/>
    <n v="352107"/>
    <n v="11"/>
    <n v="31"/>
    <n v="11"/>
    <n v="0"/>
    <n v="0"/>
    <n v="606406.5"/>
    <n v="215176.5"/>
    <n v="0"/>
    <n v="31"/>
    <n v="606406.5"/>
    <n v="482188.2352941177"/>
    <n v="5.399999999999999"/>
    <n v="20"/>
    <n v="5.399999999999999"/>
    <n v="0"/>
    <m/>
    <n v="391230"/>
    <n v="93895.2"/>
    <n v="0"/>
    <n v="20"/>
    <n v="391230"/>
    <n v="236710.5882352941"/>
  </r>
  <r>
    <m/>
    <x v="4"/>
    <x v="21"/>
    <x v="50"/>
    <s v="LTS27-MPT02"/>
    <x v="400"/>
    <x v="350"/>
    <x v="0"/>
    <x v="4"/>
    <n v="1"/>
    <x v="50"/>
    <n v="0"/>
    <m/>
    <n v="0"/>
    <n v="17388"/>
    <n v="0"/>
    <n v="18.9"/>
    <n v="17388"/>
    <n v="43835.29411764706"/>
    <n v="37260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25"/>
    <n v="25"/>
    <n v="25"/>
    <n v="0"/>
    <n v="0"/>
    <n v="0"/>
    <n v="489037.5"/>
    <n v="489037.5"/>
    <n v="25"/>
    <n v="489037.5"/>
    <n v="0"/>
    <n v="6"/>
    <n v="25"/>
    <n v="6"/>
    <n v="0"/>
    <n v="0"/>
    <n v="489037.5"/>
    <n v="117369"/>
    <n v="0"/>
    <n v="0"/>
    <n v="25"/>
    <n v="489037.5"/>
    <n v="234738"/>
    <n v="7"/>
    <n v="19"/>
    <n v="7"/>
    <n v="0"/>
    <n v="0"/>
    <n v="371668.5"/>
    <n v="136930.5"/>
    <n v="0"/>
    <n v="19"/>
    <n v="371668.5"/>
    <n v="306847.0588235295"/>
    <n v="3.6"/>
    <n v="12"/>
    <n v="3.6"/>
    <n v="0"/>
    <m/>
    <n v="234738"/>
    <n v="62596.8"/>
    <n v="0"/>
    <n v="12"/>
    <n v="234738"/>
    <n v="157807.0588235294"/>
  </r>
  <r>
    <m/>
    <x v="4"/>
    <x v="21"/>
    <x v="50"/>
    <s v="LTS27-MPT02"/>
    <x v="401"/>
    <x v="351"/>
    <x v="0"/>
    <x v="4"/>
    <n v="1"/>
    <x v="50"/>
    <n v="0"/>
    <m/>
    <n v="0"/>
    <n v="17388"/>
    <n v="0"/>
    <n v="18.9"/>
    <n v="17388"/>
    <n v="43835.29411764706"/>
    <n v="37260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45"/>
    <n v="45"/>
    <n v="45"/>
    <n v="0"/>
    <n v="0"/>
    <n v="0"/>
    <n v="880267.5"/>
    <n v="880267.5"/>
    <n v="45"/>
    <n v="880267.5"/>
    <n v="0"/>
    <n v="10"/>
    <n v="45"/>
    <n v="10"/>
    <n v="0"/>
    <n v="0"/>
    <n v="880267.5"/>
    <n v="195615"/>
    <n v="0"/>
    <n v="0"/>
    <n v="45"/>
    <n v="880267.5"/>
    <n v="391230"/>
    <n v="13"/>
    <n v="35"/>
    <n v="13"/>
    <n v="0"/>
    <n v="0"/>
    <n v="684652.5"/>
    <n v="254299.5"/>
    <n v="0"/>
    <n v="35"/>
    <n v="684652.5"/>
    <n v="569858.8235294118"/>
    <n v="6"/>
    <n v="22"/>
    <n v="6"/>
    <n v="0"/>
    <m/>
    <n v="430353"/>
    <n v="104328"/>
    <n v="0"/>
    <n v="22"/>
    <n v="430353"/>
    <n v="263011.7647058824"/>
  </r>
  <r>
    <m/>
    <x v="4"/>
    <x v="21"/>
    <x v="50"/>
    <s v="LTS27-MPT02"/>
    <x v="402"/>
    <x v="352"/>
    <x v="0"/>
    <x v="4"/>
    <n v="1"/>
    <x v="50"/>
    <n v="0"/>
    <m/>
    <n v="0"/>
    <n v="17388"/>
    <n v="0"/>
    <n v="18.9"/>
    <n v="17388"/>
    <n v="43835.29411764706"/>
    <n v="37260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30"/>
    <n v="30"/>
    <n v="30"/>
    <n v="0"/>
    <n v="0"/>
    <n v="0"/>
    <n v="586845"/>
    <n v="586845"/>
    <n v="30"/>
    <n v="586845"/>
    <n v="0"/>
    <n v="7"/>
    <n v="30"/>
    <n v="7"/>
    <n v="0"/>
    <n v="0"/>
    <n v="586845"/>
    <n v="136930.5"/>
    <n v="0"/>
    <n v="0"/>
    <n v="30"/>
    <n v="586845"/>
    <n v="273861"/>
    <n v="8"/>
    <n v="23"/>
    <n v="8"/>
    <n v="0"/>
    <n v="0"/>
    <n v="449914.5"/>
    <n v="156492"/>
    <n v="0"/>
    <n v="23"/>
    <n v="449914.5"/>
    <n v="350682.3529411765"/>
    <n v="4.2"/>
    <n v="15"/>
    <n v="4.2"/>
    <n v="0"/>
    <m/>
    <n v="293422.5"/>
    <n v="73029.60000000001"/>
    <n v="0"/>
    <n v="15"/>
    <n v="293422.5"/>
    <n v="184108.2352941177"/>
  </r>
  <r>
    <m/>
    <x v="4"/>
    <x v="21"/>
    <x v="50"/>
    <s v="LTS27-MPT02"/>
    <x v="403"/>
    <x v="353"/>
    <x v="0"/>
    <x v="4"/>
    <n v="1"/>
    <x v="50"/>
    <n v="0"/>
    <m/>
    <n v="0"/>
    <n v="17388"/>
    <n v="0"/>
    <n v="18.9"/>
    <n v="17388"/>
    <n v="43835.29411764706"/>
    <n v="37260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30"/>
    <n v="30"/>
    <n v="30"/>
    <n v="0"/>
    <n v="0"/>
    <n v="0"/>
    <n v="586845"/>
    <n v="586845"/>
    <n v="30"/>
    <n v="586845"/>
    <n v="0"/>
    <n v="7"/>
    <n v="30"/>
    <n v="7"/>
    <n v="0"/>
    <n v="0"/>
    <n v="586845"/>
    <n v="136930.5"/>
    <n v="0"/>
    <n v="0"/>
    <n v="30"/>
    <n v="586845"/>
    <n v="273861"/>
    <n v="8"/>
    <n v="23"/>
    <n v="8"/>
    <n v="0"/>
    <n v="0"/>
    <n v="449914.5"/>
    <n v="156492"/>
    <n v="0"/>
    <n v="23"/>
    <n v="449914.5"/>
    <n v="350682.3529411765"/>
    <n v="4.2"/>
    <n v="15"/>
    <n v="4.2"/>
    <n v="0"/>
    <m/>
    <n v="293422.5"/>
    <n v="73029.60000000001"/>
    <n v="0"/>
    <n v="15"/>
    <n v="293422.5"/>
    <n v="184108.2352941177"/>
  </r>
  <r>
    <m/>
    <x v="4"/>
    <x v="21"/>
    <x v="50"/>
    <s v="LTS27-MPT02"/>
    <x v="404"/>
    <x v="354"/>
    <x v="0"/>
    <x v="4"/>
    <n v="1"/>
    <x v="50"/>
    <n v="0"/>
    <m/>
    <n v="0"/>
    <n v="17388"/>
    <n v="0"/>
    <n v="18.9"/>
    <n v="17388"/>
    <n v="43835.29411764706"/>
    <n v="37260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0"/>
    <n v="20"/>
    <n v="20"/>
    <n v="0"/>
    <n v="0"/>
    <n v="0"/>
    <n v="391230"/>
    <n v="391230"/>
    <n v="20"/>
    <n v="391230"/>
    <n v="0"/>
    <n v="4"/>
    <n v="20"/>
    <n v="4"/>
    <n v="0"/>
    <n v="0"/>
    <n v="391230"/>
    <n v="78246"/>
    <n v="0"/>
    <n v="0"/>
    <n v="20"/>
    <n v="391230"/>
    <n v="156492"/>
    <n v="6"/>
    <n v="16"/>
    <n v="6"/>
    <n v="0"/>
    <n v="0"/>
    <n v="312984"/>
    <n v="117369"/>
    <n v="0"/>
    <n v="16"/>
    <n v="312984"/>
    <n v="263011.7647058824"/>
    <n v="2.4"/>
    <n v="10"/>
    <n v="2.4"/>
    <n v="0"/>
    <m/>
    <n v="195615"/>
    <n v="41731.2"/>
    <n v="0"/>
    <n v="10"/>
    <n v="195615"/>
    <n v="105204.705882353"/>
  </r>
  <r>
    <m/>
    <x v="4"/>
    <x v="21"/>
    <x v="50"/>
    <s v="LTS27-MPT02"/>
    <x v="405"/>
    <x v="355"/>
    <x v="0"/>
    <x v="4"/>
    <n v="1"/>
    <x v="50"/>
    <n v="0"/>
    <m/>
    <n v="0"/>
    <n v="17388"/>
    <n v="0"/>
    <n v="18.9"/>
    <n v="17388"/>
    <n v="43835.29411764706"/>
    <n v="37260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5"/>
    <n v="15"/>
    <n v="15"/>
    <n v="0"/>
    <n v="0"/>
    <n v="0"/>
    <n v="293422.5"/>
    <n v="293422.5"/>
    <n v="15"/>
    <n v="293422.5"/>
    <n v="0"/>
    <n v="3"/>
    <n v="15"/>
    <n v="3"/>
    <n v="0"/>
    <n v="0"/>
    <n v="293422.5"/>
    <n v="58684.5"/>
    <n v="0"/>
    <n v="0"/>
    <n v="15"/>
    <n v="293422.5"/>
    <n v="117369"/>
    <n v="4"/>
    <n v="12"/>
    <n v="4"/>
    <n v="0"/>
    <n v="0"/>
    <n v="234738"/>
    <n v="78246"/>
    <n v="0"/>
    <n v="12"/>
    <n v="234738"/>
    <n v="175341.1764705883"/>
    <n v="1.8"/>
    <n v="8"/>
    <n v="1.8"/>
    <n v="0"/>
    <m/>
    <n v="156492"/>
    <n v="31298.4"/>
    <n v="0"/>
    <n v="8"/>
    <n v="156492"/>
    <n v="78903.5294117647"/>
  </r>
  <r>
    <m/>
    <x v="4"/>
    <x v="21"/>
    <x v="50"/>
    <s v="LTS27-MPT02"/>
    <x v="406"/>
    <x v="356"/>
    <x v="0"/>
    <x v="4"/>
    <n v="1"/>
    <x v="50"/>
    <n v="0"/>
    <m/>
    <n v="0"/>
    <n v="17388"/>
    <n v="0"/>
    <n v="18.9"/>
    <n v="17388"/>
    <n v="43835.29411764706"/>
    <n v="37260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1"/>
    <n v="11"/>
    <n v="11"/>
    <n v="0"/>
    <n v="0"/>
    <n v="0"/>
    <n v="215176.5"/>
    <n v="215176.5"/>
    <n v="11"/>
    <n v="215176.5"/>
    <n v="0"/>
    <n v="2"/>
    <n v="11"/>
    <n v="2"/>
    <n v="0"/>
    <n v="0"/>
    <n v="215176.5"/>
    <n v="39123"/>
    <n v="0"/>
    <n v="0"/>
    <n v="11"/>
    <n v="215176.5"/>
    <n v="78246"/>
    <n v="3"/>
    <n v="9"/>
    <n v="3"/>
    <n v="0"/>
    <n v="0"/>
    <n v="176053.5"/>
    <n v="58684.5"/>
    <n v="0"/>
    <n v="9"/>
    <n v="176053.5"/>
    <n v="131505.8823529412"/>
    <n v="1.2"/>
    <n v="6"/>
    <n v="1.2"/>
    <n v="0"/>
    <m/>
    <n v="117369"/>
    <n v="20865.6"/>
    <n v="0"/>
    <n v="6"/>
    <n v="117369"/>
    <n v="52602.35294117648"/>
  </r>
  <r>
    <m/>
    <x v="4"/>
    <x v="21"/>
    <x v="50"/>
    <s v="LTW25-MPT11"/>
    <x v="407"/>
    <x v="357"/>
    <x v="0"/>
    <x v="2"/>
    <n v="1"/>
    <x v="3"/>
    <n v="1"/>
    <m/>
    <n v="0"/>
    <n v="19438"/>
    <n v="19438"/>
    <n v="19.85"/>
    <n v="21686.125"/>
    <n v="42008.40336134454"/>
    <n v="33605.04201680672"/>
    <s v="Shenzhen"/>
    <s v="30/70"/>
    <n v="30"/>
    <n v="1"/>
    <n v="0"/>
    <s v=""/>
    <n v="0"/>
    <s v=""/>
    <n v="0"/>
    <s v=""/>
    <n v="0"/>
    <s v=""/>
    <n v="0"/>
    <n v="9.774668175670868e-06"/>
    <n v="1"/>
    <n v="0.1291498846352008"/>
    <n v="0"/>
    <s v=""/>
    <n v="1"/>
    <n v="0.2469905282119821"/>
    <n v="0"/>
    <n v="1"/>
    <n v="0"/>
    <s v=""/>
    <n v="0"/>
    <s v=""/>
    <n v="1"/>
    <n v="0.5180190433682957"/>
    <n v="0"/>
    <s v=""/>
    <n v="0"/>
    <s v=""/>
    <n v="0"/>
    <s v=""/>
    <n v="1"/>
    <n v="0"/>
    <n v="1"/>
    <n v="1"/>
    <n v="0.3389797959591918"/>
    <n v="1"/>
    <n v="0"/>
    <s v=""/>
    <n v="0"/>
    <n v="0"/>
    <s v=""/>
    <n v="0"/>
    <n v="0"/>
    <s v=""/>
    <n v="0"/>
    <m/>
    <m/>
    <m/>
    <m/>
    <m/>
    <m/>
    <m/>
    <m/>
    <m/>
    <m/>
    <m/>
    <m/>
    <n v="2"/>
    <n v="8"/>
    <n v="2"/>
    <n v="0"/>
    <n v="0"/>
    <n v="0"/>
    <n v="38876"/>
    <n v="164358"/>
    <n v="38876"/>
    <n v="0"/>
    <n v="1"/>
    <n v="19438"/>
    <n v="70602.35859049503"/>
    <n v="0"/>
    <n v="9"/>
    <n v="0"/>
    <n v="0"/>
    <n v="0"/>
    <n v="0"/>
    <n v="19438"/>
    <n v="184902.75"/>
    <n v="0"/>
    <n v="0"/>
    <n v="1"/>
    <n v="19438"/>
    <n v="0"/>
    <n v="0"/>
    <n v="9"/>
    <n v="0"/>
    <n v="0"/>
    <n v="0"/>
    <n v="39982.75"/>
    <n v="174942"/>
    <n v="0"/>
    <n v="0"/>
    <n v="1"/>
    <n v="19438"/>
    <n v="0"/>
    <n v="1"/>
    <n v="8"/>
    <n v="1"/>
    <n v="0"/>
    <n v="0"/>
    <n v="164358"/>
    <n v="19438"/>
    <n v="0"/>
    <n v="0"/>
    <n v="1"/>
    <n v="19438"/>
    <n v="42008.40336134454"/>
    <n v="1"/>
    <n v="2"/>
    <n v="1"/>
    <m/>
    <n v="0"/>
    <n v="0"/>
    <n v="38876"/>
    <n v="20544.75"/>
    <n v="0"/>
    <n v="0"/>
    <n v="1"/>
    <n v="19438"/>
    <n v="42008.40336134454"/>
    <n v="1"/>
    <n v="1"/>
    <n v="0"/>
    <m/>
    <n v="0"/>
    <n v="0"/>
    <n v="19438"/>
    <n v="0"/>
    <n v="0"/>
    <n v="0"/>
    <n v="1"/>
    <n v="19438"/>
    <n v="0"/>
    <n v="0"/>
    <n v="1"/>
    <n v="0"/>
    <n v="0"/>
    <n v="0"/>
    <n v="0"/>
    <n v="19438"/>
    <n v="0"/>
    <n v="0"/>
    <n v="0"/>
    <n v="1"/>
    <n v="19438"/>
    <n v="0"/>
    <n v="0"/>
    <n v="1"/>
    <n v="0"/>
    <n v="0"/>
    <n v="0"/>
    <n v="0"/>
    <n v="19438"/>
    <n v="0"/>
    <n v="0"/>
    <n v="0"/>
    <n v="1"/>
    <n v="19438"/>
    <n v="0"/>
    <n v="0"/>
    <n v="1"/>
    <n v="0"/>
    <n v="0"/>
    <n v="0"/>
    <n v="0"/>
    <n v="20544.75"/>
    <n v="0"/>
    <n v="0"/>
    <n v="0"/>
    <n v="1"/>
    <n v="20544.75"/>
    <n v="0"/>
    <n v="0"/>
    <n v="1"/>
    <n v="0"/>
    <n v="0"/>
    <n v="0"/>
    <n v="0"/>
    <m/>
    <n v="20544.75"/>
    <n v="0"/>
    <n v="0"/>
    <n v="0"/>
    <n v="1"/>
    <n v="20544.75"/>
    <n v="0"/>
    <n v="0"/>
    <n v="1"/>
    <n v="0"/>
    <n v="0"/>
    <n v="0"/>
    <n v="20544.75"/>
    <n v="0"/>
    <n v="0"/>
    <n v="0"/>
    <n v="1"/>
    <n v="20544.75"/>
    <n v="0"/>
    <n v="0"/>
    <n v="1"/>
    <n v="0"/>
    <n v="0"/>
    <n v="0"/>
    <n v="20544.75"/>
    <n v="0"/>
    <n v="0"/>
    <n v="1"/>
    <n v="20544.75"/>
    <n v="0"/>
    <n v="0"/>
    <n v="1"/>
    <n v="0"/>
    <n v="0"/>
    <m/>
    <n v="20544.75"/>
    <n v="0"/>
    <n v="0"/>
    <n v="1"/>
    <n v="20544.75"/>
    <n v="0"/>
  </r>
  <r>
    <m/>
    <x v="4"/>
    <x v="21"/>
    <x v="50"/>
    <s v="LTW25-MPT11"/>
    <x v="408"/>
    <x v="357"/>
    <x v="0"/>
    <x v="2"/>
    <n v="1"/>
    <x v="3"/>
    <n v="1"/>
    <m/>
    <n v="0"/>
    <n v="19438"/>
    <n v="19438"/>
    <n v="19.85"/>
    <n v="21686.125"/>
    <n v="42008.40336134454"/>
    <n v="33605.04201680672"/>
    <s v="Shenzhen"/>
    <s v="30/70"/>
    <n v="30"/>
    <n v="1"/>
    <n v="0"/>
    <s v=""/>
    <n v="0"/>
    <s v=""/>
    <n v="0"/>
    <s v=""/>
    <n v="1"/>
    <n v="0.5372871034206842"/>
    <n v="1"/>
    <n v="0.5372871034206842"/>
    <n v="1"/>
    <n v="0.4215792292813569"/>
    <n v="1"/>
    <n v="0.421579952488122"/>
    <n v="1"/>
    <n v="0.2670921854805721"/>
    <n v="1"/>
    <n v="0.4215792292813569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1"/>
    <n v="0.1430239709532807"/>
    <n v="1"/>
    <n v="1"/>
    <n v="-0.02830436135686658"/>
    <n v="1"/>
    <m/>
    <m/>
    <m/>
    <m/>
    <m/>
    <m/>
    <m/>
    <m/>
    <m/>
    <m/>
    <m/>
    <m/>
    <n v="0"/>
    <n v="1"/>
    <n v="0"/>
    <n v="0"/>
    <n v="0"/>
    <n v="0"/>
    <n v="0"/>
    <n v="20544.75"/>
    <n v="0"/>
    <n v="0"/>
    <n v="1"/>
    <n v="19438"/>
    <n v="0"/>
    <n v="0"/>
    <n v="2"/>
    <n v="0"/>
    <n v="0"/>
    <n v="0"/>
    <n v="0"/>
    <n v="0"/>
    <n v="41089.5"/>
    <n v="0"/>
    <n v="0"/>
    <n v="1"/>
    <n v="19438"/>
    <n v="0"/>
    <n v="0"/>
    <n v="2"/>
    <n v="0"/>
    <n v="0"/>
    <n v="0"/>
    <n v="20544.75"/>
    <n v="38876"/>
    <n v="0"/>
    <n v="0"/>
    <n v="1"/>
    <n v="19438"/>
    <n v="0"/>
    <n v="0"/>
    <n v="2"/>
    <n v="0"/>
    <n v="0"/>
    <n v="0"/>
    <n v="41089.5"/>
    <n v="0"/>
    <n v="0"/>
    <n v="0"/>
    <n v="1"/>
    <n v="19438"/>
    <n v="0"/>
    <n v="1"/>
    <n v="1"/>
    <n v="1"/>
    <m/>
    <n v="0"/>
    <n v="0"/>
    <n v="19438"/>
    <n v="20544.75"/>
    <n v="0"/>
    <n v="0"/>
    <n v="1"/>
    <n v="19438"/>
    <n v="42008.40336134454"/>
    <n v="6"/>
    <n v="1"/>
    <n v="0"/>
    <m/>
    <n v="0"/>
    <n v="0"/>
    <n v="19438"/>
    <n v="0"/>
    <n v="0"/>
    <n v="0"/>
    <n v="1"/>
    <n v="19438"/>
    <n v="0"/>
    <n v="1"/>
    <n v="2"/>
    <n v="1"/>
    <n v="0"/>
    <n v="0"/>
    <n v="0"/>
    <n v="38876"/>
    <n v="20544.75"/>
    <n v="0"/>
    <n v="0"/>
    <n v="2"/>
    <n v="19438"/>
    <n v="42008.40336134454"/>
    <n v="1"/>
    <n v="1"/>
    <n v="1"/>
    <n v="0"/>
    <n v="0"/>
    <n v="0"/>
    <n v="19438"/>
    <n v="20544.75"/>
    <n v="0"/>
    <n v="0"/>
    <n v="1"/>
    <n v="19438"/>
    <n v="42008.40336134454"/>
    <n v="1"/>
    <n v="0"/>
    <n v="1"/>
    <n v="0"/>
    <n v="0"/>
    <n v="0"/>
    <n v="0"/>
    <n v="20544.75"/>
    <n v="0"/>
    <n v="0"/>
    <n v="0"/>
    <n v="0"/>
    <n v="42008.4033613445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0"/>
    <s v="LTW25-MPT11"/>
    <x v="409"/>
    <x v="357"/>
    <x v="0"/>
    <x v="2"/>
    <n v="1"/>
    <x v="3"/>
    <n v="19"/>
    <m/>
    <n v="0"/>
    <n v="19438"/>
    <n v="369322"/>
    <n v="19.85"/>
    <n v="21686.125"/>
    <n v="42008.40336134454"/>
    <n v="33605.04201680672"/>
    <s v="Shenzhen"/>
    <s v="30/70"/>
    <n v="30"/>
    <n v="1"/>
    <n v="0"/>
    <s v=""/>
    <n v="0"/>
    <s v=""/>
    <n v="0"/>
    <s v=""/>
    <n v="0"/>
    <n v="1.028912439555137e-05"/>
    <n v="0"/>
    <s v=""/>
    <n v="4"/>
    <n v="0.4067448248498767"/>
    <n v="0"/>
    <s v=""/>
    <n v="1"/>
    <n v="0.4215798244308882"/>
    <n v="1"/>
    <n v="0.4215805476369092"/>
    <n v="5"/>
    <n v="0.4619705600673166"/>
    <n v="0"/>
    <s v=""/>
    <n v="2"/>
    <n v="0.5180143321183268"/>
    <n v="0"/>
    <s v=""/>
    <n v="1"/>
    <n v="0.2814539955914196"/>
    <n v="1"/>
    <n v="0.5180143135663557"/>
    <n v="0"/>
    <s v=""/>
    <n v="0"/>
    <n v="1"/>
    <n v="0.3389797959591918"/>
    <n v="0.3333333333333333"/>
    <n v="1"/>
    <n v="0.1517926981745436"/>
    <n v="0.25"/>
    <n v="7"/>
    <n v="0.1403582615712966"/>
    <n v="0.7777777777777778"/>
    <n v="0"/>
    <s v=""/>
    <n v="0"/>
    <m/>
    <m/>
    <m/>
    <m/>
    <m/>
    <m/>
    <m/>
    <m/>
    <m/>
    <m/>
    <m/>
    <m/>
    <n v="4"/>
    <n v="25"/>
    <n v="4"/>
    <n v="0"/>
    <n v="0"/>
    <n v="0"/>
    <n v="126347"/>
    <n v="513618.75"/>
    <n v="77752"/>
    <n v="0"/>
    <n v="19"/>
    <n v="369322"/>
    <n v="141204.7171809901"/>
    <n v="5"/>
    <n v="26"/>
    <n v="1.5"/>
    <n v="0"/>
    <n v="0"/>
    <n v="0"/>
    <n v="48595"/>
    <n v="534163.5"/>
    <n v="29157"/>
    <n v="0"/>
    <n v="19"/>
    <n v="369322"/>
    <n v="52951.76894287128"/>
    <n v="2"/>
    <n v="25"/>
    <n v="1"/>
    <n v="0"/>
    <n v="0"/>
    <n v="81072.25"/>
    <n v="485950"/>
    <n v="19438"/>
    <n v="0"/>
    <n v="19"/>
    <n v="369322"/>
    <n v="42008.40336134454"/>
    <n v="1"/>
    <n v="22"/>
    <n v="0"/>
    <n v="0"/>
    <n v="0"/>
    <n v="451984.5"/>
    <n v="0"/>
    <n v="0"/>
    <n v="0"/>
    <n v="19"/>
    <n v="369322"/>
    <n v="0"/>
    <n v="3"/>
    <n v="20"/>
    <n v="3"/>
    <m/>
    <n v="0"/>
    <n v="0"/>
    <n v="388760"/>
    <n v="61634.25"/>
    <n v="0"/>
    <n v="0"/>
    <n v="19"/>
    <n v="369322"/>
    <n v="126025.2100840336"/>
    <n v="4"/>
    <n v="20"/>
    <n v="1"/>
    <m/>
    <n v="0"/>
    <n v="0"/>
    <n v="388760"/>
    <n v="20544.75"/>
    <n v="0"/>
    <n v="0"/>
    <n v="20"/>
    <n v="369322"/>
    <n v="42008.40336134454"/>
    <n v="9"/>
    <n v="26"/>
    <n v="7"/>
    <n v="0"/>
    <n v="0"/>
    <n v="0"/>
    <n v="505388"/>
    <n v="143813.25"/>
    <n v="0"/>
    <n v="0"/>
    <n v="26"/>
    <n v="369322"/>
    <n v="294058.8235294118"/>
    <n v="9"/>
    <n v="19"/>
    <n v="9"/>
    <n v="0"/>
    <n v="0"/>
    <n v="0"/>
    <n v="369322"/>
    <n v="184902.75"/>
    <n v="0"/>
    <n v="0"/>
    <n v="19"/>
    <n v="369322"/>
    <n v="378075.6302521009"/>
    <n v="9"/>
    <n v="10"/>
    <n v="9"/>
    <n v="0"/>
    <n v="0"/>
    <n v="0"/>
    <n v="205447.5"/>
    <n v="184902.75"/>
    <n v="0"/>
    <n v="0"/>
    <n v="10"/>
    <n v="205447.5"/>
    <n v="378075.6302521009"/>
    <n v="0"/>
    <n v="1"/>
    <n v="0"/>
    <n v="0"/>
    <n v="0"/>
    <n v="0"/>
    <m/>
    <n v="20544.75"/>
    <n v="0"/>
    <n v="0"/>
    <n v="0"/>
    <n v="1"/>
    <n v="20544.75"/>
    <n v="0"/>
    <n v="0"/>
    <n v="1"/>
    <n v="0"/>
    <n v="0"/>
    <n v="0"/>
    <n v="20544.75"/>
    <n v="0"/>
    <n v="0"/>
    <n v="0"/>
    <n v="1"/>
    <n v="20544.75"/>
    <n v="0"/>
    <n v="0"/>
    <n v="1"/>
    <n v="0"/>
    <n v="0"/>
    <n v="0"/>
    <n v="20544.75"/>
    <n v="0"/>
    <n v="0"/>
    <n v="1"/>
    <n v="20544.75"/>
    <n v="0"/>
    <n v="0"/>
    <n v="1"/>
    <n v="0"/>
    <n v="0"/>
    <m/>
    <n v="20544.75"/>
    <n v="0"/>
    <n v="0"/>
    <n v="1"/>
    <n v="20544.75"/>
    <n v="0"/>
  </r>
  <r>
    <m/>
    <x v="4"/>
    <x v="21"/>
    <x v="50"/>
    <s v="LTW25-MPT11"/>
    <x v="410"/>
    <x v="357"/>
    <x v="0"/>
    <x v="2"/>
    <n v="1"/>
    <x v="3"/>
    <n v="1"/>
    <m/>
    <n v="0"/>
    <n v="19438"/>
    <n v="19438"/>
    <n v="19.85"/>
    <n v="21686.125"/>
    <n v="42008.40336134454"/>
    <n v="33605.04201680672"/>
    <s v="Shenzhen"/>
    <s v="30/70"/>
    <n v="30"/>
    <n v="1"/>
    <n v="0"/>
    <s v=""/>
    <n v="0"/>
    <s v=""/>
    <n v="0"/>
    <s v=""/>
    <n v="0"/>
    <n v="1.286140549439243e-05"/>
    <n v="0"/>
    <n v="1.286140549439243e-05"/>
    <n v="1"/>
    <n v="0.3572940087290041"/>
    <n v="2"/>
    <n v="0.4215816098794822"/>
    <n v="2"/>
    <n v="0.4215823330832708"/>
    <n v="1"/>
    <n v="0.4357528520421493"/>
    <n v="5"/>
    <n v="0.2690816587449612"/>
    <n v="0"/>
    <s v=""/>
    <n v="0"/>
    <s v=""/>
    <n v="0"/>
    <s v=""/>
    <n v="0"/>
    <s v=""/>
    <n v="0"/>
    <s v=""/>
    <n v="0"/>
    <s v=""/>
    <n v="0"/>
    <n v="1"/>
    <n v="0.3389797959591918"/>
    <n v="0"/>
    <n v="0"/>
    <s v=""/>
    <n v="0"/>
    <n v="6"/>
    <n v="0.2244001900078239"/>
    <n v="2"/>
    <n v="0"/>
    <s v=""/>
    <n v="0"/>
    <m/>
    <m/>
    <m/>
    <m/>
    <m/>
    <m/>
    <m/>
    <m/>
    <m/>
    <m/>
    <m/>
    <m/>
    <n v="0"/>
    <n v="1"/>
    <n v="0"/>
    <n v="0"/>
    <n v="0"/>
    <n v="0"/>
    <n v="0"/>
    <n v="20544.75"/>
    <n v="0"/>
    <n v="0"/>
    <n v="1"/>
    <n v="19438"/>
    <n v="0"/>
    <n v="0"/>
    <n v="6"/>
    <n v="0"/>
    <n v="0"/>
    <n v="0"/>
    <n v="0"/>
    <n v="0"/>
    <n v="123268.5"/>
    <n v="0"/>
    <n v="0"/>
    <n v="1"/>
    <n v="19438"/>
    <n v="0"/>
    <n v="0"/>
    <n v="7"/>
    <n v="0"/>
    <n v="0"/>
    <n v="0"/>
    <n v="0"/>
    <n v="136066"/>
    <n v="0"/>
    <n v="0"/>
    <n v="1"/>
    <n v="19438"/>
    <n v="0"/>
    <n v="0"/>
    <n v="8"/>
    <n v="0"/>
    <n v="0"/>
    <n v="0"/>
    <n v="164358"/>
    <n v="0"/>
    <n v="0"/>
    <n v="0"/>
    <n v="1"/>
    <n v="19438"/>
    <n v="0"/>
    <n v="0"/>
    <n v="2"/>
    <n v="0"/>
    <m/>
    <n v="0"/>
    <n v="0"/>
    <n v="38876"/>
    <n v="0"/>
    <n v="0"/>
    <n v="0"/>
    <n v="1"/>
    <n v="19438"/>
    <n v="0"/>
    <n v="13.5"/>
    <n v="1"/>
    <n v="0"/>
    <m/>
    <n v="0"/>
    <n v="0"/>
    <n v="19438"/>
    <n v="0"/>
    <n v="0"/>
    <n v="0"/>
    <n v="1"/>
    <n v="19438"/>
    <n v="0"/>
    <n v="3"/>
    <n v="7"/>
    <n v="6"/>
    <n v="0"/>
    <n v="0"/>
    <n v="0"/>
    <n v="136066"/>
    <n v="123268.5"/>
    <n v="0"/>
    <n v="0"/>
    <n v="7"/>
    <n v="19438"/>
    <n v="252050.4201680673"/>
    <n v="3"/>
    <n v="1"/>
    <n v="3"/>
    <n v="0"/>
    <n v="0"/>
    <n v="0"/>
    <n v="19438"/>
    <n v="61634.25"/>
    <n v="0"/>
    <n v="0"/>
    <n v="1"/>
    <n v="19438"/>
    <n v="126025.2100840336"/>
    <n v="3"/>
    <n v="0"/>
    <n v="3"/>
    <n v="0"/>
    <n v="0"/>
    <n v="0"/>
    <n v="0"/>
    <n v="61634.25"/>
    <n v="0"/>
    <n v="0"/>
    <n v="0"/>
    <n v="0"/>
    <n v="126025.210084033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0"/>
    <s v="LTW25-MPT11"/>
    <x v="411"/>
    <x v="357"/>
    <x v="0"/>
    <x v="2"/>
    <n v="1"/>
    <x v="3"/>
    <n v="32"/>
    <m/>
    <n v="0"/>
    <n v="19438"/>
    <n v="622016"/>
    <n v="19.85"/>
    <n v="21686.125"/>
    <n v="42008.40336134454"/>
    <n v="33605.04201680672"/>
    <s v="Shenzhen"/>
    <s v="30/70"/>
    <n v="30"/>
    <n v="1"/>
    <n v="0"/>
    <s v=""/>
    <n v="0"/>
    <s v=""/>
    <n v="0"/>
    <s v=""/>
    <n v="0"/>
    <n v="1.028912439555137e-05"/>
    <n v="0"/>
    <s v=""/>
    <n v="1"/>
    <n v="0.4215804195804195"/>
    <n v="8"/>
    <n v="0.3617275376595657"/>
    <n v="1"/>
    <n v="0.4215811427856964"/>
    <n v="3"/>
    <n v="0.4215809017174717"/>
    <n v="6"/>
    <n v="0.4491541306329496"/>
    <n v="1"/>
    <n v="0.5372836126452104"/>
    <n v="2"/>
    <n v="0.5180143321183268"/>
    <n v="0"/>
    <s v=""/>
    <n v="1"/>
    <n v="0.3012691388749689"/>
    <n v="0"/>
    <s v=""/>
    <n v="0"/>
    <s v=""/>
    <n v="0"/>
    <n v="2"/>
    <n v="0.4357028896234585"/>
    <n v="0.4"/>
    <n v="2"/>
    <n v="0.1268117473859046"/>
    <n v="0.25"/>
    <n v="5"/>
    <n v="0.1501698103502752"/>
    <n v="0.3846153846153846"/>
    <n v="1"/>
    <n v="0.2020824422214557"/>
    <n v="0.07692307692307693"/>
    <m/>
    <m/>
    <m/>
    <m/>
    <m/>
    <m/>
    <m/>
    <m/>
    <m/>
    <m/>
    <m/>
    <m/>
    <n v="5"/>
    <n v="40"/>
    <n v="5"/>
    <n v="0"/>
    <n v="0"/>
    <n v="0"/>
    <n v="126347"/>
    <n v="821790"/>
    <n v="97190"/>
    <n v="0"/>
    <n v="32"/>
    <n v="622016"/>
    <n v="176505.8964762376"/>
    <n v="4"/>
    <n v="40"/>
    <n v="1.5"/>
    <n v="0"/>
    <n v="0"/>
    <n v="0"/>
    <n v="29157"/>
    <n v="821790"/>
    <n v="29157"/>
    <n v="0"/>
    <n v="32"/>
    <n v="622016"/>
    <n v="52951.76894287128"/>
    <n v="5"/>
    <n v="40"/>
    <n v="0"/>
    <n v="0"/>
    <n v="0"/>
    <n v="102723.75"/>
    <n v="777520"/>
    <n v="0"/>
    <n v="0"/>
    <n v="32"/>
    <n v="622016"/>
    <n v="0"/>
    <n v="3"/>
    <n v="41"/>
    <n v="0"/>
    <n v="0"/>
    <n v="0"/>
    <n v="842334.75"/>
    <n v="0"/>
    <n v="0"/>
    <n v="0"/>
    <n v="32"/>
    <n v="622016"/>
    <n v="0"/>
    <n v="5"/>
    <n v="34"/>
    <n v="5"/>
    <m/>
    <n v="0"/>
    <n v="0"/>
    <n v="660892"/>
    <n v="102723.75"/>
    <n v="0"/>
    <n v="0"/>
    <n v="32"/>
    <n v="622016"/>
    <n v="210042.0168067227"/>
    <n v="8"/>
    <n v="34"/>
    <n v="2"/>
    <m/>
    <n v="0"/>
    <n v="0"/>
    <n v="660892"/>
    <n v="41089.5"/>
    <n v="0"/>
    <n v="0"/>
    <n v="34"/>
    <n v="622016"/>
    <n v="84016.80672268909"/>
    <n v="13"/>
    <n v="37"/>
    <n v="5"/>
    <n v="0"/>
    <n v="0"/>
    <n v="0"/>
    <n v="719206"/>
    <n v="102723.75"/>
    <n v="0"/>
    <n v="0"/>
    <n v="37"/>
    <n v="622016"/>
    <n v="210042.0168067227"/>
    <n v="13"/>
    <n v="32"/>
    <n v="13"/>
    <n v="0"/>
    <n v="0"/>
    <n v="0"/>
    <n v="622016"/>
    <n v="267081.75"/>
    <n v="0"/>
    <n v="0"/>
    <n v="32"/>
    <n v="622016"/>
    <n v="546109.243697479"/>
    <n v="13"/>
    <n v="19"/>
    <n v="13"/>
    <n v="0"/>
    <n v="0"/>
    <n v="0"/>
    <n v="390350.25"/>
    <n v="267081.75"/>
    <n v="0"/>
    <n v="0"/>
    <n v="19"/>
    <n v="390350.25"/>
    <n v="546109.243697479"/>
    <n v="0"/>
    <n v="6"/>
    <n v="0"/>
    <n v="0"/>
    <n v="0"/>
    <n v="0"/>
    <m/>
    <n v="123268.5"/>
    <n v="0"/>
    <n v="0"/>
    <n v="0"/>
    <n v="6"/>
    <n v="123268.5"/>
    <n v="0"/>
    <n v="0"/>
    <n v="6"/>
    <n v="0"/>
    <n v="0"/>
    <n v="0"/>
    <n v="123268.5"/>
    <n v="0"/>
    <n v="0"/>
    <n v="0"/>
    <n v="6"/>
    <n v="123268.5"/>
    <n v="0"/>
    <n v="0"/>
    <n v="6"/>
    <n v="0"/>
    <n v="0"/>
    <n v="0"/>
    <n v="123268.5"/>
    <n v="0"/>
    <n v="0"/>
    <n v="6"/>
    <n v="123268.5"/>
    <n v="0"/>
    <n v="0"/>
    <n v="6"/>
    <n v="0"/>
    <n v="0"/>
    <m/>
    <n v="123268.5"/>
    <n v="0"/>
    <n v="0"/>
    <n v="6"/>
    <n v="123268.5"/>
    <n v="0"/>
  </r>
  <r>
    <m/>
    <x v="4"/>
    <x v="21"/>
    <x v="50"/>
    <s v="LTW25-MPT11"/>
    <x v="412"/>
    <x v="357"/>
    <x v="0"/>
    <x v="2"/>
    <n v="1"/>
    <x v="3"/>
    <n v="5"/>
    <m/>
    <n v="0"/>
    <n v="19438"/>
    <n v="97190"/>
    <n v="19.85"/>
    <n v="21686.125"/>
    <n v="42008.40336134454"/>
    <n v="33605.04201680672"/>
    <s v="Shenzhen"/>
    <s v="30/70"/>
    <n v="30"/>
    <n v="1"/>
    <n v="0"/>
    <s v=""/>
    <n v="0"/>
    <s v=""/>
    <n v="0"/>
    <s v=""/>
    <n v="0"/>
    <s v=""/>
    <n v="1"/>
    <n v="0.5372871034206842"/>
    <n v="3"/>
    <n v="0.444722308554053"/>
    <n v="4"/>
    <n v="0.3830143782933042"/>
    <n v="1"/>
    <n v="0.421579952488122"/>
    <n v="1"/>
    <n v="0.3473730862207897"/>
    <n v="7"/>
    <n v="0.3396928123923267"/>
    <n v="0"/>
    <s v=""/>
    <n v="2"/>
    <n v="0.53727861359741"/>
    <n v="0"/>
    <s v=""/>
    <n v="1"/>
    <n v="0.5180143135663557"/>
    <n v="0"/>
    <s v=""/>
    <n v="1"/>
    <n v="0.5180143135663557"/>
    <n v="0"/>
    <n v="2"/>
    <n v="-0.2338865921638706"/>
    <n v="2"/>
    <n v="3"/>
    <n v="0.02655686706011804"/>
    <n v="0.1538461538461539"/>
    <n v="3"/>
    <n v="0.2200369787568843"/>
    <n v="0.75"/>
    <n v="0"/>
    <s v=""/>
    <n v="0"/>
    <m/>
    <m/>
    <m/>
    <m/>
    <m/>
    <m/>
    <m/>
    <m/>
    <m/>
    <m/>
    <m/>
    <m/>
    <n v="0"/>
    <n v="7"/>
    <n v="0"/>
    <n v="0"/>
    <n v="0"/>
    <n v="0"/>
    <n v="29157"/>
    <n v="143813.25"/>
    <n v="0"/>
    <n v="0"/>
    <n v="5"/>
    <n v="97190"/>
    <n v="0"/>
    <n v="0"/>
    <n v="13"/>
    <n v="1.5"/>
    <n v="0"/>
    <n v="0"/>
    <n v="0"/>
    <n v="48595"/>
    <n v="267081.75"/>
    <n v="29157"/>
    <n v="0"/>
    <n v="5"/>
    <n v="97190"/>
    <n v="52951.76894287128"/>
    <n v="0"/>
    <n v="13"/>
    <n v="0"/>
    <n v="0"/>
    <n v="0"/>
    <n v="39982.75"/>
    <n v="252694"/>
    <n v="0"/>
    <n v="0"/>
    <n v="5"/>
    <n v="97190"/>
    <n v="0"/>
    <n v="0"/>
    <n v="14"/>
    <n v="1"/>
    <n v="0"/>
    <n v="0"/>
    <n v="287626.5"/>
    <n v="19438"/>
    <n v="0"/>
    <n v="0"/>
    <n v="5"/>
    <n v="97190"/>
    <n v="42008.40336134454"/>
    <n v="1"/>
    <n v="7"/>
    <n v="1"/>
    <m/>
    <n v="0"/>
    <n v="0"/>
    <n v="136066"/>
    <n v="20544.75"/>
    <n v="0"/>
    <n v="0"/>
    <n v="5"/>
    <n v="97190"/>
    <n v="42008.40336134454"/>
    <n v="19.5"/>
    <n v="8"/>
    <n v="3"/>
    <m/>
    <n v="0"/>
    <n v="0"/>
    <n v="155504"/>
    <n v="61634.25"/>
    <n v="0"/>
    <n v="0"/>
    <n v="8"/>
    <n v="97190"/>
    <n v="126025.2100840336"/>
    <n v="4"/>
    <n v="8"/>
    <n v="3"/>
    <n v="0"/>
    <n v="0"/>
    <n v="0"/>
    <n v="155504"/>
    <n v="61634.25"/>
    <n v="0"/>
    <n v="0"/>
    <n v="8"/>
    <n v="97190"/>
    <n v="126025.2100840336"/>
    <n v="4"/>
    <n v="5"/>
    <n v="4"/>
    <n v="0"/>
    <n v="0"/>
    <n v="0"/>
    <n v="97190"/>
    <n v="82179"/>
    <n v="0"/>
    <n v="0"/>
    <n v="5"/>
    <n v="97190"/>
    <n v="168033.6134453782"/>
    <n v="4"/>
    <n v="1"/>
    <n v="4"/>
    <n v="0"/>
    <n v="0"/>
    <n v="0"/>
    <n v="20544.75"/>
    <n v="82179"/>
    <n v="0"/>
    <n v="0"/>
    <n v="1"/>
    <n v="20544.75"/>
    <n v="168033.613445378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0"/>
    <s v="LTW25-MPT11"/>
    <x v="413"/>
    <x v="357"/>
    <x v="0"/>
    <x v="2"/>
    <n v="1"/>
    <x v="3"/>
    <n v="1"/>
    <m/>
    <n v="0"/>
    <n v="19437"/>
    <n v="19437"/>
    <n v="19.85"/>
    <n v="21686.125"/>
    <n v="42008.40336134454"/>
    <n v="33605.04201680672"/>
    <s v="Shenzhen"/>
    <s v="30/70"/>
    <n v="30"/>
    <n v="1"/>
    <n v="0"/>
    <s v=""/>
    <n v="0"/>
    <s v=""/>
    <n v="0"/>
    <s v=""/>
    <n v="0"/>
    <s v=""/>
    <n v="1"/>
    <n v="0.5372878175635127"/>
    <n v="0"/>
    <s v=""/>
    <n v="1"/>
    <n v="0.17370302669614"/>
    <n v="1"/>
    <n v="0.4215795268561226"/>
    <n v="1"/>
    <n v="0.4858943637758206"/>
    <n v="5"/>
    <n v="0.3846494620399497"/>
    <n v="0"/>
    <s v=""/>
    <n v="3"/>
    <n v="0.5246144816004434"/>
    <n v="0"/>
    <s v=""/>
    <n v="1"/>
    <n v="0.5180187691068741"/>
    <n v="0"/>
    <s v=""/>
    <n v="0"/>
    <s v=""/>
    <n v="0"/>
    <n v="0"/>
    <s v=""/>
    <n v="0"/>
    <n v="0"/>
    <s v=""/>
    <n v="0"/>
    <n v="2"/>
    <n v="0.1291457239133299"/>
    <n v="2"/>
    <n v="0"/>
    <s v=""/>
    <n v="0"/>
    <m/>
    <m/>
    <m/>
    <m/>
    <m/>
    <m/>
    <m/>
    <m/>
    <m/>
    <m/>
    <m/>
    <m/>
    <n v="0"/>
    <n v="5"/>
    <n v="0"/>
    <n v="0"/>
    <n v="0"/>
    <n v="0"/>
    <n v="29155.5"/>
    <n v="102723.75"/>
    <n v="0"/>
    <n v="0"/>
    <n v="1"/>
    <n v="19437"/>
    <n v="0"/>
    <n v="0"/>
    <n v="3"/>
    <n v="1.5"/>
    <n v="0"/>
    <n v="0"/>
    <n v="0"/>
    <n v="29155.5"/>
    <n v="61634.25"/>
    <n v="29155.5"/>
    <n v="0"/>
    <n v="1"/>
    <n v="19437"/>
    <n v="52951.76894287128"/>
    <n v="0"/>
    <n v="3"/>
    <n v="0"/>
    <n v="0"/>
    <n v="0"/>
    <n v="20544.75"/>
    <n v="58311"/>
    <n v="0"/>
    <n v="0"/>
    <n v="1"/>
    <n v="19437"/>
    <n v="0"/>
    <n v="2"/>
    <n v="3"/>
    <n v="0"/>
    <n v="0"/>
    <n v="0"/>
    <n v="61634.25"/>
    <n v="0"/>
    <n v="0"/>
    <n v="0"/>
    <n v="1"/>
    <n v="19437"/>
    <n v="0"/>
    <n v="1"/>
    <n v="1"/>
    <n v="1"/>
    <m/>
    <n v="0"/>
    <n v="0"/>
    <n v="19437"/>
    <n v="20544.75"/>
    <n v="0"/>
    <n v="0"/>
    <n v="1"/>
    <n v="19437"/>
    <n v="42008.40336134454"/>
    <n v="0"/>
    <n v="1"/>
    <n v="0"/>
    <m/>
    <n v="0"/>
    <n v="0"/>
    <n v="19437"/>
    <n v="0"/>
    <n v="0"/>
    <n v="0"/>
    <n v="1"/>
    <n v="19437"/>
    <n v="0"/>
    <n v="1"/>
    <n v="3"/>
    <n v="2"/>
    <n v="0"/>
    <n v="0"/>
    <n v="0"/>
    <n v="58311"/>
    <n v="41089.5"/>
    <n v="0"/>
    <n v="0"/>
    <n v="3"/>
    <n v="19437"/>
    <n v="84016.80672268909"/>
    <n v="1"/>
    <n v="1"/>
    <n v="1"/>
    <n v="0"/>
    <n v="0"/>
    <n v="0"/>
    <n v="19437"/>
    <n v="20544.75"/>
    <n v="0"/>
    <n v="0"/>
    <n v="1"/>
    <n v="19437"/>
    <n v="42008.40336134454"/>
    <n v="1"/>
    <n v="0"/>
    <n v="1"/>
    <n v="0"/>
    <n v="0"/>
    <n v="0"/>
    <n v="0"/>
    <n v="20544.75"/>
    <n v="0"/>
    <n v="0"/>
    <n v="0"/>
    <n v="0"/>
    <n v="42008.4033613445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1"/>
    <s v="LTW25-MPK08"/>
    <x v="414"/>
    <x v="358"/>
    <x v="0"/>
    <x v="2"/>
    <n v="1"/>
    <x v="3"/>
    <n v="2"/>
    <m/>
    <n v="0"/>
    <n v="22503"/>
    <n v="45006"/>
    <n v="21.9"/>
    <n v="23925.75"/>
    <n v="58815.12605042017"/>
    <n v="33605.04201680672"/>
    <s v="Shenzhen"/>
    <s v="30/70"/>
    <n v="30"/>
    <n v="1"/>
    <n v="0"/>
    <s v=""/>
    <n v="0"/>
    <s v=""/>
    <n v="0"/>
    <s v=""/>
    <n v="0"/>
    <s v=""/>
    <n v="1"/>
    <n v="0.4048092996191282"/>
    <n v="8"/>
    <n v="0.432809988556974"/>
    <n v="35"/>
    <n v="0.2392187051399177"/>
    <n v="6"/>
    <n v="0.3818932996651662"/>
    <n v="2"/>
    <n v="0.4047935567487502"/>
    <n v="12"/>
    <n v="0.4079463494847621"/>
    <n v="0"/>
    <s v=""/>
    <n v="5"/>
    <n v="0.6249024876484355"/>
    <n v="1"/>
    <n v="0.4223795188052375"/>
    <n v="3"/>
    <n v="0.5390603832855829"/>
    <n v="1"/>
    <n v="0.5803961444856793"/>
    <n v="4"/>
    <n v="0.331903306712856"/>
    <n v="1.333333333333333"/>
    <n v="8"/>
    <n v="0.3422714615103574"/>
    <n v="1.333333333333333"/>
    <n v="25"/>
    <n v="0.1477115554084999"/>
    <n v="0.6410256410256411"/>
    <n v="10"/>
    <n v="0.110035194650679"/>
    <n v="0.3703703703703703"/>
    <n v="1"/>
    <n v="0.2346670477279222"/>
    <n v="0.03703703703703703"/>
    <m/>
    <m/>
    <m/>
    <m/>
    <m/>
    <m/>
    <m/>
    <m/>
    <m/>
    <m/>
    <m/>
    <m/>
    <n v="2"/>
    <n v="39"/>
    <n v="2"/>
    <n v="0"/>
    <n v="0"/>
    <n v="0"/>
    <n v="168772.5"/>
    <n v="883993.5"/>
    <n v="45006"/>
    <n v="0"/>
    <n v="2"/>
    <n v="45006"/>
    <n v="98848.95134524399"/>
    <n v="2"/>
    <n v="92"/>
    <n v="4.5"/>
    <n v="0"/>
    <n v="0"/>
    <n v="0"/>
    <n v="213778.5"/>
    <n v="2085318"/>
    <n v="101263.5"/>
    <n v="0"/>
    <n v="2"/>
    <n v="45006"/>
    <n v="222410.140526799"/>
    <n v="4"/>
    <n v="90"/>
    <n v="1"/>
    <n v="0"/>
    <n v="0"/>
    <n v="248514"/>
    <n v="2025270"/>
    <n v="22503"/>
    <n v="0"/>
    <n v="2"/>
    <n v="45006"/>
    <n v="58815.12605042017"/>
    <n v="3"/>
    <n v="93"/>
    <n v="4"/>
    <n v="0"/>
    <n v="0"/>
    <n v="2107984.5"/>
    <n v="90012"/>
    <n v="0"/>
    <n v="0"/>
    <n v="2"/>
    <n v="45006"/>
    <n v="235260.5042016807"/>
    <n v="6"/>
    <n v="10"/>
    <n v="6"/>
    <m/>
    <n v="0"/>
    <n v="0"/>
    <n v="225030"/>
    <n v="135999"/>
    <n v="0"/>
    <n v="0"/>
    <n v="2"/>
    <n v="45006"/>
    <n v="352890.756302521"/>
    <n v="39"/>
    <n v="27"/>
    <n v="25"/>
    <m/>
    <n v="0"/>
    <n v="0"/>
    <n v="607581"/>
    <n v="566662.5"/>
    <n v="0"/>
    <n v="0"/>
    <n v="27"/>
    <n v="45006"/>
    <n v="1470378.151260504"/>
    <n v="27"/>
    <n v="12"/>
    <n v="10"/>
    <n v="0"/>
    <n v="0"/>
    <n v="0"/>
    <n v="270036"/>
    <n v="226665"/>
    <n v="0"/>
    <n v="0"/>
    <n v="12"/>
    <n v="45006"/>
    <n v="588151.2605042018"/>
    <n v="27"/>
    <n v="2"/>
    <n v="27"/>
    <n v="0"/>
    <n v="0"/>
    <n v="0"/>
    <n v="45006"/>
    <n v="611995.5"/>
    <n v="0"/>
    <n v="0"/>
    <n v="2"/>
    <n v="45006"/>
    <n v="1588008.403361345"/>
    <n v="27"/>
    <n v="0"/>
    <n v="27"/>
    <n v="0"/>
    <n v="0"/>
    <n v="0"/>
    <n v="0"/>
    <n v="611995.5"/>
    <n v="0"/>
    <n v="0"/>
    <n v="0"/>
    <n v="0"/>
    <n v="1588008.40336134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1"/>
    <s v="LTW25-MPK08"/>
    <x v="415"/>
    <x v="358"/>
    <x v="0"/>
    <x v="2"/>
    <n v="1"/>
    <x v="3"/>
    <n v="62"/>
    <m/>
    <n v="0"/>
    <n v="21445"/>
    <n v="1329590"/>
    <n v="21.9"/>
    <n v="23925.75"/>
    <n v="58815.12605042017"/>
    <n v="33605.04201680672"/>
    <s v="Shenzhen"/>
    <s v="30/70"/>
    <n v="30"/>
    <n v="1"/>
    <n v="0"/>
    <s v=""/>
    <n v="0"/>
    <s v=""/>
    <n v="0"/>
    <s v=""/>
    <n v="0"/>
    <s v=""/>
    <n v="0"/>
    <s v=""/>
    <n v="3"/>
    <n v="0.2761331200955784"/>
    <n v="8"/>
    <n v="0.1894964203569925"/>
    <n v="0"/>
    <s v=""/>
    <n v="1"/>
    <n v="0.6597021533188404"/>
    <n v="1"/>
    <n v="0.6597021533188404"/>
    <n v="0"/>
    <s v=""/>
    <n v="1"/>
    <n v="0.6809729247247843"/>
    <n v="0"/>
    <s v=""/>
    <n v="1"/>
    <n v="0.6809729513280171"/>
    <n v="0"/>
    <s v=""/>
    <n v="0"/>
    <s v=""/>
    <n v="0"/>
    <n v="3"/>
    <n v="0.4109469108255751"/>
    <n v="0.5"/>
    <n v="9"/>
    <n v="0.2175854990641588"/>
    <n v="0.2307692307692308"/>
    <n v="15"/>
    <n v="0.2257488319411015"/>
    <n v="0.9375"/>
    <n v="1"/>
    <n v="0.270649328379537"/>
    <n v="0.0625"/>
    <m/>
    <m/>
    <m/>
    <m/>
    <m/>
    <m/>
    <m/>
    <m/>
    <m/>
    <m/>
    <m/>
    <m/>
    <n v="2"/>
    <n v="73"/>
    <n v="2"/>
    <n v="0"/>
    <n v="0"/>
    <n v="0"/>
    <n v="75057.5"/>
    <n v="1654654.5"/>
    <n v="42890"/>
    <n v="0"/>
    <n v="62"/>
    <n v="1329590"/>
    <n v="98848.95134524399"/>
    <n v="2"/>
    <n v="54"/>
    <n v="1.5"/>
    <n v="0"/>
    <n v="0"/>
    <n v="0"/>
    <n v="32167.5"/>
    <n v="1223991"/>
    <n v="32167.5"/>
    <n v="0"/>
    <n v="62"/>
    <n v="1329590"/>
    <n v="74136.713508933"/>
    <n v="4"/>
    <n v="53"/>
    <n v="0"/>
    <n v="0"/>
    <n v="0"/>
    <n v="135999"/>
    <n v="1136585"/>
    <n v="0"/>
    <n v="0"/>
    <n v="62"/>
    <n v="1329590"/>
    <n v="0"/>
    <n v="3"/>
    <n v="53"/>
    <n v="0"/>
    <n v="0"/>
    <n v="0"/>
    <n v="1201324.5"/>
    <n v="0"/>
    <n v="0"/>
    <n v="0"/>
    <n v="62"/>
    <n v="1329590"/>
    <n v="0"/>
    <n v="6"/>
    <n v="65"/>
    <n v="6"/>
    <m/>
    <n v="0"/>
    <n v="0"/>
    <n v="1393925"/>
    <n v="135999"/>
    <n v="0"/>
    <n v="0"/>
    <n v="62"/>
    <n v="1329590"/>
    <n v="352890.756302521"/>
    <n v="39"/>
    <n v="71"/>
    <n v="9"/>
    <m/>
    <n v="0"/>
    <n v="0"/>
    <n v="1522595"/>
    <n v="203998.5"/>
    <n v="0"/>
    <n v="0"/>
    <n v="71"/>
    <n v="1329590"/>
    <n v="529336.1344537815"/>
    <n v="16"/>
    <n v="77"/>
    <n v="15"/>
    <n v="0"/>
    <n v="0"/>
    <n v="0"/>
    <n v="1651265"/>
    <n v="339997.5"/>
    <n v="0"/>
    <n v="0"/>
    <n v="77"/>
    <n v="1329590"/>
    <n v="882226.8907563025"/>
    <n v="16"/>
    <n v="62"/>
    <n v="16"/>
    <n v="0"/>
    <n v="0"/>
    <n v="0"/>
    <n v="1329590"/>
    <n v="362664"/>
    <n v="0"/>
    <n v="0"/>
    <n v="62"/>
    <n v="1329590"/>
    <n v="941042.0168067227"/>
    <n v="16"/>
    <n v="46"/>
    <n v="16"/>
    <n v="0"/>
    <n v="0"/>
    <n v="0"/>
    <n v="1042659"/>
    <n v="362664"/>
    <n v="0"/>
    <n v="0"/>
    <n v="46"/>
    <n v="1042659"/>
    <n v="941042.0168067227"/>
    <n v="0"/>
    <n v="30"/>
    <n v="0"/>
    <n v="0"/>
    <n v="0"/>
    <n v="0"/>
    <m/>
    <n v="679995"/>
    <n v="0"/>
    <n v="0"/>
    <n v="0"/>
    <n v="30"/>
    <n v="679995"/>
    <n v="0"/>
    <n v="0"/>
    <n v="30"/>
    <n v="0"/>
    <n v="0"/>
    <n v="0"/>
    <n v="679995"/>
    <n v="0"/>
    <n v="0"/>
    <n v="0"/>
    <n v="30"/>
    <n v="679995"/>
    <n v="0"/>
    <n v="0"/>
    <n v="30"/>
    <n v="0"/>
    <n v="0"/>
    <n v="0"/>
    <n v="679995"/>
    <n v="0"/>
    <n v="0"/>
    <n v="30"/>
    <n v="679995"/>
    <n v="0"/>
    <n v="0"/>
    <n v="30"/>
    <n v="0"/>
    <n v="0"/>
    <m/>
    <n v="679995"/>
    <n v="0"/>
    <n v="0"/>
    <n v="30"/>
    <n v="679995"/>
    <n v="0"/>
  </r>
  <r>
    <m/>
    <x v="4"/>
    <x v="21"/>
    <x v="51"/>
    <s v="LTW25-MPK08"/>
    <x v="416"/>
    <x v="358"/>
    <x v="0"/>
    <x v="2"/>
    <n v="1"/>
    <x v="3"/>
    <n v="0"/>
    <m/>
    <n v="0"/>
    <n v="21445"/>
    <n v="0"/>
    <n v="21.9"/>
    <n v="23925.75"/>
    <n v="58815.12605042017"/>
    <n v="33605.04201680672"/>
    <s v="Shenzhen"/>
    <s v="30/70"/>
    <n v="30"/>
    <n v="1"/>
    <n v="0"/>
    <s v=""/>
    <n v="0"/>
    <s v=""/>
    <n v="0"/>
    <s v=""/>
    <n v="0"/>
    <s v=""/>
    <n v="1"/>
    <n v="0.6809601594810913"/>
    <n v="5"/>
    <n v="0.3789420725848797"/>
    <n v="20"/>
    <n v="0.3138081136819685"/>
    <n v="5"/>
    <n v="0.4682477425366603"/>
    <n v="1"/>
    <n v="0.3618443683975598"/>
    <n v="15"/>
    <n v="0.4419246816919294"/>
    <n v="-1"/>
    <n v="0.4894967625214245"/>
    <n v="0"/>
    <n v="1"/>
    <n v="0"/>
    <s v=""/>
    <n v="1"/>
    <n v="0.6809729513280171"/>
    <n v="3"/>
    <n v="0.5637713613379645"/>
    <n v="1"/>
    <n v="0"/>
    <n v="0.3333333333333333"/>
    <n v="2"/>
    <n v="0.6073319382683756"/>
    <n v="0.3333333333333333"/>
    <n v="15"/>
    <n v="0.1505002516775348"/>
    <n v="0.5555555555555556"/>
    <n v="12"/>
    <n v="0.270637991807183"/>
    <n v="1.333333333333333"/>
    <n v="0"/>
    <s v=""/>
    <n v="0"/>
    <m/>
    <m/>
    <m/>
    <m/>
    <m/>
    <m/>
    <m/>
    <m/>
    <m/>
    <m/>
    <m/>
    <m/>
    <n v="2"/>
    <n v="22"/>
    <n v="2"/>
    <n v="0"/>
    <n v="0"/>
    <n v="0"/>
    <n v="139392.5"/>
    <n v="498663"/>
    <n v="42890"/>
    <n v="0"/>
    <n v="0"/>
    <n v="0"/>
    <n v="98848.95134524399"/>
    <n v="2"/>
    <n v="33"/>
    <n v="1.5"/>
    <n v="0"/>
    <n v="0"/>
    <n v="0"/>
    <n v="117947.5"/>
    <n v="747994.5"/>
    <n v="32167.5"/>
    <n v="0"/>
    <n v="0"/>
    <n v="0"/>
    <n v="74136.713508933"/>
    <n v="4"/>
    <n v="32"/>
    <n v="3"/>
    <n v="0"/>
    <n v="0"/>
    <n v="221779"/>
    <n v="686240"/>
    <n v="64335"/>
    <n v="0"/>
    <n v="0"/>
    <n v="0"/>
    <n v="176445.3781512605"/>
    <n v="3"/>
    <n v="30"/>
    <n v="1"/>
    <n v="0"/>
    <n v="0"/>
    <n v="679995"/>
    <n v="21445"/>
    <n v="0"/>
    <n v="0"/>
    <n v="0"/>
    <n v="0"/>
    <n v="58815.12605042017"/>
    <n v="6"/>
    <n v="2"/>
    <n v="6"/>
    <m/>
    <n v="0"/>
    <n v="0"/>
    <n v="42890"/>
    <n v="135999"/>
    <n v="0"/>
    <n v="0"/>
    <n v="0"/>
    <n v="0"/>
    <n v="352890.756302521"/>
    <n v="27"/>
    <n v="15"/>
    <n v="15"/>
    <m/>
    <n v="0"/>
    <n v="0"/>
    <n v="321675"/>
    <n v="339997.5"/>
    <n v="0"/>
    <n v="0"/>
    <n v="15"/>
    <n v="0"/>
    <n v="882226.8907563025"/>
    <n v="9"/>
    <n v="12"/>
    <n v="12"/>
    <n v="0"/>
    <n v="0"/>
    <n v="0"/>
    <n v="257340"/>
    <n v="271998"/>
    <n v="0"/>
    <n v="0"/>
    <n v="12"/>
    <n v="0"/>
    <n v="705781.5126050421"/>
    <n v="9"/>
    <n v="0"/>
    <n v="9"/>
    <n v="0"/>
    <n v="0"/>
    <n v="0"/>
    <n v="0"/>
    <n v="203998.5"/>
    <n v="0"/>
    <n v="0"/>
    <n v="0"/>
    <n v="0"/>
    <n v="529336.1344537815"/>
    <n v="9"/>
    <n v="0"/>
    <n v="9"/>
    <n v="0"/>
    <n v="0"/>
    <n v="0"/>
    <n v="0"/>
    <n v="203998.5"/>
    <n v="0"/>
    <n v="0"/>
    <n v="0"/>
    <n v="0"/>
    <n v="529336.134453781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1"/>
    <s v="LTW25-MPK08"/>
    <x v="417"/>
    <x v="358"/>
    <x v="0"/>
    <x v="2"/>
    <n v="1"/>
    <x v="3"/>
    <n v="34"/>
    <m/>
    <n v="0"/>
    <n v="21445"/>
    <n v="729130"/>
    <n v="21.9"/>
    <n v="23925.75"/>
    <n v="58815.12605042017"/>
    <n v="33605.04201680672"/>
    <s v="Shenzhen"/>
    <s v="30/70"/>
    <n v="30"/>
    <n v="1"/>
    <n v="0"/>
    <s v=""/>
    <n v="0"/>
    <s v=""/>
    <n v="0"/>
    <s v=""/>
    <n v="0"/>
    <s v=""/>
    <n v="0"/>
    <s v=""/>
    <n v="0"/>
    <s v=""/>
    <n v="7"/>
    <n v="0.08547823234701274"/>
    <n v="0"/>
    <s v=""/>
    <n v="1"/>
    <n v="0.6597023120011425"/>
    <n v="5"/>
    <n v="0.5522189417065827"/>
    <n v="0"/>
    <s v=""/>
    <n v="0"/>
    <s v=""/>
    <n v="0"/>
    <s v=""/>
    <n v="0"/>
    <s v=""/>
    <n v="0"/>
    <s v=""/>
    <n v="0"/>
    <s v=""/>
    <n v="0"/>
    <n v="1"/>
    <n v="0.6353807686812402"/>
    <n v="0.1666666666666667"/>
    <n v="3"/>
    <n v="0.1249067660658677"/>
    <n v="0.1111111111111111"/>
    <n v="11"/>
    <n v="0.2359777041113488"/>
    <n v="0.6875"/>
    <n v="2"/>
    <n v="0.270649328379537"/>
    <n v="0.125"/>
    <m/>
    <m/>
    <m/>
    <m/>
    <m/>
    <m/>
    <m/>
    <m/>
    <m/>
    <m/>
    <m/>
    <m/>
    <n v="2"/>
    <n v="46"/>
    <n v="2"/>
    <n v="0"/>
    <n v="0"/>
    <n v="0"/>
    <n v="42890"/>
    <n v="1042659"/>
    <n v="42890"/>
    <n v="0"/>
    <n v="34"/>
    <n v="729130"/>
    <n v="98848.95134524399"/>
    <n v="2"/>
    <n v="49"/>
    <n v="0"/>
    <n v="0"/>
    <n v="0"/>
    <n v="0"/>
    <n v="0"/>
    <n v="1110658.5"/>
    <n v="0"/>
    <n v="0"/>
    <n v="34"/>
    <n v="729130"/>
    <n v="0"/>
    <n v="4"/>
    <n v="49"/>
    <n v="0"/>
    <n v="0"/>
    <n v="0"/>
    <n v="135999"/>
    <n v="1050805"/>
    <n v="0"/>
    <n v="0"/>
    <n v="34"/>
    <n v="729130"/>
    <n v="0"/>
    <n v="3"/>
    <n v="49"/>
    <n v="0"/>
    <n v="0"/>
    <n v="0"/>
    <n v="1110658.5"/>
    <n v="0"/>
    <n v="0"/>
    <n v="0"/>
    <n v="34"/>
    <n v="729130"/>
    <n v="0"/>
    <n v="6"/>
    <n v="35"/>
    <n v="6"/>
    <m/>
    <n v="0"/>
    <n v="0"/>
    <n v="750575"/>
    <n v="135999"/>
    <n v="0"/>
    <n v="0"/>
    <n v="34"/>
    <n v="729130"/>
    <n v="352890.756302521"/>
    <n v="27"/>
    <n v="37"/>
    <n v="3"/>
    <m/>
    <n v="0"/>
    <n v="0"/>
    <n v="793465"/>
    <n v="67999.5"/>
    <n v="0"/>
    <n v="0"/>
    <n v="37"/>
    <n v="729130"/>
    <n v="176445.3781512605"/>
    <n v="16"/>
    <n v="45"/>
    <n v="11"/>
    <n v="0"/>
    <n v="0"/>
    <n v="0"/>
    <n v="965025"/>
    <n v="249331.5"/>
    <n v="0"/>
    <n v="0"/>
    <n v="45"/>
    <n v="729130"/>
    <n v="646966.3865546219"/>
    <n v="16"/>
    <n v="34"/>
    <n v="16"/>
    <n v="0"/>
    <n v="0"/>
    <n v="0"/>
    <n v="729130"/>
    <n v="362664"/>
    <n v="0"/>
    <n v="0"/>
    <n v="34"/>
    <n v="729130"/>
    <n v="941042.0168067227"/>
    <n v="16"/>
    <n v="18"/>
    <n v="16"/>
    <n v="0"/>
    <n v="0"/>
    <n v="0"/>
    <n v="407997"/>
    <n v="362664"/>
    <n v="0"/>
    <n v="0"/>
    <n v="18"/>
    <n v="407997"/>
    <n v="941042.0168067227"/>
    <n v="0"/>
    <n v="2"/>
    <n v="0"/>
    <n v="0"/>
    <n v="0"/>
    <n v="0"/>
    <m/>
    <n v="45333"/>
    <n v="0"/>
    <n v="0"/>
    <n v="0"/>
    <n v="2"/>
    <n v="45333"/>
    <n v="0"/>
    <n v="0"/>
    <n v="2"/>
    <n v="0"/>
    <n v="0"/>
    <n v="0"/>
    <n v="45333"/>
    <n v="0"/>
    <n v="0"/>
    <n v="0"/>
    <n v="2"/>
    <n v="45333"/>
    <n v="0"/>
    <n v="0"/>
    <n v="2"/>
    <n v="0"/>
    <n v="0"/>
    <n v="0"/>
    <n v="45333"/>
    <n v="0"/>
    <n v="0"/>
    <n v="2"/>
    <n v="45333"/>
    <n v="0"/>
    <n v="0"/>
    <n v="2"/>
    <n v="0"/>
    <n v="0"/>
    <m/>
    <n v="45333"/>
    <n v="0"/>
    <n v="0"/>
    <n v="2"/>
    <n v="45333"/>
    <n v="0"/>
  </r>
  <r>
    <m/>
    <x v="4"/>
    <x v="21"/>
    <x v="51"/>
    <s v="LTW25-MPK08"/>
    <x v="418"/>
    <x v="358"/>
    <x v="0"/>
    <x v="2"/>
    <n v="1"/>
    <x v="3"/>
    <n v="0"/>
    <m/>
    <n v="0"/>
    <n v="21445"/>
    <n v="0"/>
    <n v="21.9"/>
    <n v="23925.75"/>
    <n v="58815.12605042017"/>
    <n v="33605.04201680672"/>
    <s v="Shenzhen"/>
    <s v="30/70"/>
    <n v="30"/>
    <n v="1"/>
    <n v="0"/>
    <s v=""/>
    <n v="0"/>
    <s v=""/>
    <n v="0"/>
    <s v=""/>
    <n v="0"/>
    <s v=""/>
    <n v="1"/>
    <n v="0.5746264008727562"/>
    <n v="1"/>
    <n v="0.4327714444415056"/>
    <n v="14"/>
    <n v="0.3442891712567215"/>
    <n v="3"/>
    <n v="0.3639550368513932"/>
    <n v="0"/>
    <s v=""/>
    <n v="8"/>
    <n v="0.248070756743016"/>
    <n v="-1"/>
    <n v="0.3618446659723256"/>
    <n v="1"/>
    <n v="0.2707270625042508"/>
    <n v="0"/>
    <s v=""/>
    <n v="1"/>
    <n v="0.6809729513280171"/>
    <n v="0"/>
    <s v=""/>
    <n v="0"/>
    <s v=""/>
    <n v="0"/>
    <n v="2"/>
    <n v="0.563688493759617"/>
    <n v="0.5"/>
    <n v="4"/>
    <n v="-0.07855758832011535"/>
    <n v="0.2666666666666667"/>
    <n v="1"/>
    <n v="0.270649328379537"/>
    <n v="0.5"/>
    <n v="0"/>
    <s v=""/>
    <n v="0"/>
    <m/>
    <m/>
    <m/>
    <m/>
    <m/>
    <m/>
    <m/>
    <m/>
    <m/>
    <m/>
    <m/>
    <m/>
    <n v="1"/>
    <n v="6"/>
    <n v="1"/>
    <n v="0"/>
    <n v="0"/>
    <n v="0"/>
    <n v="53612.5"/>
    <n v="135999"/>
    <n v="21445"/>
    <n v="0"/>
    <n v="0"/>
    <n v="0"/>
    <n v="49424.47567262199"/>
    <n v="1"/>
    <n v="7"/>
    <n v="1.5"/>
    <n v="0"/>
    <n v="0"/>
    <n v="0"/>
    <n v="32167.5"/>
    <n v="158665.5"/>
    <n v="32167.5"/>
    <n v="0"/>
    <n v="0"/>
    <n v="0"/>
    <n v="74136.713508933"/>
    <n v="2"/>
    <n v="7"/>
    <n v="0"/>
    <n v="0"/>
    <n v="0"/>
    <n v="90666"/>
    <n v="150115"/>
    <n v="0"/>
    <n v="0"/>
    <n v="0"/>
    <n v="0"/>
    <n v="0"/>
    <n v="2"/>
    <n v="8"/>
    <n v="0"/>
    <n v="0"/>
    <n v="0"/>
    <n v="181332"/>
    <n v="0"/>
    <n v="0"/>
    <n v="0"/>
    <n v="0"/>
    <n v="0"/>
    <n v="0"/>
    <n v="4"/>
    <n v="2"/>
    <n v="4"/>
    <m/>
    <n v="0"/>
    <n v="0"/>
    <n v="42890"/>
    <n v="90666"/>
    <n v="0"/>
    <n v="0"/>
    <n v="0"/>
    <n v="0"/>
    <n v="235260.5042016807"/>
    <n v="15"/>
    <n v="4"/>
    <n v="4"/>
    <m/>
    <n v="0"/>
    <n v="0"/>
    <n v="85780"/>
    <n v="90666"/>
    <n v="0"/>
    <n v="0"/>
    <n v="4"/>
    <n v="0"/>
    <n v="235260.5042016807"/>
    <n v="2"/>
    <n v="1"/>
    <n v="1"/>
    <n v="0"/>
    <n v="0"/>
    <n v="0"/>
    <n v="21445"/>
    <n v="22666.5"/>
    <n v="0"/>
    <n v="0"/>
    <n v="1"/>
    <n v="0"/>
    <n v="58815.12605042017"/>
    <n v="2"/>
    <n v="0"/>
    <n v="2"/>
    <n v="0"/>
    <n v="0"/>
    <n v="0"/>
    <n v="0"/>
    <n v="45333"/>
    <n v="0"/>
    <n v="0"/>
    <n v="0"/>
    <n v="0"/>
    <n v="117630.2521008403"/>
    <n v="2"/>
    <n v="0"/>
    <n v="2"/>
    <n v="0"/>
    <n v="0"/>
    <n v="0"/>
    <n v="0"/>
    <n v="45333"/>
    <n v="0"/>
    <n v="0"/>
    <n v="0"/>
    <n v="0"/>
    <n v="117630.252100840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1"/>
    <s v="LTW25-MPK08"/>
    <x v="419"/>
    <x v="358"/>
    <x v="0"/>
    <x v="2"/>
    <n v="1"/>
    <x v="3"/>
    <n v="25"/>
    <m/>
    <n v="0"/>
    <n v="21445"/>
    <n v="536125"/>
    <n v="21.9"/>
    <n v="23925.75"/>
    <n v="58815.12605042017"/>
    <n v="33605.04201680672"/>
    <s v="Shenzhen"/>
    <s v="30/70"/>
    <n v="30"/>
    <n v="1"/>
    <n v="0"/>
    <s v=""/>
    <n v="0"/>
    <s v=""/>
    <n v="0"/>
    <s v=""/>
    <n v="0"/>
    <s v=""/>
    <n v="0"/>
    <s v=""/>
    <n v="0"/>
    <s v=""/>
    <n v="1"/>
    <n v="0.01223990159511155"/>
    <n v="0"/>
    <s v=""/>
    <n v="0"/>
    <s v=""/>
    <n v="1"/>
    <n v="1.888005141805914e-05"/>
    <n v="0"/>
    <s v=""/>
    <n v="0"/>
    <s v=""/>
    <n v="0"/>
    <s v=""/>
    <n v="0"/>
    <s v=""/>
    <n v="1"/>
    <n v="0"/>
    <n v="1"/>
    <n v="0"/>
    <n v="0.5"/>
    <n v="0"/>
    <s v=""/>
    <n v="0"/>
    <n v="4"/>
    <n v="0.260640037593985"/>
    <n v="0.3333333333333333"/>
    <n v="2"/>
    <n v="0.2492032950867902"/>
    <n v="0.2"/>
    <n v="0"/>
    <s v=""/>
    <n v="0"/>
    <m/>
    <m/>
    <m/>
    <m/>
    <m/>
    <m/>
    <m/>
    <m/>
    <m/>
    <m/>
    <m/>
    <m/>
    <n v="1"/>
    <n v="29"/>
    <n v="1"/>
    <n v="0"/>
    <n v="0"/>
    <n v="0"/>
    <n v="42890"/>
    <n v="657328.5"/>
    <n v="21445"/>
    <n v="0"/>
    <n v="25"/>
    <n v="536125"/>
    <n v="49424.47567262199"/>
    <n v="1"/>
    <n v="33"/>
    <n v="0"/>
    <n v="0"/>
    <n v="0"/>
    <n v="0"/>
    <n v="42890"/>
    <n v="747994.5"/>
    <n v="0"/>
    <n v="0"/>
    <n v="25"/>
    <n v="536125"/>
    <n v="0"/>
    <n v="2"/>
    <n v="33"/>
    <n v="1"/>
    <n v="0"/>
    <n v="0"/>
    <n v="133556"/>
    <n v="707685"/>
    <n v="21445"/>
    <n v="0"/>
    <n v="25"/>
    <n v="536125"/>
    <n v="58815.12605042017"/>
    <n v="2"/>
    <n v="32"/>
    <n v="1"/>
    <n v="0"/>
    <n v="0"/>
    <n v="725328"/>
    <n v="21445"/>
    <n v="0"/>
    <n v="0"/>
    <n v="25"/>
    <n v="536125"/>
    <n v="58815.12605042017"/>
    <n v="4"/>
    <n v="25"/>
    <n v="4"/>
    <m/>
    <n v="0"/>
    <n v="0"/>
    <n v="536125"/>
    <n v="90666"/>
    <n v="0"/>
    <n v="0"/>
    <n v="25"/>
    <n v="536125"/>
    <n v="235260.5042016807"/>
    <n v="12"/>
    <n v="29"/>
    <n v="4"/>
    <m/>
    <n v="0"/>
    <n v="0"/>
    <n v="621905"/>
    <n v="90666"/>
    <n v="0"/>
    <n v="0"/>
    <n v="29"/>
    <n v="536125"/>
    <n v="235260.5042016807"/>
    <n v="10"/>
    <n v="27"/>
    <n v="2"/>
    <n v="0"/>
    <n v="0"/>
    <n v="0"/>
    <n v="579015"/>
    <n v="45333"/>
    <n v="0"/>
    <n v="0"/>
    <n v="27"/>
    <n v="536125"/>
    <n v="117630.2521008403"/>
    <n v="10"/>
    <n v="25"/>
    <n v="10"/>
    <n v="0"/>
    <n v="0"/>
    <n v="0"/>
    <n v="536125"/>
    <n v="226665"/>
    <n v="0"/>
    <n v="0"/>
    <n v="25"/>
    <n v="536125"/>
    <n v="588151.2605042018"/>
    <n v="10"/>
    <n v="15"/>
    <n v="10"/>
    <n v="0"/>
    <n v="0"/>
    <n v="0"/>
    <n v="339997.5"/>
    <n v="226665"/>
    <n v="0"/>
    <n v="0"/>
    <n v="15"/>
    <n v="339997.5"/>
    <n v="588151.2605042018"/>
    <n v="0"/>
    <n v="5"/>
    <n v="0"/>
    <n v="0"/>
    <n v="0"/>
    <n v="0"/>
    <m/>
    <n v="113332.5"/>
    <n v="0"/>
    <n v="0"/>
    <n v="0"/>
    <n v="5"/>
    <n v="113332.5"/>
    <n v="0"/>
    <n v="0"/>
    <n v="5"/>
    <n v="0"/>
    <n v="0"/>
    <n v="0"/>
    <n v="113332.5"/>
    <n v="0"/>
    <n v="0"/>
    <n v="0"/>
    <n v="5"/>
    <n v="113332.5"/>
    <n v="0"/>
    <n v="0"/>
    <n v="5"/>
    <n v="0"/>
    <n v="0"/>
    <n v="0"/>
    <n v="113332.5"/>
    <n v="0"/>
    <n v="0"/>
    <n v="5"/>
    <n v="113332.5"/>
    <n v="0"/>
    <n v="0"/>
    <n v="5"/>
    <n v="0"/>
    <n v="0"/>
    <m/>
    <n v="113332.5"/>
    <n v="0"/>
    <n v="0"/>
    <n v="5"/>
    <n v="113332.5"/>
    <n v="0"/>
  </r>
  <r>
    <m/>
    <x v="4"/>
    <x v="21"/>
    <x v="51"/>
    <s v="LTW25-MPK08"/>
    <x v="420"/>
    <x v="358"/>
    <x v="0"/>
    <x v="2"/>
    <n v="1"/>
    <x v="3"/>
    <n v="18"/>
    <m/>
    <n v="0"/>
    <n v="21445"/>
    <n v="386010"/>
    <n v="21.9"/>
    <n v="23925.75"/>
    <n v="58815.12605042017"/>
    <n v="33605.04201680672"/>
    <s v="Shenzhen"/>
    <s v="30/70"/>
    <n v="30"/>
    <n v="1"/>
    <n v="0"/>
    <s v=""/>
    <n v="0"/>
    <s v=""/>
    <n v="0"/>
    <s v=""/>
    <n v="0"/>
    <n v="-1.072511074840585e-05"/>
    <n v="0"/>
    <s v=""/>
    <n v="1"/>
    <n v="0.5538034865293184"/>
    <n v="15"/>
    <n v="0.1649483964344168"/>
    <n v="0"/>
    <s v=""/>
    <n v="0"/>
    <s v=""/>
    <n v="3"/>
    <n v="0.5637802322979598"/>
    <n v="0"/>
    <s v=""/>
    <n v="0"/>
    <s v=""/>
    <n v="0"/>
    <s v=""/>
    <n v="0"/>
    <s v=""/>
    <n v="0"/>
    <s v=""/>
    <n v="0"/>
    <s v=""/>
    <n v="0"/>
    <n v="1"/>
    <n v="0.6809712221222122"/>
    <n v="0.25"/>
    <n v="0"/>
    <s v=""/>
    <n v="0"/>
    <n v="1"/>
    <n v="-9.326018808811357e-06"/>
    <n v="1"/>
    <n v="0"/>
    <s v=""/>
    <n v="0"/>
    <m/>
    <m/>
    <m/>
    <m/>
    <m/>
    <m/>
    <m/>
    <m/>
    <m/>
    <m/>
    <m/>
    <m/>
    <n v="1"/>
    <n v="9"/>
    <n v="1"/>
    <n v="0"/>
    <n v="0"/>
    <n v="0"/>
    <n v="21445"/>
    <n v="203998.5"/>
    <n v="21445"/>
    <n v="0"/>
    <n v="18"/>
    <n v="386010"/>
    <n v="49424.47567262199"/>
    <n v="1"/>
    <n v="15"/>
    <n v="0"/>
    <n v="0"/>
    <n v="0"/>
    <n v="0"/>
    <n v="0"/>
    <n v="339997.5"/>
    <n v="0"/>
    <n v="0"/>
    <n v="18"/>
    <n v="386010"/>
    <n v="0"/>
    <n v="2"/>
    <n v="15"/>
    <n v="0"/>
    <n v="0"/>
    <n v="0"/>
    <n v="90666"/>
    <n v="321675"/>
    <n v="0"/>
    <n v="0"/>
    <n v="18"/>
    <n v="386010"/>
    <n v="0"/>
    <n v="2"/>
    <n v="15"/>
    <n v="0"/>
    <n v="0"/>
    <n v="0"/>
    <n v="339997.5"/>
    <n v="0"/>
    <n v="0"/>
    <n v="0"/>
    <n v="18"/>
    <n v="386010"/>
    <n v="0"/>
    <n v="4"/>
    <n v="19"/>
    <n v="4"/>
    <m/>
    <n v="0"/>
    <n v="0"/>
    <n v="407455"/>
    <n v="90666"/>
    <n v="0"/>
    <n v="0"/>
    <n v="18"/>
    <n v="386010"/>
    <n v="235260.5042016807"/>
    <n v="12"/>
    <n v="18"/>
    <n v="0"/>
    <m/>
    <n v="0"/>
    <n v="0"/>
    <n v="386010"/>
    <n v="0"/>
    <n v="0"/>
    <n v="0"/>
    <n v="18"/>
    <n v="386010"/>
    <n v="0"/>
    <n v="1"/>
    <n v="19"/>
    <n v="1"/>
    <n v="0"/>
    <n v="0"/>
    <n v="0"/>
    <n v="407455"/>
    <n v="22666.5"/>
    <n v="0"/>
    <n v="0"/>
    <n v="19"/>
    <n v="386010"/>
    <n v="58815.12605042017"/>
    <n v="1"/>
    <n v="18"/>
    <n v="1"/>
    <n v="0"/>
    <n v="0"/>
    <n v="0"/>
    <n v="386010"/>
    <n v="22666.5"/>
    <n v="0"/>
    <n v="0"/>
    <n v="18"/>
    <n v="386010"/>
    <n v="58815.12605042017"/>
    <n v="1"/>
    <n v="17"/>
    <n v="1"/>
    <n v="0"/>
    <n v="0"/>
    <n v="0"/>
    <n v="385330.5"/>
    <n v="22666.5"/>
    <n v="0"/>
    <n v="0"/>
    <n v="17"/>
    <n v="385330.5"/>
    <n v="58815.12605042017"/>
    <n v="0"/>
    <n v="16"/>
    <n v="0"/>
    <n v="0"/>
    <n v="0"/>
    <n v="0"/>
    <m/>
    <n v="362664"/>
    <n v="0"/>
    <n v="0"/>
    <n v="0"/>
    <n v="16"/>
    <n v="362664"/>
    <n v="0"/>
    <n v="0"/>
    <n v="16"/>
    <n v="0"/>
    <n v="0"/>
    <n v="0"/>
    <n v="362664"/>
    <n v="0"/>
    <n v="0"/>
    <n v="0"/>
    <n v="16"/>
    <n v="362664"/>
    <n v="0"/>
    <n v="0"/>
    <n v="16"/>
    <n v="0"/>
    <n v="0"/>
    <n v="0"/>
    <n v="362664"/>
    <n v="0"/>
    <n v="0"/>
    <n v="16"/>
    <n v="362664"/>
    <n v="0"/>
    <n v="0"/>
    <n v="16"/>
    <n v="0"/>
    <n v="0"/>
    <m/>
    <n v="362664"/>
    <n v="0"/>
    <n v="0"/>
    <n v="16"/>
    <n v="362664"/>
    <n v="0"/>
  </r>
  <r>
    <m/>
    <x v="4"/>
    <x v="21"/>
    <x v="51"/>
    <s v="LTW25-MPK09"/>
    <x v="421"/>
    <x v="359"/>
    <x v="0"/>
    <x v="2"/>
    <n v="1"/>
    <x v="3"/>
    <n v="23"/>
    <m/>
    <n v="0"/>
    <n v="29567"/>
    <n v="680041"/>
    <n v="28"/>
    <n v="30590"/>
    <n v="58815.12605042017"/>
    <n v="42008.40336134454"/>
    <s v="Shenzhen"/>
    <s v="30/70"/>
    <n v="30"/>
    <n v="1"/>
    <n v="0"/>
    <s v=""/>
    <n v="0"/>
    <s v=""/>
    <n v="0"/>
    <s v=""/>
    <n v="1"/>
    <n v="8.117157642019844e-06"/>
    <n v="1"/>
    <n v="0.4747422277491563"/>
    <n v="9"/>
    <n v="0.3339218282624749"/>
    <n v="28"/>
    <n v="0.138655424414443"/>
    <n v="5"/>
    <n v="0.4134975799412839"/>
    <n v="1"/>
    <n v="0.4134975799412838"/>
    <n v="11"/>
    <n v="0.3789112616776026"/>
    <n v="0"/>
    <n v="0.9999714392002974"/>
    <n v="0"/>
    <s v=""/>
    <n v="0"/>
    <s v=""/>
    <n v="3"/>
    <n v="0.4827749182962515"/>
    <n v="2"/>
    <n v="0.5308128749710056"/>
    <n v="1"/>
    <n v="0.297288100138625"/>
    <n v="0.2"/>
    <n v="1"/>
    <n v="0.5601443894389438"/>
    <n v="0.2"/>
    <n v="4"/>
    <n v="0.3002867440364466"/>
    <n v="0.4444444444444444"/>
    <n v="15"/>
    <n v="0.2510141077330699"/>
    <n v="0.9375"/>
    <n v="5"/>
    <n v="0.180626682564671"/>
    <n v="0.3125"/>
    <m/>
    <m/>
    <m/>
    <m/>
    <m/>
    <m/>
    <m/>
    <m/>
    <m/>
    <m/>
    <m/>
    <m/>
    <n v="20"/>
    <n v="48"/>
    <n v="20"/>
    <n v="0"/>
    <n v="0"/>
    <n v="0"/>
    <n v="783525.5"/>
    <n v="1391040"/>
    <n v="591340"/>
    <n v="0"/>
    <n v="23"/>
    <n v="680041"/>
    <n v="988489.5134524398"/>
    <n v="3"/>
    <n v="54"/>
    <n v="4.5"/>
    <n v="0"/>
    <n v="0"/>
    <n v="0"/>
    <n v="221752.5"/>
    <n v="1564920"/>
    <n v="133051.5"/>
    <n v="0"/>
    <n v="23"/>
    <n v="680041"/>
    <n v="222410.140526799"/>
    <n v="8"/>
    <n v="51"/>
    <n v="2"/>
    <n v="0"/>
    <n v="0"/>
    <n v="233601"/>
    <n v="1507917"/>
    <n v="59134"/>
    <n v="0"/>
    <n v="23"/>
    <n v="680041"/>
    <n v="117630.2521008403"/>
    <n v="5"/>
    <n v="47"/>
    <n v="1"/>
    <n v="0"/>
    <n v="0"/>
    <n v="1362060"/>
    <n v="29567"/>
    <n v="0"/>
    <n v="0"/>
    <n v="23"/>
    <n v="680041"/>
    <n v="58815.12605042017"/>
    <n v="5"/>
    <n v="24"/>
    <n v="5"/>
    <m/>
    <n v="0"/>
    <n v="0"/>
    <n v="709608"/>
    <n v="144900"/>
    <n v="0"/>
    <n v="0"/>
    <n v="23"/>
    <n v="680041"/>
    <n v="294075.6302521009"/>
    <n v="9"/>
    <n v="27"/>
    <n v="4"/>
    <m/>
    <n v="0"/>
    <n v="0"/>
    <n v="798309"/>
    <n v="115920"/>
    <n v="0"/>
    <n v="0"/>
    <n v="27"/>
    <n v="680041"/>
    <n v="235260.5042016807"/>
    <n v="16"/>
    <n v="38"/>
    <n v="15"/>
    <n v="0"/>
    <n v="0"/>
    <n v="0"/>
    <n v="1123546"/>
    <n v="434699.9999999999"/>
    <n v="0"/>
    <n v="0"/>
    <n v="38"/>
    <n v="680041"/>
    <n v="882226.8907563025"/>
    <n v="16"/>
    <n v="23"/>
    <n v="16"/>
    <n v="0"/>
    <n v="0"/>
    <n v="0"/>
    <n v="680041"/>
    <n v="463679.9999999999"/>
    <n v="0"/>
    <n v="0"/>
    <n v="23"/>
    <n v="680041"/>
    <n v="941042.0168067227"/>
    <n v="16"/>
    <n v="7"/>
    <n v="16"/>
    <n v="0"/>
    <n v="0"/>
    <n v="0"/>
    <n v="202860"/>
    <n v="463679.9999999999"/>
    <n v="0"/>
    <n v="0"/>
    <n v="7"/>
    <n v="202860"/>
    <n v="941042.016806722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1"/>
    <s v="LTW25-MPK09"/>
    <x v="422"/>
    <x v="359"/>
    <x v="0"/>
    <x v="2"/>
    <n v="1"/>
    <x v="3"/>
    <n v="57"/>
    <m/>
    <n v="0"/>
    <n v="29567"/>
    <n v="1685319"/>
    <n v="28"/>
    <n v="30590"/>
    <n v="58815.12605042017"/>
    <n v="42008.40336134454"/>
    <s v="Shenzhen"/>
    <s v="30/70"/>
    <n v="30"/>
    <n v="1"/>
    <n v="0"/>
    <s v=""/>
    <n v="0"/>
    <s v=""/>
    <n v="0"/>
    <s v=""/>
    <n v="1"/>
    <s v=""/>
    <n v="1"/>
    <n v="0.4747422277491563"/>
    <n v="7"/>
    <n v="0.365433928788605"/>
    <n v="9"/>
    <n v="0.3247417789827767"/>
    <n v="2"/>
    <n v="0.3297115199328958"/>
    <n v="0"/>
    <n v="1"/>
    <n v="6"/>
    <n v="0.4708495921015347"/>
    <n v="14"/>
    <n v="0.1621299025164363"/>
    <n v="3"/>
    <n v="0.4827791059745531"/>
    <n v="0"/>
    <s v=""/>
    <n v="0"/>
    <s v=""/>
    <n v="2"/>
    <n v="0.3773524503580374"/>
    <n v="2"/>
    <n v="0.4862782199211413"/>
    <n v="0.3333333333333333"/>
    <n v="4"/>
    <n v="0.3826422452175515"/>
    <n v="4"/>
    <n v="2"/>
    <n v="0.08807266333264827"/>
    <n v="0.2857142857142857"/>
    <n v="5"/>
    <n v="0.2316069775060056"/>
    <n v="0.2272727272727273"/>
    <n v="2"/>
    <n v="0.2512194083847627"/>
    <n v="0.09090909090909091"/>
    <m/>
    <m/>
    <m/>
    <m/>
    <m/>
    <m/>
    <m/>
    <m/>
    <m/>
    <m/>
    <m/>
    <m/>
    <n v="20"/>
    <n v="65"/>
    <n v="20"/>
    <n v="0"/>
    <n v="0"/>
    <n v="0"/>
    <n v="650474"/>
    <n v="1883700"/>
    <n v="591340"/>
    <n v="0"/>
    <n v="57"/>
    <n v="1685319"/>
    <n v="988489.5134524398"/>
    <n v="3"/>
    <n v="70"/>
    <n v="0"/>
    <n v="0"/>
    <n v="0"/>
    <n v="0"/>
    <n v="118268"/>
    <n v="2028600"/>
    <n v="0"/>
    <n v="0"/>
    <n v="57"/>
    <n v="1685319"/>
    <n v="0"/>
    <n v="6"/>
    <n v="70"/>
    <n v="2"/>
    <n v="0"/>
    <n v="0"/>
    <n v="147248"/>
    <n v="2069690"/>
    <n v="59134"/>
    <n v="0"/>
    <n v="57"/>
    <n v="1685319"/>
    <n v="117630.2521008403"/>
    <n v="6"/>
    <n v="69"/>
    <n v="2"/>
    <n v="0"/>
    <n v="0"/>
    <n v="1999620"/>
    <n v="59134"/>
    <n v="0"/>
    <n v="0"/>
    <n v="57"/>
    <n v="1685319"/>
    <n v="117630.2521008403"/>
    <n v="1"/>
    <n v="61"/>
    <n v="1"/>
    <m/>
    <n v="0"/>
    <n v="0"/>
    <n v="1803587"/>
    <n v="28980"/>
    <n v="0"/>
    <n v="0"/>
    <n v="57"/>
    <n v="1685319"/>
    <n v="58815.12605042017"/>
    <n v="7"/>
    <n v="59"/>
    <n v="2"/>
    <m/>
    <n v="0"/>
    <n v="0"/>
    <n v="1744453"/>
    <n v="57959.99999999999"/>
    <n v="0"/>
    <n v="0"/>
    <n v="59"/>
    <n v="1685319"/>
    <n v="117630.2521008403"/>
    <n v="22"/>
    <n v="62"/>
    <n v="5"/>
    <n v="0"/>
    <n v="0"/>
    <n v="0"/>
    <n v="1833154"/>
    <n v="144900"/>
    <n v="0"/>
    <n v="0"/>
    <n v="62"/>
    <n v="1685319"/>
    <n v="294075.6302521009"/>
    <n v="22"/>
    <n v="57"/>
    <n v="22"/>
    <n v="0"/>
    <n v="0"/>
    <n v="0"/>
    <n v="1685319"/>
    <n v="637559.9999999999"/>
    <n v="0"/>
    <n v="0"/>
    <n v="57"/>
    <n v="1685319"/>
    <n v="1293932.773109244"/>
    <n v="22"/>
    <n v="35"/>
    <n v="22"/>
    <n v="0"/>
    <n v="0"/>
    <n v="0"/>
    <n v="1014300"/>
    <n v="637559.9999999999"/>
    <n v="0"/>
    <n v="0"/>
    <n v="35"/>
    <n v="1014300"/>
    <n v="1293932.773109244"/>
    <n v="0"/>
    <n v="13"/>
    <n v="0"/>
    <n v="0"/>
    <n v="0"/>
    <n v="0"/>
    <m/>
    <n v="376739.9999999999"/>
    <n v="0"/>
    <n v="0"/>
    <n v="0"/>
    <n v="13"/>
    <n v="376739.9999999999"/>
    <n v="0"/>
    <n v="0"/>
    <n v="13"/>
    <n v="0"/>
    <n v="0"/>
    <n v="0"/>
    <n v="376739.9999999999"/>
    <n v="0"/>
    <n v="0"/>
    <n v="0"/>
    <n v="13"/>
    <n v="376739.9999999999"/>
    <n v="0"/>
    <n v="0"/>
    <n v="13"/>
    <n v="0"/>
    <n v="0"/>
    <n v="0"/>
    <n v="376739.9999999999"/>
    <n v="0"/>
    <n v="0"/>
    <n v="13"/>
    <n v="376739.9999999999"/>
    <n v="0"/>
    <n v="0"/>
    <n v="13"/>
    <n v="0"/>
    <n v="0"/>
    <m/>
    <n v="376739.9999999999"/>
    <n v="0"/>
    <n v="0"/>
    <n v="13"/>
    <n v="376739.9999999999"/>
    <n v="0"/>
  </r>
  <r>
    <m/>
    <x v="4"/>
    <x v="21"/>
    <x v="51"/>
    <s v="LTW25-MPK09"/>
    <x v="423"/>
    <x v="359"/>
    <x v="0"/>
    <x v="2"/>
    <n v="1"/>
    <x v="3"/>
    <n v="7"/>
    <m/>
    <n v="0"/>
    <n v="29566"/>
    <n v="206962"/>
    <n v="28"/>
    <n v="30590"/>
    <n v="58815.12605042017"/>
    <n v="42008.40336134454"/>
    <s v="Shenzhen"/>
    <s v="30/70"/>
    <n v="30"/>
    <n v="1"/>
    <n v="0"/>
    <s v=""/>
    <n v="0"/>
    <s v=""/>
    <n v="0"/>
    <s v=""/>
    <n v="1"/>
    <n v="0.4378347067335397"/>
    <n v="0"/>
    <s v=""/>
    <n v="3"/>
    <n v="0.4193045716534075"/>
    <n v="30"/>
    <n v="0.2237221804200072"/>
    <n v="2"/>
    <n v="0.4134962112107091"/>
    <n v="0"/>
    <s v=""/>
    <n v="5"/>
    <n v="0.4973075719862353"/>
    <n v="0"/>
    <s v=""/>
    <n v="2"/>
    <n v="0.3890295184270615"/>
    <n v="0"/>
    <s v=""/>
    <n v="2"/>
    <n v="0.4328979468665758"/>
    <n v="2"/>
    <n v="0.4188754732935816"/>
    <n v="0"/>
    <s v=""/>
    <n v="0"/>
    <n v="3"/>
    <n v="0.3715801035899267"/>
    <n v="0.1666666666666667"/>
    <n v="10"/>
    <n v="0.1307516610017908"/>
    <n v="2.5"/>
    <n v="6"/>
    <n v="0.2377164006644037"/>
    <n v="0.75"/>
    <n v="0"/>
    <s v=""/>
    <n v="0"/>
    <m/>
    <m/>
    <m/>
    <m/>
    <m/>
    <m/>
    <m/>
    <m/>
    <m/>
    <m/>
    <m/>
    <m/>
    <n v="7"/>
    <n v="14"/>
    <n v="7"/>
    <n v="0"/>
    <n v="0"/>
    <n v="0"/>
    <n v="354792"/>
    <n v="405719.9999999999"/>
    <n v="206962"/>
    <n v="0"/>
    <n v="7"/>
    <n v="206962"/>
    <n v="345971.329708354"/>
    <n v="2"/>
    <n v="26"/>
    <n v="3"/>
    <n v="0"/>
    <n v="0"/>
    <n v="0"/>
    <n v="147830"/>
    <n v="753479.9999999999"/>
    <n v="88698"/>
    <n v="0"/>
    <n v="7"/>
    <n v="206962"/>
    <n v="148273.427017866"/>
    <n v="3"/>
    <n v="25"/>
    <n v="2"/>
    <n v="0"/>
    <n v="0"/>
    <n v="580772"/>
    <n v="739150"/>
    <n v="59132"/>
    <n v="0"/>
    <n v="7"/>
    <n v="206962"/>
    <n v="117630.2521008403"/>
    <n v="3"/>
    <n v="23"/>
    <n v="0"/>
    <n v="0"/>
    <n v="0"/>
    <n v="666539.9999999999"/>
    <n v="0"/>
    <n v="0"/>
    <n v="0"/>
    <n v="7"/>
    <n v="206962"/>
    <n v="0"/>
    <n v="18"/>
    <n v="10"/>
    <n v="18"/>
    <m/>
    <n v="0"/>
    <n v="0"/>
    <n v="295660"/>
    <n v="521639.9999999999"/>
    <n v="0"/>
    <n v="0"/>
    <n v="7"/>
    <n v="206962"/>
    <n v="1058672.268907563"/>
    <n v="4"/>
    <n v="17"/>
    <n v="10"/>
    <m/>
    <n v="0"/>
    <n v="0"/>
    <n v="502622"/>
    <n v="289799.9999999999"/>
    <n v="0"/>
    <n v="0"/>
    <n v="17"/>
    <n v="206962"/>
    <n v="588151.2605042018"/>
    <n v="8"/>
    <n v="13"/>
    <n v="6"/>
    <n v="0"/>
    <n v="0"/>
    <n v="0"/>
    <n v="384358"/>
    <n v="173880"/>
    <n v="0"/>
    <n v="0"/>
    <n v="13"/>
    <n v="206962"/>
    <n v="352890.756302521"/>
    <n v="8"/>
    <n v="7"/>
    <n v="8"/>
    <n v="0"/>
    <n v="0"/>
    <n v="0"/>
    <n v="206962"/>
    <n v="231840"/>
    <n v="0"/>
    <n v="0"/>
    <n v="7"/>
    <n v="206962"/>
    <n v="470521.0084033614"/>
    <n v="8"/>
    <n v="0"/>
    <n v="8"/>
    <n v="0"/>
    <n v="0"/>
    <n v="0"/>
    <n v="0"/>
    <n v="231840"/>
    <n v="0"/>
    <n v="0"/>
    <n v="0"/>
    <n v="0"/>
    <n v="470521.008403361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1"/>
    <s v="LTW25-MPK09"/>
    <x v="424"/>
    <x v="359"/>
    <x v="0"/>
    <x v="2"/>
    <n v="1"/>
    <x v="3"/>
    <n v="22"/>
    <m/>
    <n v="0"/>
    <n v="29567"/>
    <n v="650474"/>
    <n v="28"/>
    <n v="30590"/>
    <n v="58815.12605042017"/>
    <n v="42008.40336134454"/>
    <s v="Shenzhen"/>
    <s v="30/70"/>
    <n v="30"/>
    <n v="1"/>
    <n v="0"/>
    <s v=""/>
    <n v="0"/>
    <s v=""/>
    <n v="0"/>
    <s v=""/>
    <n v="0"/>
    <s v=""/>
    <n v="2"/>
    <n v="0.541026606919248"/>
    <n v="2"/>
    <n v="0.1815136751190344"/>
    <n v="2"/>
    <n v="0.4134975799412838"/>
    <n v="1"/>
    <n v="0.3826238750495918"/>
    <n v="2"/>
    <n v="0.5308278455703836"/>
    <n v="2"/>
    <n v="0.2961664444867645"/>
    <n v="23"/>
    <n v="0.1621299025164362"/>
    <n v="2"/>
    <n v="0.4323808061125562"/>
    <n v="0"/>
    <s v=""/>
    <n v="1"/>
    <n v="0.2020564502662132"/>
    <n v="0"/>
    <s v=""/>
    <n v="0"/>
    <s v=""/>
    <n v="0"/>
    <n v="2"/>
    <n v="0.5244678406833263"/>
    <n v="1"/>
    <n v="2"/>
    <n v="0.4586162699450693"/>
    <n v="1"/>
    <n v="6"/>
    <n v="0.287984856405673"/>
    <n v="0.6"/>
    <n v="1"/>
    <n v="0.5601443894389438"/>
    <n v="0.1"/>
    <m/>
    <m/>
    <m/>
    <m/>
    <m/>
    <m/>
    <m/>
    <m/>
    <m/>
    <m/>
    <m/>
    <m/>
    <n v="0"/>
    <n v="26"/>
    <n v="0"/>
    <n v="0"/>
    <n v="0"/>
    <n v="0"/>
    <n v="44350.5"/>
    <n v="753479.9999999999"/>
    <n v="0"/>
    <n v="0"/>
    <n v="22"/>
    <n v="650474"/>
    <n v="0"/>
    <n v="0"/>
    <n v="29"/>
    <n v="1.5"/>
    <n v="0"/>
    <n v="0"/>
    <n v="0"/>
    <n v="44350.5"/>
    <n v="840419.9999999999"/>
    <n v="44350.5"/>
    <n v="0"/>
    <n v="22"/>
    <n v="650474"/>
    <n v="74136.713508933"/>
    <n v="0"/>
    <n v="30"/>
    <n v="0"/>
    <n v="0"/>
    <n v="0"/>
    <n v="57959.99999999999"/>
    <n v="887010"/>
    <n v="0"/>
    <n v="0"/>
    <n v="22"/>
    <n v="650474"/>
    <n v="0"/>
    <n v="0"/>
    <n v="30"/>
    <n v="0"/>
    <n v="0"/>
    <n v="0"/>
    <n v="869399.9999999999"/>
    <n v="0"/>
    <n v="0"/>
    <n v="0"/>
    <n v="22"/>
    <n v="650474"/>
    <n v="0"/>
    <n v="2"/>
    <n v="24"/>
    <n v="2"/>
    <m/>
    <n v="0"/>
    <n v="0"/>
    <n v="709608"/>
    <n v="57959.99999999999"/>
    <n v="0"/>
    <n v="0"/>
    <n v="22"/>
    <n v="650474"/>
    <n v="117630.2521008403"/>
    <n v="2"/>
    <n v="24"/>
    <n v="2"/>
    <m/>
    <n v="0"/>
    <n v="0"/>
    <n v="709608"/>
    <n v="57959.99999999999"/>
    <n v="0"/>
    <n v="0"/>
    <n v="24"/>
    <n v="650474"/>
    <n v="117630.2521008403"/>
    <n v="10"/>
    <n v="28"/>
    <n v="6"/>
    <n v="0"/>
    <n v="0"/>
    <n v="0"/>
    <n v="827876"/>
    <n v="173880"/>
    <n v="0"/>
    <n v="0"/>
    <n v="28"/>
    <n v="650474"/>
    <n v="352890.756302521"/>
    <n v="10"/>
    <n v="22"/>
    <n v="10"/>
    <n v="0"/>
    <n v="0"/>
    <n v="0"/>
    <n v="650474"/>
    <n v="289799.9999999999"/>
    <n v="0"/>
    <n v="0"/>
    <n v="22"/>
    <n v="650474"/>
    <n v="588151.2605042018"/>
    <n v="10"/>
    <n v="12"/>
    <n v="10"/>
    <n v="0"/>
    <n v="0"/>
    <n v="0"/>
    <n v="347759.9999999999"/>
    <n v="289799.9999999999"/>
    <n v="0"/>
    <n v="0"/>
    <n v="12"/>
    <n v="347759.9999999999"/>
    <n v="588151.2605042018"/>
    <n v="0"/>
    <n v="2"/>
    <n v="0"/>
    <n v="0"/>
    <n v="0"/>
    <n v="0"/>
    <m/>
    <n v="57959.99999999999"/>
    <n v="0"/>
    <n v="0"/>
    <n v="0"/>
    <n v="2"/>
    <n v="57959.99999999999"/>
    <n v="0"/>
    <n v="0"/>
    <n v="2"/>
    <n v="0"/>
    <n v="0"/>
    <n v="0"/>
    <n v="57959.99999999999"/>
    <n v="0"/>
    <n v="0"/>
    <n v="0"/>
    <n v="2"/>
    <n v="57959.99999999999"/>
    <n v="0"/>
    <n v="0"/>
    <n v="2"/>
    <n v="0"/>
    <n v="0"/>
    <n v="0"/>
    <n v="57959.99999999999"/>
    <n v="0"/>
    <n v="0"/>
    <n v="2"/>
    <n v="57959.99999999999"/>
    <n v="0"/>
    <n v="0"/>
    <n v="2"/>
    <n v="0"/>
    <n v="0"/>
    <m/>
    <n v="57959.99999999999"/>
    <n v="0"/>
    <n v="0"/>
    <n v="2"/>
    <n v="57959.99999999999"/>
    <n v="0"/>
  </r>
  <r>
    <m/>
    <x v="4"/>
    <x v="21"/>
    <x v="51"/>
    <s v="LTW25-MPK09"/>
    <x v="425"/>
    <x v="359"/>
    <x v="0"/>
    <x v="2"/>
    <n v="1"/>
    <x v="3"/>
    <n v="7"/>
    <m/>
    <n v="0"/>
    <n v="29566"/>
    <n v="206962"/>
    <n v="28"/>
    <n v="30590"/>
    <n v="58815.12605042017"/>
    <n v="42008.40336134454"/>
    <s v="Shenzhen"/>
    <s v="30/70"/>
    <n v="30"/>
    <n v="1"/>
    <n v="0"/>
    <s v=""/>
    <n v="0"/>
    <s v=""/>
    <n v="0"/>
    <s v=""/>
    <n v="0"/>
    <s v=""/>
    <n v="3"/>
    <n v="0.6090191163948516"/>
    <n v="0"/>
    <s v=""/>
    <n v="7"/>
    <n v="0.1949652846657409"/>
    <n v="0"/>
    <s v=""/>
    <n v="0"/>
    <s v=""/>
    <n v="2"/>
    <n v="0.436968779456711"/>
    <n v="0"/>
    <s v=""/>
    <n v="0"/>
    <n v="0.9999381541389157"/>
    <n v="1"/>
    <n v="0.2020634607270238"/>
    <n v="2"/>
    <n v="0.3239231124953524"/>
    <n v="1"/>
    <n v="0.2574212216983243"/>
    <n v="0"/>
    <s v=""/>
    <n v="0"/>
    <n v="5"/>
    <n v="0.4619319596394589"/>
    <n v="0"/>
    <n v="0"/>
    <s v=""/>
    <n v="0"/>
    <n v="0"/>
    <s v=""/>
    <n v="0"/>
    <n v="0"/>
    <s v=""/>
    <n v="0"/>
    <m/>
    <m/>
    <m/>
    <m/>
    <m/>
    <m/>
    <m/>
    <m/>
    <m/>
    <m/>
    <m/>
    <m/>
    <n v="5"/>
    <n v="11"/>
    <n v="5"/>
    <n v="0"/>
    <n v="0"/>
    <n v="0"/>
    <n v="266094"/>
    <n v="318779.9999999999"/>
    <n v="147830"/>
    <n v="0"/>
    <n v="7"/>
    <n v="206962"/>
    <n v="247122.37836311"/>
    <n v="1"/>
    <n v="6"/>
    <n v="3"/>
    <n v="0"/>
    <n v="0"/>
    <n v="0"/>
    <n v="118264"/>
    <n v="173880"/>
    <n v="88698"/>
    <n v="0"/>
    <n v="7"/>
    <n v="206962"/>
    <n v="148273.427017866"/>
    <n v="1"/>
    <n v="5"/>
    <n v="1"/>
    <n v="0"/>
    <n v="0"/>
    <n v="29566"/>
    <n v="147830"/>
    <n v="29566"/>
    <n v="0"/>
    <n v="7"/>
    <n v="206962"/>
    <n v="58815.12605042017"/>
    <n v="2"/>
    <n v="5"/>
    <n v="0"/>
    <n v="0"/>
    <n v="0"/>
    <n v="144900"/>
    <n v="0"/>
    <n v="0"/>
    <n v="0"/>
    <n v="7"/>
    <n v="206962"/>
    <n v="0"/>
    <n v="0"/>
    <n v="12"/>
    <n v="0"/>
    <m/>
    <n v="0"/>
    <n v="0"/>
    <n v="354792"/>
    <n v="0"/>
    <n v="0"/>
    <n v="0"/>
    <n v="7"/>
    <n v="206962"/>
    <n v="0"/>
    <n v="0"/>
    <n v="7"/>
    <n v="0"/>
    <m/>
    <n v="0"/>
    <n v="0"/>
    <n v="206962"/>
    <n v="0"/>
    <n v="0"/>
    <n v="0"/>
    <n v="7"/>
    <n v="206962"/>
    <n v="0"/>
    <n v="1"/>
    <n v="7"/>
    <n v="0"/>
    <n v="0"/>
    <n v="0"/>
    <n v="0"/>
    <n v="206962"/>
    <n v="0"/>
    <n v="0"/>
    <n v="0"/>
    <n v="7"/>
    <n v="206962"/>
    <n v="0"/>
    <n v="1"/>
    <n v="7"/>
    <n v="1"/>
    <n v="0"/>
    <n v="0"/>
    <n v="0"/>
    <n v="206962"/>
    <n v="28980"/>
    <n v="0"/>
    <n v="0"/>
    <n v="7"/>
    <n v="206962"/>
    <n v="58815.12605042017"/>
    <n v="1"/>
    <n v="6"/>
    <n v="1"/>
    <n v="0"/>
    <n v="0"/>
    <n v="0"/>
    <n v="173880"/>
    <n v="28980"/>
    <n v="0"/>
    <n v="0"/>
    <n v="6"/>
    <n v="173880"/>
    <n v="58815.12605042017"/>
    <n v="0"/>
    <n v="5"/>
    <n v="0"/>
    <n v="0"/>
    <n v="0"/>
    <n v="0"/>
    <m/>
    <n v="144900"/>
    <n v="0"/>
    <n v="0"/>
    <n v="0"/>
    <n v="5"/>
    <n v="144900"/>
    <n v="0"/>
    <n v="0"/>
    <n v="5"/>
    <n v="0"/>
    <n v="0"/>
    <n v="0"/>
    <n v="144900"/>
    <n v="0"/>
    <n v="0"/>
    <n v="0"/>
    <n v="5"/>
    <n v="144900"/>
    <n v="0"/>
    <n v="0"/>
    <n v="5"/>
    <n v="0"/>
    <n v="0"/>
    <n v="0"/>
    <n v="144900"/>
    <n v="0"/>
    <n v="0"/>
    <n v="5"/>
    <n v="144900"/>
    <n v="0"/>
    <n v="0"/>
    <n v="5"/>
    <n v="0"/>
    <n v="0"/>
    <m/>
    <n v="144900"/>
    <n v="0"/>
    <n v="0"/>
    <n v="5"/>
    <n v="144900"/>
    <n v="0"/>
  </r>
  <r>
    <m/>
    <x v="4"/>
    <x v="21"/>
    <x v="51"/>
    <s v="LTW25-MPK09"/>
    <x v="426"/>
    <x v="359"/>
    <x v="0"/>
    <x v="2"/>
    <n v="1"/>
    <x v="3"/>
    <n v="5"/>
    <m/>
    <n v="0"/>
    <n v="29567"/>
    <n v="147835"/>
    <n v="28"/>
    <n v="30590"/>
    <n v="58815.12605042017"/>
    <n v="42008.40336134454"/>
    <s v="Shenzhen"/>
    <s v="30/70"/>
    <n v="30"/>
    <n v="1"/>
    <n v="0"/>
    <s v=""/>
    <n v="0"/>
    <s v=""/>
    <n v="0"/>
    <s v=""/>
    <n v="0"/>
    <s v=""/>
    <n v="0"/>
    <s v=""/>
    <n v="2"/>
    <n v="0.4586333424883274"/>
    <n v="3"/>
    <n v="0.1201684273173634"/>
    <n v="0"/>
    <s v=""/>
    <n v="2"/>
    <n v="0.5601396936855181"/>
    <n v="2"/>
    <n v="0.4369662086891942"/>
    <n v="3"/>
    <n v="0.02247906105355962"/>
    <n v="3"/>
    <n v="0.4697910253268218"/>
    <n v="0"/>
    <s v=""/>
    <n v="2"/>
    <n v="0.2377824851715598"/>
    <n v="0"/>
    <s v=""/>
    <n v="0"/>
    <s v=""/>
    <n v="0"/>
    <n v="1"/>
    <n v="0.497287041005858"/>
    <n v="0.3333333333333333"/>
    <n v="1"/>
    <n v="0.2961550310062012"/>
    <n v="1"/>
    <n v="4"/>
    <n v="0.2431756658654234"/>
    <n v="1.333333333333333"/>
    <n v="0"/>
    <s v=""/>
    <n v="0"/>
    <m/>
    <m/>
    <m/>
    <m/>
    <m/>
    <m/>
    <m/>
    <m/>
    <m/>
    <m/>
    <m/>
    <m/>
    <n v="5"/>
    <n v="8"/>
    <n v="5"/>
    <n v="0"/>
    <n v="0"/>
    <n v="0"/>
    <n v="236536"/>
    <n v="231840"/>
    <n v="147835"/>
    <n v="0"/>
    <n v="5"/>
    <n v="147835"/>
    <n v="247122.37836311"/>
    <n v="0"/>
    <n v="8"/>
    <n v="3"/>
    <n v="0"/>
    <n v="0"/>
    <n v="0"/>
    <n v="88701"/>
    <n v="231840"/>
    <n v="88701"/>
    <n v="0"/>
    <n v="5"/>
    <n v="147835"/>
    <n v="148273.427017866"/>
    <n v="0"/>
    <n v="7"/>
    <n v="0"/>
    <n v="0"/>
    <n v="0"/>
    <n v="86939.99999999999"/>
    <n v="206969"/>
    <n v="0"/>
    <n v="0"/>
    <n v="5"/>
    <n v="147835"/>
    <n v="0"/>
    <n v="0"/>
    <n v="7"/>
    <n v="0"/>
    <n v="0"/>
    <n v="0"/>
    <n v="202860"/>
    <n v="0"/>
    <n v="0"/>
    <n v="0"/>
    <n v="5"/>
    <n v="147835"/>
    <n v="0"/>
    <n v="3"/>
    <n v="6"/>
    <n v="3"/>
    <m/>
    <n v="0"/>
    <n v="0"/>
    <n v="177402"/>
    <n v="86939.99999999999"/>
    <n v="0"/>
    <n v="0"/>
    <n v="5"/>
    <n v="147835"/>
    <n v="176445.3781512605"/>
    <n v="1"/>
    <n v="6"/>
    <n v="1"/>
    <m/>
    <n v="0"/>
    <n v="0"/>
    <n v="177402"/>
    <n v="28980"/>
    <n v="0"/>
    <n v="0"/>
    <n v="6"/>
    <n v="147835"/>
    <n v="58815.12605042017"/>
    <n v="3"/>
    <n v="9"/>
    <n v="4"/>
    <n v="0"/>
    <n v="0"/>
    <n v="0"/>
    <n v="266103"/>
    <n v="115920"/>
    <n v="0"/>
    <n v="0"/>
    <n v="9"/>
    <n v="147835"/>
    <n v="235260.5042016807"/>
    <n v="3"/>
    <n v="5"/>
    <n v="3"/>
    <n v="0"/>
    <n v="0"/>
    <n v="0"/>
    <n v="147835"/>
    <n v="86939.99999999999"/>
    <n v="0"/>
    <n v="0"/>
    <n v="5"/>
    <n v="147835"/>
    <n v="176445.3781512605"/>
    <n v="3"/>
    <n v="2"/>
    <n v="3"/>
    <n v="0"/>
    <n v="0"/>
    <n v="0"/>
    <n v="57959.99999999999"/>
    <n v="86939.99999999999"/>
    <n v="0"/>
    <n v="0"/>
    <n v="2"/>
    <n v="57959.99999999999"/>
    <n v="176445.378151260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1"/>
    <s v="LTW25-MPK10"/>
    <x v="427"/>
    <x v="360"/>
    <x v="0"/>
    <x v="2"/>
    <n v="1"/>
    <x v="3"/>
    <n v="11"/>
    <m/>
    <n v="0"/>
    <n v="28202"/>
    <n v="310222"/>
    <n v="28.8"/>
    <n v="31464"/>
    <n v="75621.84873949581"/>
    <n v="50411.76470588236"/>
    <s v="Shenzhen"/>
    <s v="30/70"/>
    <n v="30"/>
    <n v="1"/>
    <n v="0"/>
    <s v=""/>
    <n v="0"/>
    <s v=""/>
    <n v="0"/>
    <s v=""/>
    <n v="0"/>
    <n v="2.48209346853801e-06"/>
    <n v="0"/>
    <s v=""/>
    <n v="20"/>
    <n v="0.337777255987288"/>
    <n v="48"/>
    <n v="0.2831544559328653"/>
    <n v="8"/>
    <n v="0.3286533517425253"/>
    <n v="0"/>
    <s v=""/>
    <n v="6"/>
    <n v="0.28073426395076"/>
    <n v="0"/>
    <s v=""/>
    <n v="0"/>
    <s v=""/>
    <n v="0"/>
    <s v=""/>
    <n v="0"/>
    <s v=""/>
    <n v="2"/>
    <n v="0.3572556505593958"/>
    <n v="2"/>
    <n v="0.5893919779267581"/>
    <n v="0"/>
    <n v="3"/>
    <n v="0.6228786806156428"/>
    <n v="0"/>
    <n v="14"/>
    <n v="0.2434155775817236"/>
    <n v="0.358974358974359"/>
    <n v="4"/>
    <n v="0.08516178495004705"/>
    <n v="0.6666666666666666"/>
    <n v="0"/>
    <s v=""/>
    <n v="0"/>
    <m/>
    <m/>
    <m/>
    <m/>
    <m/>
    <m/>
    <m/>
    <m/>
    <m/>
    <m/>
    <m/>
    <m/>
    <n v="0"/>
    <n v="22"/>
    <n v="0"/>
    <n v="0"/>
    <n v="0"/>
    <n v="0"/>
    <n v="56404"/>
    <n v="655775.9999999999"/>
    <n v="0"/>
    <n v="0"/>
    <n v="11"/>
    <n v="310222"/>
    <n v="0"/>
    <n v="0"/>
    <n v="23"/>
    <n v="0"/>
    <n v="0"/>
    <n v="0"/>
    <n v="0"/>
    <n v="112808"/>
    <n v="685583.9999999999"/>
    <n v="0"/>
    <n v="0"/>
    <n v="11"/>
    <n v="310222"/>
    <n v="0"/>
    <n v="0"/>
    <n v="23"/>
    <n v="2"/>
    <n v="0"/>
    <n v="0"/>
    <n v="112808"/>
    <n v="648646"/>
    <n v="56404"/>
    <n v="0"/>
    <n v="11"/>
    <n v="310222"/>
    <n v="151243.6974789916"/>
    <n v="0"/>
    <n v="21"/>
    <n v="2"/>
    <n v="0"/>
    <n v="0"/>
    <n v="625967.9999999999"/>
    <n v="56404"/>
    <n v="0"/>
    <n v="0"/>
    <n v="11"/>
    <n v="310222"/>
    <n v="151243.6974789916"/>
    <n v="0"/>
    <n v="14"/>
    <n v="0"/>
    <m/>
    <n v="0"/>
    <n v="0"/>
    <n v="394828"/>
    <n v="0"/>
    <n v="0"/>
    <n v="0"/>
    <n v="11"/>
    <n v="310222"/>
    <n v="0"/>
    <n v="39"/>
    <n v="25"/>
    <n v="14"/>
    <m/>
    <n v="0"/>
    <n v="0"/>
    <n v="705050"/>
    <n v="417311.9999999999"/>
    <n v="0"/>
    <n v="0"/>
    <n v="25"/>
    <n v="310222"/>
    <n v="1058705.882352941"/>
    <n v="6"/>
    <n v="15"/>
    <n v="4"/>
    <n v="0"/>
    <n v="0"/>
    <n v="0"/>
    <n v="423030"/>
    <n v="119232"/>
    <n v="0"/>
    <n v="0"/>
    <n v="15"/>
    <n v="310222"/>
    <n v="302487.3949579832"/>
    <n v="6"/>
    <n v="11"/>
    <n v="6"/>
    <n v="0"/>
    <n v="0"/>
    <n v="0"/>
    <n v="310222"/>
    <n v="178848"/>
    <n v="0"/>
    <n v="0"/>
    <n v="11"/>
    <n v="310222"/>
    <n v="453731.0924369749"/>
    <n v="6"/>
    <n v="5"/>
    <n v="6"/>
    <n v="0"/>
    <n v="0"/>
    <n v="0"/>
    <n v="149040"/>
    <n v="178848"/>
    <n v="0"/>
    <n v="0"/>
    <n v="5"/>
    <n v="149040"/>
    <n v="453731.092436974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1"/>
    <s v="LTW25-MPK10"/>
    <x v="428"/>
    <x v="360"/>
    <x v="0"/>
    <x v="2"/>
    <n v="1"/>
    <x v="3"/>
    <n v="2"/>
    <m/>
    <n v="0"/>
    <n v="28202"/>
    <n v="56404"/>
    <n v="28.8"/>
    <n v="31464"/>
    <n v="75621.84873949581"/>
    <n v="50411.76470588236"/>
    <s v="Shenzhen"/>
    <s v="30/70"/>
    <n v="30"/>
    <n v="1"/>
    <n v="0"/>
    <s v=""/>
    <n v="0"/>
    <s v=""/>
    <n v="0"/>
    <s v=""/>
    <n v="0"/>
    <s v=""/>
    <n v="2"/>
    <n v="0.6643625111573936"/>
    <n v="9"/>
    <n v="0.4663687549758151"/>
    <n v="29"/>
    <n v="0.3392328217077007"/>
    <n v="16"/>
    <n v="0.2644062087109049"/>
    <n v="4"/>
    <n v="0.328656098769028"/>
    <n v="5"/>
    <n v="0.2703171054810399"/>
    <n v="0"/>
    <s v=""/>
    <n v="0"/>
    <s v=""/>
    <n v="0"/>
    <s v=""/>
    <n v="0"/>
    <s v=""/>
    <n v="0"/>
    <s v=""/>
    <n v="1"/>
    <n v="0.4672334110416406"/>
    <n v="0"/>
    <n v="0"/>
    <s v=""/>
    <n v="0"/>
    <n v="3"/>
    <n v="0.2854263693592987"/>
    <n v="0.1111111111111111"/>
    <n v="4"/>
    <n v="0"/>
    <n v="2"/>
    <n v="0"/>
    <s v=""/>
    <n v="0"/>
    <m/>
    <m/>
    <m/>
    <m/>
    <m/>
    <m/>
    <m/>
    <m/>
    <m/>
    <m/>
    <m/>
    <m/>
    <n v="0"/>
    <n v="3"/>
    <n v="0"/>
    <n v="0"/>
    <n v="0"/>
    <n v="0"/>
    <n v="0"/>
    <n v="89423.99999999999"/>
    <n v="0"/>
    <n v="0"/>
    <n v="2"/>
    <n v="56404"/>
    <n v="0"/>
    <n v="0"/>
    <n v="5"/>
    <n v="0"/>
    <n v="0"/>
    <n v="0"/>
    <n v="0"/>
    <n v="28202"/>
    <n v="149040"/>
    <n v="0"/>
    <n v="0"/>
    <n v="2"/>
    <n v="56404"/>
    <n v="0"/>
    <n v="0"/>
    <n v="6"/>
    <n v="0"/>
    <n v="0"/>
    <n v="0"/>
    <n v="87818"/>
    <n v="169212"/>
    <n v="0"/>
    <n v="0"/>
    <n v="2"/>
    <n v="56404"/>
    <n v="0"/>
    <n v="0"/>
    <n v="6"/>
    <n v="1"/>
    <n v="0"/>
    <n v="0"/>
    <n v="178848"/>
    <n v="28202"/>
    <n v="0"/>
    <n v="0"/>
    <n v="2"/>
    <n v="56404"/>
    <n v="75621.84873949581"/>
    <n v="2"/>
    <n v="2"/>
    <n v="2"/>
    <m/>
    <n v="0"/>
    <n v="0"/>
    <n v="56404"/>
    <n v="59615.99999999999"/>
    <n v="0"/>
    <n v="0"/>
    <n v="2"/>
    <n v="56404"/>
    <n v="151243.6974789916"/>
    <n v="27"/>
    <n v="5"/>
    <n v="3"/>
    <m/>
    <n v="0"/>
    <n v="0"/>
    <n v="141010"/>
    <n v="89423.99999999999"/>
    <n v="0"/>
    <n v="0"/>
    <n v="5"/>
    <n v="56404"/>
    <n v="226865.5462184874"/>
    <n v="2"/>
    <n v="6"/>
    <n v="4"/>
    <n v="0"/>
    <n v="0"/>
    <n v="0"/>
    <n v="169212"/>
    <n v="119232"/>
    <n v="0"/>
    <n v="0"/>
    <n v="6"/>
    <n v="56404"/>
    <n v="302487.3949579832"/>
    <n v="2"/>
    <n v="2"/>
    <n v="2"/>
    <n v="0"/>
    <n v="0"/>
    <n v="0"/>
    <n v="56404"/>
    <n v="59615.99999999999"/>
    <n v="0"/>
    <n v="0"/>
    <n v="2"/>
    <n v="56404"/>
    <n v="151243.6974789916"/>
    <n v="2"/>
    <n v="0"/>
    <n v="2"/>
    <n v="0"/>
    <n v="0"/>
    <n v="0"/>
    <n v="0"/>
    <n v="59615.99999999999"/>
    <n v="0"/>
    <n v="0"/>
    <n v="0"/>
    <n v="0"/>
    <n v="151243.697478991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1"/>
    <s v="LTW25-MPK10"/>
    <x v="429"/>
    <x v="360"/>
    <x v="0"/>
    <x v="2"/>
    <n v="1"/>
    <x v="3"/>
    <n v="2"/>
    <m/>
    <n v="0"/>
    <n v="28202"/>
    <n v="56404"/>
    <n v="28.8"/>
    <n v="31464"/>
    <n v="75621.84873949581"/>
    <n v="50411.76470588236"/>
    <s v="Shenzhen"/>
    <s v="30/70"/>
    <n v="30"/>
    <n v="1"/>
    <n v="0"/>
    <s v=""/>
    <n v="0"/>
    <s v=""/>
    <n v="0"/>
    <s v=""/>
    <n v="0"/>
    <n v="2.48209346853801e-06"/>
    <n v="0"/>
    <s v=""/>
    <n v="7"/>
    <n v="0.3897020459348806"/>
    <n v="15"/>
    <n v="0.2853877626068691"/>
    <n v="7"/>
    <n v="0.3189271549904677"/>
    <n v="-1"/>
    <n v="0.3286526375928395"/>
    <n v="0"/>
    <s v=""/>
    <n v="0"/>
    <s v=""/>
    <n v="0"/>
    <s v=""/>
    <n v="0"/>
    <s v=""/>
    <n v="0"/>
    <s v=""/>
    <n v="0"/>
    <s v=""/>
    <n v="1"/>
    <n v="0.5893919779267581"/>
    <n v="0"/>
    <n v="1"/>
    <n v="0.4405717619603267"/>
    <n v="0"/>
    <n v="0"/>
    <s v=""/>
    <n v="0"/>
    <n v="3"/>
    <n v="0.1402869072930809"/>
    <n v="3"/>
    <n v="0"/>
    <s v=""/>
    <n v="0"/>
    <m/>
    <m/>
    <m/>
    <m/>
    <m/>
    <m/>
    <m/>
    <m/>
    <m/>
    <m/>
    <m/>
    <m/>
    <n v="0"/>
    <n v="4"/>
    <n v="0"/>
    <n v="0"/>
    <n v="0"/>
    <n v="0"/>
    <n v="0"/>
    <n v="119232"/>
    <n v="0"/>
    <n v="0"/>
    <n v="2"/>
    <n v="56404"/>
    <n v="0"/>
    <n v="0"/>
    <n v="4"/>
    <n v="0"/>
    <n v="0"/>
    <n v="0"/>
    <n v="0"/>
    <n v="28202"/>
    <n v="119232"/>
    <n v="0"/>
    <n v="0"/>
    <n v="2"/>
    <n v="56404"/>
    <n v="0"/>
    <n v="0"/>
    <n v="4"/>
    <n v="0"/>
    <n v="0"/>
    <n v="0"/>
    <n v="28202"/>
    <n v="112808"/>
    <n v="0"/>
    <n v="0"/>
    <n v="2"/>
    <n v="56404"/>
    <n v="0"/>
    <n v="0"/>
    <n v="4"/>
    <n v="1"/>
    <n v="0"/>
    <n v="0"/>
    <n v="119232"/>
    <n v="28202"/>
    <n v="0"/>
    <n v="0"/>
    <n v="2"/>
    <n v="56404"/>
    <n v="75621.84873949581"/>
    <n v="0"/>
    <n v="3"/>
    <n v="0"/>
    <m/>
    <n v="0"/>
    <n v="0"/>
    <n v="84606"/>
    <n v="0"/>
    <n v="0"/>
    <n v="0"/>
    <n v="2"/>
    <n v="56404"/>
    <n v="0"/>
    <n v="12"/>
    <n v="2"/>
    <n v="0"/>
    <m/>
    <n v="0"/>
    <n v="0"/>
    <n v="56404"/>
    <n v="0"/>
    <n v="0"/>
    <n v="0"/>
    <n v="2"/>
    <n v="56404"/>
    <n v="0"/>
    <n v="1"/>
    <n v="5"/>
    <n v="3"/>
    <n v="0"/>
    <n v="0"/>
    <n v="0"/>
    <n v="141010"/>
    <n v="89423.99999999999"/>
    <n v="0"/>
    <n v="0"/>
    <n v="5"/>
    <n v="56404"/>
    <n v="226865.5462184874"/>
    <n v="1"/>
    <n v="2"/>
    <n v="1"/>
    <n v="0"/>
    <n v="0"/>
    <n v="0"/>
    <n v="56404"/>
    <n v="29808"/>
    <n v="0"/>
    <n v="0"/>
    <n v="2"/>
    <n v="56404"/>
    <n v="75621.84873949581"/>
    <n v="1"/>
    <n v="1"/>
    <n v="1"/>
    <n v="0"/>
    <n v="0"/>
    <n v="0"/>
    <n v="29808"/>
    <n v="29808"/>
    <n v="0"/>
    <n v="0"/>
    <n v="1"/>
    <n v="29808"/>
    <n v="75621.84873949581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1"/>
    <s v="LTW25-MPK10"/>
    <x v="430"/>
    <x v="360"/>
    <x v="0"/>
    <x v="2"/>
    <n v="1"/>
    <x v="3"/>
    <n v="3"/>
    <m/>
    <n v="0"/>
    <n v="28202"/>
    <n v="84606"/>
    <n v="28.8"/>
    <n v="31464"/>
    <n v="75621.84873949581"/>
    <n v="50411.76470588236"/>
    <s v="Shenzhen"/>
    <s v="30/70"/>
    <n v="30"/>
    <n v="1"/>
    <n v="0"/>
    <s v=""/>
    <n v="0"/>
    <s v=""/>
    <n v="0"/>
    <s v=""/>
    <n v="0"/>
    <s v=""/>
    <n v="1"/>
    <n v="0.5804439254074399"/>
    <n v="3"/>
    <n v="0.3156269102527536"/>
    <n v="16"/>
    <n v="0.2890499800576751"/>
    <n v="5"/>
    <n v="0.3271481939668764"/>
    <n v="2"/>
    <n v="0.3286562177934041"/>
    <n v="6"/>
    <n v="0.3055358330118444"/>
    <n v="-3"/>
    <n v="0.4965196200949763"/>
    <n v="0"/>
    <s v=""/>
    <n v="0"/>
    <s v=""/>
    <n v="0"/>
    <s v=""/>
    <n v="1"/>
    <n v="0.2270718830822078"/>
    <n v="0"/>
    <s v=""/>
    <n v="0"/>
    <n v="2"/>
    <n v="0.2333623830681545"/>
    <n v="2"/>
    <n v="-1"/>
    <n v="0.3784169583819526"/>
    <n v="-0.08333333333333333"/>
    <n v="3"/>
    <n v="0"/>
    <n v="3"/>
    <n v="0"/>
    <s v=""/>
    <n v="0"/>
    <m/>
    <m/>
    <m/>
    <m/>
    <m/>
    <m/>
    <m/>
    <m/>
    <m/>
    <m/>
    <m/>
    <m/>
    <n v="0"/>
    <n v="6"/>
    <n v="0"/>
    <n v="0"/>
    <n v="0"/>
    <n v="0"/>
    <n v="28202"/>
    <n v="178848"/>
    <n v="0"/>
    <n v="0"/>
    <n v="3"/>
    <n v="84606"/>
    <n v="0"/>
    <n v="0"/>
    <n v="6"/>
    <n v="0"/>
    <n v="0"/>
    <n v="0"/>
    <n v="0"/>
    <n v="28202"/>
    <n v="178848"/>
    <n v="0"/>
    <n v="0"/>
    <n v="3"/>
    <n v="84606"/>
    <n v="0"/>
    <n v="0"/>
    <n v="6"/>
    <n v="1"/>
    <n v="0"/>
    <n v="0"/>
    <n v="58010"/>
    <n v="169212"/>
    <n v="28202"/>
    <n v="0"/>
    <n v="3"/>
    <n v="84606"/>
    <n v="75621.84873949581"/>
    <n v="0"/>
    <n v="5"/>
    <n v="0"/>
    <n v="0"/>
    <n v="0"/>
    <n v="149040"/>
    <n v="0"/>
    <n v="0"/>
    <n v="0"/>
    <n v="3"/>
    <n v="84606"/>
    <n v="0"/>
    <n v="1"/>
    <n v="5"/>
    <n v="1"/>
    <m/>
    <n v="0"/>
    <n v="0"/>
    <n v="141010"/>
    <n v="29808"/>
    <n v="0"/>
    <n v="0"/>
    <n v="3"/>
    <n v="84606"/>
    <n v="75621.84873949581"/>
    <n v="12"/>
    <n v="2"/>
    <n v="-1"/>
    <m/>
    <n v="0"/>
    <n v="0"/>
    <n v="56404"/>
    <n v="-29808"/>
    <n v="0"/>
    <n v="0"/>
    <n v="2"/>
    <n v="84606"/>
    <n v="-75621.84873949581"/>
    <n v="1"/>
    <n v="6"/>
    <n v="3"/>
    <n v="0"/>
    <n v="0"/>
    <n v="0"/>
    <n v="169212"/>
    <n v="89423.99999999999"/>
    <n v="0"/>
    <n v="0"/>
    <n v="6"/>
    <n v="84606"/>
    <n v="226865.5462184874"/>
    <n v="1"/>
    <n v="3"/>
    <n v="1"/>
    <n v="0"/>
    <n v="0"/>
    <n v="0"/>
    <n v="84606"/>
    <n v="29808"/>
    <n v="0"/>
    <n v="0"/>
    <n v="3"/>
    <n v="84606"/>
    <n v="75621.84873949581"/>
    <n v="1"/>
    <n v="2"/>
    <n v="1"/>
    <n v="0"/>
    <n v="0"/>
    <n v="0"/>
    <n v="59615.99999999999"/>
    <n v="29808"/>
    <n v="0"/>
    <n v="0"/>
    <n v="2"/>
    <n v="59615.99999999999"/>
    <n v="75621.84873949581"/>
    <n v="0"/>
    <n v="1"/>
    <n v="0"/>
    <n v="0"/>
    <n v="0"/>
    <n v="0"/>
    <m/>
    <n v="29808"/>
    <n v="0"/>
    <n v="0"/>
    <n v="0"/>
    <n v="1"/>
    <n v="29808"/>
    <n v="0"/>
    <n v="0"/>
    <n v="1"/>
    <n v="0"/>
    <n v="0"/>
    <n v="0"/>
    <n v="29808"/>
    <n v="0"/>
    <n v="0"/>
    <n v="0"/>
    <n v="1"/>
    <n v="29808"/>
    <n v="0"/>
    <n v="0"/>
    <n v="1"/>
    <n v="0"/>
    <n v="0"/>
    <n v="0"/>
    <n v="29808"/>
    <n v="0"/>
    <n v="0"/>
    <n v="1"/>
    <n v="29808"/>
    <n v="0"/>
    <n v="0"/>
    <n v="1"/>
    <n v="0"/>
    <n v="0"/>
    <m/>
    <n v="29808"/>
    <n v="0"/>
    <n v="0"/>
    <n v="1"/>
    <n v="29808"/>
    <n v="0"/>
  </r>
  <r>
    <m/>
    <x v="4"/>
    <x v="21"/>
    <x v="52"/>
    <s v="LTS26-MSW03MY"/>
    <x v="431"/>
    <x v="361"/>
    <x v="0"/>
    <x v="5"/>
    <n v="1"/>
    <x v="231"/>
    <n v="26"/>
    <m/>
    <n v="0"/>
    <n v="8032"/>
    <n v="208832"/>
    <n v="7.5"/>
    <n v="8193.75"/>
    <n v="16798.31932773109"/>
    <n v="12596.63865546219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5121351213512135"/>
    <n v="1"/>
    <n v="0"/>
    <n v="5"/>
    <n v="0.2370455711516284"/>
    <n v="0"/>
    <s v=""/>
    <n v="2"/>
    <n v="0.3751825443471965"/>
    <n v="1"/>
    <n v="0.5218478614632498"/>
    <n v="0.3333333333333333"/>
    <n v="1"/>
    <n v="0.5218974487243622"/>
    <n v="0.25"/>
    <n v="3"/>
    <n v="0.1596348547717842"/>
    <n v="0.375"/>
    <n v="5"/>
    <n v="0.003572977481234362"/>
    <n v="0.4166666666666667"/>
    <n v="1"/>
    <n v="0.2642001539645881"/>
    <n v="0.08333333333333333"/>
    <m/>
    <m/>
    <m/>
    <m/>
    <m/>
    <m/>
    <m/>
    <m/>
    <m/>
    <m/>
    <m/>
    <m/>
    <n v="3"/>
    <n v="37"/>
    <n v="3"/>
    <n v="0"/>
    <n v="0"/>
    <n v="0"/>
    <n v="40160"/>
    <n v="287212.4999999999"/>
    <n v="24096"/>
    <n v="0"/>
    <n v="26"/>
    <n v="208832"/>
    <n v="42348.70418755738"/>
    <n v="2"/>
    <n v="37"/>
    <n v="0"/>
    <n v="0"/>
    <n v="0"/>
    <n v="0"/>
    <n v="24096"/>
    <n v="287212.4999999999"/>
    <n v="0"/>
    <n v="0"/>
    <n v="26"/>
    <n v="208832"/>
    <n v="0"/>
    <n v="1.944"/>
    <n v="37"/>
    <n v="2"/>
    <n v="0"/>
    <n v="0"/>
    <n v="55146"/>
    <n v="297184"/>
    <n v="16064"/>
    <n v="0"/>
    <n v="26"/>
    <n v="208832"/>
    <n v="33596.63865546219"/>
    <n v="3"/>
    <n v="37"/>
    <n v="1"/>
    <n v="0"/>
    <n v="0"/>
    <n v="287212.4999999999"/>
    <n v="8032"/>
    <n v="0"/>
    <n v="0"/>
    <n v="26"/>
    <n v="208832"/>
    <n v="16798.31932773109"/>
    <n v="4"/>
    <n v="27"/>
    <n v="4"/>
    <m/>
    <n v="0"/>
    <n v="0"/>
    <n v="216864"/>
    <n v="31050"/>
    <n v="0"/>
    <n v="0"/>
    <n v="26"/>
    <n v="208832"/>
    <n v="67193.27731092437"/>
    <n v="8"/>
    <n v="29"/>
    <n v="3"/>
    <m/>
    <n v="0"/>
    <n v="0"/>
    <n v="232928"/>
    <n v="23287.5"/>
    <n v="0"/>
    <n v="0"/>
    <n v="29"/>
    <n v="208832"/>
    <n v="50394.95798319328"/>
    <n v="12"/>
    <n v="31"/>
    <n v="5"/>
    <n v="0"/>
    <n v="0"/>
    <n v="0"/>
    <n v="248992"/>
    <n v="38812.49999999999"/>
    <n v="0"/>
    <n v="0"/>
    <n v="31"/>
    <n v="208832"/>
    <n v="83991.59663865546"/>
    <n v="12"/>
    <n v="26"/>
    <n v="12"/>
    <n v="0"/>
    <n v="0"/>
    <n v="0"/>
    <n v="208832"/>
    <n v="93149.99999999999"/>
    <n v="0"/>
    <n v="0"/>
    <n v="26"/>
    <n v="208832"/>
    <n v="201579.8319327731"/>
    <n v="12"/>
    <n v="14"/>
    <n v="12"/>
    <n v="0"/>
    <n v="0"/>
    <n v="0"/>
    <n v="108675"/>
    <n v="93149.99999999999"/>
    <n v="0"/>
    <n v="0"/>
    <n v="14"/>
    <n v="108675"/>
    <n v="201579.8319327731"/>
    <n v="0"/>
    <n v="2"/>
    <n v="0"/>
    <n v="0"/>
    <n v="0"/>
    <n v="0"/>
    <m/>
    <n v="15525"/>
    <n v="0"/>
    <n v="0"/>
    <n v="0"/>
    <n v="2"/>
    <n v="15525"/>
    <n v="0"/>
    <n v="0"/>
    <n v="2"/>
    <n v="0"/>
    <n v="0"/>
    <n v="0"/>
    <n v="15525"/>
    <n v="0"/>
    <n v="0"/>
    <n v="0"/>
    <n v="2"/>
    <n v="15525"/>
    <n v="0"/>
    <n v="0"/>
    <n v="2"/>
    <n v="0"/>
    <n v="0"/>
    <n v="0"/>
    <n v="15525"/>
    <n v="0"/>
    <n v="0"/>
    <n v="2"/>
    <n v="15525"/>
    <n v="0"/>
    <n v="0"/>
    <n v="2"/>
    <n v="0"/>
    <n v="0"/>
    <m/>
    <n v="15525"/>
    <n v="0"/>
    <n v="0"/>
    <n v="2"/>
    <n v="15525"/>
    <n v="0"/>
  </r>
  <r>
    <m/>
    <x v="4"/>
    <x v="21"/>
    <x v="52"/>
    <s v="LTS26-MSW03MY"/>
    <x v="432"/>
    <x v="361"/>
    <x v="0"/>
    <x v="5"/>
    <n v="1"/>
    <x v="232"/>
    <n v="40"/>
    <m/>
    <n v="0"/>
    <n v="8030"/>
    <n v="321200"/>
    <n v="7.5"/>
    <n v="8193.75"/>
    <n v="16798.31932773109"/>
    <n v="12596.63865546219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7104930923781697"/>
    <n v="3"/>
    <n v="0.1768466386431447"/>
    <n v="0"/>
    <s v=""/>
    <n v="0"/>
    <s v=""/>
    <n v="0"/>
    <s v=""/>
    <n v="0"/>
    <n v="1"/>
    <n v="0.3625570380253502"/>
    <n v="0.25"/>
    <n v="2"/>
    <n v="0.1112169406719085"/>
    <n v="0.25"/>
    <n v="4"/>
    <n v="0.2643833718244804"/>
    <n v="0.2666666666666667"/>
    <n v="0"/>
    <s v=""/>
    <n v="0"/>
    <m/>
    <m/>
    <m/>
    <m/>
    <m/>
    <m/>
    <m/>
    <m/>
    <m/>
    <m/>
    <m/>
    <m/>
    <n v="3"/>
    <n v="48"/>
    <n v="3"/>
    <n v="0"/>
    <n v="0"/>
    <n v="0"/>
    <n v="24090"/>
    <n v="372599.9999999999"/>
    <n v="24090"/>
    <n v="0"/>
    <n v="40"/>
    <n v="321200"/>
    <n v="42348.70418755738"/>
    <n v="2"/>
    <n v="45"/>
    <n v="0"/>
    <n v="0"/>
    <n v="0"/>
    <n v="0"/>
    <n v="0"/>
    <n v="349312.4999999999"/>
    <n v="0"/>
    <n v="0"/>
    <n v="40"/>
    <n v="321200"/>
    <n v="0"/>
    <n v="1.944"/>
    <n v="45"/>
    <n v="0"/>
    <n v="0"/>
    <n v="0"/>
    <n v="31050"/>
    <n v="361350"/>
    <n v="0"/>
    <n v="0"/>
    <n v="40"/>
    <n v="321200"/>
    <n v="0"/>
    <n v="3"/>
    <n v="47"/>
    <n v="0"/>
    <n v="0"/>
    <n v="0"/>
    <n v="364837.4999999999"/>
    <n v="0"/>
    <n v="0"/>
    <n v="0"/>
    <n v="40"/>
    <n v="321200"/>
    <n v="0"/>
    <n v="4"/>
    <n v="41"/>
    <n v="4"/>
    <m/>
    <n v="0"/>
    <n v="0"/>
    <n v="329230"/>
    <n v="31050"/>
    <n v="0"/>
    <n v="0"/>
    <n v="40"/>
    <n v="321200"/>
    <n v="67193.27731092437"/>
    <n v="8"/>
    <n v="42"/>
    <n v="2"/>
    <m/>
    <n v="0"/>
    <n v="0"/>
    <n v="337260"/>
    <n v="15525"/>
    <n v="0"/>
    <n v="0"/>
    <n v="42"/>
    <n v="321200"/>
    <n v="33596.63865546219"/>
    <n v="15"/>
    <n v="44"/>
    <n v="4"/>
    <n v="0"/>
    <n v="0"/>
    <n v="0"/>
    <n v="353320"/>
    <n v="31050"/>
    <n v="0"/>
    <n v="0"/>
    <n v="44"/>
    <n v="321200"/>
    <n v="67193.27731092437"/>
    <n v="15"/>
    <n v="40"/>
    <n v="15"/>
    <n v="0"/>
    <n v="0"/>
    <n v="0"/>
    <n v="321200"/>
    <n v="116437.5"/>
    <n v="0"/>
    <n v="0"/>
    <n v="40"/>
    <n v="321200"/>
    <n v="251974.7899159664"/>
    <n v="15"/>
    <n v="25"/>
    <n v="15"/>
    <n v="0"/>
    <n v="0"/>
    <n v="0"/>
    <n v="194062.5"/>
    <n v="116437.5"/>
    <n v="0"/>
    <n v="0"/>
    <n v="25"/>
    <n v="194062.5"/>
    <n v="251974.7899159664"/>
    <n v="0"/>
    <n v="10"/>
    <n v="0"/>
    <n v="0"/>
    <n v="0"/>
    <n v="0"/>
    <m/>
    <n v="77624.99999999999"/>
    <n v="0"/>
    <n v="0"/>
    <n v="0"/>
    <n v="10"/>
    <n v="77624.99999999999"/>
    <n v="0"/>
    <n v="0"/>
    <n v="10"/>
    <n v="0"/>
    <n v="0"/>
    <n v="0"/>
    <n v="77624.99999999999"/>
    <n v="0"/>
    <n v="0"/>
    <n v="0"/>
    <n v="10"/>
    <n v="77624.99999999999"/>
    <n v="0"/>
    <n v="0"/>
    <n v="10"/>
    <n v="0"/>
    <n v="0"/>
    <n v="0"/>
    <n v="77624.99999999999"/>
    <n v="0"/>
    <n v="0"/>
    <n v="10"/>
    <n v="77624.99999999999"/>
    <n v="0"/>
    <n v="0"/>
    <n v="10"/>
    <n v="0"/>
    <n v="0"/>
    <m/>
    <n v="77624.99999999999"/>
    <n v="0"/>
    <n v="0"/>
    <n v="10"/>
    <n v="77624.99999999999"/>
    <n v="0"/>
  </r>
  <r>
    <m/>
    <x v="4"/>
    <x v="21"/>
    <x v="52"/>
    <s v="LTS26-MSW03MY"/>
    <x v="433"/>
    <x v="361"/>
    <x v="0"/>
    <x v="5"/>
    <n v="1"/>
    <x v="233"/>
    <n v="12"/>
    <m/>
    <n v="0"/>
    <n v="8026"/>
    <n v="96312"/>
    <n v="7.5"/>
    <n v="8193.75"/>
    <n v="16798.31932773109"/>
    <n v="12596.63865546219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0"/>
    <s v=""/>
    <n v="3"/>
    <n v="0.1771641745710154"/>
    <n v="0"/>
    <s v=""/>
    <n v="0"/>
    <s v=""/>
    <n v="1"/>
    <n v="0"/>
    <n v="0.5"/>
    <n v="1"/>
    <n v="0"/>
    <n v="0.5"/>
    <n v="1"/>
    <n v="0.3628745830553702"/>
    <n v="0.2"/>
    <n v="1"/>
    <n v="0.2647498075442648"/>
    <n v="0.2"/>
    <n v="0"/>
    <s v=""/>
    <n v="0"/>
    <m/>
    <m/>
    <m/>
    <m/>
    <m/>
    <m/>
    <m/>
    <m/>
    <m/>
    <m/>
    <m/>
    <m/>
    <n v="2"/>
    <n v="22"/>
    <n v="2"/>
    <n v="0"/>
    <n v="0"/>
    <n v="0"/>
    <n v="16052"/>
    <n v="170775"/>
    <n v="16052"/>
    <n v="0"/>
    <n v="12"/>
    <n v="96312"/>
    <n v="28232.46945837159"/>
    <n v="1"/>
    <n v="15"/>
    <n v="0"/>
    <n v="0"/>
    <n v="0"/>
    <n v="0"/>
    <n v="8026"/>
    <n v="116437.5"/>
    <n v="0"/>
    <n v="0"/>
    <n v="12"/>
    <n v="96312"/>
    <n v="0"/>
    <n v="2"/>
    <n v="15"/>
    <n v="0"/>
    <n v="0"/>
    <n v="0"/>
    <n v="23551"/>
    <n v="120390"/>
    <n v="0"/>
    <n v="0"/>
    <n v="12"/>
    <n v="96312"/>
    <n v="0"/>
    <n v="2"/>
    <n v="17"/>
    <n v="1"/>
    <n v="0"/>
    <n v="0"/>
    <n v="131962.5"/>
    <n v="8026"/>
    <n v="0"/>
    <n v="0"/>
    <n v="12"/>
    <n v="96312"/>
    <n v="16798.31932773109"/>
    <n v="2"/>
    <n v="13"/>
    <n v="2"/>
    <m/>
    <n v="0"/>
    <n v="0"/>
    <n v="104338"/>
    <n v="15525"/>
    <n v="0"/>
    <n v="0"/>
    <n v="12"/>
    <n v="96312"/>
    <n v="33596.63865546219"/>
    <n v="5"/>
    <n v="13"/>
    <n v="1"/>
    <m/>
    <n v="0"/>
    <n v="0"/>
    <n v="104338"/>
    <n v="7762.499999999999"/>
    <n v="0"/>
    <n v="0"/>
    <n v="13"/>
    <n v="96312"/>
    <n v="16798.31932773109"/>
    <n v="5"/>
    <n v="13"/>
    <n v="1"/>
    <n v="0"/>
    <n v="0"/>
    <n v="0"/>
    <n v="104338"/>
    <n v="7762.499999999999"/>
    <n v="0"/>
    <n v="0"/>
    <n v="13"/>
    <n v="96312"/>
    <n v="16798.31932773109"/>
    <n v="5"/>
    <n v="12"/>
    <n v="5"/>
    <n v="0"/>
    <n v="0"/>
    <n v="0"/>
    <n v="96312"/>
    <n v="38812.49999999999"/>
    <n v="0"/>
    <n v="0"/>
    <n v="12"/>
    <n v="96312"/>
    <n v="83991.59663865546"/>
    <n v="5"/>
    <n v="7"/>
    <n v="5"/>
    <n v="0"/>
    <n v="0"/>
    <n v="0"/>
    <n v="54337.49999999999"/>
    <n v="38812.49999999999"/>
    <n v="0"/>
    <n v="0"/>
    <n v="7"/>
    <n v="54337.49999999999"/>
    <n v="83991.59663865546"/>
    <n v="0"/>
    <n v="2"/>
    <n v="0"/>
    <n v="0"/>
    <n v="0"/>
    <n v="0"/>
    <m/>
    <n v="15525"/>
    <n v="0"/>
    <n v="0"/>
    <n v="0"/>
    <n v="2"/>
    <n v="15525"/>
    <n v="0"/>
    <n v="0"/>
    <n v="2"/>
    <n v="0"/>
    <n v="0"/>
    <n v="0"/>
    <n v="15525"/>
    <n v="0"/>
    <n v="0"/>
    <n v="0"/>
    <n v="2"/>
    <n v="15525"/>
    <n v="0"/>
    <n v="0"/>
    <n v="2"/>
    <n v="0"/>
    <n v="0"/>
    <n v="0"/>
    <n v="15525"/>
    <n v="0"/>
    <n v="0"/>
    <n v="2"/>
    <n v="15525"/>
    <n v="0"/>
    <n v="0"/>
    <n v="2"/>
    <n v="0"/>
    <n v="0"/>
    <m/>
    <n v="15525"/>
    <n v="0"/>
    <n v="0"/>
    <n v="2"/>
    <n v="15525"/>
    <n v="0"/>
  </r>
  <r>
    <m/>
    <x v="4"/>
    <x v="21"/>
    <x v="52"/>
    <s v="LTS26-MSW03MY"/>
    <x v="434"/>
    <x v="361"/>
    <x v="0"/>
    <x v="5"/>
    <n v="1"/>
    <x v="234"/>
    <n v="13"/>
    <m/>
    <n v="0"/>
    <n v="8059"/>
    <n v="104767"/>
    <n v="7.5"/>
    <n v="8193.75"/>
    <n v="16798.31932773109"/>
    <n v="12596.63865546219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952201257861635"/>
    <n v="5"/>
    <n v="0.1745445031660825"/>
    <n v="0"/>
    <s v=""/>
    <n v="0"/>
    <n v="17824.296"/>
    <n v="0"/>
    <s v=""/>
    <n v="0"/>
    <n v="1"/>
    <n v="0.3602548365577051"/>
    <n v="0.5"/>
    <n v="2"/>
    <n v="0.1807850911974623"/>
    <n v="0.4"/>
    <n v="2"/>
    <n v="0.2617725173210161"/>
    <n v="0.3333333333333333"/>
    <n v="0"/>
    <s v=""/>
    <n v="0"/>
    <m/>
    <m/>
    <m/>
    <m/>
    <m/>
    <m/>
    <m/>
    <m/>
    <m/>
    <m/>
    <m/>
    <m/>
    <n v="2"/>
    <n v="24"/>
    <n v="2"/>
    <n v="0"/>
    <n v="0"/>
    <n v="0"/>
    <n v="16118"/>
    <n v="186300"/>
    <n v="16118"/>
    <n v="0"/>
    <n v="13"/>
    <n v="104767"/>
    <n v="28232.46945837159"/>
    <n v="2"/>
    <n v="16"/>
    <n v="0"/>
    <n v="0"/>
    <n v="0"/>
    <n v="0"/>
    <n v="0"/>
    <n v="124200"/>
    <n v="0"/>
    <n v="0"/>
    <n v="13"/>
    <n v="104767"/>
    <n v="0"/>
    <n v="2"/>
    <n v="16"/>
    <n v="0"/>
    <n v="0"/>
    <n v="0"/>
    <n v="15525"/>
    <n v="128944"/>
    <n v="0"/>
    <n v="0"/>
    <n v="13"/>
    <n v="104767"/>
    <n v="0"/>
    <n v="3"/>
    <n v="17"/>
    <n v="0"/>
    <n v="0"/>
    <n v="0"/>
    <n v="131962.5"/>
    <n v="0"/>
    <n v="0"/>
    <n v="0"/>
    <n v="13"/>
    <n v="104767"/>
    <n v="0"/>
    <n v="2"/>
    <n v="14"/>
    <n v="2"/>
    <m/>
    <n v="0"/>
    <n v="0"/>
    <n v="112826"/>
    <n v="15525"/>
    <n v="0"/>
    <n v="0"/>
    <n v="13"/>
    <n v="104767"/>
    <n v="33596.63865546219"/>
    <n v="5"/>
    <n v="15"/>
    <n v="2"/>
    <m/>
    <n v="0"/>
    <n v="0"/>
    <n v="120885"/>
    <n v="15525"/>
    <n v="0"/>
    <n v="0"/>
    <n v="15"/>
    <n v="104767"/>
    <n v="33596.63865546219"/>
    <n v="6"/>
    <n v="15"/>
    <n v="2"/>
    <n v="0"/>
    <n v="0"/>
    <n v="0"/>
    <n v="120885"/>
    <n v="15525"/>
    <n v="0"/>
    <n v="0"/>
    <n v="15"/>
    <n v="104767"/>
    <n v="33596.63865546219"/>
    <n v="6"/>
    <n v="13"/>
    <n v="6"/>
    <n v="0"/>
    <n v="0"/>
    <n v="0"/>
    <n v="104767"/>
    <n v="46574.99999999999"/>
    <n v="0"/>
    <n v="0"/>
    <n v="13"/>
    <n v="104767"/>
    <n v="100789.9159663866"/>
    <n v="6"/>
    <n v="7"/>
    <n v="6"/>
    <n v="0"/>
    <n v="0"/>
    <n v="0"/>
    <n v="54337.49999999999"/>
    <n v="46574.99999999999"/>
    <n v="0"/>
    <n v="0"/>
    <n v="7"/>
    <n v="54337.49999999999"/>
    <n v="100789.9159663866"/>
    <n v="0"/>
    <n v="1"/>
    <n v="0"/>
    <n v="0"/>
    <n v="0"/>
    <n v="0"/>
    <m/>
    <n v="7762.499999999999"/>
    <n v="0"/>
    <n v="0"/>
    <n v="0"/>
    <n v="1"/>
    <n v="7762.499999999999"/>
    <n v="0"/>
    <n v="0"/>
    <n v="1"/>
    <n v="0"/>
    <n v="0"/>
    <n v="0"/>
    <n v="7762.499999999999"/>
    <n v="0"/>
    <n v="0"/>
    <n v="0"/>
    <n v="1"/>
    <n v="7762.499999999999"/>
    <n v="0"/>
    <n v="0"/>
    <n v="1"/>
    <n v="0"/>
    <n v="0"/>
    <n v="0"/>
    <n v="7762.499999999999"/>
    <n v="0"/>
    <n v="0"/>
    <n v="1"/>
    <n v="7762.499999999999"/>
    <n v="0"/>
    <n v="0"/>
    <n v="1"/>
    <n v="0"/>
    <n v="0"/>
    <m/>
    <n v="7762.499999999999"/>
    <n v="0"/>
    <n v="0"/>
    <n v="1"/>
    <n v="7762.499999999999"/>
    <n v="0"/>
  </r>
  <r>
    <m/>
    <x v="4"/>
    <x v="21"/>
    <x v="52"/>
    <s v="LTS26-MSW03OR"/>
    <x v="435"/>
    <x v="362"/>
    <x v="0"/>
    <x v="5"/>
    <n v="1"/>
    <x v="235"/>
    <n v="53"/>
    <m/>
    <n v="0"/>
    <n v="8172"/>
    <n v="433116"/>
    <n v="7.5"/>
    <n v="8193.75"/>
    <n v="16798.31932773109"/>
    <n v="12596.63865546219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4"/>
    <n v="0"/>
    <n v="2"/>
    <n v="0"/>
    <n v="6"/>
    <n v="0.1655741132037367"/>
    <n v="0"/>
    <s v=""/>
    <n v="0"/>
    <s v=""/>
    <n v="1"/>
    <n v="0"/>
    <n v="0.3333333333333333"/>
    <n v="2"/>
    <n v="0.513503751875938"/>
    <n v="0.4651162790697674"/>
    <n v="8"/>
    <n v="0.08047505773443152"/>
    <n v="0.625"/>
    <n v="3"/>
    <n v="-0.1678767013610888"/>
    <n v="0.1363636363636364"/>
    <n v="1"/>
    <n v="0.2513749037721324"/>
    <n v="0.04545454545454546"/>
    <m/>
    <m/>
    <m/>
    <m/>
    <m/>
    <m/>
    <m/>
    <m/>
    <m/>
    <m/>
    <m/>
    <m/>
    <n v="3"/>
    <n v="71"/>
    <n v="3"/>
    <n v="0"/>
    <n v="0"/>
    <n v="0"/>
    <n v="24516"/>
    <n v="551137.4999999999"/>
    <n v="24516"/>
    <n v="0"/>
    <n v="53"/>
    <n v="433116"/>
    <n v="42348.70418755738"/>
    <n v="3"/>
    <n v="64"/>
    <n v="0"/>
    <n v="0"/>
    <n v="0"/>
    <n v="0"/>
    <n v="8172"/>
    <n v="496799.9999999999"/>
    <n v="0"/>
    <n v="0"/>
    <n v="53"/>
    <n v="433116"/>
    <n v="0"/>
    <n v="4"/>
    <n v="64"/>
    <n v="0"/>
    <n v="0"/>
    <n v="0"/>
    <n v="41550.74999999999"/>
    <n v="523008"/>
    <n v="0"/>
    <n v="0"/>
    <n v="53"/>
    <n v="433116"/>
    <n v="0"/>
    <n v="3"/>
    <n v="66"/>
    <n v="1"/>
    <n v="0"/>
    <n v="0"/>
    <n v="512324.9999999999"/>
    <n v="8172"/>
    <n v="0"/>
    <n v="0"/>
    <n v="53"/>
    <n v="433116"/>
    <n v="16798.31932773109"/>
    <n v="4.3"/>
    <n v="55"/>
    <n v="4.3"/>
    <m/>
    <n v="0"/>
    <n v="0"/>
    <n v="449460"/>
    <n v="33378.74999999999"/>
    <n v="0"/>
    <n v="0"/>
    <n v="53"/>
    <n v="433116"/>
    <n v="72232.7731092437"/>
    <n v="12.8"/>
    <n v="61"/>
    <n v="8"/>
    <m/>
    <n v="0"/>
    <n v="0"/>
    <n v="498492"/>
    <n v="62099.99999999999"/>
    <n v="0"/>
    <n v="0"/>
    <n v="61"/>
    <n v="433116"/>
    <n v="134386.5546218487"/>
    <n v="22"/>
    <n v="56"/>
    <n v="3"/>
    <n v="0"/>
    <n v="0"/>
    <n v="0"/>
    <n v="457632"/>
    <n v="23287.5"/>
    <n v="0"/>
    <n v="0"/>
    <n v="56"/>
    <n v="433116"/>
    <n v="50394.95798319328"/>
    <n v="22"/>
    <n v="53"/>
    <n v="22"/>
    <n v="0"/>
    <n v="0"/>
    <n v="0"/>
    <n v="433116"/>
    <n v="170775"/>
    <n v="0"/>
    <n v="0"/>
    <n v="53"/>
    <n v="433116"/>
    <n v="369563.025210084"/>
    <n v="22"/>
    <n v="31"/>
    <n v="22"/>
    <n v="0"/>
    <n v="0"/>
    <n v="0"/>
    <n v="240637.5"/>
    <n v="170775"/>
    <n v="0"/>
    <n v="0"/>
    <n v="31"/>
    <n v="240637.5"/>
    <n v="369563.025210084"/>
    <n v="0"/>
    <n v="9"/>
    <n v="0"/>
    <n v="0"/>
    <n v="0"/>
    <n v="0"/>
    <m/>
    <n v="69862.49999999999"/>
    <n v="0"/>
    <n v="0"/>
    <n v="0"/>
    <n v="9"/>
    <n v="69862.49999999999"/>
    <n v="0"/>
    <n v="0"/>
    <n v="9"/>
    <n v="0"/>
    <n v="0"/>
    <n v="0"/>
    <n v="69862.49999999999"/>
    <n v="0"/>
    <n v="0"/>
    <n v="0"/>
    <n v="9"/>
    <n v="69862.49999999999"/>
    <n v="0"/>
    <n v="0"/>
    <n v="9"/>
    <n v="0"/>
    <n v="0"/>
    <n v="0"/>
    <n v="69862.49999999999"/>
    <n v="0"/>
    <n v="0"/>
    <n v="9"/>
    <n v="69862.49999999999"/>
    <n v="0"/>
    <n v="0"/>
    <n v="9"/>
    <n v="0"/>
    <n v="0"/>
    <m/>
    <n v="69862.49999999999"/>
    <n v="0"/>
    <n v="0"/>
    <n v="9"/>
    <n v="69862.49999999999"/>
    <n v="0"/>
  </r>
  <r>
    <m/>
    <x v="4"/>
    <x v="21"/>
    <x v="52"/>
    <s v="LTS26-MSW03OR"/>
    <x v="436"/>
    <x v="362"/>
    <x v="0"/>
    <x v="5"/>
    <n v="1"/>
    <x v="236"/>
    <n v="55"/>
    <m/>
    <n v="0"/>
    <n v="8174"/>
    <n v="449570"/>
    <n v="7.5"/>
    <n v="8193.75"/>
    <n v="16798.31932773109"/>
    <n v="12596.63865546219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2000398684341672"/>
    <n v="6"/>
    <n v="0.1654153452398014"/>
    <n v="1"/>
    <n v="0.4877804356523626"/>
    <n v="1"/>
    <n v="0"/>
    <n v="0"/>
    <s v=""/>
    <n v="0"/>
    <n v="2"/>
    <n v="0.3287968809302004"/>
    <n v="0.5"/>
    <n v="3"/>
    <n v="0.1299390272282988"/>
    <n v="0.2884615384615384"/>
    <n v="2"/>
    <n v="0.2511458814472671"/>
    <n v="0.09523809523809523"/>
    <n v="0"/>
    <s v=""/>
    <n v="0"/>
    <m/>
    <m/>
    <m/>
    <m/>
    <m/>
    <m/>
    <m/>
    <m/>
    <m/>
    <m/>
    <m/>
    <m/>
    <n v="3.2"/>
    <n v="69"/>
    <n v="3.2"/>
    <n v="0"/>
    <n v="0"/>
    <n v="0"/>
    <n v="46591.8"/>
    <n v="535612.4999999999"/>
    <n v="26156.8"/>
    <n v="0"/>
    <n v="55"/>
    <n v="449570"/>
    <n v="45171.95113339454"/>
    <n v="3"/>
    <n v="63"/>
    <n v="1.5"/>
    <n v="0"/>
    <n v="0"/>
    <n v="0"/>
    <n v="20435"/>
    <n v="489037.4999999999"/>
    <n v="12261"/>
    <n v="0"/>
    <n v="55"/>
    <n v="449570"/>
    <n v="21174.35209377869"/>
    <n v="4"/>
    <n v="62"/>
    <n v="1"/>
    <n v="0"/>
    <n v="0"/>
    <n v="39224"/>
    <n v="506788"/>
    <n v="8174"/>
    <n v="0"/>
    <n v="55"/>
    <n v="449570"/>
    <n v="16798.31932773109"/>
    <n v="3.45"/>
    <n v="62"/>
    <n v="0"/>
    <n v="0"/>
    <n v="0"/>
    <n v="481274.9999999999"/>
    <n v="0"/>
    <n v="0"/>
    <n v="0"/>
    <n v="55"/>
    <n v="449570"/>
    <n v="0"/>
    <n v="4"/>
    <n v="57"/>
    <n v="4"/>
    <m/>
    <n v="0"/>
    <n v="0"/>
    <n v="465918"/>
    <n v="31050"/>
    <n v="0"/>
    <n v="0"/>
    <n v="55"/>
    <n v="449570"/>
    <n v="67193.27731092437"/>
    <n v="10.4"/>
    <n v="58"/>
    <n v="3"/>
    <m/>
    <n v="0"/>
    <n v="0"/>
    <n v="474092"/>
    <n v="23287.5"/>
    <n v="0"/>
    <n v="0"/>
    <n v="58"/>
    <n v="449570"/>
    <n v="50394.95798319328"/>
    <n v="21"/>
    <n v="57"/>
    <n v="2"/>
    <n v="0"/>
    <n v="0"/>
    <n v="0"/>
    <n v="465918"/>
    <n v="15525"/>
    <n v="0"/>
    <n v="0"/>
    <n v="57"/>
    <n v="449570"/>
    <n v="33596.63865546219"/>
    <n v="21"/>
    <n v="55"/>
    <n v="21"/>
    <n v="0"/>
    <n v="0"/>
    <n v="0"/>
    <n v="449570"/>
    <n v="163012.5"/>
    <n v="0"/>
    <n v="0"/>
    <n v="55"/>
    <n v="449570"/>
    <n v="352764.705882353"/>
    <n v="21"/>
    <n v="34"/>
    <n v="21"/>
    <n v="0"/>
    <n v="0"/>
    <n v="0"/>
    <n v="263924.9999999999"/>
    <n v="163012.5"/>
    <n v="0"/>
    <n v="0"/>
    <n v="34"/>
    <n v="263924.9999999999"/>
    <n v="352764.705882353"/>
    <n v="0"/>
    <n v="13"/>
    <n v="0"/>
    <n v="0"/>
    <n v="0"/>
    <n v="0"/>
    <m/>
    <n v="100912.5"/>
    <n v="0"/>
    <n v="0"/>
    <n v="0"/>
    <n v="13"/>
    <n v="100912.5"/>
    <n v="0"/>
    <n v="0"/>
    <n v="13"/>
    <n v="0"/>
    <n v="0"/>
    <n v="0"/>
    <n v="100912.5"/>
    <n v="0"/>
    <n v="0"/>
    <n v="0"/>
    <n v="13"/>
    <n v="100912.5"/>
    <n v="0"/>
    <n v="0"/>
    <n v="13"/>
    <n v="0"/>
    <n v="0"/>
    <n v="0"/>
    <n v="100912.5"/>
    <n v="0"/>
    <n v="0"/>
    <n v="13"/>
    <n v="100912.5"/>
    <n v="0"/>
    <n v="0"/>
    <n v="13"/>
    <n v="0"/>
    <n v="0"/>
    <m/>
    <n v="100912.5"/>
    <n v="0"/>
    <n v="0"/>
    <n v="13"/>
    <n v="100912.5"/>
    <n v="0"/>
  </r>
  <r>
    <m/>
    <x v="4"/>
    <x v="21"/>
    <x v="52"/>
    <s v="LTS26-MSW03OR"/>
    <x v="437"/>
    <x v="362"/>
    <x v="0"/>
    <x v="5"/>
    <n v="1"/>
    <x v="237"/>
    <n v="25"/>
    <m/>
    <n v="0"/>
    <n v="8355"/>
    <n v="208875"/>
    <n v="7.5"/>
    <n v="8193.75"/>
    <n v="16798.31932773109"/>
    <n v="12596.63865546219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2000398684341672"/>
    <n v="1"/>
    <n v="0.1510468445036547"/>
    <n v="0"/>
    <s v=""/>
    <n v="0"/>
    <s v=""/>
    <n v="1"/>
    <n v="0.2405333478753865"/>
    <n v="0.625"/>
    <n v="1"/>
    <n v="0"/>
    <n v="0.625"/>
    <n v="0"/>
    <s v=""/>
    <n v="0"/>
    <n v="3"/>
    <n v="0.2144632604687911"/>
    <n v="0.3"/>
    <n v="0"/>
    <s v=""/>
    <n v="0"/>
    <m/>
    <m/>
    <m/>
    <m/>
    <m/>
    <m/>
    <m/>
    <m/>
    <m/>
    <m/>
    <m/>
    <m/>
    <n v="2"/>
    <n v="31"/>
    <n v="2"/>
    <n v="0"/>
    <n v="0"/>
    <n v="0"/>
    <n v="16710"/>
    <n v="240637.5"/>
    <n v="16710"/>
    <n v="0"/>
    <n v="25"/>
    <n v="208875"/>
    <n v="28232.46945837159"/>
    <n v="2"/>
    <n v="29"/>
    <n v="0"/>
    <n v="0"/>
    <n v="0"/>
    <n v="0"/>
    <n v="8355"/>
    <n v="225112.5"/>
    <n v="0"/>
    <n v="0"/>
    <n v="25"/>
    <n v="208875"/>
    <n v="0"/>
    <n v="2.268"/>
    <n v="29"/>
    <n v="0"/>
    <n v="0"/>
    <n v="0"/>
    <n v="20775"/>
    <n v="242295"/>
    <n v="0"/>
    <n v="0"/>
    <n v="25"/>
    <n v="208875"/>
    <n v="0"/>
    <n v="1.6"/>
    <n v="31"/>
    <n v="1"/>
    <n v="0"/>
    <n v="0"/>
    <n v="240637.5"/>
    <n v="8355"/>
    <n v="0"/>
    <n v="0"/>
    <n v="25"/>
    <n v="208875"/>
    <n v="16798.31932773109"/>
    <n v="1.6"/>
    <n v="26"/>
    <n v="1.6"/>
    <m/>
    <n v="0"/>
    <n v="0"/>
    <n v="217230"/>
    <n v="12420"/>
    <n v="0"/>
    <n v="0"/>
    <n v="25"/>
    <n v="208875"/>
    <n v="26877.31092436975"/>
    <n v="4.8"/>
    <n v="25"/>
    <n v="0"/>
    <m/>
    <n v="0"/>
    <n v="0"/>
    <n v="208875"/>
    <n v="0"/>
    <n v="0"/>
    <n v="0"/>
    <n v="25"/>
    <n v="208875"/>
    <n v="0"/>
    <n v="10"/>
    <n v="28"/>
    <n v="3"/>
    <n v="0"/>
    <n v="0"/>
    <n v="0"/>
    <n v="233940"/>
    <n v="23287.5"/>
    <n v="0"/>
    <n v="0"/>
    <n v="28"/>
    <n v="208875"/>
    <n v="50394.95798319328"/>
    <n v="10"/>
    <n v="25"/>
    <n v="10"/>
    <n v="0"/>
    <n v="0"/>
    <n v="0"/>
    <n v="208875"/>
    <n v="77624.99999999999"/>
    <n v="0"/>
    <n v="0"/>
    <n v="25"/>
    <n v="208875"/>
    <n v="167983.1932773109"/>
    <n v="10"/>
    <n v="15"/>
    <n v="10"/>
    <n v="0"/>
    <n v="0"/>
    <n v="0"/>
    <n v="116437.5"/>
    <n v="77624.99999999999"/>
    <n v="0"/>
    <n v="0"/>
    <n v="15"/>
    <n v="116437.5"/>
    <n v="167983.1932773109"/>
    <n v="0"/>
    <n v="5"/>
    <n v="0"/>
    <n v="0"/>
    <n v="0"/>
    <n v="0"/>
    <m/>
    <n v="38812.49999999999"/>
    <n v="0"/>
    <n v="0"/>
    <n v="0"/>
    <n v="5"/>
    <n v="38812.49999999999"/>
    <n v="0"/>
    <n v="0"/>
    <n v="5"/>
    <n v="0"/>
    <n v="0"/>
    <n v="0"/>
    <n v="38812.49999999999"/>
    <n v="0"/>
    <n v="0"/>
    <n v="0"/>
    <n v="5"/>
    <n v="38812.49999999999"/>
    <n v="0"/>
    <n v="0"/>
    <n v="5"/>
    <n v="0"/>
    <n v="0"/>
    <n v="0"/>
    <n v="38812.49999999999"/>
    <n v="0"/>
    <n v="0"/>
    <n v="5"/>
    <n v="38812.49999999999"/>
    <n v="0"/>
    <n v="0"/>
    <n v="5"/>
    <n v="0"/>
    <n v="0"/>
    <m/>
    <n v="38812.49999999999"/>
    <n v="0"/>
    <n v="0"/>
    <n v="5"/>
    <n v="38812.49999999999"/>
    <n v="0"/>
  </r>
  <r>
    <m/>
    <x v="4"/>
    <x v="21"/>
    <x v="52"/>
    <s v="LTS26-MSW03OR"/>
    <x v="438"/>
    <x v="362"/>
    <x v="0"/>
    <x v="5"/>
    <n v="1"/>
    <x v="238"/>
    <n v="18"/>
    <m/>
    <n v="0"/>
    <n v="8266"/>
    <n v="148788"/>
    <n v="7.5"/>
    <n v="8193.75"/>
    <n v="16798.31932773109"/>
    <n v="12596.63865546219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1999879634087626"/>
    <n v="2"/>
    <n v="0.4802272283986737"/>
    <n v="5"/>
    <n v="0.1581914028807442"/>
    <n v="1"/>
    <n v="0.2458911287939003"/>
    <n v="0"/>
    <s v=""/>
    <n v="0"/>
    <s v=""/>
    <n v="0"/>
    <n v="2"/>
    <n v="0"/>
    <n v="0.5"/>
    <n v="9"/>
    <n v="0.02261624263692192"/>
    <n v="0.9"/>
    <n v="4"/>
    <n v="0.175412265258216"/>
    <n v="0.3636363636363636"/>
    <n v="0"/>
    <s v=""/>
    <n v="0"/>
    <m/>
    <m/>
    <m/>
    <m/>
    <m/>
    <m/>
    <m/>
    <m/>
    <m/>
    <m/>
    <m/>
    <m/>
    <n v="2.3"/>
    <n v="40"/>
    <n v="2.3"/>
    <n v="0"/>
    <n v="0"/>
    <n v="0"/>
    <n v="31410.8"/>
    <n v="310499.9999999999"/>
    <n v="19011.8"/>
    <n v="0"/>
    <n v="18"/>
    <n v="148788"/>
    <n v="32467.33987712733"/>
    <n v="2"/>
    <n v="32"/>
    <n v="1.5"/>
    <n v="0"/>
    <n v="0"/>
    <n v="0"/>
    <n v="12399"/>
    <n v="248400"/>
    <n v="12399"/>
    <n v="0"/>
    <n v="18"/>
    <n v="148788"/>
    <n v="21174.35209377869"/>
    <n v="2"/>
    <n v="31"/>
    <n v="0"/>
    <n v="0"/>
    <n v="0"/>
    <n v="31050"/>
    <n v="256246"/>
    <n v="0"/>
    <n v="0"/>
    <n v="18"/>
    <n v="148788"/>
    <n v="0"/>
    <n v="3"/>
    <n v="33"/>
    <n v="0"/>
    <n v="0"/>
    <n v="0"/>
    <n v="256162.5"/>
    <n v="0"/>
    <n v="0"/>
    <n v="0"/>
    <n v="18"/>
    <n v="148788"/>
    <n v="0"/>
    <n v="4"/>
    <n v="20"/>
    <n v="4"/>
    <m/>
    <n v="0"/>
    <n v="0"/>
    <n v="165320"/>
    <n v="31050"/>
    <n v="0"/>
    <n v="0"/>
    <n v="18"/>
    <n v="148788"/>
    <n v="67193.27731092437"/>
    <n v="10"/>
    <n v="27"/>
    <n v="9"/>
    <m/>
    <n v="0"/>
    <n v="0"/>
    <n v="223182"/>
    <n v="69862.49999999999"/>
    <n v="0"/>
    <n v="0"/>
    <n v="27"/>
    <n v="148788"/>
    <n v="151184.8739495798"/>
    <n v="11"/>
    <n v="22"/>
    <n v="4"/>
    <n v="0"/>
    <n v="0"/>
    <n v="0"/>
    <n v="181852"/>
    <n v="31050"/>
    <n v="0"/>
    <n v="0"/>
    <n v="22"/>
    <n v="148788"/>
    <n v="67193.27731092437"/>
    <n v="11"/>
    <n v="18"/>
    <n v="11"/>
    <n v="0"/>
    <n v="0"/>
    <n v="0"/>
    <n v="148788"/>
    <n v="85387.49999999999"/>
    <n v="0"/>
    <n v="0"/>
    <n v="18"/>
    <n v="148788"/>
    <n v="184781.512605042"/>
    <n v="11"/>
    <n v="7"/>
    <n v="11"/>
    <n v="0"/>
    <n v="0"/>
    <n v="0"/>
    <n v="54337.49999999999"/>
    <n v="85387.49999999999"/>
    <n v="0"/>
    <n v="0"/>
    <n v="7"/>
    <n v="54337.49999999999"/>
    <n v="184781.51260504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2"/>
    <s v="LTS26-WKF04"/>
    <x v="439"/>
    <x v="363"/>
    <x v="0"/>
    <x v="2"/>
    <n v="1"/>
    <x v="3"/>
    <n v="0"/>
    <m/>
    <n v="0"/>
    <n v="9096"/>
    <n v="0"/>
    <n v="8.5"/>
    <n v="9286.25"/>
    <n v="25201.68067226891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6"/>
    <n v="0.1685557595266528"/>
    <n v="2"/>
    <n v="1"/>
    <n v="0.639084361453818"/>
    <n v="0.5"/>
    <n v="12"/>
    <n v="0.2458435569477073"/>
    <n v="4"/>
    <n v="0"/>
    <s v=""/>
    <n v="0"/>
    <n v="0"/>
    <s v=""/>
    <n v="0"/>
    <m/>
    <m/>
    <m/>
    <m/>
    <m/>
    <m/>
    <m/>
    <m/>
    <m/>
    <m/>
    <m/>
    <m/>
    <n v="3"/>
    <n v="21"/>
    <n v="3"/>
    <n v="0"/>
    <n v="0"/>
    <n v="0"/>
    <n v="27288"/>
    <n v="184747.5"/>
    <n v="27288"/>
    <n v="0"/>
    <n v="0"/>
    <n v="0"/>
    <n v="63533.6487536191"/>
    <n v="3"/>
    <n v="21"/>
    <n v="0"/>
    <n v="0"/>
    <n v="0"/>
    <n v="0"/>
    <n v="54576"/>
    <n v="184747.5"/>
    <n v="0"/>
    <n v="0"/>
    <n v="0"/>
    <n v="0"/>
    <n v="0"/>
    <n v="2"/>
    <n v="21"/>
    <n v="0"/>
    <n v="0"/>
    <n v="0"/>
    <n v="72171"/>
    <n v="191016"/>
    <n v="0"/>
    <n v="0"/>
    <n v="0"/>
    <n v="0"/>
    <n v="0"/>
    <n v="3"/>
    <n v="20"/>
    <n v="6"/>
    <n v="0"/>
    <n v="0"/>
    <n v="175950"/>
    <n v="54576"/>
    <n v="0"/>
    <n v="0"/>
    <n v="0"/>
    <n v="0"/>
    <n v="151210.0840336134"/>
    <n v="2"/>
    <n v="1"/>
    <n v="2"/>
    <m/>
    <n v="0"/>
    <n v="0"/>
    <n v="9096"/>
    <n v="17595"/>
    <n v="0"/>
    <n v="0"/>
    <n v="0"/>
    <n v="0"/>
    <n v="50403.36134453781"/>
    <n v="3"/>
    <n v="12"/>
    <n v="12"/>
    <m/>
    <n v="0"/>
    <n v="0"/>
    <n v="109152"/>
    <n v="105570"/>
    <n v="0"/>
    <n v="0"/>
    <n v="12"/>
    <n v="0"/>
    <n v="302420.1680672269"/>
    <n v="4"/>
    <n v="0"/>
    <n v="0"/>
    <n v="0"/>
    <n v="0"/>
    <n v="0"/>
    <n v="0"/>
    <n v="0"/>
    <n v="0"/>
    <n v="0"/>
    <n v="0"/>
    <n v="0"/>
    <n v="0"/>
    <n v="4"/>
    <n v="0"/>
    <n v="4"/>
    <n v="0"/>
    <n v="0"/>
    <n v="0"/>
    <n v="0"/>
    <n v="35190"/>
    <n v="0"/>
    <n v="0"/>
    <n v="0"/>
    <n v="0"/>
    <n v="100806.7226890756"/>
    <n v="4"/>
    <n v="0"/>
    <n v="4"/>
    <n v="0"/>
    <n v="0"/>
    <n v="0"/>
    <n v="0"/>
    <n v="35190"/>
    <n v="0"/>
    <n v="0"/>
    <n v="0"/>
    <n v="0"/>
    <n v="100806.722689075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2"/>
    <s v="LTS26-WKF04"/>
    <x v="440"/>
    <x v="363"/>
    <x v="0"/>
    <x v="2"/>
    <n v="1"/>
    <x v="3"/>
    <n v="1"/>
    <m/>
    <n v="0"/>
    <n v="9096"/>
    <n v="9096"/>
    <n v="8.5"/>
    <n v="9286.25"/>
    <n v="25201.68067226891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7265923231837447"/>
    <n v="0"/>
    <s v=""/>
    <n v="1"/>
    <n v="0.4210396670156284"/>
    <n v="2"/>
    <n v="0.5260566734450988"/>
    <n v="1"/>
    <n v="0.4138080208009404"/>
    <n v="0.3333333333333333"/>
    <n v="1"/>
    <n v="0.639084361453818"/>
    <n v="0.5"/>
    <n v="15"/>
    <n v="0.1183622039382621"/>
    <n v="3.947368421052632"/>
    <n v="8"/>
    <n v="0.2779312875250167"/>
    <n v="1"/>
    <n v="1"/>
    <n v="0.2779312875250167"/>
    <n v="0.125"/>
    <m/>
    <m/>
    <m/>
    <m/>
    <m/>
    <m/>
    <m/>
    <m/>
    <m/>
    <m/>
    <m/>
    <m/>
    <n v="3"/>
    <n v="26"/>
    <n v="3"/>
    <n v="0"/>
    <n v="0"/>
    <n v="0"/>
    <n v="59124"/>
    <n v="228735"/>
    <n v="27288"/>
    <n v="0"/>
    <n v="1"/>
    <n v="9096"/>
    <n v="63533.6487536191"/>
    <n v="3"/>
    <n v="27"/>
    <n v="1.5"/>
    <n v="0"/>
    <n v="0"/>
    <n v="0"/>
    <n v="40932"/>
    <n v="237532.5"/>
    <n v="13644"/>
    <n v="0"/>
    <n v="1"/>
    <n v="9096"/>
    <n v="31766.82437680955"/>
    <n v="3"/>
    <n v="26"/>
    <n v="2"/>
    <n v="0"/>
    <n v="0"/>
    <n v="44883"/>
    <n v="236496"/>
    <n v="18192"/>
    <n v="0"/>
    <n v="1"/>
    <n v="9096"/>
    <n v="50403.36134453781"/>
    <n v="3"/>
    <n v="24"/>
    <n v="1"/>
    <n v="0"/>
    <n v="0"/>
    <n v="211140"/>
    <n v="9096"/>
    <n v="0"/>
    <n v="0"/>
    <n v="1"/>
    <n v="9096"/>
    <n v="25201.68067226891"/>
    <n v="2"/>
    <n v="2"/>
    <n v="2"/>
    <m/>
    <n v="0"/>
    <n v="0"/>
    <n v="18192"/>
    <n v="17595"/>
    <n v="0"/>
    <n v="0"/>
    <n v="1"/>
    <n v="9096"/>
    <n v="50403.36134453781"/>
    <n v="3.8"/>
    <n v="16"/>
    <n v="15"/>
    <m/>
    <n v="0"/>
    <n v="0"/>
    <n v="145536"/>
    <n v="131962.5"/>
    <n v="0"/>
    <n v="0"/>
    <n v="16"/>
    <n v="9096"/>
    <n v="378025.2100840336"/>
    <n v="8"/>
    <n v="9"/>
    <n v="8"/>
    <n v="0"/>
    <n v="0"/>
    <n v="0"/>
    <n v="81864"/>
    <n v="70380"/>
    <n v="0"/>
    <n v="0"/>
    <n v="9"/>
    <n v="9096"/>
    <n v="201613.4453781513"/>
    <n v="8"/>
    <n v="1"/>
    <n v="8"/>
    <n v="0"/>
    <n v="0"/>
    <n v="0"/>
    <n v="9096"/>
    <n v="70380"/>
    <n v="0"/>
    <n v="0"/>
    <n v="1"/>
    <n v="9096"/>
    <n v="201613.4453781513"/>
    <n v="8"/>
    <n v="0"/>
    <n v="8"/>
    <n v="0"/>
    <n v="0"/>
    <n v="0"/>
    <n v="0"/>
    <n v="70380"/>
    <n v="0"/>
    <n v="0"/>
    <n v="0"/>
    <n v="0"/>
    <n v="201613.445378151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2"/>
    <s v="LTS26-WKF04"/>
    <x v="441"/>
    <x v="363"/>
    <x v="0"/>
    <x v="0"/>
    <n v="1"/>
    <x v="239"/>
    <n v="0"/>
    <m/>
    <n v="0"/>
    <n v="9096"/>
    <n v="0"/>
    <n v="8.5"/>
    <n v="9286.25"/>
    <n v="25201.68067226891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5414089809088465"/>
    <n v="0"/>
    <s v=""/>
    <n v="0"/>
    <s v=""/>
    <n v="2"/>
    <n v="0.4695900509764854"/>
    <n v="13"/>
    <n v="0.1780158778714204"/>
    <n v="7.222222222222222"/>
    <n v="1"/>
    <n v="0.639084361453818"/>
    <n v="0.3333333333333333"/>
    <n v="11"/>
    <n v="0.2419446824134133"/>
    <n v="2.2"/>
    <n v="2"/>
    <n v="0.2779312875250167"/>
    <n v="0.4"/>
    <n v="0"/>
    <s v=""/>
    <n v="0"/>
    <m/>
    <m/>
    <m/>
    <m/>
    <m/>
    <m/>
    <m/>
    <m/>
    <m/>
    <m/>
    <m/>
    <m/>
    <n v="3"/>
    <n v="33"/>
    <n v="3"/>
    <n v="0"/>
    <n v="0"/>
    <n v="0"/>
    <n v="45480"/>
    <n v="290317.5"/>
    <n v="27288"/>
    <n v="0"/>
    <n v="0"/>
    <n v="0"/>
    <n v="63533.6487536191"/>
    <n v="3"/>
    <n v="32"/>
    <n v="0"/>
    <n v="0"/>
    <n v="0"/>
    <n v="0"/>
    <n v="136440"/>
    <n v="281520"/>
    <n v="0"/>
    <n v="0"/>
    <n v="0"/>
    <n v="0"/>
    <n v="0"/>
    <n v="2.88"/>
    <n v="32"/>
    <n v="2"/>
    <n v="0"/>
    <n v="0"/>
    <n v="162832.5"/>
    <n v="291072"/>
    <n v="18192"/>
    <n v="0"/>
    <n v="0"/>
    <n v="0"/>
    <n v="50403.36134453781"/>
    <n v="1.8"/>
    <n v="31"/>
    <n v="13"/>
    <n v="0"/>
    <n v="0"/>
    <n v="272722.5"/>
    <n v="118248"/>
    <n v="0"/>
    <n v="0"/>
    <n v="0"/>
    <n v="0"/>
    <n v="327621.8487394958"/>
    <n v="3"/>
    <n v="1"/>
    <n v="3"/>
    <m/>
    <n v="0"/>
    <n v="0"/>
    <n v="9096"/>
    <n v="26392.5"/>
    <n v="0"/>
    <n v="0"/>
    <n v="0"/>
    <n v="0"/>
    <n v="75605.04201680672"/>
    <n v="5"/>
    <n v="11"/>
    <n v="11"/>
    <m/>
    <n v="0"/>
    <n v="0"/>
    <n v="100056"/>
    <n v="96772.5"/>
    <n v="0"/>
    <n v="0"/>
    <n v="11"/>
    <n v="0"/>
    <n v="277218.487394958"/>
    <n v="5"/>
    <n v="2"/>
    <n v="2"/>
    <n v="0"/>
    <n v="0"/>
    <n v="0"/>
    <n v="18192"/>
    <n v="17595"/>
    <n v="0"/>
    <n v="0"/>
    <n v="2"/>
    <n v="0"/>
    <n v="50403.36134453781"/>
    <n v="5"/>
    <n v="0"/>
    <n v="5"/>
    <n v="0"/>
    <n v="0"/>
    <n v="0"/>
    <n v="0"/>
    <n v="43987.5"/>
    <n v="0"/>
    <n v="0"/>
    <n v="0"/>
    <n v="0"/>
    <n v="126008.4033613445"/>
    <n v="5"/>
    <n v="0"/>
    <n v="5"/>
    <n v="0"/>
    <n v="0"/>
    <n v="0"/>
    <n v="0"/>
    <n v="43987.5"/>
    <n v="0"/>
    <n v="0"/>
    <n v="0"/>
    <n v="0"/>
    <n v="126008.403361344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2"/>
    <s v="LTS26-WKF04"/>
    <x v="442"/>
    <x v="363"/>
    <x v="0"/>
    <x v="2"/>
    <n v="1"/>
    <x v="3"/>
    <n v="0"/>
    <m/>
    <n v="0"/>
    <n v="9096"/>
    <n v="0"/>
    <n v="8.5"/>
    <n v="9286.25"/>
    <n v="25201.68067226891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021903023569558"/>
    <n v="4"/>
    <n v="0.5425295160499415"/>
    <n v="1"/>
    <n v="0.7293260074040088"/>
    <n v="2"/>
    <n v="0.4109217617790861"/>
    <n v="1"/>
    <n v="0"/>
    <n v="1"/>
    <n v="0.423707195340954"/>
    <n v="0.5"/>
    <n v="8"/>
    <n v="0.6298270348837209"/>
    <n v="2.666666666666667"/>
    <n v="12"/>
    <n v="0.263588495126382"/>
    <n v="2.222222222222222"/>
    <n v="9"/>
    <n v="0.2995621099255084"/>
    <n v="1.285714285714286"/>
    <n v="0"/>
    <s v=""/>
    <n v="0"/>
    <m/>
    <m/>
    <m/>
    <m/>
    <m/>
    <m/>
    <m/>
    <m/>
    <m/>
    <m/>
    <m/>
    <m/>
    <n v="3"/>
    <n v="31"/>
    <n v="3"/>
    <n v="0"/>
    <n v="0"/>
    <n v="0"/>
    <n v="63672"/>
    <n v="272722.5"/>
    <n v="27288"/>
    <n v="0"/>
    <n v="0"/>
    <n v="0"/>
    <n v="63533.6487536191"/>
    <n v="3"/>
    <n v="31"/>
    <n v="3"/>
    <n v="0"/>
    <n v="0"/>
    <n v="0"/>
    <n v="45480"/>
    <n v="272722.5"/>
    <n v="27288"/>
    <n v="0"/>
    <n v="0"/>
    <n v="0"/>
    <n v="63533.6487536191"/>
    <n v="2"/>
    <n v="29"/>
    <n v="1"/>
    <n v="0"/>
    <n v="0"/>
    <n v="44584.5"/>
    <n v="263784"/>
    <n v="9096"/>
    <n v="0"/>
    <n v="0"/>
    <n v="0"/>
    <n v="25201.68067226891"/>
    <n v="2"/>
    <n v="29"/>
    <n v="1"/>
    <n v="0"/>
    <n v="0"/>
    <n v="255127.5"/>
    <n v="9096"/>
    <n v="0"/>
    <n v="0"/>
    <n v="0"/>
    <n v="0"/>
    <n v="25201.68067226891"/>
    <n v="3"/>
    <n v="8"/>
    <n v="3"/>
    <m/>
    <n v="0"/>
    <n v="0"/>
    <n v="72768"/>
    <n v="26392.5"/>
    <n v="0"/>
    <n v="0"/>
    <n v="0"/>
    <n v="0"/>
    <n v="75605.04201680672"/>
    <n v="5.4"/>
    <n v="12"/>
    <n v="12"/>
    <m/>
    <n v="0"/>
    <n v="0"/>
    <n v="109152"/>
    <n v="105570"/>
    <n v="0"/>
    <n v="0"/>
    <n v="12"/>
    <n v="0"/>
    <n v="302420.1680672269"/>
    <n v="7"/>
    <n v="9"/>
    <n v="9"/>
    <n v="0"/>
    <n v="0"/>
    <n v="0"/>
    <n v="81864"/>
    <n v="79177.5"/>
    <n v="0"/>
    <n v="0"/>
    <n v="9"/>
    <n v="0"/>
    <n v="226815.1260504202"/>
    <n v="7"/>
    <n v="0"/>
    <n v="7"/>
    <n v="0"/>
    <n v="0"/>
    <n v="0"/>
    <n v="0"/>
    <n v="61582.5"/>
    <n v="0"/>
    <n v="0"/>
    <n v="0"/>
    <n v="0"/>
    <n v="176411.7647058823"/>
    <n v="7"/>
    <n v="0"/>
    <n v="7"/>
    <n v="0"/>
    <n v="0"/>
    <n v="0"/>
    <n v="0"/>
    <n v="61582.5"/>
    <n v="0"/>
    <n v="0"/>
    <n v="0"/>
    <n v="0"/>
    <n v="176411.7647058823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2"/>
    <s v="LTS26-WKF04"/>
    <x v="443"/>
    <x v="363"/>
    <x v="0"/>
    <x v="0"/>
    <n v="1"/>
    <x v="240"/>
    <n v="0"/>
    <m/>
    <n v="0"/>
    <n v="9096"/>
    <n v="0"/>
    <n v="8.5"/>
    <n v="9286.25"/>
    <n v="25201.68067226891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7293259931557804"/>
    <n v="0"/>
    <s v=""/>
    <n v="0"/>
    <s v=""/>
    <n v="1"/>
    <n v="0.4141414594197684"/>
    <n v="11"/>
    <n v="0.1660029862791937"/>
    <n v="5.5"/>
    <n v="1"/>
    <n v="0.4843781260420139"/>
    <n v="0.5"/>
    <n v="9"/>
    <n v="0.1992035598847498"/>
    <n v="2.25"/>
    <n v="1"/>
    <n v="0.2779312875250167"/>
    <n v="0.3333333333333333"/>
    <n v="0"/>
    <s v=""/>
    <n v="0"/>
    <m/>
    <m/>
    <m/>
    <m/>
    <m/>
    <m/>
    <m/>
    <m/>
    <m/>
    <m/>
    <m/>
    <m/>
    <n v="1.8"/>
    <n v="22"/>
    <n v="1.8"/>
    <n v="0"/>
    <n v="0"/>
    <n v="0"/>
    <n v="25468.8"/>
    <n v="193545"/>
    <n v="16372.8"/>
    <n v="0"/>
    <n v="0"/>
    <n v="0"/>
    <n v="38120.18925217146"/>
    <n v="2"/>
    <n v="22"/>
    <n v="0"/>
    <n v="0"/>
    <n v="0"/>
    <n v="0"/>
    <n v="109152"/>
    <n v="193545"/>
    <n v="0"/>
    <n v="0"/>
    <n v="0"/>
    <n v="0"/>
    <n v="0"/>
    <n v="1.728"/>
    <n v="22"/>
    <n v="1"/>
    <n v="0"/>
    <n v="0"/>
    <n v="126747"/>
    <n v="200112"/>
    <n v="9096"/>
    <n v="0"/>
    <n v="0"/>
    <n v="0"/>
    <n v="25201.68067226891"/>
    <n v="2"/>
    <n v="21"/>
    <n v="11"/>
    <n v="0"/>
    <n v="0"/>
    <n v="184747.5"/>
    <n v="100056"/>
    <n v="0"/>
    <n v="0"/>
    <n v="0"/>
    <n v="0"/>
    <n v="277218.487394958"/>
    <n v="2"/>
    <n v="1"/>
    <n v="2"/>
    <m/>
    <n v="0"/>
    <n v="0"/>
    <n v="9096"/>
    <n v="17595"/>
    <n v="0"/>
    <n v="0"/>
    <n v="0"/>
    <n v="0"/>
    <n v="50403.36134453781"/>
    <n v="4"/>
    <n v="9"/>
    <n v="9"/>
    <m/>
    <n v="0"/>
    <n v="0"/>
    <n v="81864"/>
    <n v="79177.5"/>
    <n v="0"/>
    <n v="0"/>
    <n v="9"/>
    <n v="0"/>
    <n v="226815.1260504202"/>
    <n v="3"/>
    <n v="1"/>
    <n v="1"/>
    <n v="0"/>
    <n v="0"/>
    <n v="0"/>
    <n v="9096"/>
    <n v="8797.5"/>
    <n v="0"/>
    <n v="0"/>
    <n v="1"/>
    <n v="0"/>
    <n v="25201.68067226891"/>
    <n v="3"/>
    <n v="0"/>
    <n v="3"/>
    <n v="0"/>
    <n v="0"/>
    <n v="0"/>
    <n v="0"/>
    <n v="26392.5"/>
    <n v="0"/>
    <n v="0"/>
    <n v="0"/>
    <n v="0"/>
    <n v="75605.04201680672"/>
    <n v="3"/>
    <n v="0"/>
    <n v="3"/>
    <n v="0"/>
    <n v="0"/>
    <n v="0"/>
    <n v="0"/>
    <n v="26392.5"/>
    <n v="0"/>
    <n v="0"/>
    <n v="0"/>
    <n v="0"/>
    <n v="75605.0420168067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2"/>
    <s v="LTS26-WKF04"/>
    <x v="444"/>
    <x v="363"/>
    <x v="0"/>
    <x v="0"/>
    <n v="1"/>
    <x v="241"/>
    <n v="0"/>
    <m/>
    <n v="0"/>
    <n v="9096"/>
    <n v="0"/>
    <n v="8.5"/>
    <n v="9286.25"/>
    <n v="25201.68067226891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3725030671275017"/>
    <n v="0"/>
    <s v=""/>
    <n v="0"/>
    <n v="3"/>
    <n v="0.4870531553589764"/>
    <n v="1.5"/>
    <n v="7"/>
    <n v="0.1850243582383335"/>
    <n v="2.121212121212121"/>
    <n v="9"/>
    <n v="0.2779312875250167"/>
    <n v="1.5"/>
    <n v="0"/>
    <s v=""/>
    <n v="0"/>
    <m/>
    <m/>
    <m/>
    <m/>
    <m/>
    <m/>
    <m/>
    <m/>
    <m/>
    <m/>
    <m/>
    <m/>
    <n v="2"/>
    <n v="22"/>
    <n v="2"/>
    <n v="0"/>
    <n v="0"/>
    <n v="0"/>
    <n v="45480"/>
    <n v="193545"/>
    <n v="18192"/>
    <n v="0"/>
    <n v="0"/>
    <n v="0"/>
    <n v="42355.76583574607"/>
    <n v="2"/>
    <n v="22"/>
    <n v="0"/>
    <n v="0"/>
    <n v="0"/>
    <n v="0"/>
    <n v="27288"/>
    <n v="193545"/>
    <n v="0"/>
    <n v="0"/>
    <n v="0"/>
    <n v="0"/>
    <n v="0"/>
    <n v="1.536"/>
    <n v="22"/>
    <n v="3"/>
    <n v="0"/>
    <n v="0"/>
    <n v="44883"/>
    <n v="200112"/>
    <n v="27288"/>
    <n v="0"/>
    <n v="0"/>
    <n v="0"/>
    <n v="75605.04201680672"/>
    <n v="2"/>
    <n v="19"/>
    <n v="0"/>
    <n v="0"/>
    <n v="0"/>
    <n v="167152.5"/>
    <n v="0"/>
    <n v="0"/>
    <n v="0"/>
    <n v="0"/>
    <n v="0"/>
    <n v="0"/>
    <n v="2"/>
    <n v="3"/>
    <n v="2"/>
    <m/>
    <n v="0"/>
    <n v="0"/>
    <n v="27288"/>
    <n v="17595"/>
    <n v="0"/>
    <n v="0"/>
    <n v="0"/>
    <n v="0"/>
    <n v="50403.36134453781"/>
    <n v="3.3"/>
    <n v="7"/>
    <n v="7"/>
    <m/>
    <n v="0"/>
    <n v="0"/>
    <n v="63672"/>
    <n v="61582.5"/>
    <n v="0"/>
    <n v="0"/>
    <n v="7"/>
    <n v="0"/>
    <n v="176411.7647058823"/>
    <n v="6"/>
    <n v="9"/>
    <n v="9"/>
    <n v="0"/>
    <n v="0"/>
    <n v="0"/>
    <n v="81864"/>
    <n v="79177.5"/>
    <n v="0"/>
    <n v="0"/>
    <n v="9"/>
    <n v="0"/>
    <n v="226815.1260504202"/>
    <n v="6"/>
    <n v="0"/>
    <n v="6"/>
    <n v="0"/>
    <n v="0"/>
    <n v="0"/>
    <n v="0"/>
    <n v="52785"/>
    <n v="0"/>
    <n v="0"/>
    <n v="0"/>
    <n v="0"/>
    <n v="151210.0840336134"/>
    <n v="6"/>
    <n v="0"/>
    <n v="6"/>
    <n v="0"/>
    <n v="0"/>
    <n v="0"/>
    <n v="0"/>
    <n v="52785"/>
    <n v="0"/>
    <n v="0"/>
    <n v="0"/>
    <n v="0"/>
    <n v="151210.084033613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2"/>
    <s v="LTS26-WKF04"/>
    <x v="445"/>
    <x v="363"/>
    <x v="0"/>
    <x v="2"/>
    <n v="1"/>
    <x v="3"/>
    <n v="0"/>
    <m/>
    <n v="0"/>
    <n v="9096"/>
    <n v="0"/>
    <n v="8.5"/>
    <n v="9286.25"/>
    <n v="25201.68067226891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6992511019885693"/>
    <n v="0"/>
    <s v=""/>
    <n v="1"/>
    <n v="0.5989771607740232"/>
    <n v="0"/>
    <s v=""/>
    <n v="0"/>
    <n v="0"/>
    <s v=""/>
    <n v="0"/>
    <n v="7"/>
    <n v="0.1971744840525329"/>
    <n v="4.666666666666667"/>
    <n v="4"/>
    <n v="0.2779312875250167"/>
    <n v="1.333333333333333"/>
    <n v="0"/>
    <s v=""/>
    <n v="0"/>
    <m/>
    <m/>
    <m/>
    <m/>
    <m/>
    <m/>
    <m/>
    <m/>
    <m/>
    <m/>
    <m/>
    <m/>
    <n v="2"/>
    <n v="13"/>
    <n v="2"/>
    <n v="0"/>
    <n v="0"/>
    <n v="0"/>
    <n v="27288"/>
    <n v="114367.5"/>
    <n v="18192"/>
    <n v="0"/>
    <n v="0"/>
    <n v="0"/>
    <n v="42355.76583574607"/>
    <n v="2"/>
    <n v="11"/>
    <n v="0"/>
    <n v="0"/>
    <n v="0"/>
    <n v="0"/>
    <n v="9096"/>
    <n v="96772.5"/>
    <n v="0"/>
    <n v="0"/>
    <n v="0"/>
    <n v="0"/>
    <n v="0"/>
    <n v="3"/>
    <n v="11"/>
    <n v="1"/>
    <n v="0"/>
    <n v="0"/>
    <n v="17893.5"/>
    <n v="100056"/>
    <n v="9096"/>
    <n v="0"/>
    <n v="0"/>
    <n v="0"/>
    <n v="25201.68067226891"/>
    <n v="3"/>
    <n v="10"/>
    <n v="0"/>
    <n v="0"/>
    <n v="0"/>
    <n v="87975"/>
    <n v="0"/>
    <n v="0"/>
    <n v="0"/>
    <n v="0"/>
    <n v="0"/>
    <n v="0"/>
    <n v="1"/>
    <n v="0"/>
    <n v="1"/>
    <m/>
    <n v="0"/>
    <n v="0"/>
    <n v="0"/>
    <n v="8797.5"/>
    <n v="0"/>
    <n v="0"/>
    <n v="0"/>
    <n v="0"/>
    <n v="25201.68067226891"/>
    <n v="1.5"/>
    <n v="7"/>
    <n v="7"/>
    <m/>
    <n v="0"/>
    <n v="0"/>
    <n v="63672"/>
    <n v="61582.5"/>
    <n v="0"/>
    <n v="0"/>
    <n v="7"/>
    <n v="0"/>
    <n v="176411.7647058823"/>
    <n v="3"/>
    <n v="4"/>
    <n v="4"/>
    <n v="0"/>
    <n v="0"/>
    <n v="0"/>
    <n v="36384"/>
    <n v="35190"/>
    <n v="0"/>
    <n v="0"/>
    <n v="4"/>
    <n v="0"/>
    <n v="100806.7226890756"/>
    <n v="3"/>
    <n v="0"/>
    <n v="3"/>
    <n v="0"/>
    <n v="0"/>
    <n v="0"/>
    <n v="0"/>
    <n v="26392.5"/>
    <n v="0"/>
    <n v="0"/>
    <n v="0"/>
    <n v="0"/>
    <n v="75605.04201680672"/>
    <n v="3"/>
    <n v="0"/>
    <n v="3"/>
    <n v="0"/>
    <n v="0"/>
    <n v="0"/>
    <n v="0"/>
    <n v="26392.5"/>
    <n v="0"/>
    <n v="0"/>
    <n v="0"/>
    <n v="0"/>
    <n v="75605.0420168067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2"/>
    <s v="LTS26-WKF04"/>
    <x v="446"/>
    <x v="363"/>
    <x v="0"/>
    <x v="2"/>
    <n v="1"/>
    <x v="3"/>
    <n v="0"/>
    <m/>
    <n v="0"/>
    <n v="9096"/>
    <n v="0"/>
    <n v="8.5"/>
    <n v="9286.25"/>
    <n v="25201.68067226891"/>
    <n v="21000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03634064152384"/>
    <n v="4"/>
    <n v="0.5045799514277827"/>
    <n v="3"/>
    <n v="0.3312428120703121"/>
    <n v="1"/>
    <n v="2"/>
    <n v="0.639084361453818"/>
    <n v="2"/>
    <n v="3"/>
    <n v="0.3934920634920635"/>
    <n v="2"/>
    <n v="0"/>
    <s v=""/>
    <n v="0"/>
    <n v="0"/>
    <s v=""/>
    <n v="0"/>
    <m/>
    <m/>
    <m/>
    <m/>
    <m/>
    <m/>
    <m/>
    <m/>
    <m/>
    <m/>
    <m/>
    <m/>
    <n v="2"/>
    <n v="13"/>
    <n v="2"/>
    <n v="0"/>
    <n v="0"/>
    <n v="0"/>
    <n v="68220"/>
    <n v="114367.5"/>
    <n v="18192"/>
    <n v="0"/>
    <n v="0"/>
    <n v="0"/>
    <n v="42355.76583574607"/>
    <n v="2"/>
    <n v="13"/>
    <n v="1.5"/>
    <n v="0"/>
    <n v="0"/>
    <n v="0"/>
    <n v="77316"/>
    <n v="114367.5"/>
    <n v="13644"/>
    <n v="0"/>
    <n v="0"/>
    <n v="0"/>
    <n v="31766.82437680955"/>
    <n v="3"/>
    <n v="12"/>
    <n v="4"/>
    <n v="0"/>
    <n v="0"/>
    <n v="72469.5"/>
    <n v="109152"/>
    <n v="36384"/>
    <n v="0"/>
    <n v="0"/>
    <n v="0"/>
    <n v="100806.7226890756"/>
    <n v="3"/>
    <n v="7"/>
    <n v="3"/>
    <n v="0"/>
    <n v="0"/>
    <n v="61582.5"/>
    <n v="27288"/>
    <n v="0"/>
    <n v="0"/>
    <n v="0"/>
    <n v="0"/>
    <n v="75605.04201680672"/>
    <n v="1"/>
    <n v="2"/>
    <n v="1"/>
    <m/>
    <n v="0"/>
    <n v="0"/>
    <n v="18192"/>
    <n v="8797.5"/>
    <n v="0"/>
    <n v="0"/>
    <n v="0"/>
    <n v="0"/>
    <n v="25201.68067226891"/>
    <n v="1.5"/>
    <n v="3"/>
    <n v="3"/>
    <m/>
    <n v="0"/>
    <n v="0"/>
    <n v="27288"/>
    <n v="26392.5"/>
    <n v="0"/>
    <n v="0"/>
    <n v="3"/>
    <n v="0"/>
    <n v="75605.04201680672"/>
    <n v="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8797.5"/>
    <n v="0"/>
    <n v="0"/>
    <n v="0"/>
    <n v="0"/>
    <n v="25201.68067226891"/>
    <n v="1"/>
    <n v="0"/>
    <n v="1"/>
    <n v="0"/>
    <n v="0"/>
    <n v="0"/>
    <n v="0"/>
    <n v="8797.5"/>
    <n v="0"/>
    <n v="0"/>
    <n v="0"/>
    <n v="0"/>
    <n v="25201.68067226891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2"/>
    <s v="LTS27-MFZH01"/>
    <x v="447"/>
    <x v="364"/>
    <x v="0"/>
    <x v="4"/>
    <n v="1"/>
    <x v="50"/>
    <n v="0"/>
    <m/>
    <n v="0"/>
    <n v="11224"/>
    <n v="0"/>
    <n v="12.2"/>
    <n v="11224"/>
    <n v="28295.79831932773"/>
    <n v="24051.42857142857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33"/>
    <n v="33"/>
    <n v="33"/>
    <n v="0"/>
    <n v="0"/>
    <n v="0"/>
    <n v="416690.9999999999"/>
    <n v="416690.9999999999"/>
    <n v="33"/>
    <n v="416690.9999999999"/>
    <n v="0"/>
    <n v="7"/>
    <n v="33"/>
    <n v="7"/>
    <n v="0"/>
    <n v="0"/>
    <n v="416690.9999999999"/>
    <n v="88388.99999999999"/>
    <n v="0"/>
    <n v="0"/>
    <n v="33"/>
    <n v="416690.9999999999"/>
    <n v="176778"/>
    <n v="9"/>
    <n v="26"/>
    <n v="9"/>
    <n v="0"/>
    <n v="0"/>
    <n v="328301.9999999999"/>
    <n v="113643"/>
    <n v="0"/>
    <n v="26"/>
    <n v="328301.9999999999"/>
    <n v="254662.1848739496"/>
    <n v="4.2"/>
    <n v="17"/>
    <n v="4.2"/>
    <n v="0"/>
    <m/>
    <n v="214659"/>
    <n v="47140.8"/>
    <n v="0"/>
    <n v="17"/>
    <n v="214659"/>
    <n v="118842.3529411765"/>
  </r>
  <r>
    <s v="Lhotse-Vestuario"/>
    <x v="4"/>
    <x v="21"/>
    <x v="52"/>
    <s v="LTS27-MFZH01"/>
    <x v="448"/>
    <x v="365"/>
    <x v="0"/>
    <x v="4"/>
    <n v="1"/>
    <x v="50"/>
    <n v="0"/>
    <m/>
    <n v="0"/>
    <n v="11224"/>
    <n v="0"/>
    <n v="12.2"/>
    <n v="11224"/>
    <n v="28295.79831932773"/>
    <n v="24051.42857142857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33"/>
    <n v="33"/>
    <n v="33"/>
    <n v="0"/>
    <n v="0"/>
    <n v="0"/>
    <n v="416690.9999999999"/>
    <n v="416690.9999999999"/>
    <n v="33"/>
    <n v="416690.9999999999"/>
    <n v="0"/>
    <n v="7"/>
    <n v="33"/>
    <n v="7"/>
    <n v="0"/>
    <n v="0"/>
    <n v="416690.9999999999"/>
    <n v="88388.99999999999"/>
    <n v="0"/>
    <n v="0"/>
    <n v="33"/>
    <n v="416690.9999999999"/>
    <n v="176778"/>
    <n v="9"/>
    <n v="26"/>
    <n v="9"/>
    <n v="0"/>
    <n v="0"/>
    <n v="328301.9999999999"/>
    <n v="113643"/>
    <n v="0"/>
    <n v="26"/>
    <n v="328301.9999999999"/>
    <n v="254662.1848739496"/>
    <n v="4.2"/>
    <n v="17"/>
    <n v="4.2"/>
    <n v="0"/>
    <m/>
    <n v="214659"/>
    <n v="47140.8"/>
    <n v="0"/>
    <n v="17"/>
    <n v="214659"/>
    <n v="118842.3529411765"/>
  </r>
  <r>
    <s v="Lhotse-Vestuario"/>
    <x v="4"/>
    <x v="21"/>
    <x v="52"/>
    <s v="LTS27-MFZH01"/>
    <x v="449"/>
    <x v="366"/>
    <x v="0"/>
    <x v="4"/>
    <n v="1"/>
    <x v="50"/>
    <n v="0"/>
    <m/>
    <n v="0"/>
    <n v="11224"/>
    <n v="0"/>
    <n v="12.2"/>
    <n v="11224"/>
    <n v="28295.79831932773"/>
    <n v="24051.42857142857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29"/>
    <n v="29"/>
    <n v="29"/>
    <n v="0"/>
    <n v="0"/>
    <n v="0"/>
    <n v="366182.9999999999"/>
    <n v="366182.9999999999"/>
    <n v="29"/>
    <n v="366182.9999999999"/>
    <n v="0"/>
    <n v="6"/>
    <n v="29"/>
    <n v="6"/>
    <n v="0"/>
    <n v="0"/>
    <n v="366182.9999999999"/>
    <n v="75761.99999999999"/>
    <n v="0"/>
    <n v="0"/>
    <n v="29"/>
    <n v="366182.9999999999"/>
    <n v="151524"/>
    <n v="8"/>
    <n v="23"/>
    <n v="8"/>
    <n v="0"/>
    <n v="0"/>
    <n v="290420.9999999999"/>
    <n v="101016"/>
    <n v="0"/>
    <n v="23"/>
    <n v="290420.9999999999"/>
    <n v="226366.3865546219"/>
    <n v="3.6"/>
    <n v="15"/>
    <n v="3.6"/>
    <n v="0"/>
    <m/>
    <n v="189405"/>
    <n v="40406.39999999999"/>
    <n v="0"/>
    <n v="15"/>
    <n v="189405"/>
    <n v="101864.8739495798"/>
  </r>
  <r>
    <s v="Lhotse-Vestuario"/>
    <x v="4"/>
    <x v="21"/>
    <x v="52"/>
    <s v="LTS27-MFZH01"/>
    <x v="450"/>
    <x v="367"/>
    <x v="0"/>
    <x v="4"/>
    <n v="1"/>
    <x v="50"/>
    <n v="0"/>
    <m/>
    <n v="0"/>
    <n v="11224"/>
    <n v="0"/>
    <n v="12.2"/>
    <n v="11224"/>
    <n v="28295.79831932773"/>
    <n v="24051.42857142857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29"/>
    <n v="29"/>
    <n v="29"/>
    <n v="0"/>
    <n v="0"/>
    <n v="0"/>
    <n v="366182.9999999999"/>
    <n v="366182.9999999999"/>
    <n v="29"/>
    <n v="366182.9999999999"/>
    <n v="0"/>
    <n v="6"/>
    <n v="29"/>
    <n v="6"/>
    <n v="0"/>
    <n v="0"/>
    <n v="366182.9999999999"/>
    <n v="75761.99999999999"/>
    <n v="0"/>
    <n v="0"/>
    <n v="29"/>
    <n v="366182.9999999999"/>
    <n v="151524"/>
    <n v="8"/>
    <n v="23"/>
    <n v="8"/>
    <n v="0"/>
    <n v="0"/>
    <n v="290420.9999999999"/>
    <n v="101016"/>
    <n v="0"/>
    <n v="23"/>
    <n v="290420.9999999999"/>
    <n v="226366.3865546219"/>
    <n v="3.6"/>
    <n v="15"/>
    <n v="3.6"/>
    <n v="0"/>
    <m/>
    <n v="189405"/>
    <n v="40406.39999999999"/>
    <n v="0"/>
    <n v="15"/>
    <n v="189405"/>
    <n v="101864.8739495798"/>
  </r>
  <r>
    <s v="Lhotse-Vestuario"/>
    <x v="4"/>
    <x v="21"/>
    <x v="52"/>
    <s v="LTS27-MFZH01"/>
    <x v="451"/>
    <x v="368"/>
    <x v="0"/>
    <x v="4"/>
    <n v="1"/>
    <x v="50"/>
    <n v="0"/>
    <m/>
    <n v="0"/>
    <n v="11224"/>
    <n v="0"/>
    <n v="12.2"/>
    <n v="11224"/>
    <n v="28295.79831932773"/>
    <n v="24051.42857142857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1"/>
    <n v="11"/>
    <n v="11"/>
    <n v="0"/>
    <n v="0"/>
    <n v="0"/>
    <n v="138897"/>
    <n v="138897"/>
    <n v="11"/>
    <n v="138897"/>
    <n v="0"/>
    <n v="2"/>
    <n v="11"/>
    <n v="2"/>
    <n v="0"/>
    <n v="0"/>
    <n v="138897"/>
    <n v="25254"/>
    <n v="0"/>
    <n v="0"/>
    <n v="11"/>
    <n v="138897"/>
    <n v="50508.00000000001"/>
    <n v="3"/>
    <n v="9"/>
    <n v="3"/>
    <n v="0"/>
    <n v="0"/>
    <n v="113643"/>
    <n v="37880.99999999999"/>
    <n v="0"/>
    <n v="9"/>
    <n v="113643"/>
    <n v="84887.3949579832"/>
    <n v="1.2"/>
    <n v="6"/>
    <n v="1.2"/>
    <n v="0"/>
    <m/>
    <n v="75761.99999999999"/>
    <n v="13468.8"/>
    <n v="0"/>
    <n v="6"/>
    <n v="75761.99999999999"/>
    <n v="33954.95798319328"/>
  </r>
  <r>
    <s v="Lhotse-Vestuario"/>
    <x v="4"/>
    <x v="21"/>
    <x v="52"/>
    <s v="LTS27-MFZH01"/>
    <x v="452"/>
    <x v="369"/>
    <x v="0"/>
    <x v="4"/>
    <n v="1"/>
    <x v="50"/>
    <n v="0"/>
    <m/>
    <n v="0"/>
    <n v="11224"/>
    <n v="0"/>
    <n v="12.2"/>
    <n v="11224"/>
    <n v="28295.79831932773"/>
    <n v="24051.42857142857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1"/>
    <n v="11"/>
    <n v="11"/>
    <n v="0"/>
    <n v="0"/>
    <n v="0"/>
    <n v="138897"/>
    <n v="138897"/>
    <n v="11"/>
    <n v="138897"/>
    <n v="0"/>
    <n v="2"/>
    <n v="11"/>
    <n v="2"/>
    <n v="0"/>
    <n v="0"/>
    <n v="138897"/>
    <n v="25254"/>
    <n v="0"/>
    <n v="0"/>
    <n v="11"/>
    <n v="138897"/>
    <n v="50508.00000000001"/>
    <n v="3"/>
    <n v="9"/>
    <n v="3"/>
    <n v="0"/>
    <n v="0"/>
    <n v="113643"/>
    <n v="37880.99999999999"/>
    <n v="0"/>
    <n v="9"/>
    <n v="113643"/>
    <n v="84887.3949579832"/>
    <n v="1.2"/>
    <n v="6"/>
    <n v="1.2"/>
    <n v="0"/>
    <m/>
    <n v="75761.99999999999"/>
    <n v="13468.8"/>
    <n v="0"/>
    <n v="6"/>
    <n v="75761.99999999999"/>
    <n v="33954.95798319328"/>
  </r>
  <r>
    <s v="Lhotse-Vestuario"/>
    <x v="4"/>
    <x v="21"/>
    <x v="52"/>
    <s v="LTS27-MFZH01"/>
    <x v="453"/>
    <x v="370"/>
    <x v="0"/>
    <x v="4"/>
    <n v="1"/>
    <x v="50"/>
    <n v="0"/>
    <m/>
    <n v="0"/>
    <n v="11224"/>
    <n v="0"/>
    <n v="12.2"/>
    <n v="11224"/>
    <n v="28295.79831932773"/>
    <n v="24051.42857142857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21"/>
    <n v="21"/>
    <n v="21"/>
    <n v="0"/>
    <n v="0"/>
    <n v="0"/>
    <n v="265166.9999999999"/>
    <n v="265166.9999999999"/>
    <n v="21"/>
    <n v="265166.9999999999"/>
    <n v="0"/>
    <n v="5"/>
    <n v="21"/>
    <n v="5"/>
    <n v="0"/>
    <n v="0"/>
    <n v="265166.9999999999"/>
    <n v="63134.99999999999"/>
    <n v="0"/>
    <n v="0"/>
    <n v="21"/>
    <n v="265166.9999999999"/>
    <n v="126270"/>
    <n v="6"/>
    <n v="16"/>
    <n v="6"/>
    <n v="0"/>
    <n v="0"/>
    <n v="202032"/>
    <n v="75761.99999999999"/>
    <n v="0"/>
    <n v="16"/>
    <n v="202032"/>
    <n v="169774.7899159664"/>
    <n v="3"/>
    <n v="10"/>
    <n v="3"/>
    <n v="0"/>
    <m/>
    <n v="126270"/>
    <n v="33672"/>
    <n v="0"/>
    <n v="10"/>
    <n v="126270"/>
    <n v="84887.3949579832"/>
  </r>
  <r>
    <m/>
    <x v="4"/>
    <x v="21"/>
    <x v="52"/>
    <s v="LTS27-MFZH01"/>
    <x v="454"/>
    <x v="371"/>
    <x v="0"/>
    <x v="4"/>
    <n v="1"/>
    <x v="50"/>
    <n v="0"/>
    <m/>
    <n v="0"/>
    <n v="11224"/>
    <n v="0"/>
    <n v="12.2"/>
    <n v="11224"/>
    <n v="28295.79831932773"/>
    <n v="24051.42857142857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21"/>
    <n v="21"/>
    <n v="21"/>
    <n v="0"/>
    <n v="0"/>
    <n v="0"/>
    <n v="265166.9999999999"/>
    <n v="265166.9999999999"/>
    <n v="21"/>
    <n v="265166.9999999999"/>
    <n v="0"/>
    <n v="5"/>
    <n v="21"/>
    <n v="5"/>
    <n v="0"/>
    <n v="0"/>
    <n v="265166.9999999999"/>
    <n v="63134.99999999999"/>
    <n v="0"/>
    <n v="0"/>
    <n v="21"/>
    <n v="265166.9999999999"/>
    <n v="126270"/>
    <n v="6"/>
    <n v="16"/>
    <n v="6"/>
    <n v="0"/>
    <n v="0"/>
    <n v="202032"/>
    <n v="75761.99999999999"/>
    <n v="0"/>
    <n v="16"/>
    <n v="202032"/>
    <n v="169774.7899159664"/>
    <n v="3"/>
    <n v="10"/>
    <n v="3"/>
    <n v="0"/>
    <m/>
    <n v="126270"/>
    <n v="33672"/>
    <n v="0"/>
    <n v="10"/>
    <n v="126270"/>
    <n v="84887.3949579832"/>
  </r>
  <r>
    <m/>
    <x v="4"/>
    <x v="21"/>
    <x v="52"/>
    <s v="LTS27-MFZH01"/>
    <x v="455"/>
    <x v="372"/>
    <x v="0"/>
    <x v="4"/>
    <n v="1"/>
    <x v="50"/>
    <n v="0"/>
    <m/>
    <n v="0"/>
    <n v="11224"/>
    <n v="0"/>
    <n v="12.2"/>
    <n v="11224"/>
    <n v="28295.79831932773"/>
    <n v="24051.42857142857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6"/>
    <n v="6"/>
    <n v="6"/>
    <n v="0"/>
    <n v="0"/>
    <n v="0"/>
    <n v="75761.99999999999"/>
    <n v="75761.99999999999"/>
    <n v="6"/>
    <n v="75761.99999999999"/>
    <n v="0"/>
    <n v="1"/>
    <n v="6"/>
    <n v="1"/>
    <n v="0"/>
    <n v="0"/>
    <n v="75761.99999999999"/>
    <n v="12627"/>
    <n v="0"/>
    <n v="0"/>
    <n v="6"/>
    <n v="75761.99999999999"/>
    <n v="25254"/>
    <n v="2"/>
    <n v="5"/>
    <n v="2"/>
    <n v="0"/>
    <n v="0"/>
    <n v="63134.99999999999"/>
    <n v="25254"/>
    <n v="0"/>
    <n v="5"/>
    <n v="63134.99999999999"/>
    <n v="56591.59663865546"/>
    <n v="0.6"/>
    <n v="3"/>
    <n v="0.6"/>
    <n v="0"/>
    <m/>
    <n v="37880.99999999999"/>
    <n v="6734.4"/>
    <n v="0"/>
    <n v="3"/>
    <n v="37880.99999999999"/>
    <n v="16977.47899159664"/>
  </r>
  <r>
    <m/>
    <x v="4"/>
    <x v="21"/>
    <x v="52"/>
    <s v="LTS27-MFZH01"/>
    <x v="456"/>
    <x v="373"/>
    <x v="0"/>
    <x v="4"/>
    <n v="1"/>
    <x v="50"/>
    <n v="0"/>
    <m/>
    <n v="0"/>
    <n v="11224"/>
    <n v="0"/>
    <n v="12.2"/>
    <n v="11224"/>
    <n v="28295.79831932773"/>
    <n v="24051.42857142857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6"/>
    <n v="6"/>
    <n v="6"/>
    <n v="0"/>
    <n v="0"/>
    <n v="0"/>
    <n v="75761.99999999999"/>
    <n v="75761.99999999999"/>
    <n v="6"/>
    <n v="75761.99999999999"/>
    <n v="0"/>
    <n v="1"/>
    <n v="6"/>
    <n v="1"/>
    <n v="0"/>
    <n v="0"/>
    <n v="75761.99999999999"/>
    <n v="12627"/>
    <n v="0"/>
    <n v="0"/>
    <n v="6"/>
    <n v="75761.99999999999"/>
    <n v="25254"/>
    <n v="2"/>
    <n v="5"/>
    <n v="2"/>
    <n v="0"/>
    <n v="0"/>
    <n v="63134.99999999999"/>
    <n v="25254"/>
    <n v="0"/>
    <n v="5"/>
    <n v="63134.99999999999"/>
    <n v="56591.59663865546"/>
    <n v="0.6"/>
    <n v="3"/>
    <n v="0.6"/>
    <n v="0"/>
    <m/>
    <n v="37880.99999999999"/>
    <n v="6734.4"/>
    <n v="0"/>
    <n v="3"/>
    <n v="37880.99999999999"/>
    <n v="16977.47899159664"/>
  </r>
  <r>
    <m/>
    <x v="4"/>
    <x v="21"/>
    <x v="52"/>
    <s v="LTW25-MKF03"/>
    <x v="457"/>
    <x v="374"/>
    <x v="0"/>
    <x v="2"/>
    <n v="0.6"/>
    <x v="3"/>
    <n v="2"/>
    <m/>
    <n v="0"/>
    <n v="8553"/>
    <n v="17106"/>
    <n v="8.1"/>
    <n v="8849.25"/>
    <n v="25201.68067226891"/>
    <n v="21000"/>
    <s v="Shenzhen"/>
    <s v="30/70"/>
    <n v="30"/>
    <n v="1"/>
    <n v="0"/>
    <s v=""/>
    <n v="0"/>
    <s v=""/>
    <n v="0"/>
    <s v=""/>
    <n v="1"/>
    <n v="0.4227032305643694"/>
    <n v="2"/>
    <n v="0.5342477265714338"/>
    <n v="11"/>
    <n v="0.5808997607943233"/>
    <n v="37"/>
    <n v="0.4829768633829251"/>
    <n v="8"/>
    <n v="0.5533595547729924"/>
    <n v="4"/>
    <n v="0.6297543449559553"/>
    <n v="10"/>
    <n v="0.6983437727038674"/>
    <n v="2"/>
    <n v="0.5234239705800412"/>
    <n v="3"/>
    <n v="0.7650834050500797"/>
    <n v="1"/>
    <n v="0.6606221539132827"/>
    <n v="2"/>
    <n v="0.7091261644512803"/>
    <n v="6"/>
    <n v="0.6948681120870502"/>
    <n v="2"/>
    <n v="0.517095561662934"/>
    <n v="0.25"/>
    <n v="3"/>
    <n v="0.6914894111465868"/>
    <n v="0.2"/>
    <n v="7"/>
    <n v="0.5235466529898944"/>
    <n v="0.1754385964912281"/>
    <n v="1"/>
    <n v="4.863458618071374"/>
    <n v="0.25"/>
    <n v="0"/>
    <s v=""/>
    <n v="0"/>
    <m/>
    <m/>
    <m/>
    <m/>
    <m/>
    <m/>
    <m/>
    <m/>
    <m/>
    <m/>
    <m/>
    <m/>
    <n v="5"/>
    <n v="22"/>
    <n v="5"/>
    <n v="0"/>
    <n v="0"/>
    <n v="0"/>
    <n v="119742"/>
    <n v="184437"/>
    <n v="42765"/>
    <n v="0"/>
    <n v="2"/>
    <n v="17106"/>
    <n v="105889.4145893652"/>
    <n v="3"/>
    <n v="22"/>
    <n v="3"/>
    <n v="0"/>
    <n v="0"/>
    <n v="0"/>
    <n v="94083"/>
    <n v="184437"/>
    <n v="25659"/>
    <n v="0"/>
    <n v="2"/>
    <n v="17106"/>
    <n v="63533.6487536191"/>
    <n v="4"/>
    <n v="17"/>
    <n v="6"/>
    <n v="0"/>
    <n v="0"/>
    <n v="143875.5"/>
    <n v="145401"/>
    <n v="51318"/>
    <n v="0"/>
    <n v="2"/>
    <n v="17106"/>
    <n v="151210.0840336134"/>
    <n v="8"/>
    <n v="11"/>
    <n v="2"/>
    <n v="0"/>
    <n v="0"/>
    <n v="92218.5"/>
    <n v="17106"/>
    <n v="0"/>
    <n v="0"/>
    <n v="2"/>
    <n v="17106"/>
    <n v="50403.36134453781"/>
    <n v="15"/>
    <n v="5"/>
    <n v="9"/>
    <m/>
    <n v="0"/>
    <n v="0"/>
    <n v="42765"/>
    <n v="75451.5"/>
    <n v="0"/>
    <n v="0"/>
    <n v="2"/>
    <n v="17106"/>
    <n v="226815.1260504202"/>
    <n v="39.9"/>
    <n v="9"/>
    <n v="7"/>
    <m/>
    <n v="0"/>
    <n v="0"/>
    <n v="76977"/>
    <n v="58684.5"/>
    <n v="0"/>
    <n v="0"/>
    <n v="9"/>
    <n v="17106"/>
    <n v="176411.7647058823"/>
    <n v="4"/>
    <n v="3"/>
    <n v="1"/>
    <n v="0"/>
    <n v="0"/>
    <n v="0"/>
    <n v="25659"/>
    <n v="8383.5"/>
    <n v="0"/>
    <n v="0"/>
    <n v="3"/>
    <n v="17106"/>
    <n v="25201.68067226891"/>
    <n v="4"/>
    <n v="2"/>
    <n v="2.4"/>
    <n v="0"/>
    <n v="0"/>
    <n v="0"/>
    <n v="17106"/>
    <n v="20120.4"/>
    <n v="0"/>
    <n v="0"/>
    <n v="2"/>
    <n v="17106"/>
    <n v="60484.03361344538"/>
    <n v="4"/>
    <n v="0"/>
    <n v="2.4"/>
    <n v="0"/>
    <n v="0"/>
    <n v="0"/>
    <n v="0"/>
    <n v="20120.4"/>
    <n v="0"/>
    <n v="0"/>
    <n v="0"/>
    <n v="0"/>
    <n v="60484.03361344538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2"/>
    <s v="LTW25-MKF03"/>
    <x v="458"/>
    <x v="374"/>
    <x v="0"/>
    <x v="2"/>
    <n v="0.6"/>
    <x v="3"/>
    <n v="40"/>
    <m/>
    <n v="0"/>
    <n v="8553"/>
    <n v="342120"/>
    <n v="8.1"/>
    <n v="8849.25"/>
    <n v="25201.68067226891"/>
    <n v="21000"/>
    <s v="Shenzhen"/>
    <s v="30/70"/>
    <n v="30"/>
    <n v="1"/>
    <n v="0"/>
    <s v=""/>
    <n v="0"/>
    <s v=""/>
    <n v="0"/>
    <s v=""/>
    <n v="2"/>
    <n v="0.6613162097593812"/>
    <n v="1"/>
    <n v="0.5942298021727787"/>
    <n v="11"/>
    <n v="0.5450497816762814"/>
    <n v="17"/>
    <n v="0.5208148179882812"/>
    <n v="6"/>
    <n v="0.5712595030827584"/>
    <n v="3"/>
    <n v="0.6509170679944494"/>
    <n v="6"/>
    <n v="0.678490289437414"/>
    <n v="0"/>
    <n v="1.000054735840076"/>
    <n v="2"/>
    <n v="0.7454994495194454"/>
    <n v="4"/>
    <n v="0.7285257684513678"/>
    <n v="1"/>
    <n v="0"/>
    <n v="1"/>
    <n v="0.6606221539132827"/>
    <n v="1"/>
    <n v="0"/>
    <n v="0.1666666666666667"/>
    <n v="2"/>
    <n v="0.7455056011202241"/>
    <n v="0.25"/>
    <n v="18"/>
    <n v="0.2667193190802423"/>
    <n v="0.4511278195488722"/>
    <n v="16"/>
    <n v="0.3490175762590589"/>
    <n v="0.8"/>
    <n v="5"/>
    <n v="0.3210062708472315"/>
    <n v="0.25"/>
    <m/>
    <m/>
    <m/>
    <m/>
    <m/>
    <m/>
    <m/>
    <m/>
    <m/>
    <m/>
    <m/>
    <m/>
    <n v="6"/>
    <n v="64"/>
    <n v="6"/>
    <n v="0"/>
    <n v="0"/>
    <n v="0"/>
    <n v="72700.5"/>
    <n v="536544"/>
    <n v="51318"/>
    <n v="0"/>
    <n v="40"/>
    <n v="342120"/>
    <n v="127067.2975072382"/>
    <n v="5"/>
    <n v="60"/>
    <n v="1.5"/>
    <n v="0"/>
    <n v="0"/>
    <n v="0"/>
    <n v="29935.5"/>
    <n v="503010"/>
    <n v="12829.5"/>
    <n v="0"/>
    <n v="40"/>
    <n v="342120"/>
    <n v="31766.82437680955"/>
    <n v="5"/>
    <n v="57"/>
    <n v="1"/>
    <n v="0"/>
    <n v="0"/>
    <n v="57346.8"/>
    <n v="487521"/>
    <n v="8553"/>
    <n v="0"/>
    <n v="40"/>
    <n v="342120"/>
    <n v="25201.68067226891"/>
    <n v="6"/>
    <n v="58"/>
    <n v="1"/>
    <n v="0"/>
    <n v="0"/>
    <n v="486243"/>
    <n v="8553"/>
    <n v="0"/>
    <n v="0"/>
    <n v="40"/>
    <n v="342120"/>
    <n v="25201.68067226891"/>
    <n v="8"/>
    <n v="42"/>
    <n v="4.8"/>
    <m/>
    <n v="0"/>
    <n v="0"/>
    <n v="359226"/>
    <n v="40240.8"/>
    <n v="0"/>
    <n v="0"/>
    <n v="40"/>
    <n v="342120"/>
    <n v="120968.0672268908"/>
    <n v="39.9"/>
    <n v="58"/>
    <n v="18"/>
    <m/>
    <n v="0"/>
    <n v="0"/>
    <n v="496074"/>
    <n v="150903"/>
    <n v="0"/>
    <n v="0"/>
    <n v="58"/>
    <n v="342120"/>
    <n v="453630.2521008403"/>
    <n v="20"/>
    <n v="56"/>
    <n v="16"/>
    <n v="0"/>
    <n v="0"/>
    <n v="0"/>
    <n v="478968"/>
    <n v="134136"/>
    <n v="0"/>
    <n v="0"/>
    <n v="56"/>
    <n v="342120"/>
    <n v="403226.8907563025"/>
    <n v="20"/>
    <n v="40"/>
    <n v="12"/>
    <n v="0"/>
    <n v="0"/>
    <n v="0"/>
    <n v="342120"/>
    <n v="100602"/>
    <n v="0"/>
    <n v="0"/>
    <n v="40"/>
    <n v="342120"/>
    <n v="302420.1680672269"/>
    <n v="20"/>
    <n v="28"/>
    <n v="12"/>
    <n v="0"/>
    <n v="0"/>
    <n v="0"/>
    <n v="234738"/>
    <n v="100602"/>
    <n v="0"/>
    <n v="0"/>
    <n v="28"/>
    <n v="234738"/>
    <n v="302420.1680672269"/>
    <n v="0"/>
    <n v="16"/>
    <n v="0"/>
    <n v="0"/>
    <n v="0"/>
    <n v="0"/>
    <m/>
    <n v="134136"/>
    <n v="0"/>
    <n v="0"/>
    <n v="0"/>
    <n v="16"/>
    <n v="134136"/>
    <n v="0"/>
    <n v="0"/>
    <n v="16"/>
    <n v="0"/>
    <n v="0"/>
    <n v="0"/>
    <n v="134136"/>
    <n v="0"/>
    <n v="0"/>
    <n v="0"/>
    <n v="16"/>
    <n v="134136"/>
    <n v="0"/>
    <n v="0"/>
    <n v="16"/>
    <n v="0"/>
    <n v="0"/>
    <n v="0"/>
    <n v="134136"/>
    <n v="0"/>
    <n v="0"/>
    <n v="16"/>
    <n v="134136"/>
    <n v="0"/>
    <n v="0"/>
    <n v="16"/>
    <n v="0"/>
    <n v="0"/>
    <m/>
    <n v="134136"/>
    <n v="0"/>
    <n v="0"/>
    <n v="16"/>
    <n v="134136"/>
    <n v="0"/>
  </r>
  <r>
    <s v="Lhotse-Vestuario"/>
    <x v="4"/>
    <x v="21"/>
    <x v="52"/>
    <s v="LTW25-MKF03"/>
    <x v="459"/>
    <x v="374"/>
    <x v="0"/>
    <x v="2"/>
    <n v="0.6"/>
    <x v="3"/>
    <n v="2"/>
    <m/>
    <n v="0"/>
    <n v="8553"/>
    <n v="17106"/>
    <n v="8.1"/>
    <n v="8849.25"/>
    <n v="25201.68067226891"/>
    <n v="21000"/>
    <s v="Shenzhen"/>
    <s v="30/70"/>
    <n v="30"/>
    <n v="1"/>
    <n v="0"/>
    <s v=""/>
    <n v="0"/>
    <s v=""/>
    <n v="0"/>
    <s v=""/>
    <n v="0"/>
    <n v="-2.806032970884856e-05"/>
    <n v="3"/>
    <n v="0.6373317729666471"/>
    <n v="9"/>
    <n v="0.625326060764727"/>
    <n v="13"/>
    <n v="0.4590391621129325"/>
    <n v="6"/>
    <n v="0.5927118536637367"/>
    <n v="4"/>
    <n v="0.7038300524593569"/>
    <n v="10"/>
    <n v="0.5951459527517313"/>
    <n v="0"/>
    <s v=""/>
    <n v="2"/>
    <n v="0.6662113643459256"/>
    <n v="1"/>
    <n v="0.6229168485629453"/>
    <n v="3"/>
    <n v="0.7198034656052442"/>
    <n v="0"/>
    <s v=""/>
    <n v="1"/>
    <n v="0"/>
    <n v="0.25"/>
    <n v="3"/>
    <n v="0.4762816664665626"/>
    <n v="0.75"/>
    <n v="18"/>
    <n v="0.2901133328348164"/>
    <n v="0.6451612903225806"/>
    <n v="2"/>
    <n v="-5.845942228335625e-05"/>
    <n v="0.2857142857142857"/>
    <n v="0"/>
    <s v=""/>
    <n v="0"/>
    <m/>
    <m/>
    <m/>
    <m/>
    <m/>
    <m/>
    <m/>
    <m/>
    <m/>
    <m/>
    <m/>
    <m/>
    <n v="4"/>
    <n v="24"/>
    <n v="4"/>
    <n v="0"/>
    <n v="0"/>
    <n v="0"/>
    <n v="72700.5"/>
    <n v="201204"/>
    <n v="34212"/>
    <n v="0"/>
    <n v="2"/>
    <n v="17106"/>
    <n v="84711.53167149214"/>
    <n v="4"/>
    <n v="26"/>
    <n v="4.5"/>
    <n v="0"/>
    <n v="0"/>
    <n v="0"/>
    <n v="47041.5"/>
    <n v="217971"/>
    <n v="38488.5"/>
    <n v="0"/>
    <n v="2"/>
    <n v="17106"/>
    <n v="95300.47313042865"/>
    <n v="4"/>
    <n v="21"/>
    <n v="0"/>
    <n v="0"/>
    <n v="0"/>
    <n v="28673.4"/>
    <n v="179613"/>
    <n v="0"/>
    <n v="0"/>
    <n v="2"/>
    <n v="17106"/>
    <n v="0"/>
    <n v="4"/>
    <n v="23"/>
    <n v="1"/>
    <n v="0"/>
    <n v="0"/>
    <n v="192820.5"/>
    <n v="8553"/>
    <n v="0"/>
    <n v="0"/>
    <n v="2"/>
    <n v="17106"/>
    <n v="25201.68067226891"/>
    <n v="4"/>
    <n v="5"/>
    <n v="2.4"/>
    <m/>
    <n v="0"/>
    <n v="0"/>
    <n v="42765"/>
    <n v="20120.4"/>
    <n v="0"/>
    <n v="0"/>
    <n v="2"/>
    <n v="17106"/>
    <n v="60484.03361344538"/>
    <n v="27.9"/>
    <n v="20"/>
    <n v="18"/>
    <m/>
    <n v="0"/>
    <n v="0"/>
    <n v="171060"/>
    <n v="150903"/>
    <n v="0"/>
    <n v="0"/>
    <n v="20"/>
    <n v="17106"/>
    <n v="453630.2521008403"/>
    <n v="7"/>
    <n v="4"/>
    <n v="2"/>
    <n v="0"/>
    <n v="0"/>
    <n v="0"/>
    <n v="34212"/>
    <n v="16767"/>
    <n v="0"/>
    <n v="0"/>
    <n v="4"/>
    <n v="17106"/>
    <n v="50403.36134453781"/>
    <n v="7"/>
    <n v="2"/>
    <n v="4.2"/>
    <n v="0"/>
    <n v="0"/>
    <n v="0"/>
    <n v="17106"/>
    <n v="35210.7"/>
    <n v="0"/>
    <n v="0"/>
    <n v="2"/>
    <n v="17106"/>
    <n v="105847.0588235294"/>
    <n v="7"/>
    <n v="0"/>
    <n v="4.2"/>
    <n v="0"/>
    <n v="0"/>
    <n v="0"/>
    <n v="0"/>
    <n v="35210.7"/>
    <n v="0"/>
    <n v="0"/>
    <n v="0"/>
    <n v="0"/>
    <n v="105847.058823529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2"/>
    <s v="LTW25-MKF03"/>
    <x v="460"/>
    <x v="374"/>
    <x v="0"/>
    <x v="2"/>
    <n v="0.5"/>
    <x v="3"/>
    <n v="32"/>
    <m/>
    <n v="0"/>
    <n v="8554"/>
    <n v="273728"/>
    <n v="8.1"/>
    <n v="8849.25"/>
    <n v="25201.68067226891"/>
    <n v="21000"/>
    <s v="Shenzhen"/>
    <s v="30/70"/>
    <n v="30"/>
    <n v="1"/>
    <n v="0"/>
    <s v=""/>
    <n v="0"/>
    <s v=""/>
    <n v="0"/>
    <s v=""/>
    <n v="0"/>
    <s v=""/>
    <n v="0"/>
    <s v=""/>
    <n v="6"/>
    <n v="0.5371562490550063"/>
    <n v="10"/>
    <n v="0.5104271126679948"/>
    <n v="3"/>
    <n v="0.5635958706078438"/>
    <n v="1"/>
    <n v="0.7285205992509364"/>
    <n v="11"/>
    <n v="0.6357777399262152"/>
    <n v="0"/>
    <s v=""/>
    <n v="1"/>
    <n v="0.7454994495194454"/>
    <n v="1"/>
    <n v="0.7454994844714358"/>
    <n v="0"/>
    <s v=""/>
    <n v="0"/>
    <s v=""/>
    <n v="0"/>
    <s v=""/>
    <n v="0"/>
    <n v="1"/>
    <n v="0.7455056011202241"/>
    <n v="0.1666666666666667"/>
    <n v="12"/>
    <n v="0.3243640175338288"/>
    <n v="0.4395604395604396"/>
    <n v="7"/>
    <n v="0.3111596136554804"/>
    <n v="0.5384615384615384"/>
    <n v="7"/>
    <n v="0.4516673336822338"/>
    <n v="0.5384615384615384"/>
    <m/>
    <m/>
    <m/>
    <m/>
    <m/>
    <m/>
    <m/>
    <m/>
    <m/>
    <m/>
    <m/>
    <m/>
    <n v="6"/>
    <n v="38"/>
    <n v="6"/>
    <n v="0"/>
    <n v="0"/>
    <n v="0"/>
    <n v="51324"/>
    <n v="318573"/>
    <n v="51324"/>
    <n v="0"/>
    <n v="32"/>
    <n v="273728"/>
    <n v="127067.2975072382"/>
    <n v="5"/>
    <n v="37"/>
    <n v="0"/>
    <n v="0"/>
    <n v="0"/>
    <n v="0"/>
    <n v="0"/>
    <n v="310189.5"/>
    <n v="0"/>
    <n v="0"/>
    <n v="32"/>
    <n v="273728"/>
    <n v="0"/>
    <n v="5"/>
    <n v="37"/>
    <n v="0"/>
    <n v="0"/>
    <n v="0"/>
    <n v="25150.5"/>
    <n v="316498"/>
    <n v="0"/>
    <n v="0"/>
    <n v="32"/>
    <n v="273728"/>
    <n v="0"/>
    <n v="4"/>
    <n v="37"/>
    <n v="0"/>
    <n v="0"/>
    <n v="0"/>
    <n v="310189.5"/>
    <n v="0"/>
    <n v="0"/>
    <n v="0"/>
    <n v="32"/>
    <n v="273728"/>
    <n v="0"/>
    <n v="6"/>
    <n v="33"/>
    <n v="3"/>
    <m/>
    <n v="0"/>
    <n v="0"/>
    <n v="282282"/>
    <n v="25150.5"/>
    <n v="0"/>
    <n v="0"/>
    <n v="32"/>
    <n v="273728"/>
    <n v="75605.04201680672"/>
    <n v="27.3"/>
    <n v="44"/>
    <n v="12"/>
    <m/>
    <n v="0"/>
    <n v="0"/>
    <n v="376376"/>
    <n v="100602"/>
    <n v="0"/>
    <n v="0"/>
    <n v="44"/>
    <n v="273728"/>
    <n v="302420.1680672269"/>
    <n v="13"/>
    <n v="39"/>
    <n v="7"/>
    <n v="0"/>
    <n v="0"/>
    <n v="0"/>
    <n v="333606"/>
    <n v="58684.5"/>
    <n v="0"/>
    <n v="0"/>
    <n v="39"/>
    <n v="273728"/>
    <n v="176411.7647058823"/>
    <n v="13"/>
    <n v="32"/>
    <n v="6.5"/>
    <n v="0"/>
    <n v="0"/>
    <n v="0"/>
    <n v="273728"/>
    <n v="54492.75"/>
    <n v="0"/>
    <n v="0"/>
    <n v="32"/>
    <n v="273728"/>
    <n v="163810.9243697479"/>
    <n v="13"/>
    <n v="25.5"/>
    <n v="6.5"/>
    <n v="0"/>
    <n v="0"/>
    <n v="0"/>
    <n v="213779.25"/>
    <n v="54492.75"/>
    <n v="0"/>
    <n v="0"/>
    <n v="25.5"/>
    <n v="213779.25"/>
    <n v="163810.9243697479"/>
    <n v="0"/>
    <n v="19"/>
    <n v="0"/>
    <n v="0"/>
    <n v="0"/>
    <n v="0"/>
    <m/>
    <n v="159286.5"/>
    <n v="0"/>
    <n v="0"/>
    <n v="0"/>
    <n v="19"/>
    <n v="159286.5"/>
    <n v="0"/>
    <n v="0"/>
    <n v="19"/>
    <n v="0"/>
    <n v="0"/>
    <n v="0"/>
    <n v="159286.5"/>
    <n v="0"/>
    <n v="0"/>
    <n v="0"/>
    <n v="19"/>
    <n v="159286.5"/>
    <n v="0"/>
    <n v="0"/>
    <n v="19"/>
    <n v="0"/>
    <n v="0"/>
    <n v="0"/>
    <n v="159286.5"/>
    <n v="0"/>
    <n v="0"/>
    <n v="19"/>
    <n v="159286.5"/>
    <n v="0"/>
    <n v="0"/>
    <n v="19"/>
    <n v="0"/>
    <n v="0"/>
    <m/>
    <n v="159286.5"/>
    <n v="0"/>
    <n v="0"/>
    <n v="19"/>
    <n v="159286.5"/>
    <n v="0"/>
  </r>
  <r>
    <s v="Lhotse-Vestuario"/>
    <x v="4"/>
    <x v="21"/>
    <x v="52"/>
    <s v="LTW25-MKF03"/>
    <x v="461"/>
    <x v="374"/>
    <x v="0"/>
    <x v="2"/>
    <n v="0.6"/>
    <x v="3"/>
    <n v="3"/>
    <m/>
    <n v="0"/>
    <n v="8553"/>
    <n v="25659"/>
    <n v="8.1"/>
    <n v="8849.25"/>
    <n v="25201.68067226891"/>
    <n v="21000"/>
    <s v="Shenzhen"/>
    <s v="30/70"/>
    <n v="30"/>
    <n v="1"/>
    <n v="0"/>
    <s v=""/>
    <n v="0"/>
    <s v=""/>
    <n v="0"/>
    <s v=""/>
    <n v="0"/>
    <s v=""/>
    <n v="2"/>
    <n v="0.4932251040571166"/>
    <n v="2"/>
    <n v="0.5712671679197995"/>
    <n v="8"/>
    <n v="0.4532587573510611"/>
    <n v="3"/>
    <n v="0.5927038095238096"/>
    <n v="1"/>
    <n v="0.7285209166507967"/>
    <n v="1"/>
    <n v="0.7285212340506571"/>
    <n v="1"/>
    <n v="0.6606221728434252"/>
    <n v="0"/>
    <s v=""/>
    <n v="0"/>
    <s v=""/>
    <n v="0"/>
    <s v=""/>
    <n v="1"/>
    <n v="0.7454994844714358"/>
    <n v="1"/>
    <n v="0.4046067230215417"/>
    <n v="0.3333333333333333"/>
    <n v="1"/>
    <n v="0.6488968609865471"/>
    <n v="0.3333333333333333"/>
    <n v="4"/>
    <n v="0.009568491904675278"/>
    <n v="0.3174603174603174"/>
    <n v="6"/>
    <n v="0.1360995586487863"/>
    <n v="1.5"/>
    <n v="0"/>
    <s v=""/>
    <n v="0"/>
    <m/>
    <m/>
    <m/>
    <m/>
    <m/>
    <m/>
    <m/>
    <m/>
    <m/>
    <m/>
    <m/>
    <m/>
    <n v="3"/>
    <n v="12"/>
    <n v="3"/>
    <n v="0"/>
    <n v="0"/>
    <n v="0"/>
    <n v="34212"/>
    <n v="100602"/>
    <n v="25659"/>
    <n v="0"/>
    <n v="3"/>
    <n v="25659"/>
    <n v="63533.6487536191"/>
    <n v="2"/>
    <n v="12"/>
    <n v="0"/>
    <n v="0"/>
    <n v="0"/>
    <n v="0"/>
    <n v="17106"/>
    <n v="100602"/>
    <n v="0"/>
    <n v="0"/>
    <n v="3"/>
    <n v="25659"/>
    <n v="0"/>
    <n v="2"/>
    <n v="12"/>
    <n v="1"/>
    <n v="0"/>
    <n v="0"/>
    <n v="32196.3"/>
    <n v="102636"/>
    <n v="8553"/>
    <n v="0"/>
    <n v="3"/>
    <n v="25659"/>
    <n v="25201.68067226891"/>
    <n v="3"/>
    <n v="11"/>
    <n v="1"/>
    <n v="0"/>
    <n v="0"/>
    <n v="92218.5"/>
    <n v="8553"/>
    <n v="0"/>
    <n v="0"/>
    <n v="3"/>
    <n v="25659"/>
    <n v="25201.68067226891"/>
    <n v="3"/>
    <n v="4"/>
    <n v="1.8"/>
    <m/>
    <n v="0"/>
    <n v="0"/>
    <n v="34212"/>
    <n v="15090.3"/>
    <n v="0"/>
    <n v="0"/>
    <n v="3"/>
    <n v="25659"/>
    <n v="45363.02521008403"/>
    <n v="12.6"/>
    <n v="7"/>
    <n v="4"/>
    <m/>
    <n v="0"/>
    <n v="0"/>
    <n v="59871"/>
    <n v="33534"/>
    <n v="0"/>
    <n v="0"/>
    <n v="7"/>
    <n v="25659"/>
    <n v="100806.7226890756"/>
    <n v="4"/>
    <n v="9"/>
    <n v="6"/>
    <n v="0"/>
    <n v="0"/>
    <n v="0"/>
    <n v="76977"/>
    <n v="50301"/>
    <n v="0"/>
    <n v="0"/>
    <n v="9"/>
    <n v="25659"/>
    <n v="151210.0840336134"/>
    <n v="4"/>
    <n v="3"/>
    <n v="2.4"/>
    <n v="0"/>
    <n v="0"/>
    <n v="0"/>
    <n v="25659"/>
    <n v="20120.4"/>
    <n v="0"/>
    <n v="0"/>
    <n v="3"/>
    <n v="25659"/>
    <n v="60484.03361344538"/>
    <n v="4"/>
    <n v="0.6000000000000001"/>
    <n v="2.4"/>
    <n v="0"/>
    <n v="0"/>
    <n v="0"/>
    <n v="5030.1"/>
    <n v="20120.4"/>
    <n v="0"/>
    <n v="0"/>
    <n v="0.6000000000000001"/>
    <n v="5030.1"/>
    <n v="60484.03361344538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2"/>
    <s v="LTW25-MKF03"/>
    <x v="462"/>
    <x v="374"/>
    <x v="0"/>
    <x v="2"/>
    <n v="0.6"/>
    <x v="3"/>
    <n v="14"/>
    <m/>
    <n v="0"/>
    <n v="8554"/>
    <n v="119756"/>
    <n v="8.1"/>
    <n v="8849.25"/>
    <n v="25201.68067226891"/>
    <n v="21000"/>
    <s v="Shenzhen"/>
    <s v="30/70"/>
    <n v="30"/>
    <n v="1"/>
    <n v="0"/>
    <s v=""/>
    <n v="0"/>
    <s v=""/>
    <n v="0"/>
    <s v=""/>
    <n v="0"/>
    <s v=""/>
    <n v="1"/>
    <n v="0.243211820916652"/>
    <n v="0"/>
    <s v=""/>
    <n v="5"/>
    <n v="0.4554454121781648"/>
    <n v="4"/>
    <n v="0.5207883015379443"/>
    <n v="0"/>
    <s v=""/>
    <n v="3"/>
    <n v="0.6784910412229044"/>
    <n v="0"/>
    <s v=""/>
    <n v="2"/>
    <n v="0.7454932008212575"/>
    <n v="0"/>
    <s v=""/>
    <n v="0"/>
    <s v=""/>
    <n v="0"/>
    <s v=""/>
    <n v="1"/>
    <n v="0.6606221539132827"/>
    <n v="0.25"/>
    <n v="0"/>
    <s v=""/>
    <n v="0"/>
    <n v="3"/>
    <n v="0.1570524794307316"/>
    <n v="0.2325581395348837"/>
    <n v="8"/>
    <n v="0.3651618184795066"/>
    <n v="2"/>
    <n v="0"/>
    <s v=""/>
    <n v="0"/>
    <m/>
    <m/>
    <m/>
    <m/>
    <m/>
    <m/>
    <m/>
    <m/>
    <m/>
    <m/>
    <m/>
    <m/>
    <n v="4"/>
    <n v="11"/>
    <n v="4"/>
    <n v="0"/>
    <n v="0"/>
    <n v="0"/>
    <n v="34216"/>
    <n v="92218.5"/>
    <n v="34216"/>
    <n v="0"/>
    <n v="14"/>
    <n v="119756"/>
    <n v="84711.53167149214"/>
    <n v="3"/>
    <n v="12"/>
    <n v="0"/>
    <n v="0"/>
    <n v="0"/>
    <n v="0"/>
    <n v="8554"/>
    <n v="100602"/>
    <n v="0"/>
    <n v="0"/>
    <n v="14"/>
    <n v="119756"/>
    <n v="0"/>
    <n v="3"/>
    <n v="12"/>
    <n v="0"/>
    <n v="0"/>
    <n v="0"/>
    <n v="28674.4"/>
    <n v="102648"/>
    <n v="0"/>
    <n v="0"/>
    <n v="14"/>
    <n v="119756"/>
    <n v="0"/>
    <n v="4"/>
    <n v="12"/>
    <n v="1"/>
    <n v="0"/>
    <n v="0"/>
    <n v="100602"/>
    <n v="8554"/>
    <n v="0"/>
    <n v="0"/>
    <n v="14"/>
    <n v="119756"/>
    <n v="25201.68067226891"/>
    <n v="4"/>
    <n v="14"/>
    <n v="2.4"/>
    <m/>
    <n v="0"/>
    <n v="0"/>
    <n v="119756"/>
    <n v="20120.4"/>
    <n v="0"/>
    <n v="0"/>
    <n v="14"/>
    <n v="119756"/>
    <n v="60484.03361344538"/>
    <n v="12.9"/>
    <n v="17"/>
    <n v="3"/>
    <m/>
    <n v="0"/>
    <n v="0"/>
    <n v="145418"/>
    <n v="25150.5"/>
    <n v="0"/>
    <n v="0"/>
    <n v="17"/>
    <n v="119756"/>
    <n v="75605.04201680672"/>
    <n v="4"/>
    <n v="22"/>
    <n v="8"/>
    <n v="0"/>
    <n v="0"/>
    <n v="0"/>
    <n v="188188"/>
    <n v="67068"/>
    <n v="0"/>
    <n v="0"/>
    <n v="22"/>
    <n v="119756"/>
    <n v="201613.4453781513"/>
    <n v="4"/>
    <n v="14"/>
    <n v="2.4"/>
    <n v="0"/>
    <n v="0"/>
    <n v="0"/>
    <n v="119756"/>
    <n v="20120.4"/>
    <n v="0"/>
    <n v="0"/>
    <n v="14"/>
    <n v="119756"/>
    <n v="60484.03361344538"/>
    <n v="4"/>
    <n v="11.6"/>
    <n v="2.4"/>
    <n v="0"/>
    <n v="0"/>
    <n v="0"/>
    <n v="97248.59999999999"/>
    <n v="20120.4"/>
    <n v="0"/>
    <n v="0"/>
    <n v="11.6"/>
    <n v="97248.59999999999"/>
    <n v="60484.03361344538"/>
    <n v="0"/>
    <n v="9.199999999999999"/>
    <n v="0"/>
    <n v="0"/>
    <n v="0"/>
    <n v="0"/>
    <m/>
    <n v="77128.2"/>
    <n v="0"/>
    <n v="0"/>
    <n v="0"/>
    <n v="9.199999999999999"/>
    <n v="77128.2"/>
    <n v="0"/>
    <n v="0"/>
    <n v="9.199999999999999"/>
    <n v="0"/>
    <n v="0"/>
    <n v="0"/>
    <n v="77128.2"/>
    <n v="0"/>
    <n v="0"/>
    <n v="0"/>
    <n v="9.199999999999999"/>
    <n v="77128.2"/>
    <n v="0"/>
    <n v="0"/>
    <n v="9.199999999999999"/>
    <n v="0"/>
    <n v="0"/>
    <n v="0"/>
    <n v="77128.2"/>
    <n v="0"/>
    <n v="0"/>
    <n v="9.199999999999999"/>
    <n v="77128.2"/>
    <n v="0"/>
    <n v="0"/>
    <n v="9.199999999999999"/>
    <n v="0"/>
    <n v="0"/>
    <m/>
    <n v="77128.2"/>
    <n v="0"/>
    <n v="0"/>
    <n v="9.199999999999999"/>
    <n v="77128.2"/>
    <n v="0"/>
  </r>
  <r>
    <s v="Lhotse-Vestuario"/>
    <x v="4"/>
    <x v="21"/>
    <x v="52"/>
    <s v="LTW25-MKF03"/>
    <x v="463"/>
    <x v="374"/>
    <x v="0"/>
    <x v="2"/>
    <n v="0.5"/>
    <x v="3"/>
    <n v="10"/>
    <m/>
    <n v="0"/>
    <n v="8554"/>
    <n v="85540"/>
    <n v="8.1"/>
    <n v="8849.25"/>
    <n v="25201.68067226891"/>
    <n v="21000"/>
    <s v="Shenzhen"/>
    <s v="30/70"/>
    <n v="30"/>
    <n v="1"/>
    <n v="0"/>
    <s v=""/>
    <n v="0"/>
    <s v=""/>
    <n v="0"/>
    <s v=""/>
    <n v="1"/>
    <n v="0.7454774587115013"/>
    <n v="0"/>
    <n v="-2.689114930428662e-05"/>
    <n v="3"/>
    <n v="0.500871637261958"/>
    <n v="5"/>
    <n v="0.4358480859034905"/>
    <n v="1"/>
    <n v="0.5927038095238095"/>
    <n v="2"/>
    <n v="0.6742002818725479"/>
    <n v="7"/>
    <n v="0.6480454283598058"/>
    <n v="0"/>
    <s v=""/>
    <n v="1"/>
    <n v="0.6606221728434252"/>
    <n v="1"/>
    <n v="0.4126092886228169"/>
    <n v="0"/>
    <s v=""/>
    <n v="1"/>
    <n v="0.7454994844714358"/>
    <n v="0"/>
    <s v=""/>
    <n v="0"/>
    <n v="0"/>
    <s v=""/>
    <n v="0"/>
    <n v="3"/>
    <n v="0.1012701473531017"/>
    <n v="0.2325581395348837"/>
    <n v="0"/>
    <s v=""/>
    <n v="0"/>
    <n v="0"/>
    <s v=""/>
    <n v="0"/>
    <m/>
    <m/>
    <m/>
    <m/>
    <m/>
    <m/>
    <m/>
    <m/>
    <m/>
    <m/>
    <m/>
    <m/>
    <n v="5"/>
    <n v="6"/>
    <n v="5"/>
    <n v="0"/>
    <n v="0"/>
    <n v="0"/>
    <n v="51324"/>
    <n v="50301"/>
    <n v="42770"/>
    <n v="0"/>
    <n v="10"/>
    <n v="85540"/>
    <n v="105889.4145893652"/>
    <n v="5"/>
    <n v="5"/>
    <n v="0"/>
    <n v="0"/>
    <n v="0"/>
    <n v="0"/>
    <n v="8554"/>
    <n v="41917.5"/>
    <n v="0"/>
    <n v="0"/>
    <n v="10"/>
    <n v="85540"/>
    <n v="0"/>
    <n v="5"/>
    <n v="5"/>
    <n v="1"/>
    <n v="0"/>
    <n v="0"/>
    <n v="29512.75"/>
    <n v="42770"/>
    <n v="8554"/>
    <n v="0"/>
    <n v="10"/>
    <n v="85540"/>
    <n v="25201.68067226891"/>
    <n v="4"/>
    <n v="4"/>
    <n v="0"/>
    <n v="0"/>
    <n v="0"/>
    <n v="33534"/>
    <n v="0"/>
    <n v="0"/>
    <n v="0"/>
    <n v="10"/>
    <n v="85540"/>
    <n v="0"/>
    <n v="5"/>
    <n v="10"/>
    <n v="2.5"/>
    <m/>
    <n v="0"/>
    <n v="0"/>
    <n v="85540"/>
    <n v="20958.75"/>
    <n v="0"/>
    <n v="0"/>
    <n v="10"/>
    <n v="85540"/>
    <n v="63004.20168067227"/>
    <n v="12.9"/>
    <n v="13"/>
    <n v="3"/>
    <m/>
    <n v="0"/>
    <n v="0"/>
    <n v="111202"/>
    <n v="25150.5"/>
    <n v="0"/>
    <n v="0"/>
    <n v="13"/>
    <n v="85540"/>
    <n v="75605.04201680672"/>
    <n v="2"/>
    <n v="10"/>
    <n v="0"/>
    <n v="0"/>
    <n v="0"/>
    <n v="0"/>
    <n v="85540"/>
    <n v="0"/>
    <n v="0"/>
    <n v="0"/>
    <n v="10"/>
    <n v="85540"/>
    <n v="0"/>
    <n v="2"/>
    <n v="10"/>
    <n v="1"/>
    <n v="0"/>
    <n v="0"/>
    <n v="0"/>
    <n v="85540"/>
    <n v="8383.5"/>
    <n v="0"/>
    <n v="0"/>
    <n v="10"/>
    <n v="85540"/>
    <n v="25201.68067226891"/>
    <n v="2"/>
    <n v="9"/>
    <n v="1"/>
    <n v="0"/>
    <n v="0"/>
    <n v="0"/>
    <n v="75451.5"/>
    <n v="8383.5"/>
    <n v="0"/>
    <n v="0"/>
    <n v="9"/>
    <n v="75451.5"/>
    <n v="25201.68067226891"/>
    <n v="0"/>
    <n v="8"/>
    <n v="0"/>
    <n v="0"/>
    <n v="0"/>
    <n v="0"/>
    <m/>
    <n v="67068"/>
    <n v="0"/>
    <n v="0"/>
    <n v="0"/>
    <n v="8"/>
    <n v="67068"/>
    <n v="0"/>
    <n v="0"/>
    <n v="8"/>
    <n v="0"/>
    <n v="0"/>
    <n v="0"/>
    <n v="67068"/>
    <n v="0"/>
    <n v="0"/>
    <n v="0"/>
    <n v="8"/>
    <n v="67068"/>
    <n v="0"/>
    <n v="0"/>
    <n v="8"/>
    <n v="0"/>
    <n v="0"/>
    <n v="0"/>
    <n v="67068"/>
    <n v="0"/>
    <n v="0"/>
    <n v="8"/>
    <n v="67068"/>
    <n v="0"/>
    <n v="0"/>
    <n v="8"/>
    <n v="0"/>
    <n v="0"/>
    <m/>
    <n v="67068"/>
    <n v="0"/>
    <n v="0"/>
    <n v="8"/>
    <n v="67068"/>
    <n v="0"/>
  </r>
  <r>
    <s v="Lhotse-Vestuario"/>
    <x v="4"/>
    <x v="21"/>
    <x v="52"/>
    <s v="LTW25-MKF04"/>
    <x v="464"/>
    <x v="375"/>
    <x v="0"/>
    <x v="2"/>
    <n v="1"/>
    <x v="3"/>
    <n v="56"/>
    <m/>
    <n v="0"/>
    <n v="14364"/>
    <n v="804384"/>
    <n v="15.2"/>
    <n v="16606"/>
    <n v="33605.04201680672"/>
    <n v="21000"/>
    <s v="Shenzhen"/>
    <s v="30/70"/>
    <n v="30"/>
    <n v="1"/>
    <n v="0"/>
    <s v=""/>
    <n v="0"/>
    <s v=""/>
    <n v="0"/>
    <s v=""/>
    <n v="0"/>
    <s v=""/>
    <n v="1"/>
    <n v="0.658079413445058"/>
    <n v="1"/>
    <n v="0.620106323891137"/>
    <n v="23"/>
    <n v="0.2565160616348917"/>
    <n v="1"/>
    <n v="0.2739340326045748"/>
    <n v="0"/>
    <s v=""/>
    <n v="7"/>
    <n v="0.5189913264793544"/>
    <n v="0"/>
    <n v="1.000031728404854"/>
    <n v="21"/>
    <n v="0.2472594962454238"/>
    <n v="31"/>
    <n v="0.09347532858408317"/>
    <n v="1"/>
    <n v="0.6438443472303492"/>
    <n v="0"/>
    <s v=""/>
    <n v="3"/>
    <n v="0.5068247345341396"/>
    <n v="1"/>
    <n v="1"/>
    <n v="0.316047619047619"/>
    <n v="0.3333333333333333"/>
    <n v="4"/>
    <n v="0.01045215945117198"/>
    <n v="0.1025641025641026"/>
    <n v="3"/>
    <n v="0.08551904693964903"/>
    <n v="0.1578947368421053"/>
    <n v="0"/>
    <s v=""/>
    <n v="0"/>
    <m/>
    <m/>
    <m/>
    <m/>
    <m/>
    <m/>
    <m/>
    <m/>
    <m/>
    <m/>
    <m/>
    <m/>
    <n v="5"/>
    <n v="72"/>
    <n v="5"/>
    <n v="0"/>
    <n v="0"/>
    <n v="0"/>
    <n v="93366"/>
    <n v="1132704"/>
    <n v="71820"/>
    <n v="0"/>
    <n v="56"/>
    <n v="804384"/>
    <n v="141197.6555328013"/>
    <n v="2"/>
    <n v="59"/>
    <n v="1.5"/>
    <n v="0"/>
    <n v="0"/>
    <n v="0"/>
    <n v="64638"/>
    <n v="928187.9999999999"/>
    <n v="21546"/>
    <n v="0"/>
    <n v="56"/>
    <n v="804384"/>
    <n v="42359.29665984041"/>
    <n v="3"/>
    <n v="58"/>
    <n v="0"/>
    <n v="0"/>
    <n v="0"/>
    <n v="90288"/>
    <n v="833112"/>
    <n v="0"/>
    <n v="0"/>
    <n v="56"/>
    <n v="804384"/>
    <n v="0"/>
    <n v="3"/>
    <n v="58"/>
    <n v="3"/>
    <n v="0"/>
    <n v="0"/>
    <n v="912455.9999999999"/>
    <n v="43092"/>
    <n v="0"/>
    <n v="0"/>
    <n v="56"/>
    <n v="804384"/>
    <n v="100815.1260504202"/>
    <n v="3"/>
    <n v="57"/>
    <n v="3"/>
    <m/>
    <n v="0"/>
    <n v="0"/>
    <n v="818748"/>
    <n v="47195.99999999999"/>
    <n v="0"/>
    <n v="0"/>
    <n v="56"/>
    <n v="804384"/>
    <n v="100815.1260504202"/>
    <n v="39"/>
    <n v="60"/>
    <n v="4"/>
    <m/>
    <n v="0"/>
    <n v="0"/>
    <n v="861840"/>
    <n v="62927.99999999999"/>
    <n v="0"/>
    <n v="0"/>
    <n v="60"/>
    <n v="804384"/>
    <n v="134420.1680672269"/>
    <n v="19"/>
    <n v="59"/>
    <n v="3"/>
    <n v="0"/>
    <n v="0"/>
    <n v="0"/>
    <n v="847476"/>
    <n v="47195.99999999999"/>
    <n v="0"/>
    <n v="0"/>
    <n v="59"/>
    <n v="804384"/>
    <n v="100815.1260504202"/>
    <n v="19"/>
    <n v="56"/>
    <n v="19"/>
    <n v="0"/>
    <n v="0"/>
    <n v="0"/>
    <n v="804384"/>
    <n v="298907.9999999999"/>
    <n v="0"/>
    <n v="0"/>
    <n v="56"/>
    <n v="804384"/>
    <n v="638495.7983193276"/>
    <n v="19"/>
    <n v="37"/>
    <n v="19"/>
    <n v="0"/>
    <n v="0"/>
    <n v="0"/>
    <n v="582083.9999999999"/>
    <n v="298907.9999999999"/>
    <n v="0"/>
    <n v="0"/>
    <n v="37"/>
    <n v="582083.9999999999"/>
    <n v="638495.7983193276"/>
    <n v="0"/>
    <n v="18"/>
    <n v="0"/>
    <n v="0"/>
    <n v="0"/>
    <n v="0"/>
    <m/>
    <n v="283175.9999999999"/>
    <n v="0"/>
    <n v="0"/>
    <n v="0"/>
    <n v="18"/>
    <n v="283175.9999999999"/>
    <n v="0"/>
    <n v="0"/>
    <n v="18"/>
    <n v="0"/>
    <n v="0"/>
    <n v="0"/>
    <n v="283175.9999999999"/>
    <n v="0"/>
    <n v="0"/>
    <n v="0"/>
    <n v="18"/>
    <n v="283175.9999999999"/>
    <n v="0"/>
    <n v="0"/>
    <n v="18"/>
    <n v="0"/>
    <n v="0"/>
    <n v="0"/>
    <n v="283175.9999999999"/>
    <n v="0"/>
    <n v="0"/>
    <n v="18"/>
    <n v="283175.9999999999"/>
    <n v="0"/>
    <n v="0"/>
    <n v="18"/>
    <n v="0"/>
    <n v="0"/>
    <m/>
    <n v="283175.9999999999"/>
    <n v="0"/>
    <n v="0"/>
    <n v="18"/>
    <n v="283175.9999999999"/>
    <n v="0"/>
  </r>
  <r>
    <s v="Lhotse-Vestuario"/>
    <x v="4"/>
    <x v="21"/>
    <x v="52"/>
    <s v="LTW25-MKF04"/>
    <x v="465"/>
    <x v="375"/>
    <x v="0"/>
    <x v="2"/>
    <n v="1"/>
    <x v="3"/>
    <n v="76"/>
    <m/>
    <n v="0"/>
    <n v="14364"/>
    <n v="1091664"/>
    <n v="15.2"/>
    <n v="16606"/>
    <n v="33605.04201680672"/>
    <n v="21000"/>
    <s v="Shenzhen"/>
    <s v="30/70"/>
    <n v="30"/>
    <n v="1"/>
    <n v="0"/>
    <s v=""/>
    <n v="0"/>
    <s v=""/>
    <n v="0"/>
    <s v=""/>
    <n v="0"/>
    <s v=""/>
    <n v="1"/>
    <n v="0.658079413445058"/>
    <n v="2"/>
    <n v="0.5726092394592158"/>
    <n v="11"/>
    <n v="0.2046095147383751"/>
    <n v="-1"/>
    <n v="0.4300690421395127"/>
    <n v="0"/>
    <s v=""/>
    <n v="5"/>
    <n v="0.407166795991481"/>
    <n v="0"/>
    <s v=""/>
    <n v="1"/>
    <n v="0.6438542983956954"/>
    <n v="34"/>
    <n v="-0.01834007227899024"/>
    <n v="1"/>
    <n v="0.6438542753369391"/>
    <n v="0"/>
    <s v=""/>
    <n v="0"/>
    <s v=""/>
    <n v="0"/>
    <n v="0"/>
    <s v=""/>
    <n v="0"/>
    <n v="2"/>
    <n v="0.4896478158311188"/>
    <n v="0.05128205128205128"/>
    <n v="4"/>
    <n v="0.3607982274078644"/>
    <n v="0.1481481481481481"/>
    <n v="0"/>
    <s v=""/>
    <n v="0"/>
    <m/>
    <m/>
    <m/>
    <m/>
    <m/>
    <m/>
    <m/>
    <m/>
    <m/>
    <m/>
    <m/>
    <m/>
    <n v="5"/>
    <n v="113"/>
    <n v="5"/>
    <n v="0"/>
    <n v="0"/>
    <n v="0"/>
    <n v="93366"/>
    <n v="1777716"/>
    <n v="71820"/>
    <n v="0"/>
    <n v="76"/>
    <n v="1091664"/>
    <n v="141197.6555328013"/>
    <n v="2"/>
    <n v="83"/>
    <n v="1.5"/>
    <n v="0"/>
    <n v="0"/>
    <n v="0"/>
    <n v="21546"/>
    <n v="1305756"/>
    <n v="21546"/>
    <n v="0"/>
    <n v="76"/>
    <n v="1091664"/>
    <n v="42359.29665984041"/>
    <n v="3"/>
    <n v="82"/>
    <n v="0"/>
    <n v="0"/>
    <n v="0"/>
    <n v="47195.99999999999"/>
    <n v="1177848"/>
    <n v="0"/>
    <n v="0"/>
    <n v="76"/>
    <n v="1091664"/>
    <n v="0"/>
    <n v="3"/>
    <n v="82"/>
    <n v="0"/>
    <n v="0"/>
    <n v="0"/>
    <n v="1290024"/>
    <n v="0"/>
    <n v="0"/>
    <n v="0"/>
    <n v="76"/>
    <n v="1091664"/>
    <n v="0"/>
    <n v="3"/>
    <n v="76"/>
    <n v="3"/>
    <m/>
    <n v="0"/>
    <n v="0"/>
    <n v="1091664"/>
    <n v="47195.99999999999"/>
    <n v="0"/>
    <n v="0"/>
    <n v="76"/>
    <n v="1091664"/>
    <n v="100815.1260504202"/>
    <n v="39"/>
    <n v="78"/>
    <n v="2"/>
    <m/>
    <n v="0"/>
    <n v="0"/>
    <n v="1120392"/>
    <n v="31464"/>
    <n v="0"/>
    <n v="0"/>
    <n v="78"/>
    <n v="1091664"/>
    <n v="67210.08403361344"/>
    <n v="27"/>
    <n v="80"/>
    <n v="4"/>
    <n v="0"/>
    <n v="0"/>
    <n v="0"/>
    <n v="1149120"/>
    <n v="62927.99999999999"/>
    <n v="0"/>
    <n v="0"/>
    <n v="80"/>
    <n v="1091664"/>
    <n v="134420.1680672269"/>
    <n v="27"/>
    <n v="76"/>
    <n v="27"/>
    <n v="0"/>
    <n v="0"/>
    <n v="0"/>
    <n v="1091664"/>
    <n v="424763.9999999999"/>
    <n v="0"/>
    <n v="0"/>
    <n v="76"/>
    <n v="1091664"/>
    <n v="907336.1344537814"/>
    <n v="27"/>
    <n v="49"/>
    <n v="27"/>
    <n v="0"/>
    <n v="0"/>
    <n v="0"/>
    <n v="770867.9999999999"/>
    <n v="424763.9999999999"/>
    <n v="0"/>
    <n v="0"/>
    <n v="49"/>
    <n v="770867.9999999999"/>
    <n v="907336.1344537814"/>
    <n v="0"/>
    <n v="22"/>
    <n v="0"/>
    <n v="0"/>
    <n v="0"/>
    <n v="0"/>
    <m/>
    <n v="346103.9999999999"/>
    <n v="0"/>
    <n v="0"/>
    <n v="0"/>
    <n v="22"/>
    <n v="346103.9999999999"/>
    <n v="0"/>
    <n v="0"/>
    <n v="22"/>
    <n v="0"/>
    <n v="0"/>
    <n v="0"/>
    <n v="346103.9999999999"/>
    <n v="0"/>
    <n v="0"/>
    <n v="0"/>
    <n v="22"/>
    <n v="346103.9999999999"/>
    <n v="0"/>
    <n v="0"/>
    <n v="22"/>
    <n v="0"/>
    <n v="0"/>
    <n v="0"/>
    <n v="346103.9999999999"/>
    <n v="0"/>
    <n v="0"/>
    <n v="22"/>
    <n v="346103.9999999999"/>
    <n v="0"/>
    <n v="0"/>
    <n v="22"/>
    <n v="0"/>
    <n v="0"/>
    <m/>
    <n v="346103.9999999999"/>
    <n v="0"/>
    <n v="0"/>
    <n v="22"/>
    <n v="346103.9999999999"/>
    <n v="0"/>
  </r>
  <r>
    <s v="Lhotse-Vestuario"/>
    <x v="4"/>
    <x v="21"/>
    <x v="52"/>
    <s v="LTW25-MKF04"/>
    <x v="466"/>
    <x v="375"/>
    <x v="0"/>
    <x v="2"/>
    <n v="1"/>
    <x v="3"/>
    <n v="67"/>
    <m/>
    <n v="0"/>
    <n v="14363"/>
    <n v="962321"/>
    <n v="15.2"/>
    <n v="16606"/>
    <n v="33605.04201680672"/>
    <n v="21000"/>
    <s v="Shenzhen"/>
    <s v="30/70"/>
    <n v="30"/>
    <n v="1"/>
    <n v="0"/>
    <s v=""/>
    <n v="0"/>
    <s v=""/>
    <n v="0"/>
    <s v=""/>
    <n v="0"/>
    <s v=""/>
    <n v="0"/>
    <s v=""/>
    <n v="1"/>
    <n v="0.4300690421395127"/>
    <n v="6"/>
    <n v="0.2900670545274251"/>
    <n v="0"/>
    <n v="6.962091412285571e-06"/>
    <n v="0"/>
    <s v=""/>
    <n v="0"/>
    <s v=""/>
    <n v="0"/>
    <s v=""/>
    <n v="0"/>
    <s v=""/>
    <n v="5"/>
    <n v="-0.04074226933339913"/>
    <n v="0"/>
    <s v=""/>
    <n v="0"/>
    <s v=""/>
    <n v="1"/>
    <n v="0.5500877286696889"/>
    <n v="0.3333333333333333"/>
    <n v="0"/>
    <s v=""/>
    <n v="0"/>
    <n v="5"/>
    <n v="0.1125548821548822"/>
    <n v="0.1851851851851852"/>
    <n v="2"/>
    <n v="0.1230297588506927"/>
    <n v="0.08333333333333333"/>
    <n v="0"/>
    <s v=""/>
    <n v="0"/>
    <m/>
    <m/>
    <m/>
    <m/>
    <m/>
    <m/>
    <m/>
    <m/>
    <m/>
    <m/>
    <m/>
    <m/>
    <n v="5"/>
    <n v="78"/>
    <n v="5"/>
    <n v="0"/>
    <n v="0"/>
    <n v="0"/>
    <n v="71815"/>
    <n v="1227096"/>
    <n v="71815"/>
    <n v="0"/>
    <n v="67"/>
    <n v="962321"/>
    <n v="141197.6555328013"/>
    <n v="2"/>
    <n v="73"/>
    <n v="0"/>
    <n v="0"/>
    <n v="0"/>
    <n v="0"/>
    <n v="14363"/>
    <n v="1148436"/>
    <n v="0"/>
    <n v="0"/>
    <n v="67"/>
    <n v="962321"/>
    <n v="0"/>
    <n v="3"/>
    <n v="73"/>
    <n v="0"/>
    <n v="0"/>
    <n v="0"/>
    <n v="61558.99999999999"/>
    <n v="1048499"/>
    <n v="0"/>
    <n v="0"/>
    <n v="67"/>
    <n v="962321"/>
    <n v="0"/>
    <n v="3"/>
    <n v="73"/>
    <n v="1"/>
    <n v="0"/>
    <n v="0"/>
    <n v="1148436"/>
    <n v="14363"/>
    <n v="0"/>
    <n v="0"/>
    <n v="67"/>
    <n v="962321"/>
    <n v="33605.04201680672"/>
    <n v="3"/>
    <n v="67"/>
    <n v="3"/>
    <m/>
    <n v="0"/>
    <n v="0"/>
    <n v="962321"/>
    <n v="47195.99999999999"/>
    <n v="0"/>
    <n v="0"/>
    <n v="67"/>
    <n v="962321"/>
    <n v="100815.1260504202"/>
    <n v="27"/>
    <n v="72"/>
    <n v="5"/>
    <m/>
    <n v="0"/>
    <n v="0"/>
    <n v="1034136"/>
    <n v="78659.99999999999"/>
    <n v="0"/>
    <n v="0"/>
    <n v="72"/>
    <n v="962321"/>
    <n v="168025.2100840336"/>
    <n v="24"/>
    <n v="69"/>
    <n v="2"/>
    <n v="0"/>
    <n v="0"/>
    <n v="0"/>
    <n v="991047"/>
    <n v="31464"/>
    <n v="0"/>
    <n v="0"/>
    <n v="69"/>
    <n v="962321"/>
    <n v="67210.08403361344"/>
    <n v="24"/>
    <n v="67"/>
    <n v="24"/>
    <n v="0"/>
    <n v="0"/>
    <n v="0"/>
    <n v="962321"/>
    <n v="377567.9999999999"/>
    <n v="0"/>
    <n v="0"/>
    <n v="67"/>
    <n v="962321"/>
    <n v="806521.0084033613"/>
    <n v="24"/>
    <n v="43"/>
    <n v="24"/>
    <n v="0"/>
    <n v="0"/>
    <n v="0"/>
    <n v="676475.9999999999"/>
    <n v="377567.9999999999"/>
    <n v="0"/>
    <n v="0"/>
    <n v="43"/>
    <n v="676475.9999999999"/>
    <n v="806521.0084033613"/>
    <n v="0"/>
    <n v="19"/>
    <n v="0"/>
    <n v="0"/>
    <n v="0"/>
    <n v="0"/>
    <m/>
    <n v="298907.9999999999"/>
    <n v="0"/>
    <n v="0"/>
    <n v="0"/>
    <n v="19"/>
    <n v="298907.9999999999"/>
    <n v="0"/>
    <n v="0"/>
    <n v="19"/>
    <n v="0"/>
    <n v="0"/>
    <n v="0"/>
    <n v="298907.9999999999"/>
    <n v="0"/>
    <n v="0"/>
    <n v="0"/>
    <n v="19"/>
    <n v="298907.9999999999"/>
    <n v="0"/>
    <n v="0"/>
    <n v="19"/>
    <n v="0"/>
    <n v="0"/>
    <n v="0"/>
    <n v="298907.9999999999"/>
    <n v="0"/>
    <n v="0"/>
    <n v="19"/>
    <n v="298907.9999999999"/>
    <n v="0"/>
    <n v="0"/>
    <n v="19"/>
    <n v="0"/>
    <n v="0"/>
    <m/>
    <n v="298907.9999999999"/>
    <n v="0"/>
    <n v="0"/>
    <n v="19"/>
    <n v="298907.9999999999"/>
    <n v="0"/>
  </r>
  <r>
    <s v="Lhotse-Vestuario"/>
    <x v="4"/>
    <x v="21"/>
    <x v="52"/>
    <s v="LTW25-MKF04"/>
    <x v="467"/>
    <x v="375"/>
    <x v="0"/>
    <x v="2"/>
    <n v="1"/>
    <x v="3"/>
    <n v="75"/>
    <m/>
    <n v="0"/>
    <n v="14363"/>
    <n v="1077225"/>
    <n v="15.2"/>
    <n v="16606"/>
    <n v="33605.04201680672"/>
    <n v="21000"/>
    <s v="Shenzhen"/>
    <s v="30/70"/>
    <n v="30"/>
    <n v="1"/>
    <n v="0"/>
    <s v=""/>
    <n v="0"/>
    <s v=""/>
    <n v="0"/>
    <s v=""/>
    <n v="0"/>
    <s v=""/>
    <n v="0"/>
    <s v=""/>
    <n v="3"/>
    <n v="0.4739448432464108"/>
    <n v="3"/>
    <n v="0.3250243493351649"/>
    <n v="1"/>
    <n v="0.6201060594038457"/>
    <n v="0"/>
    <s v=""/>
    <n v="1"/>
    <n v="0.6201060594038457"/>
    <n v="0"/>
    <s v=""/>
    <n v="0"/>
    <s v=""/>
    <n v="4"/>
    <n v="-0.04074226933339913"/>
    <n v="0"/>
    <s v=""/>
    <n v="0"/>
    <s v=""/>
    <n v="0"/>
    <s v=""/>
    <n v="0"/>
    <n v="0"/>
    <s v=""/>
    <n v="0"/>
    <n v="2"/>
    <n v="0.3111270983213429"/>
    <n v="0.07407407407407407"/>
    <n v="0"/>
    <s v=""/>
    <n v="0"/>
    <n v="1"/>
    <n v="0.6438477246207701"/>
    <n v="0.03846153846153846"/>
    <m/>
    <m/>
    <m/>
    <m/>
    <m/>
    <m/>
    <m/>
    <m/>
    <m/>
    <m/>
    <m/>
    <m/>
    <n v="5"/>
    <n v="82"/>
    <n v="5"/>
    <n v="0"/>
    <n v="0"/>
    <n v="0"/>
    <n v="71815"/>
    <n v="1290024"/>
    <n v="71815"/>
    <n v="0"/>
    <n v="75"/>
    <n v="1077225"/>
    <n v="141197.6555328013"/>
    <n v="2"/>
    <n v="78"/>
    <n v="0"/>
    <n v="0"/>
    <n v="0"/>
    <n v="0"/>
    <n v="0"/>
    <n v="1227096"/>
    <n v="0"/>
    <n v="0"/>
    <n v="75"/>
    <n v="1077225"/>
    <n v="0"/>
    <n v="3"/>
    <n v="78"/>
    <n v="0"/>
    <n v="0"/>
    <n v="0"/>
    <n v="47195.99999999999"/>
    <n v="1120314"/>
    <n v="0"/>
    <n v="0"/>
    <n v="75"/>
    <n v="1077225"/>
    <n v="0"/>
    <n v="3"/>
    <n v="78"/>
    <n v="0"/>
    <n v="0"/>
    <n v="0"/>
    <n v="1227096"/>
    <n v="0"/>
    <n v="0"/>
    <n v="0"/>
    <n v="75"/>
    <n v="1077225"/>
    <n v="0"/>
    <n v="3"/>
    <n v="75"/>
    <n v="3"/>
    <m/>
    <n v="0"/>
    <n v="0"/>
    <n v="1077225"/>
    <n v="47195.99999999999"/>
    <n v="0"/>
    <n v="0"/>
    <n v="75"/>
    <n v="1077225"/>
    <n v="100815.1260504202"/>
    <n v="27"/>
    <n v="77"/>
    <n v="2"/>
    <m/>
    <n v="0"/>
    <n v="0"/>
    <n v="1105951"/>
    <n v="31464"/>
    <n v="0"/>
    <n v="0"/>
    <n v="77"/>
    <n v="1077225"/>
    <n v="67210.08403361344"/>
    <n v="26"/>
    <n v="75"/>
    <n v="0"/>
    <n v="0"/>
    <n v="0"/>
    <n v="0"/>
    <n v="1077225"/>
    <n v="0"/>
    <n v="0"/>
    <n v="0"/>
    <n v="75"/>
    <n v="1077225"/>
    <n v="0"/>
    <n v="26"/>
    <n v="75"/>
    <n v="26"/>
    <n v="0"/>
    <n v="0"/>
    <n v="0"/>
    <n v="1077225"/>
    <n v="409031.9999999999"/>
    <n v="0"/>
    <n v="0"/>
    <n v="75"/>
    <n v="1077225"/>
    <n v="873731.0924369748"/>
    <n v="26"/>
    <n v="49"/>
    <n v="26"/>
    <n v="0"/>
    <n v="0"/>
    <n v="0"/>
    <n v="770867.9999999999"/>
    <n v="409031.9999999999"/>
    <n v="0"/>
    <n v="0"/>
    <n v="49"/>
    <n v="770867.9999999999"/>
    <n v="873731.0924369748"/>
    <n v="0"/>
    <n v="23"/>
    <n v="0"/>
    <n v="0"/>
    <n v="0"/>
    <n v="0"/>
    <m/>
    <n v="361835.9999999999"/>
    <n v="0"/>
    <n v="0"/>
    <n v="0"/>
    <n v="23"/>
    <n v="361835.9999999999"/>
    <n v="0"/>
    <n v="0"/>
    <n v="23"/>
    <n v="0"/>
    <n v="0"/>
    <n v="0"/>
    <n v="361835.9999999999"/>
    <n v="0"/>
    <n v="0"/>
    <n v="0"/>
    <n v="23"/>
    <n v="361835.9999999999"/>
    <n v="0"/>
    <n v="0"/>
    <n v="23"/>
    <n v="0"/>
    <n v="0"/>
    <n v="0"/>
    <n v="361835.9999999999"/>
    <n v="0"/>
    <n v="0"/>
    <n v="23"/>
    <n v="361835.9999999999"/>
    <n v="0"/>
    <n v="0"/>
    <n v="23"/>
    <n v="0"/>
    <n v="0"/>
    <m/>
    <n v="361835.9999999999"/>
    <n v="0"/>
    <n v="0"/>
    <n v="23"/>
    <n v="361835.9999999999"/>
    <n v="0"/>
  </r>
  <r>
    <s v="Lhotse-Vestuario"/>
    <x v="4"/>
    <x v="21"/>
    <x v="52"/>
    <s v="LTW25-MKF04"/>
    <x v="468"/>
    <x v="375"/>
    <x v="0"/>
    <x v="2"/>
    <n v="1"/>
    <x v="3"/>
    <n v="28"/>
    <m/>
    <n v="0"/>
    <n v="14363"/>
    <n v="402164"/>
    <n v="15.2"/>
    <n v="16606"/>
    <n v="33605.04201680672"/>
    <n v="21000"/>
    <s v="Shenzhen"/>
    <s v="30/70"/>
    <n v="30"/>
    <n v="1"/>
    <n v="0"/>
    <s v=""/>
    <n v="0"/>
    <s v=""/>
    <n v="0"/>
    <s v=""/>
    <n v="0"/>
    <s v=""/>
    <n v="0"/>
    <s v=""/>
    <n v="2"/>
    <n v="0.430069438933418"/>
    <n v="1"/>
    <n v="0.2565148299601429"/>
    <n v="0"/>
    <n v="-2.715310171965591e-05"/>
    <n v="0"/>
    <s v=""/>
    <n v="2"/>
    <n v="-2.715310171965591e-05"/>
    <n v="0"/>
    <s v=""/>
    <n v="0"/>
    <s v=""/>
    <n v="3"/>
    <n v="-0.04074226933339912"/>
    <n v="0"/>
    <s v=""/>
    <n v="0"/>
    <s v=""/>
    <n v="0"/>
    <s v=""/>
    <n v="0"/>
    <n v="0"/>
    <s v=""/>
    <n v="0"/>
    <n v="1"/>
    <n v="-0.03006253126563281"/>
    <n v="0.08333333333333333"/>
    <n v="4"/>
    <n v="0.06554726368159204"/>
    <n v="0.4"/>
    <n v="0"/>
    <s v=""/>
    <n v="0"/>
    <m/>
    <m/>
    <m/>
    <m/>
    <m/>
    <m/>
    <m/>
    <m/>
    <m/>
    <m/>
    <m/>
    <m/>
    <n v="3"/>
    <n v="31"/>
    <n v="3"/>
    <n v="0"/>
    <n v="0"/>
    <n v="0"/>
    <n v="43089"/>
    <n v="487691.9999999999"/>
    <n v="43089"/>
    <n v="0"/>
    <n v="28"/>
    <n v="402164"/>
    <n v="84718.59331968082"/>
    <n v="2"/>
    <n v="31"/>
    <n v="0"/>
    <n v="0"/>
    <n v="0"/>
    <n v="0"/>
    <n v="0"/>
    <n v="487691.9999999999"/>
    <n v="0"/>
    <n v="0"/>
    <n v="28"/>
    <n v="402164"/>
    <n v="0"/>
    <n v="3"/>
    <n v="31"/>
    <n v="0"/>
    <n v="0"/>
    <n v="0"/>
    <n v="47195.99999999999"/>
    <n v="445253"/>
    <n v="0"/>
    <n v="0"/>
    <n v="28"/>
    <n v="402164"/>
    <n v="0"/>
    <n v="3"/>
    <n v="31"/>
    <n v="0"/>
    <n v="0"/>
    <n v="0"/>
    <n v="487691.9999999999"/>
    <n v="0"/>
    <n v="0"/>
    <n v="0"/>
    <n v="28"/>
    <n v="402164"/>
    <n v="0"/>
    <n v="3"/>
    <n v="28"/>
    <n v="3"/>
    <m/>
    <n v="0"/>
    <n v="0"/>
    <n v="402164"/>
    <n v="47195.99999999999"/>
    <n v="0"/>
    <n v="0"/>
    <n v="28"/>
    <n v="402164"/>
    <n v="100815.1260504202"/>
    <n v="12"/>
    <n v="29"/>
    <n v="1"/>
    <m/>
    <n v="0"/>
    <n v="0"/>
    <n v="416527"/>
    <n v="15732"/>
    <n v="0"/>
    <n v="0"/>
    <n v="29"/>
    <n v="402164"/>
    <n v="33605.04201680672"/>
    <n v="10"/>
    <n v="32"/>
    <n v="4"/>
    <n v="0"/>
    <n v="0"/>
    <n v="0"/>
    <n v="459616"/>
    <n v="62927.99999999999"/>
    <n v="0"/>
    <n v="0"/>
    <n v="32"/>
    <n v="402164"/>
    <n v="134420.1680672269"/>
    <n v="10"/>
    <n v="28"/>
    <n v="10"/>
    <n v="0"/>
    <n v="0"/>
    <n v="0"/>
    <n v="402164"/>
    <n v="157320"/>
    <n v="0"/>
    <n v="0"/>
    <n v="28"/>
    <n v="402164"/>
    <n v="336050.4201680672"/>
    <n v="10"/>
    <n v="18"/>
    <n v="10"/>
    <n v="0"/>
    <n v="0"/>
    <n v="0"/>
    <n v="283175.9999999999"/>
    <n v="157320"/>
    <n v="0"/>
    <n v="0"/>
    <n v="18"/>
    <n v="283175.9999999999"/>
    <n v="336050.4201680672"/>
    <n v="0"/>
    <n v="8"/>
    <n v="0"/>
    <n v="0"/>
    <n v="0"/>
    <n v="0"/>
    <m/>
    <n v="125856"/>
    <n v="0"/>
    <n v="0"/>
    <n v="0"/>
    <n v="8"/>
    <n v="125856"/>
    <n v="0"/>
    <n v="0"/>
    <n v="8"/>
    <n v="0"/>
    <n v="0"/>
    <n v="0"/>
    <n v="125856"/>
    <n v="0"/>
    <n v="0"/>
    <n v="0"/>
    <n v="8"/>
    <n v="125856"/>
    <n v="0"/>
    <n v="0"/>
    <n v="8"/>
    <n v="0"/>
    <n v="0"/>
    <n v="0"/>
    <n v="125856"/>
    <n v="0"/>
    <n v="0"/>
    <n v="8"/>
    <n v="125856"/>
    <n v="0"/>
    <n v="0"/>
    <n v="8"/>
    <n v="0"/>
    <n v="0"/>
    <m/>
    <n v="125856"/>
    <n v="0"/>
    <n v="0"/>
    <n v="8"/>
    <n v="125856"/>
    <n v="0"/>
  </r>
  <r>
    <s v="Lhotse-Vestuario"/>
    <x v="4"/>
    <x v="21"/>
    <x v="52"/>
    <s v="LTW25-MKF04"/>
    <x v="469"/>
    <x v="375"/>
    <x v="0"/>
    <x v="2"/>
    <n v="1"/>
    <x v="3"/>
    <n v="30"/>
    <m/>
    <n v="0"/>
    <n v="14363"/>
    <n v="430890"/>
    <n v="15.2"/>
    <n v="16606"/>
    <n v="33605.04201680672"/>
    <n v="21000"/>
    <s v="Shenzhen"/>
    <s v="30/70"/>
    <n v="30"/>
    <n v="1"/>
    <n v="0"/>
    <s v=""/>
    <n v="0"/>
    <s v=""/>
    <n v="0"/>
    <s v=""/>
    <n v="0"/>
    <s v=""/>
    <n v="0"/>
    <s v=""/>
    <n v="0"/>
    <s v=""/>
    <n v="3"/>
    <n v="0.2565153475852788"/>
    <n v="0"/>
    <s v=""/>
    <n v="0"/>
    <s v=""/>
    <n v="1"/>
    <n v="-2.645686834221261e-05"/>
    <n v="0"/>
    <s v=""/>
    <n v="0"/>
    <s v=""/>
    <n v="3"/>
    <n v="-0.02854057103021551"/>
    <n v="0"/>
    <s v=""/>
    <n v="0"/>
    <s v=""/>
    <n v="0"/>
    <s v=""/>
    <n v="0"/>
    <n v="0"/>
    <s v=""/>
    <n v="0"/>
    <n v="0"/>
    <s v=""/>
    <n v="0"/>
    <n v="2"/>
    <n v="0.09994734209209867"/>
    <n v="0.125"/>
    <n v="0"/>
    <s v=""/>
    <n v="0"/>
    <m/>
    <m/>
    <m/>
    <m/>
    <m/>
    <m/>
    <m/>
    <m/>
    <m/>
    <m/>
    <m/>
    <m/>
    <n v="3"/>
    <n v="33"/>
    <n v="3"/>
    <n v="0"/>
    <n v="0"/>
    <n v="0"/>
    <n v="43089"/>
    <n v="519155.9999999999"/>
    <n v="43089"/>
    <n v="0"/>
    <n v="30"/>
    <n v="430890"/>
    <n v="84718.59331968082"/>
    <n v="2"/>
    <n v="47"/>
    <n v="0"/>
    <n v="0"/>
    <n v="0"/>
    <n v="0"/>
    <n v="0"/>
    <n v="739403.9999999999"/>
    <n v="0"/>
    <n v="0"/>
    <n v="30"/>
    <n v="430890"/>
    <n v="0"/>
    <n v="3"/>
    <n v="47"/>
    <n v="0"/>
    <n v="0"/>
    <n v="0"/>
    <n v="47195.99999999999"/>
    <n v="675061"/>
    <n v="0"/>
    <n v="0"/>
    <n v="30"/>
    <n v="430890"/>
    <n v="0"/>
    <n v="3"/>
    <n v="47"/>
    <n v="0"/>
    <n v="0"/>
    <n v="0"/>
    <n v="739403.9999999999"/>
    <n v="0"/>
    <n v="0"/>
    <n v="0"/>
    <n v="30"/>
    <n v="430890"/>
    <n v="0"/>
    <n v="3"/>
    <n v="30"/>
    <n v="3"/>
    <m/>
    <n v="0"/>
    <n v="0"/>
    <n v="430890"/>
    <n v="47195.99999999999"/>
    <n v="0"/>
    <n v="0"/>
    <n v="30"/>
    <n v="430890"/>
    <n v="100815.1260504202"/>
    <n v="12"/>
    <n v="30"/>
    <n v="0"/>
    <m/>
    <n v="0"/>
    <n v="0"/>
    <n v="430890"/>
    <n v="0"/>
    <n v="0"/>
    <n v="0"/>
    <n v="30"/>
    <n v="430890"/>
    <n v="0"/>
    <n v="16"/>
    <n v="32"/>
    <n v="2"/>
    <n v="0"/>
    <n v="0"/>
    <n v="0"/>
    <n v="459616"/>
    <n v="31464"/>
    <n v="0"/>
    <n v="0"/>
    <n v="32"/>
    <n v="430890"/>
    <n v="67210.08403361344"/>
    <n v="16"/>
    <n v="30"/>
    <n v="16"/>
    <n v="0"/>
    <n v="0"/>
    <n v="0"/>
    <n v="430890"/>
    <n v="251712"/>
    <n v="0"/>
    <n v="0"/>
    <n v="30"/>
    <n v="430890"/>
    <n v="537680.6722689075"/>
    <n v="16"/>
    <n v="14"/>
    <n v="16"/>
    <n v="0"/>
    <n v="0"/>
    <n v="0"/>
    <n v="220248"/>
    <n v="251712"/>
    <n v="0"/>
    <n v="0"/>
    <n v="14"/>
    <n v="220248"/>
    <n v="537680.672268907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2"/>
    <s v="LTW25-MKF04"/>
    <x v="470"/>
    <x v="375"/>
    <x v="0"/>
    <x v="2"/>
    <n v="1"/>
    <x v="3"/>
    <n v="1"/>
    <m/>
    <n v="0"/>
    <n v="14376"/>
    <n v="14376"/>
    <n v="15.2"/>
    <n v="16606"/>
    <n v="33605.04201680672"/>
    <n v="21000"/>
    <s v="Shenzhen"/>
    <s v="30/70"/>
    <n v="30"/>
    <n v="1"/>
    <n v="0"/>
    <s v=""/>
    <n v="0"/>
    <s v=""/>
    <n v="0"/>
    <s v=""/>
    <n v="0"/>
    <n v="-2.784933509709923e-05"/>
    <n v="1"/>
    <n v="0.5929667309000227"/>
    <n v="2"/>
    <n v="0.5726016020614889"/>
    <n v="10"/>
    <n v="0.1680417168122229"/>
    <n v="0"/>
    <n v="-2.715310171965591e-05"/>
    <n v="2"/>
    <n v="0.1876599835986766"/>
    <n v="4"/>
    <n v="0.501200958474775"/>
    <n v="0"/>
    <s v=""/>
    <n v="14"/>
    <n v="0.1858171305481549"/>
    <n v="14"/>
    <n v="0.1858171289675346"/>
    <n v="0"/>
    <s v=""/>
    <n v="0"/>
    <s v=""/>
    <n v="1"/>
    <n v="0.5500877286696889"/>
    <n v="0.3333333333333333"/>
    <n v="0"/>
    <s v=""/>
    <n v="0"/>
    <n v="3"/>
    <n v="0.1521587301587302"/>
    <n v="0.25"/>
    <n v="0"/>
    <s v=""/>
    <n v="0"/>
    <n v="0"/>
    <s v=""/>
    <n v="0"/>
    <m/>
    <m/>
    <m/>
    <m/>
    <m/>
    <m/>
    <m/>
    <m/>
    <m/>
    <m/>
    <m/>
    <m/>
    <n v="3"/>
    <n v="1"/>
    <n v="3"/>
    <n v="0"/>
    <n v="0"/>
    <n v="0"/>
    <n v="43128"/>
    <n v="15732"/>
    <n v="43128"/>
    <n v="0"/>
    <n v="1"/>
    <n v="14376"/>
    <n v="84718.59331968082"/>
    <n v="2"/>
    <n v="4"/>
    <n v="0"/>
    <n v="0"/>
    <n v="0"/>
    <n v="0"/>
    <n v="14376"/>
    <n v="62927.99999999999"/>
    <n v="0"/>
    <n v="0"/>
    <n v="1"/>
    <n v="14376"/>
    <n v="0"/>
    <n v="3"/>
    <n v="4"/>
    <n v="0"/>
    <n v="0"/>
    <n v="0"/>
    <n v="61571.99999999999"/>
    <n v="57504"/>
    <n v="0"/>
    <n v="0"/>
    <n v="1"/>
    <n v="14376"/>
    <n v="0"/>
    <n v="3"/>
    <n v="4"/>
    <n v="1"/>
    <n v="0"/>
    <n v="0"/>
    <n v="62927.99999999999"/>
    <n v="14376"/>
    <n v="0"/>
    <n v="0"/>
    <n v="1"/>
    <n v="14376"/>
    <n v="33605.04201680672"/>
    <n v="3"/>
    <n v="1"/>
    <n v="3"/>
    <m/>
    <n v="0"/>
    <n v="0"/>
    <n v="14376"/>
    <n v="47195.99999999999"/>
    <n v="0"/>
    <n v="0"/>
    <n v="1"/>
    <n v="14376"/>
    <n v="100815.1260504202"/>
    <n v="12"/>
    <n v="4"/>
    <n v="3"/>
    <m/>
    <n v="0"/>
    <n v="0"/>
    <n v="57504"/>
    <n v="47195.99999999999"/>
    <n v="0"/>
    <n v="0"/>
    <n v="4"/>
    <n v="14376"/>
    <n v="100815.1260504202"/>
    <n v="2"/>
    <n v="1"/>
    <n v="0"/>
    <n v="0"/>
    <n v="0"/>
    <n v="0"/>
    <n v="14376"/>
    <n v="0"/>
    <n v="0"/>
    <n v="0"/>
    <n v="1"/>
    <n v="14376"/>
    <n v="0"/>
    <n v="2"/>
    <n v="1"/>
    <n v="2"/>
    <n v="0"/>
    <n v="0"/>
    <n v="0"/>
    <n v="14376"/>
    <n v="31464"/>
    <n v="0"/>
    <n v="0"/>
    <n v="1"/>
    <n v="14376"/>
    <n v="67210.08403361344"/>
    <n v="2"/>
    <n v="0"/>
    <n v="2"/>
    <n v="0"/>
    <n v="0"/>
    <n v="0"/>
    <n v="0"/>
    <n v="31464"/>
    <n v="0"/>
    <n v="0"/>
    <n v="0"/>
    <n v="0"/>
    <n v="67210.0840336134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2"/>
    <s v="LTW25-MKF04"/>
    <x v="471"/>
    <x v="375"/>
    <x v="0"/>
    <x v="2"/>
    <n v="1"/>
    <x v="3"/>
    <n v="1"/>
    <m/>
    <n v="0"/>
    <n v="14364"/>
    <n v="14364"/>
    <n v="15.2"/>
    <n v="16606"/>
    <n v="33605.04201680672"/>
    <n v="21000"/>
    <s v="Shenzhen"/>
    <s v="30/70"/>
    <n v="30"/>
    <n v="1"/>
    <n v="0"/>
    <s v=""/>
    <n v="0"/>
    <s v=""/>
    <n v="0"/>
    <s v=""/>
    <n v="0"/>
    <s v=""/>
    <n v="0"/>
    <s v=""/>
    <n v="2"/>
    <n v="0.5440989668470585"/>
    <n v="10"/>
    <n v="0.2784867862542887"/>
    <n v="0"/>
    <s v=""/>
    <n v="0"/>
    <s v=""/>
    <n v="3"/>
    <n v="0.3752364724419274"/>
    <n v="0"/>
    <s v=""/>
    <n v="1"/>
    <n v="0.6438448758957575"/>
    <n v="18"/>
    <n v="-0.030659508763243"/>
    <n v="0"/>
    <s v=""/>
    <n v="0"/>
    <s v=""/>
    <n v="0"/>
    <s v=""/>
    <n v="0"/>
    <n v="2"/>
    <n v="0.4747639972958023"/>
    <n v="0.6666666666666666"/>
    <n v="4"/>
    <n v="0.1069823446327684"/>
    <n v="0.2666666666666667"/>
    <n v="1"/>
    <n v="0.1449549774887444"/>
    <n v="0.3333333333333333"/>
    <n v="0"/>
    <s v=""/>
    <n v="0"/>
    <m/>
    <m/>
    <m/>
    <m/>
    <m/>
    <m/>
    <m/>
    <m/>
    <m/>
    <m/>
    <m/>
    <m/>
    <n v="3"/>
    <n v="25"/>
    <n v="3"/>
    <n v="0"/>
    <n v="0"/>
    <n v="0"/>
    <n v="43092"/>
    <n v="393299.9999999999"/>
    <n v="43092"/>
    <n v="0"/>
    <n v="1"/>
    <n v="14364"/>
    <n v="84718.59331968082"/>
    <n v="2"/>
    <n v="12"/>
    <n v="0"/>
    <n v="0"/>
    <n v="0"/>
    <n v="0"/>
    <n v="0"/>
    <n v="188784"/>
    <n v="0"/>
    <n v="0"/>
    <n v="1"/>
    <n v="14364"/>
    <n v="0"/>
    <n v="3"/>
    <n v="12"/>
    <n v="0"/>
    <n v="0"/>
    <n v="0"/>
    <n v="47195.99999999999"/>
    <n v="172368"/>
    <n v="0"/>
    <n v="0"/>
    <n v="1"/>
    <n v="14364"/>
    <n v="0"/>
    <n v="3"/>
    <n v="12"/>
    <n v="0"/>
    <n v="0"/>
    <n v="0"/>
    <n v="188784"/>
    <n v="0"/>
    <n v="0"/>
    <n v="0"/>
    <n v="1"/>
    <n v="14364"/>
    <n v="0"/>
    <n v="3"/>
    <n v="3"/>
    <n v="3"/>
    <m/>
    <n v="0"/>
    <n v="0"/>
    <n v="43092"/>
    <n v="47195.99999999999"/>
    <n v="0"/>
    <n v="0"/>
    <n v="1"/>
    <n v="14364"/>
    <n v="100815.1260504202"/>
    <n v="15"/>
    <n v="5"/>
    <n v="4"/>
    <m/>
    <n v="0"/>
    <n v="0"/>
    <n v="71820"/>
    <n v="62927.99999999999"/>
    <n v="0"/>
    <n v="0"/>
    <n v="5"/>
    <n v="14364"/>
    <n v="134420.1680672269"/>
    <n v="3"/>
    <n v="2"/>
    <n v="1"/>
    <n v="0"/>
    <n v="0"/>
    <n v="0"/>
    <n v="28728"/>
    <n v="15732"/>
    <n v="0"/>
    <n v="0"/>
    <n v="2"/>
    <n v="14364"/>
    <n v="33605.04201680672"/>
    <n v="3"/>
    <n v="1"/>
    <n v="3"/>
    <n v="0"/>
    <n v="0"/>
    <n v="0"/>
    <n v="14364"/>
    <n v="47195.99999999999"/>
    <n v="0"/>
    <n v="0"/>
    <n v="1"/>
    <n v="14364"/>
    <n v="100815.1260504202"/>
    <n v="3"/>
    <n v="0"/>
    <n v="3"/>
    <n v="0"/>
    <n v="0"/>
    <n v="0"/>
    <n v="0"/>
    <n v="47195.99999999999"/>
    <n v="0"/>
    <n v="0"/>
    <n v="0"/>
    <n v="0"/>
    <n v="100815.126050420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2"/>
    <s v="LTW25-MKF05"/>
    <x v="472"/>
    <x v="376"/>
    <x v="0"/>
    <x v="2"/>
    <n v="1"/>
    <x v="3"/>
    <n v="46"/>
    <m/>
    <n v="0"/>
    <n v="15472"/>
    <n v="711712"/>
    <n v="15.8"/>
    <n v="17261.5"/>
    <n v="33605.04201680672"/>
    <n v="23521.00840336135"/>
    <s v="Shenzhen"/>
    <s v="30/70"/>
    <n v="30"/>
    <n v="1"/>
    <n v="0"/>
    <s v=""/>
    <n v="0"/>
    <s v=""/>
    <n v="0"/>
    <s v=""/>
    <n v="0"/>
    <n v="7.109617373357167e-06"/>
    <n v="1"/>
    <n v="0.6316953570714143"/>
    <n v="1"/>
    <n v="0.3860770556852284"/>
    <n v="4"/>
    <n v="0.3537627132802874"/>
    <n v="1"/>
    <n v="0.3860848345369415"/>
    <n v="0"/>
    <s v=""/>
    <n v="6"/>
    <n v="0.3463042039293008"/>
    <n v="0"/>
    <s v=""/>
    <n v="18"/>
    <n v="0.2280031046861357"/>
    <n v="15"/>
    <n v="0.1229522160336997"/>
    <n v="2"/>
    <n v="0.5396334137622146"/>
    <n v="1"/>
    <n v="0.5395923331126072"/>
    <n v="0"/>
    <s v=""/>
    <n v="0"/>
    <n v="1"/>
    <n v="0.3422047159699892"/>
    <n v="0.3333333333333333"/>
    <n v="3"/>
    <n v="0.21830479929087"/>
    <n v="0.07692307692307693"/>
    <n v="32"/>
    <n v="0.102357013571903"/>
    <n v="1.185185185185185"/>
    <n v="30"/>
    <n v="0.1580764353151703"/>
    <n v="1.111111111111111"/>
    <m/>
    <m/>
    <m/>
    <m/>
    <m/>
    <m/>
    <m/>
    <m/>
    <m/>
    <m/>
    <m/>
    <m/>
    <n v="4"/>
    <n v="78"/>
    <n v="4"/>
    <n v="0"/>
    <n v="0"/>
    <n v="0"/>
    <n v="123776"/>
    <n v="1275534"/>
    <n v="61888"/>
    <n v="0"/>
    <n v="46"/>
    <n v="711712"/>
    <n v="112958.1244262411"/>
    <n v="1"/>
    <n v="81"/>
    <n v="3"/>
    <n v="0"/>
    <n v="0"/>
    <n v="0"/>
    <n v="61888"/>
    <n v="1324593"/>
    <n v="46416"/>
    <n v="0"/>
    <n v="46"/>
    <n v="711712"/>
    <n v="84718.59331968082"/>
    <n v="3"/>
    <n v="79"/>
    <n v="1"/>
    <n v="0"/>
    <n v="0"/>
    <n v="64530.99999999999"/>
    <n v="1222288"/>
    <n v="15472"/>
    <n v="0"/>
    <n v="46"/>
    <n v="711712"/>
    <n v="33605.04201680672"/>
    <n v="3"/>
    <n v="79"/>
    <n v="0"/>
    <n v="0"/>
    <n v="0"/>
    <n v="1291887"/>
    <n v="0"/>
    <n v="0"/>
    <n v="0"/>
    <n v="46"/>
    <n v="711712"/>
    <n v="0"/>
    <n v="3"/>
    <n v="47"/>
    <n v="3"/>
    <m/>
    <n v="0"/>
    <n v="0"/>
    <n v="727184"/>
    <n v="49058.99999999999"/>
    <n v="0"/>
    <n v="0"/>
    <n v="46"/>
    <n v="711712"/>
    <n v="100815.1260504202"/>
    <n v="39"/>
    <n v="49"/>
    <n v="3"/>
    <m/>
    <n v="0"/>
    <n v="0"/>
    <n v="758128"/>
    <n v="49058.99999999999"/>
    <n v="0"/>
    <n v="0"/>
    <n v="49"/>
    <n v="711712"/>
    <n v="100815.1260504202"/>
    <n v="27"/>
    <n v="78"/>
    <n v="32"/>
    <n v="0"/>
    <n v="0"/>
    <n v="0"/>
    <n v="1206816"/>
    <n v="523295.9999999999"/>
    <n v="0"/>
    <n v="0"/>
    <n v="78"/>
    <n v="711712"/>
    <n v="1075361.344537815"/>
    <n v="27"/>
    <n v="46"/>
    <n v="27"/>
    <n v="0"/>
    <n v="0"/>
    <n v="0"/>
    <n v="711712"/>
    <n v="441530.9999999999"/>
    <n v="0"/>
    <n v="0"/>
    <n v="46"/>
    <n v="711712"/>
    <n v="907336.1344537814"/>
    <n v="27"/>
    <n v="19"/>
    <n v="27"/>
    <n v="0"/>
    <n v="0"/>
    <n v="0"/>
    <n v="310706.9999999999"/>
    <n v="441530.9999999999"/>
    <n v="0"/>
    <n v="0"/>
    <n v="19"/>
    <n v="310706.9999999999"/>
    <n v="907336.134453781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2"/>
    <s v="LTW25-MKF05"/>
    <x v="473"/>
    <x v="376"/>
    <x v="0"/>
    <x v="2"/>
    <n v="1"/>
    <x v="3"/>
    <n v="109"/>
    <m/>
    <n v="0"/>
    <n v="15472"/>
    <n v="1686448"/>
    <n v="15.8"/>
    <n v="17261.5"/>
    <n v="33605.04201680672"/>
    <n v="23521.00840336135"/>
    <s v="Shenzhen"/>
    <s v="30/70"/>
    <n v="30"/>
    <n v="1"/>
    <n v="0"/>
    <s v=""/>
    <n v="0"/>
    <s v=""/>
    <n v="0"/>
    <s v=""/>
    <n v="0"/>
    <s v=""/>
    <n v="1"/>
    <n v="0.09090428344791118"/>
    <n v="2"/>
    <n v="0.5089102407741731"/>
    <n v="5"/>
    <n v="0.319617414248021"/>
    <n v="0"/>
    <s v=""/>
    <n v="0"/>
    <s v=""/>
    <n v="2"/>
    <n v="0.4192338732381148"/>
    <n v="0"/>
    <s v=""/>
    <n v="0"/>
    <s v=""/>
    <n v="0"/>
    <s v=""/>
    <n v="0"/>
    <s v=""/>
    <n v="0"/>
    <s v=""/>
    <n v="0"/>
    <s v=""/>
    <n v="0"/>
    <n v="1"/>
    <n v="0.539591647911978"/>
    <n v="0.3333333333333333"/>
    <n v="2"/>
    <n v="-0.06285714285714286"/>
    <n v="0.05128205128205128"/>
    <n v="1"/>
    <n v="0.2632380952380952"/>
    <n v="0.02941176470588235"/>
    <n v="2"/>
    <n v="0.07893646823411705"/>
    <n v="0.05882352941176471"/>
    <m/>
    <m/>
    <m/>
    <m/>
    <m/>
    <m/>
    <m/>
    <m/>
    <m/>
    <m/>
    <m/>
    <m/>
    <n v="4"/>
    <n v="90"/>
    <n v="4"/>
    <n v="0"/>
    <n v="0"/>
    <n v="0"/>
    <n v="61888"/>
    <n v="1471770"/>
    <n v="61888"/>
    <n v="0"/>
    <n v="109"/>
    <n v="1686448"/>
    <n v="112958.1244262411"/>
    <n v="1"/>
    <n v="100"/>
    <n v="0"/>
    <n v="0"/>
    <n v="0"/>
    <n v="0"/>
    <n v="0"/>
    <n v="1635300"/>
    <n v="0"/>
    <n v="0"/>
    <n v="109"/>
    <n v="1686448"/>
    <n v="0"/>
    <n v="3"/>
    <n v="100"/>
    <n v="0"/>
    <n v="0"/>
    <n v="0"/>
    <n v="49058.99999999999"/>
    <n v="1547200"/>
    <n v="0"/>
    <n v="0"/>
    <n v="109"/>
    <n v="1686448"/>
    <n v="0"/>
    <n v="3"/>
    <n v="100"/>
    <n v="0"/>
    <n v="0"/>
    <n v="0"/>
    <n v="1635300"/>
    <n v="0"/>
    <n v="0"/>
    <n v="0"/>
    <n v="109"/>
    <n v="1686448"/>
    <n v="0"/>
    <n v="3"/>
    <n v="110"/>
    <n v="3"/>
    <m/>
    <n v="0"/>
    <n v="0"/>
    <n v="1701920"/>
    <n v="49058.99999999999"/>
    <n v="0"/>
    <n v="0"/>
    <n v="109"/>
    <n v="1686448"/>
    <n v="100815.1260504202"/>
    <n v="39"/>
    <n v="111"/>
    <n v="2"/>
    <m/>
    <n v="0"/>
    <n v="0"/>
    <n v="1717392"/>
    <n v="32706"/>
    <n v="0"/>
    <n v="0"/>
    <n v="111"/>
    <n v="1686448"/>
    <n v="67210.08403361344"/>
    <n v="34"/>
    <n v="110"/>
    <n v="1"/>
    <n v="0"/>
    <n v="0"/>
    <n v="0"/>
    <n v="1701920"/>
    <n v="16353"/>
    <n v="0"/>
    <n v="0"/>
    <n v="110"/>
    <n v="1686448"/>
    <n v="33605.04201680672"/>
    <n v="34"/>
    <n v="109"/>
    <n v="34"/>
    <n v="0"/>
    <n v="0"/>
    <n v="0"/>
    <n v="1686448"/>
    <n v="556001.9999999999"/>
    <n v="0"/>
    <n v="0"/>
    <n v="109"/>
    <n v="1686448"/>
    <n v="1142571.428571429"/>
    <n v="34"/>
    <n v="75"/>
    <n v="34"/>
    <n v="0"/>
    <n v="0"/>
    <n v="0"/>
    <n v="1226475"/>
    <n v="556001.9999999999"/>
    <n v="0"/>
    <n v="0"/>
    <n v="75"/>
    <n v="1226475"/>
    <n v="1142571.428571429"/>
    <n v="0"/>
    <n v="41"/>
    <n v="0"/>
    <n v="0"/>
    <n v="0"/>
    <n v="0"/>
    <m/>
    <n v="670472.9999999999"/>
    <n v="0"/>
    <n v="0"/>
    <n v="0"/>
    <n v="41"/>
    <n v="670472.9999999999"/>
    <n v="0"/>
    <n v="0"/>
    <n v="41"/>
    <n v="0"/>
    <n v="0"/>
    <n v="0"/>
    <n v="670472.9999999999"/>
    <n v="0"/>
    <n v="0"/>
    <n v="0"/>
    <n v="41"/>
    <n v="670472.9999999999"/>
    <n v="0"/>
    <n v="0"/>
    <n v="41"/>
    <n v="0"/>
    <n v="0"/>
    <n v="0"/>
    <n v="670472.9999999999"/>
    <n v="0"/>
    <n v="0"/>
    <n v="41"/>
    <n v="670472.9999999999"/>
    <n v="0"/>
    <n v="0"/>
    <n v="41"/>
    <n v="0"/>
    <n v="0"/>
    <m/>
    <n v="670472.9999999999"/>
    <n v="0"/>
    <n v="0"/>
    <n v="41"/>
    <n v="670472.9999999999"/>
    <n v="0"/>
  </r>
  <r>
    <s v="Lhotse-Vestuario"/>
    <x v="4"/>
    <x v="21"/>
    <x v="52"/>
    <s v="LTW25-MKF05"/>
    <x v="474"/>
    <x v="376"/>
    <x v="0"/>
    <x v="2"/>
    <n v="1"/>
    <x v="3"/>
    <n v="26"/>
    <m/>
    <n v="0"/>
    <n v="15472"/>
    <n v="402272"/>
    <n v="15.8"/>
    <n v="17261.5"/>
    <n v="33605.04201680672"/>
    <n v="23521.00840336135"/>
    <s v="Shenzhen"/>
    <s v="30/70"/>
    <n v="30"/>
    <n v="1"/>
    <n v="0"/>
    <s v=""/>
    <n v="0"/>
    <s v=""/>
    <n v="0"/>
    <s v=""/>
    <n v="0"/>
    <s v=""/>
    <n v="0"/>
    <s v=""/>
    <n v="0"/>
    <s v=""/>
    <n v="5"/>
    <n v="0.3507446624840415"/>
    <n v="1"/>
    <n v="0.2632433333333334"/>
    <n v="1"/>
    <n v="0.2632433333333334"/>
    <n v="4"/>
    <n v="7.109617373357167e-06"/>
    <n v="0"/>
    <s v=""/>
    <n v="0"/>
    <s v=""/>
    <n v="0"/>
    <s v=""/>
    <n v="0"/>
    <s v=""/>
    <n v="0"/>
    <s v=""/>
    <n v="0"/>
    <s v=""/>
    <n v="0"/>
    <n v="0"/>
    <s v=""/>
    <n v="0"/>
    <n v="1"/>
    <n v="0.3422047159699892"/>
    <n v="0.03703703703703703"/>
    <n v="31"/>
    <n v="0.1396427198632501"/>
    <n v="1.9375"/>
    <n v="29"/>
    <n v="0.1204920868144322"/>
    <n v="1.8125"/>
    <m/>
    <m/>
    <m/>
    <m/>
    <m/>
    <m/>
    <m/>
    <m/>
    <m/>
    <m/>
    <m/>
    <m/>
    <n v="4"/>
    <n v="64"/>
    <n v="4"/>
    <n v="0"/>
    <n v="0"/>
    <n v="0"/>
    <n v="61888"/>
    <n v="1046592"/>
    <n v="61888"/>
    <n v="0"/>
    <n v="26"/>
    <n v="402272"/>
    <n v="112958.1244262411"/>
    <n v="1"/>
    <n v="48"/>
    <n v="0"/>
    <n v="0"/>
    <n v="0"/>
    <n v="0"/>
    <n v="0"/>
    <n v="784943.9999999999"/>
    <n v="0"/>
    <n v="0"/>
    <n v="26"/>
    <n v="402272"/>
    <n v="0"/>
    <n v="3"/>
    <n v="48"/>
    <n v="0"/>
    <n v="0"/>
    <n v="0"/>
    <n v="49058.99999999999"/>
    <n v="742656"/>
    <n v="0"/>
    <n v="0"/>
    <n v="26"/>
    <n v="402272"/>
    <n v="0"/>
    <n v="3"/>
    <n v="48"/>
    <n v="0"/>
    <n v="0"/>
    <n v="0"/>
    <n v="784943.9999999999"/>
    <n v="0"/>
    <n v="0"/>
    <n v="0"/>
    <n v="26"/>
    <n v="402272"/>
    <n v="0"/>
    <n v="3"/>
    <n v="26"/>
    <n v="3"/>
    <m/>
    <n v="0"/>
    <n v="0"/>
    <n v="402272"/>
    <n v="49058.99999999999"/>
    <n v="0"/>
    <n v="0"/>
    <n v="26"/>
    <n v="402272"/>
    <n v="100815.1260504202"/>
    <n v="27"/>
    <n v="27"/>
    <n v="1"/>
    <m/>
    <n v="0"/>
    <n v="0"/>
    <n v="417744"/>
    <n v="16353"/>
    <n v="0"/>
    <n v="0"/>
    <n v="27"/>
    <n v="402272"/>
    <n v="33605.04201680672"/>
    <n v="16"/>
    <n v="57"/>
    <n v="31"/>
    <n v="0"/>
    <n v="0"/>
    <n v="0"/>
    <n v="881904"/>
    <n v="506942.9999999999"/>
    <n v="0"/>
    <n v="0"/>
    <n v="57"/>
    <n v="402272"/>
    <n v="1041756.302521008"/>
    <n v="16"/>
    <n v="26"/>
    <n v="16"/>
    <n v="0"/>
    <n v="0"/>
    <n v="0"/>
    <n v="402272"/>
    <n v="261648"/>
    <n v="0"/>
    <n v="0"/>
    <n v="26"/>
    <n v="402272"/>
    <n v="537680.6722689075"/>
    <n v="16"/>
    <n v="10"/>
    <n v="16"/>
    <n v="0"/>
    <n v="0"/>
    <n v="0"/>
    <n v="163530"/>
    <n v="261648"/>
    <n v="0"/>
    <n v="0"/>
    <n v="10"/>
    <n v="163530"/>
    <n v="537680.672268907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2"/>
    <s v="LTW25-MKF05"/>
    <x v="475"/>
    <x v="376"/>
    <x v="0"/>
    <x v="2"/>
    <n v="1"/>
    <x v="3"/>
    <n v="58"/>
    <m/>
    <n v="0"/>
    <n v="15472"/>
    <n v="897376"/>
    <n v="15.8"/>
    <n v="17261.5"/>
    <n v="33605.04201680672"/>
    <n v="23521.00840336135"/>
    <s v="Shenzhen"/>
    <s v="30/70"/>
    <n v="30"/>
    <n v="1"/>
    <n v="0"/>
    <s v=""/>
    <n v="0"/>
    <s v=""/>
    <n v="0"/>
    <s v=""/>
    <n v="0"/>
    <n v="6.4632885212231e-06"/>
    <n v="0"/>
    <s v=""/>
    <n v="1"/>
    <n v="0.3860766588862954"/>
    <n v="2"/>
    <n v="0.1991355660230861"/>
    <n v="1"/>
    <n v="0.3860844377430363"/>
    <n v="1"/>
    <n v="0.5907879076410378"/>
    <n v="2"/>
    <n v="0.4333363854450894"/>
    <n v="0"/>
    <s v=""/>
    <n v="0"/>
    <s v=""/>
    <n v="0"/>
    <s v=""/>
    <n v="0"/>
    <s v=""/>
    <n v="0"/>
    <s v=""/>
    <n v="2"/>
    <n v="0.4706571145314971"/>
    <n v="0.6666666666666666"/>
    <n v="0"/>
    <s v=""/>
    <n v="0"/>
    <n v="5"/>
    <n v="-0.004589156166475754"/>
    <n v="0.1851851851851852"/>
    <n v="3"/>
    <n v="0.1923710375482512"/>
    <n v="0.1363636363636364"/>
    <n v="0"/>
    <s v=""/>
    <n v="0"/>
    <m/>
    <m/>
    <m/>
    <m/>
    <m/>
    <m/>
    <m/>
    <m/>
    <m/>
    <m/>
    <m/>
    <m/>
    <n v="4"/>
    <n v="64"/>
    <n v="4"/>
    <n v="0"/>
    <n v="0"/>
    <n v="0"/>
    <n v="61888"/>
    <n v="1046592"/>
    <n v="61888"/>
    <n v="0"/>
    <n v="58"/>
    <n v="897376"/>
    <n v="112958.1244262411"/>
    <n v="1"/>
    <n v="64"/>
    <n v="0"/>
    <n v="0"/>
    <n v="0"/>
    <n v="0"/>
    <n v="30944"/>
    <n v="1046592"/>
    <n v="0"/>
    <n v="0"/>
    <n v="58"/>
    <n v="897376"/>
    <n v="0"/>
    <n v="3"/>
    <n v="64"/>
    <n v="0"/>
    <n v="0"/>
    <n v="0"/>
    <n v="80003"/>
    <n v="990208"/>
    <n v="0"/>
    <n v="0"/>
    <n v="58"/>
    <n v="897376"/>
    <n v="0"/>
    <n v="3"/>
    <n v="64"/>
    <n v="2"/>
    <n v="0"/>
    <n v="0"/>
    <n v="1046592"/>
    <n v="30944"/>
    <n v="0"/>
    <n v="0"/>
    <n v="58"/>
    <n v="897376"/>
    <n v="67210.08403361344"/>
    <n v="3"/>
    <n v="58"/>
    <n v="3"/>
    <m/>
    <n v="0"/>
    <n v="0"/>
    <n v="897376"/>
    <n v="49058.99999999999"/>
    <n v="0"/>
    <n v="0"/>
    <n v="58"/>
    <n v="897376"/>
    <n v="100815.1260504202"/>
    <n v="27"/>
    <n v="63"/>
    <n v="5"/>
    <m/>
    <n v="0"/>
    <n v="0"/>
    <n v="974736"/>
    <n v="81764.99999999999"/>
    <n v="0"/>
    <n v="0"/>
    <n v="63"/>
    <n v="897376"/>
    <n v="168025.2100840336"/>
    <n v="22"/>
    <n v="61"/>
    <n v="3"/>
    <n v="0"/>
    <n v="0"/>
    <n v="0"/>
    <n v="943792"/>
    <n v="49058.99999999999"/>
    <n v="0"/>
    <n v="0"/>
    <n v="61"/>
    <n v="897376"/>
    <n v="100815.1260504202"/>
    <n v="22"/>
    <n v="58"/>
    <n v="22"/>
    <n v="0"/>
    <n v="0"/>
    <n v="0"/>
    <n v="897376"/>
    <n v="359765.9999999999"/>
    <n v="0"/>
    <n v="0"/>
    <n v="58"/>
    <n v="897376"/>
    <n v="739310.9243697479"/>
    <n v="22"/>
    <n v="36"/>
    <n v="22"/>
    <n v="0"/>
    <n v="0"/>
    <n v="0"/>
    <n v="588707.9999999999"/>
    <n v="359765.9999999999"/>
    <n v="0"/>
    <n v="0"/>
    <n v="36"/>
    <n v="588707.9999999999"/>
    <n v="739310.9243697479"/>
    <n v="0"/>
    <n v="14"/>
    <n v="0"/>
    <n v="0"/>
    <n v="0"/>
    <n v="0"/>
    <m/>
    <n v="228942"/>
    <n v="0"/>
    <n v="0"/>
    <n v="0"/>
    <n v="14"/>
    <n v="228942"/>
    <n v="0"/>
    <n v="0"/>
    <n v="14"/>
    <n v="0"/>
    <n v="0"/>
    <n v="0"/>
    <n v="228942"/>
    <n v="0"/>
    <n v="0"/>
    <n v="0"/>
    <n v="14"/>
    <n v="228942"/>
    <n v="0"/>
    <n v="0"/>
    <n v="14"/>
    <n v="0"/>
    <n v="0"/>
    <n v="0"/>
    <n v="228942"/>
    <n v="0"/>
    <n v="0"/>
    <n v="14"/>
    <n v="228942"/>
    <n v="0"/>
    <n v="0"/>
    <n v="14"/>
    <n v="0"/>
    <n v="0"/>
    <m/>
    <n v="228942"/>
    <n v="0"/>
    <n v="0"/>
    <n v="14"/>
    <n v="228942"/>
    <n v="0"/>
  </r>
  <r>
    <m/>
    <x v="4"/>
    <x v="21"/>
    <x v="52"/>
    <s v="LTW25-MKF05"/>
    <x v="476"/>
    <x v="376"/>
    <x v="0"/>
    <x v="2"/>
    <n v="1"/>
    <x v="3"/>
    <n v="19"/>
    <m/>
    <n v="0"/>
    <n v="15472"/>
    <n v="293968"/>
    <n v="15.8"/>
    <n v="17261.5"/>
    <n v="33605.04201680672"/>
    <n v="23521.00840336135"/>
    <s v="Shenzhen"/>
    <s v="30/70"/>
    <n v="30"/>
    <n v="1"/>
    <n v="0"/>
    <s v=""/>
    <n v="0"/>
    <s v=""/>
    <n v="0"/>
    <s v=""/>
    <n v="0"/>
    <s v=""/>
    <n v="0"/>
    <s v=""/>
    <n v="1"/>
    <n v="0.3860848345369415"/>
    <n v="1"/>
    <n v="0.3860848345369415"/>
    <n v="0"/>
    <s v=""/>
    <n v="0"/>
    <s v=""/>
    <n v="3"/>
    <n v="7.109617373357167e-06"/>
    <n v="2"/>
    <n v="0.3860826521704627"/>
    <n v="0"/>
    <s v=""/>
    <n v="0"/>
    <s v=""/>
    <n v="0"/>
    <s v=""/>
    <n v="0"/>
    <s v=""/>
    <n v="0"/>
    <s v=""/>
    <n v="0"/>
    <n v="0"/>
    <s v=""/>
    <n v="0"/>
    <n v="0"/>
    <s v=""/>
    <n v="0"/>
    <n v="9"/>
    <n v="0.1209090909090909"/>
    <n v="1.285714285714286"/>
    <n v="9"/>
    <n v="0.1219070531503365"/>
    <n v="1.285714285714286"/>
    <m/>
    <m/>
    <m/>
    <m/>
    <m/>
    <m/>
    <m/>
    <m/>
    <m/>
    <m/>
    <m/>
    <m/>
    <n v="2"/>
    <n v="31"/>
    <n v="2"/>
    <n v="0"/>
    <n v="0"/>
    <n v="0"/>
    <n v="30944"/>
    <n v="506942.9999999999"/>
    <n v="30944"/>
    <n v="0"/>
    <n v="19"/>
    <n v="293968"/>
    <n v="56479.06221312055"/>
    <n v="1"/>
    <n v="22"/>
    <n v="0"/>
    <n v="0"/>
    <n v="0"/>
    <n v="0"/>
    <n v="0"/>
    <n v="359765.9999999999"/>
    <n v="0"/>
    <n v="0"/>
    <n v="19"/>
    <n v="293968"/>
    <n v="0"/>
    <n v="2"/>
    <n v="22"/>
    <n v="0"/>
    <n v="0"/>
    <n v="0"/>
    <n v="32706"/>
    <n v="340384"/>
    <n v="0"/>
    <n v="0"/>
    <n v="19"/>
    <n v="293968"/>
    <n v="0"/>
    <n v="2"/>
    <n v="22"/>
    <n v="0"/>
    <n v="0"/>
    <n v="0"/>
    <n v="359765.9999999999"/>
    <n v="0"/>
    <n v="0"/>
    <n v="0"/>
    <n v="19"/>
    <n v="293968"/>
    <n v="0"/>
    <n v="2"/>
    <n v="19"/>
    <n v="2"/>
    <m/>
    <n v="0"/>
    <n v="0"/>
    <n v="293968"/>
    <n v="32706"/>
    <n v="0"/>
    <n v="0"/>
    <n v="19"/>
    <n v="293968"/>
    <n v="67210.08403361344"/>
    <n v="12"/>
    <n v="19"/>
    <n v="0"/>
    <m/>
    <n v="0"/>
    <n v="0"/>
    <n v="293968"/>
    <n v="0"/>
    <n v="0"/>
    <n v="0"/>
    <n v="19"/>
    <n v="293968"/>
    <n v="0"/>
    <n v="7"/>
    <n v="28"/>
    <n v="9"/>
    <n v="0"/>
    <n v="0"/>
    <n v="0"/>
    <n v="433216"/>
    <n v="147177"/>
    <n v="0"/>
    <n v="0"/>
    <n v="28"/>
    <n v="293968"/>
    <n v="302445.3781512605"/>
    <n v="7"/>
    <n v="19"/>
    <n v="7"/>
    <n v="0"/>
    <n v="0"/>
    <n v="0"/>
    <n v="293968"/>
    <n v="114471"/>
    <n v="0"/>
    <n v="0"/>
    <n v="19"/>
    <n v="293968"/>
    <n v="235235.294117647"/>
    <n v="7"/>
    <n v="12"/>
    <n v="7"/>
    <n v="0"/>
    <n v="0"/>
    <n v="0"/>
    <n v="196236"/>
    <n v="114471"/>
    <n v="0"/>
    <n v="0"/>
    <n v="12"/>
    <n v="196236"/>
    <n v="235235.294117647"/>
    <n v="0"/>
    <n v="5"/>
    <n v="0"/>
    <n v="0"/>
    <n v="0"/>
    <n v="0"/>
    <m/>
    <n v="81764.99999999999"/>
    <n v="0"/>
    <n v="0"/>
    <n v="0"/>
    <n v="5"/>
    <n v="81764.99999999999"/>
    <n v="0"/>
    <n v="0"/>
    <n v="5"/>
    <n v="0"/>
    <n v="0"/>
    <n v="0"/>
    <n v="81764.99999999999"/>
    <n v="0"/>
    <n v="0"/>
    <n v="0"/>
    <n v="5"/>
    <n v="81764.99999999999"/>
    <n v="0"/>
    <n v="0"/>
    <n v="5"/>
    <n v="0"/>
    <n v="0"/>
    <n v="0"/>
    <n v="81764.99999999999"/>
    <n v="0"/>
    <n v="0"/>
    <n v="5"/>
    <n v="81764.99999999999"/>
    <n v="0"/>
    <n v="0"/>
    <n v="5"/>
    <n v="0"/>
    <n v="0"/>
    <m/>
    <n v="81764.99999999999"/>
    <n v="0"/>
    <n v="0"/>
    <n v="5"/>
    <n v="81764.99999999999"/>
    <n v="0"/>
  </r>
  <r>
    <m/>
    <x v="4"/>
    <x v="21"/>
    <x v="52"/>
    <s v="LTW25-MKF05"/>
    <x v="477"/>
    <x v="376"/>
    <x v="0"/>
    <x v="2"/>
    <n v="1"/>
    <x v="3"/>
    <n v="28"/>
    <m/>
    <n v="0"/>
    <n v="15472"/>
    <n v="433216"/>
    <n v="15.8"/>
    <n v="17261.5"/>
    <n v="33605.04201680672"/>
    <n v="23521.0084033613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1"/>
    <n v="0.2632428571428572"/>
    <n v="0"/>
    <s v=""/>
    <n v="0"/>
    <s v=""/>
    <n v="0"/>
    <s v=""/>
    <n v="0"/>
    <s v=""/>
    <n v="0"/>
    <s v=""/>
    <n v="0"/>
    <s v=""/>
    <n v="0"/>
    <s v=""/>
    <n v="0"/>
    <n v="2"/>
    <n v="0.4097146612804975"/>
    <n v="1"/>
    <n v="0"/>
    <s v=""/>
    <n v="0"/>
    <n v="0"/>
    <s v=""/>
    <n v="0"/>
    <n v="0"/>
    <s v=""/>
    <n v="0"/>
    <m/>
    <m/>
    <m/>
    <m/>
    <m/>
    <m/>
    <m/>
    <m/>
    <m/>
    <m/>
    <m/>
    <m/>
    <n v="2"/>
    <n v="32"/>
    <n v="2"/>
    <n v="0"/>
    <n v="0"/>
    <n v="0"/>
    <n v="30944"/>
    <n v="523295.9999999999"/>
    <n v="30944"/>
    <n v="0"/>
    <n v="28"/>
    <n v="433216"/>
    <n v="56479.06221312055"/>
    <n v="1"/>
    <n v="25"/>
    <n v="0"/>
    <n v="0"/>
    <n v="0"/>
    <n v="0"/>
    <n v="0"/>
    <n v="408824.9999999999"/>
    <n v="0"/>
    <n v="0"/>
    <n v="28"/>
    <n v="433216"/>
    <n v="0"/>
    <n v="2"/>
    <n v="25"/>
    <n v="0"/>
    <n v="0"/>
    <n v="0"/>
    <n v="32706"/>
    <n v="386800"/>
    <n v="0"/>
    <n v="0"/>
    <n v="28"/>
    <n v="433216"/>
    <n v="0"/>
    <n v="2"/>
    <n v="25"/>
    <n v="0"/>
    <n v="0"/>
    <n v="0"/>
    <n v="408824.9999999999"/>
    <n v="0"/>
    <n v="0"/>
    <n v="0"/>
    <n v="28"/>
    <n v="433216"/>
    <n v="0"/>
    <n v="2"/>
    <n v="30"/>
    <n v="2"/>
    <m/>
    <n v="0"/>
    <n v="0"/>
    <n v="464160"/>
    <n v="32706"/>
    <n v="0"/>
    <n v="0"/>
    <n v="28"/>
    <n v="433216"/>
    <n v="67210.08403361344"/>
    <n v="12"/>
    <n v="28"/>
    <n v="0"/>
    <m/>
    <n v="0"/>
    <n v="0"/>
    <n v="433216"/>
    <n v="0"/>
    <n v="0"/>
    <n v="0"/>
    <n v="28"/>
    <n v="433216"/>
    <n v="0"/>
    <n v="8"/>
    <n v="28"/>
    <n v="0"/>
    <n v="0"/>
    <n v="0"/>
    <n v="0"/>
    <n v="433216"/>
    <n v="0"/>
    <n v="0"/>
    <n v="0"/>
    <n v="28"/>
    <n v="433216"/>
    <n v="0"/>
    <n v="8"/>
    <n v="28"/>
    <n v="8"/>
    <n v="0"/>
    <n v="0"/>
    <n v="0"/>
    <n v="433216"/>
    <n v="130824"/>
    <n v="0"/>
    <n v="0"/>
    <n v="28"/>
    <n v="433216"/>
    <n v="268840.3361344538"/>
    <n v="8"/>
    <n v="20"/>
    <n v="8"/>
    <n v="0"/>
    <n v="0"/>
    <n v="0"/>
    <n v="327059.9999999999"/>
    <n v="130824"/>
    <n v="0"/>
    <n v="0"/>
    <n v="20"/>
    <n v="327059.9999999999"/>
    <n v="268840.3361344538"/>
    <n v="0"/>
    <n v="12"/>
    <n v="0"/>
    <n v="0"/>
    <n v="0"/>
    <n v="0"/>
    <m/>
    <n v="196236"/>
    <n v="0"/>
    <n v="0"/>
    <n v="0"/>
    <n v="12"/>
    <n v="196236"/>
    <n v="0"/>
    <n v="0"/>
    <n v="12"/>
    <n v="0"/>
    <n v="0"/>
    <n v="0"/>
    <n v="196236"/>
    <n v="0"/>
    <n v="0"/>
    <n v="0"/>
    <n v="12"/>
    <n v="196236"/>
    <n v="0"/>
    <n v="0"/>
    <n v="12"/>
    <n v="0"/>
    <n v="0"/>
    <n v="0"/>
    <n v="196236"/>
    <n v="0"/>
    <n v="0"/>
    <n v="12"/>
    <n v="196236"/>
    <n v="0"/>
    <n v="0"/>
    <n v="12"/>
    <n v="0"/>
    <n v="0"/>
    <m/>
    <n v="196236"/>
    <n v="0"/>
    <n v="0"/>
    <n v="12"/>
    <n v="196236"/>
    <n v="0"/>
  </r>
  <r>
    <s v="Lhotse-Vestuario"/>
    <x v="4"/>
    <x v="21"/>
    <x v="52"/>
    <s v="LTW25-MKF05"/>
    <x v="478"/>
    <x v="376"/>
    <x v="0"/>
    <x v="2"/>
    <n v="1"/>
    <x v="3"/>
    <n v="1"/>
    <m/>
    <n v="0"/>
    <n v="15473"/>
    <n v="15473"/>
    <n v="15.8"/>
    <n v="17261.5"/>
    <n v="33605.04201680672"/>
    <n v="23521.00840336135"/>
    <s v="Shenzhen"/>
    <s v="30/70"/>
    <n v="30"/>
    <n v="1"/>
    <n v="0"/>
    <s v=""/>
    <n v="0"/>
    <s v=""/>
    <n v="0"/>
    <s v=""/>
    <n v="0"/>
    <s v=""/>
    <n v="0"/>
    <s v=""/>
    <n v="3"/>
    <n v="0.3302629286308512"/>
    <n v="6"/>
    <n v="0.2378166671898787"/>
    <n v="0"/>
    <n v="0.2254367959949937"/>
    <n v="1"/>
    <n v="0.2632428571428572"/>
    <n v="6"/>
    <n v="0.3313400368791057"/>
    <n v="0"/>
    <s v=""/>
    <n v="14"/>
    <n v="0.1151814709666878"/>
    <n v="13"/>
    <n v="0.1229522085248816"/>
    <n v="0"/>
    <s v=""/>
    <n v="0"/>
    <s v=""/>
    <n v="1"/>
    <n v="0.5907852504581037"/>
    <n v="0.3333333333333333"/>
    <n v="1"/>
    <n v="0.5907814548929833"/>
    <n v="0.3333333333333333"/>
    <n v="4"/>
    <n v="0.04173310683276708"/>
    <n v="0.3333333333333333"/>
    <n v="3"/>
    <n v="0.08399071310116087"/>
    <n v="1.5"/>
    <n v="2"/>
    <n v="0.1219057611598626"/>
    <n v="1"/>
    <m/>
    <m/>
    <m/>
    <m/>
    <m/>
    <m/>
    <m/>
    <m/>
    <m/>
    <m/>
    <m/>
    <m/>
    <n v="2"/>
    <n v="4"/>
    <n v="2"/>
    <n v="0"/>
    <n v="0"/>
    <n v="0"/>
    <n v="30946"/>
    <n v="65411.99999999999"/>
    <n v="30946"/>
    <n v="0"/>
    <n v="1"/>
    <n v="15473"/>
    <n v="56479.06221312055"/>
    <n v="1"/>
    <n v="9"/>
    <n v="0"/>
    <n v="0"/>
    <n v="0"/>
    <n v="0"/>
    <n v="15473"/>
    <n v="147177"/>
    <n v="0"/>
    <n v="0"/>
    <n v="1"/>
    <n v="15473"/>
    <n v="0"/>
    <n v="3"/>
    <n v="9"/>
    <n v="0"/>
    <n v="0"/>
    <n v="0"/>
    <n v="64531.99999999999"/>
    <n v="139257"/>
    <n v="0"/>
    <n v="0"/>
    <n v="1"/>
    <n v="15473"/>
    <n v="0"/>
    <n v="3"/>
    <n v="8"/>
    <n v="1"/>
    <n v="0"/>
    <n v="0"/>
    <n v="130824"/>
    <n v="15473"/>
    <n v="0"/>
    <n v="0"/>
    <n v="1"/>
    <n v="15473"/>
    <n v="33605.04201680672"/>
    <n v="3"/>
    <n v="2"/>
    <n v="3"/>
    <m/>
    <n v="0"/>
    <n v="0"/>
    <n v="30946"/>
    <n v="49058.99999999999"/>
    <n v="0"/>
    <n v="0"/>
    <n v="1"/>
    <n v="15473"/>
    <n v="100815.1260504202"/>
    <n v="12"/>
    <n v="5"/>
    <n v="4"/>
    <m/>
    <n v="0"/>
    <n v="0"/>
    <n v="77365"/>
    <n v="65411.99999999999"/>
    <n v="0"/>
    <n v="0"/>
    <n v="5"/>
    <n v="15473"/>
    <n v="134420.1680672269"/>
    <n v="2"/>
    <n v="4"/>
    <n v="3"/>
    <n v="0"/>
    <n v="0"/>
    <n v="0"/>
    <n v="61892"/>
    <n v="49058.99999999999"/>
    <n v="0"/>
    <n v="0"/>
    <n v="4"/>
    <n v="15473"/>
    <n v="100815.1260504202"/>
    <n v="2"/>
    <n v="1"/>
    <n v="2"/>
    <n v="0"/>
    <n v="0"/>
    <n v="0"/>
    <n v="15473"/>
    <n v="32706"/>
    <n v="0"/>
    <n v="0"/>
    <n v="1"/>
    <n v="15473"/>
    <n v="67210.08403361344"/>
    <n v="2"/>
    <n v="0"/>
    <n v="2"/>
    <n v="0"/>
    <n v="0"/>
    <n v="0"/>
    <n v="0"/>
    <n v="32706"/>
    <n v="0"/>
    <n v="0"/>
    <n v="0"/>
    <n v="0"/>
    <n v="67210.08403361344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2"/>
    <s v="LTW25-MKF05"/>
    <x v="479"/>
    <x v="376"/>
    <x v="0"/>
    <x v="2"/>
    <n v="1"/>
    <x v="3"/>
    <n v="0"/>
    <m/>
    <n v="0"/>
    <n v="15472"/>
    <n v="0"/>
    <n v="15.8"/>
    <n v="17261.5"/>
    <n v="33605.04201680672"/>
    <n v="23521.00840336135"/>
    <s v="Shenzhen"/>
    <s v="30/70"/>
    <n v="30"/>
    <n v="1"/>
    <n v="0"/>
    <s v=""/>
    <n v="0"/>
    <s v=""/>
    <n v="0"/>
    <s v=""/>
    <n v="0"/>
    <s v=""/>
    <n v="0"/>
    <s v=""/>
    <n v="1"/>
    <n v="0.5907879076410378"/>
    <n v="4"/>
    <n v="0.1991355660230861"/>
    <n v="1"/>
    <n v="0.3860766588862954"/>
    <n v="0"/>
    <s v=""/>
    <n v="1"/>
    <n v="0.2632428571428572"/>
    <n v="0"/>
    <s v=""/>
    <n v="1"/>
    <n v="0.6163579558134344"/>
    <n v="0"/>
    <s v=""/>
    <n v="0"/>
    <s v=""/>
    <n v="1"/>
    <n v="0.6163579240534642"/>
    <n v="0"/>
    <s v=""/>
    <n v="0"/>
    <n v="1"/>
    <n v="0.1777666130760986"/>
    <n v="0.3333333333333333"/>
    <n v="1"/>
    <n v="0.01928571428571428"/>
    <n v="0.08333333333333333"/>
    <n v="21"/>
    <n v="0.1789578886345394"/>
    <n v="2.625"/>
    <n v="19"/>
    <n v="0.1219126605219033"/>
    <n v="2.375"/>
    <m/>
    <m/>
    <m/>
    <m/>
    <m/>
    <m/>
    <m/>
    <m/>
    <m/>
    <m/>
    <m/>
    <m/>
    <n v="2"/>
    <n v="28"/>
    <n v="2"/>
    <n v="0"/>
    <n v="0"/>
    <n v="0"/>
    <n v="46416"/>
    <n v="457883.9999999999"/>
    <n v="30944"/>
    <n v="0"/>
    <n v="0"/>
    <n v="0"/>
    <n v="56479.06221312055"/>
    <n v="1"/>
    <n v="25"/>
    <n v="0"/>
    <n v="0"/>
    <n v="0"/>
    <n v="0"/>
    <n v="15472"/>
    <n v="408824.9999999999"/>
    <n v="0"/>
    <n v="0"/>
    <n v="0"/>
    <n v="0"/>
    <n v="0"/>
    <n v="3"/>
    <n v="25"/>
    <n v="1"/>
    <n v="0"/>
    <n v="0"/>
    <n v="64530.99999999999"/>
    <n v="386800"/>
    <n v="15472"/>
    <n v="0"/>
    <n v="0"/>
    <n v="0"/>
    <n v="33605.04201680672"/>
    <n v="3"/>
    <n v="24"/>
    <n v="0"/>
    <n v="0"/>
    <n v="0"/>
    <n v="392471.9999999999"/>
    <n v="0"/>
    <n v="0"/>
    <n v="0"/>
    <n v="0"/>
    <n v="0"/>
    <n v="0"/>
    <n v="3"/>
    <n v="1"/>
    <n v="3"/>
    <m/>
    <n v="0"/>
    <n v="0"/>
    <n v="15472"/>
    <n v="49058.99999999999"/>
    <n v="0"/>
    <n v="0"/>
    <n v="0"/>
    <n v="0"/>
    <n v="100815.1260504202"/>
    <n v="12"/>
    <n v="1"/>
    <n v="1"/>
    <m/>
    <n v="0"/>
    <n v="0"/>
    <n v="15472"/>
    <n v="16353"/>
    <n v="0"/>
    <n v="0"/>
    <n v="1"/>
    <n v="0"/>
    <n v="33605.04201680672"/>
    <n v="8"/>
    <n v="21"/>
    <n v="21"/>
    <n v="0"/>
    <n v="0"/>
    <n v="0"/>
    <n v="324912"/>
    <n v="343412.9999999999"/>
    <n v="0"/>
    <n v="0"/>
    <n v="21"/>
    <n v="0"/>
    <n v="705705.8823529412"/>
    <n v="8"/>
    <n v="0"/>
    <n v="8"/>
    <n v="0"/>
    <n v="0"/>
    <n v="0"/>
    <n v="0"/>
    <n v="130824"/>
    <n v="0"/>
    <n v="0"/>
    <n v="0"/>
    <n v="0"/>
    <n v="268840.3361344538"/>
    <n v="8"/>
    <n v="0"/>
    <n v="8"/>
    <n v="0"/>
    <n v="0"/>
    <n v="0"/>
    <n v="0"/>
    <n v="130824"/>
    <n v="0"/>
    <n v="0"/>
    <n v="0"/>
    <n v="0"/>
    <n v="268840.3361344538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2"/>
    <s v="LTW25-MKF07"/>
    <x v="480"/>
    <x v="377"/>
    <x v="0"/>
    <x v="2"/>
    <n v="1"/>
    <x v="3"/>
    <n v="85"/>
    <m/>
    <n v="0"/>
    <n v="17137"/>
    <n v="1456645"/>
    <n v="17.5"/>
    <n v="19118.75"/>
    <n v="42008.40336134454"/>
    <n v="25201.68067226891"/>
    <s v="Shenzhen"/>
    <s v="30/70"/>
    <n v="30"/>
    <n v="1"/>
    <n v="0"/>
    <s v=""/>
    <n v="0"/>
    <s v=""/>
    <n v="0"/>
    <s v=""/>
    <n v="0"/>
    <s v=""/>
    <n v="1"/>
    <n v="0.6600692295485202"/>
    <n v="3"/>
    <n v="0.2635815664112275"/>
    <n v="6"/>
    <n v="0.4812407291925241"/>
    <n v="1"/>
    <n v="0.4171822603135734"/>
    <n v="0"/>
    <s v=""/>
    <n v="2"/>
    <n v="0.44041960553814"/>
    <n v="0"/>
    <s v=""/>
    <n v="2"/>
    <n v="0.497625469043152"/>
    <n v="0"/>
    <s v=""/>
    <n v="0"/>
    <s v=""/>
    <n v="0"/>
    <s v=""/>
    <n v="1"/>
    <n v="0"/>
    <n v="1"/>
    <n v="0"/>
    <s v=""/>
    <n v="0"/>
    <n v="6"/>
    <n v="-0.02480067944491105"/>
    <n v="0.1538461538461539"/>
    <n v="6"/>
    <n v="0.2444592441645054"/>
    <n v="0.2068965517241379"/>
    <n v="1"/>
    <n v="0.183952380952381"/>
    <n v="0.03448275862068965"/>
    <m/>
    <m/>
    <m/>
    <m/>
    <m/>
    <m/>
    <m/>
    <m/>
    <m/>
    <m/>
    <m/>
    <m/>
    <n v="1"/>
    <n v="105"/>
    <n v="1"/>
    <n v="0"/>
    <n v="0"/>
    <n v="0"/>
    <n v="17137"/>
    <n v="1901812.5"/>
    <n v="17137"/>
    <n v="0"/>
    <n v="85"/>
    <n v="1456645"/>
    <n v="35301.17929524752"/>
    <n v="1"/>
    <n v="87"/>
    <n v="0"/>
    <n v="0"/>
    <n v="0"/>
    <n v="0"/>
    <n v="17137"/>
    <n v="1575787.5"/>
    <n v="0"/>
    <n v="0"/>
    <n v="85"/>
    <n v="1456645"/>
    <n v="0"/>
    <n v="1"/>
    <n v="87"/>
    <n v="0"/>
    <n v="0"/>
    <n v="0"/>
    <n v="71474.5"/>
    <n v="1490919"/>
    <n v="0"/>
    <n v="0"/>
    <n v="85"/>
    <n v="1456645"/>
    <n v="0"/>
    <n v="1"/>
    <n v="87"/>
    <n v="1"/>
    <n v="0"/>
    <n v="0"/>
    <n v="1575787.5"/>
    <n v="17137"/>
    <n v="0"/>
    <n v="0"/>
    <n v="85"/>
    <n v="1456645"/>
    <n v="42008.40336134454"/>
    <n v="3"/>
    <n v="85"/>
    <n v="3"/>
    <m/>
    <n v="0"/>
    <n v="0"/>
    <n v="1456645"/>
    <n v="54337.5"/>
    <n v="0"/>
    <n v="0"/>
    <n v="85"/>
    <n v="1456645"/>
    <n v="126025.2100840336"/>
    <n v="39"/>
    <n v="91"/>
    <n v="6"/>
    <m/>
    <n v="0"/>
    <n v="0"/>
    <n v="1559467"/>
    <n v="108675"/>
    <n v="0"/>
    <n v="0"/>
    <n v="91"/>
    <n v="1456645"/>
    <n v="252050.4201680673"/>
    <n v="29"/>
    <n v="91"/>
    <n v="6"/>
    <n v="0"/>
    <n v="0"/>
    <n v="0"/>
    <n v="1559467"/>
    <n v="108675"/>
    <n v="0"/>
    <n v="0"/>
    <n v="91"/>
    <n v="1456645"/>
    <n v="252050.4201680673"/>
    <n v="29"/>
    <n v="85"/>
    <n v="29"/>
    <n v="0"/>
    <n v="0"/>
    <n v="0"/>
    <n v="1456645"/>
    <n v="525262.5"/>
    <n v="0"/>
    <n v="0"/>
    <n v="85"/>
    <n v="1456645"/>
    <n v="1218243.697478992"/>
    <n v="29"/>
    <n v="56"/>
    <n v="29"/>
    <n v="0"/>
    <n v="0"/>
    <n v="0"/>
    <n v="1014300"/>
    <n v="525262.5"/>
    <n v="0"/>
    <n v="0"/>
    <n v="56"/>
    <n v="1014300"/>
    <n v="1218243.697478992"/>
    <n v="0"/>
    <n v="27"/>
    <n v="0"/>
    <n v="0"/>
    <n v="0"/>
    <n v="0"/>
    <m/>
    <n v="489037.5"/>
    <n v="0"/>
    <n v="0"/>
    <n v="0"/>
    <n v="27"/>
    <n v="489037.5"/>
    <n v="0"/>
    <n v="0"/>
    <n v="27"/>
    <n v="0"/>
    <n v="0"/>
    <n v="0"/>
    <n v="489037.5"/>
    <n v="0"/>
    <n v="0"/>
    <n v="0"/>
    <n v="27"/>
    <n v="489037.5"/>
    <n v="0"/>
    <n v="0"/>
    <n v="27"/>
    <n v="0"/>
    <n v="0"/>
    <n v="0"/>
    <n v="489037.5"/>
    <n v="0"/>
    <n v="0"/>
    <n v="27"/>
    <n v="489037.5"/>
    <n v="0"/>
    <n v="0"/>
    <n v="27"/>
    <n v="0"/>
    <n v="0"/>
    <m/>
    <n v="489037.5"/>
    <n v="0"/>
    <n v="0"/>
    <n v="27"/>
    <n v="489037.5"/>
    <n v="0"/>
  </r>
  <r>
    <s v="Lhotse-Vestuario"/>
    <x v="4"/>
    <x v="21"/>
    <x v="52"/>
    <s v="LTW25-MKF07"/>
    <x v="481"/>
    <x v="377"/>
    <x v="0"/>
    <x v="2"/>
    <n v="1"/>
    <x v="3"/>
    <n v="96"/>
    <m/>
    <n v="0"/>
    <n v="17137"/>
    <n v="1645152"/>
    <n v="17.5"/>
    <n v="19118.75"/>
    <n v="42008.40336134454"/>
    <n v="25201.68067226891"/>
    <s v="Shenzhen"/>
    <s v="30/70"/>
    <n v="30"/>
    <n v="1"/>
    <n v="0"/>
    <s v=""/>
    <n v="0"/>
    <s v=""/>
    <n v="0"/>
    <s v=""/>
    <n v="0"/>
    <s v=""/>
    <n v="0"/>
    <s v=""/>
    <n v="7"/>
    <n v="0.4684671717298421"/>
    <n v="11"/>
    <n v="0.3028063240471598"/>
    <n v="0"/>
    <s v=""/>
    <n v="2"/>
    <n v="0.3200167789263087"/>
    <n v="2"/>
    <n v="0.6115091473782049"/>
    <n v="0"/>
    <s v=""/>
    <n v="3"/>
    <n v="0.5540181824490787"/>
    <n v="0"/>
    <s v=""/>
    <n v="1"/>
    <n v="0.6357859513806445"/>
    <n v="1"/>
    <n v="0.6357859513806445"/>
    <n v="0"/>
    <s v=""/>
    <n v="0"/>
    <n v="1"/>
    <n v="0.6357845763680526"/>
    <n v="0.3333333333333333"/>
    <n v="6"/>
    <n v="0.4386298682670016"/>
    <n v="0.1538461538461539"/>
    <n v="4"/>
    <n v="0.4660450350199646"/>
    <n v="2"/>
    <n v="1"/>
    <n v="0.6357845763680526"/>
    <n v="0.5"/>
    <m/>
    <m/>
    <m/>
    <m/>
    <m/>
    <m/>
    <m/>
    <m/>
    <m/>
    <m/>
    <m/>
    <m/>
    <n v="1"/>
    <n v="105"/>
    <n v="1"/>
    <n v="0"/>
    <n v="0"/>
    <n v="0"/>
    <n v="59979.5"/>
    <n v="1901812.5"/>
    <n v="17137"/>
    <n v="0"/>
    <n v="96"/>
    <n v="1645152"/>
    <n v="35301.17929524752"/>
    <n v="1"/>
    <n v="109"/>
    <n v="1.5"/>
    <n v="0"/>
    <n v="0"/>
    <n v="0"/>
    <n v="42842.5"/>
    <n v="1974262.5"/>
    <n v="25705.5"/>
    <n v="0"/>
    <n v="96"/>
    <n v="1645152"/>
    <n v="52951.76894287128"/>
    <n v="1"/>
    <n v="108"/>
    <n v="1"/>
    <n v="0"/>
    <n v="0"/>
    <n v="71474.5"/>
    <n v="1850796"/>
    <n v="17137"/>
    <n v="0"/>
    <n v="96"/>
    <n v="1645152"/>
    <n v="42008.40336134454"/>
    <n v="1"/>
    <n v="115"/>
    <n v="0"/>
    <n v="0"/>
    <n v="0"/>
    <n v="2082937.5"/>
    <n v="0"/>
    <n v="0"/>
    <n v="0"/>
    <n v="96"/>
    <n v="1645152"/>
    <n v="0"/>
    <n v="3"/>
    <n v="97"/>
    <n v="3"/>
    <m/>
    <n v="0"/>
    <n v="0"/>
    <n v="1662289"/>
    <n v="54337.5"/>
    <n v="0"/>
    <n v="0"/>
    <n v="96"/>
    <n v="1645152"/>
    <n v="126025.2100840336"/>
    <n v="39"/>
    <n v="102"/>
    <n v="6"/>
    <m/>
    <n v="0"/>
    <n v="0"/>
    <n v="1747974"/>
    <n v="108675"/>
    <n v="0"/>
    <n v="0"/>
    <n v="102"/>
    <n v="1645152"/>
    <n v="252050.4201680673"/>
    <n v="2"/>
    <n v="100"/>
    <n v="4"/>
    <n v="0"/>
    <n v="0"/>
    <n v="0"/>
    <n v="1713700"/>
    <n v="72450"/>
    <n v="0"/>
    <n v="0"/>
    <n v="100"/>
    <n v="1645152"/>
    <n v="168033.6134453782"/>
    <n v="2"/>
    <n v="96"/>
    <n v="2"/>
    <n v="0"/>
    <n v="0"/>
    <n v="0"/>
    <n v="1645152"/>
    <n v="36225"/>
    <n v="0"/>
    <n v="0"/>
    <n v="96"/>
    <n v="1645152"/>
    <n v="84016.80672268909"/>
    <n v="2"/>
    <n v="94"/>
    <n v="2"/>
    <n v="0"/>
    <n v="0"/>
    <n v="0"/>
    <n v="1702575"/>
    <n v="36225"/>
    <n v="0"/>
    <n v="0"/>
    <n v="94"/>
    <n v="1702575"/>
    <n v="84016.80672268909"/>
    <n v="0"/>
    <n v="92"/>
    <n v="0"/>
    <n v="0"/>
    <n v="0"/>
    <n v="0"/>
    <m/>
    <n v="1666350"/>
    <n v="0"/>
    <n v="0"/>
    <n v="0"/>
    <n v="92"/>
    <n v="1666350"/>
    <n v="0"/>
    <n v="0"/>
    <n v="92"/>
    <n v="0"/>
    <n v="0"/>
    <n v="0"/>
    <n v="1666350"/>
    <n v="0"/>
    <n v="0"/>
    <n v="0"/>
    <n v="92"/>
    <n v="1666350"/>
    <n v="0"/>
    <n v="0"/>
    <n v="92"/>
    <n v="0"/>
    <n v="0"/>
    <n v="0"/>
    <n v="1666350"/>
    <n v="0"/>
    <n v="0"/>
    <n v="92"/>
    <n v="1666350"/>
    <n v="0"/>
    <n v="0"/>
    <n v="92"/>
    <n v="0"/>
    <n v="0"/>
    <m/>
    <n v="1666350"/>
    <n v="0"/>
    <n v="0"/>
    <n v="92"/>
    <n v="1666350"/>
    <n v="0"/>
  </r>
  <r>
    <s v="Lhotse-Vestuario"/>
    <x v="4"/>
    <x v="21"/>
    <x v="52"/>
    <s v="LTW25-MKF07"/>
    <x v="482"/>
    <x v="377"/>
    <x v="0"/>
    <x v="2"/>
    <n v="1"/>
    <x v="3"/>
    <n v="48"/>
    <m/>
    <n v="0"/>
    <n v="17137"/>
    <n v="822576"/>
    <n v="17.5"/>
    <n v="19118.75"/>
    <n v="42008.40336134454"/>
    <n v="25201.68067226891"/>
    <s v="Shenzhen"/>
    <s v="30/70"/>
    <n v="30"/>
    <n v="1"/>
    <n v="0"/>
    <s v=""/>
    <n v="0"/>
    <s v=""/>
    <n v="0"/>
    <s v=""/>
    <n v="1"/>
    <n v="0.6600690311830517"/>
    <n v="0"/>
    <s v=""/>
    <n v="3"/>
    <n v="0.5629360929279958"/>
    <n v="4"/>
    <n v="0.3040858846348594"/>
    <n v="2"/>
    <n v="0.4171819202122233"/>
    <n v="4"/>
    <n v="0.320025848452444"/>
    <n v="1"/>
    <n v="0.1839709523809523"/>
    <n v="0"/>
    <s v=""/>
    <n v="1"/>
    <n v="0.1905819006234649"/>
    <n v="0"/>
    <s v=""/>
    <n v="0"/>
    <s v=""/>
    <n v="0"/>
    <s v=""/>
    <n v="0"/>
    <s v=""/>
    <n v="0"/>
    <n v="1"/>
    <n v="0.3200183394464822"/>
    <n v="0.3333333333333333"/>
    <n v="9"/>
    <n v="0.04374933688119437"/>
    <n v="0.3333333333333333"/>
    <n v="8"/>
    <n v="0.3160541496872432"/>
    <n v="0.3636363636363636"/>
    <n v="1"/>
    <n v="0.183952380952381"/>
    <n v="0.04545454545454546"/>
    <m/>
    <m/>
    <m/>
    <m/>
    <m/>
    <m/>
    <m/>
    <m/>
    <m/>
    <m/>
    <m/>
    <m/>
    <n v="1"/>
    <n v="66"/>
    <n v="1"/>
    <n v="0"/>
    <n v="0"/>
    <n v="0"/>
    <n v="17137"/>
    <n v="1195425"/>
    <n v="17137"/>
    <n v="0"/>
    <n v="48"/>
    <n v="822576"/>
    <n v="35301.17929524752"/>
    <n v="1"/>
    <n v="66"/>
    <n v="0"/>
    <n v="0"/>
    <n v="0"/>
    <n v="0"/>
    <n v="0"/>
    <n v="1195425"/>
    <n v="0"/>
    <n v="0"/>
    <n v="48"/>
    <n v="822576"/>
    <n v="0"/>
    <n v="1"/>
    <n v="66"/>
    <n v="0"/>
    <n v="0"/>
    <n v="0"/>
    <n v="54337.5"/>
    <n v="1131042"/>
    <n v="0"/>
    <n v="0"/>
    <n v="48"/>
    <n v="822576"/>
    <n v="0"/>
    <n v="1"/>
    <n v="67"/>
    <n v="0"/>
    <n v="0"/>
    <n v="0"/>
    <n v="1213537.5"/>
    <n v="0"/>
    <n v="0"/>
    <n v="0"/>
    <n v="48"/>
    <n v="822576"/>
    <n v="0"/>
    <n v="3"/>
    <n v="49"/>
    <n v="3"/>
    <m/>
    <n v="0"/>
    <n v="0"/>
    <n v="839713"/>
    <n v="54337.5"/>
    <n v="0"/>
    <n v="0"/>
    <n v="48"/>
    <n v="822576"/>
    <n v="126025.2100840336"/>
    <n v="27"/>
    <n v="57"/>
    <n v="9"/>
    <m/>
    <n v="0"/>
    <n v="0"/>
    <n v="976809"/>
    <n v="163012.5"/>
    <n v="0"/>
    <n v="0"/>
    <n v="57"/>
    <n v="822576"/>
    <n v="378075.6302521009"/>
    <n v="22"/>
    <n v="56"/>
    <n v="8"/>
    <n v="0"/>
    <n v="0"/>
    <n v="0"/>
    <n v="959672"/>
    <n v="144900"/>
    <n v="0"/>
    <n v="0"/>
    <n v="56"/>
    <n v="822576"/>
    <n v="336067.2268907563"/>
    <n v="22"/>
    <n v="48"/>
    <n v="22"/>
    <n v="0"/>
    <n v="0"/>
    <n v="0"/>
    <n v="822576"/>
    <n v="398475"/>
    <n v="0"/>
    <n v="0"/>
    <n v="48"/>
    <n v="822576"/>
    <n v="924184.8739495799"/>
    <n v="22"/>
    <n v="26"/>
    <n v="22"/>
    <n v="0"/>
    <n v="0"/>
    <n v="0"/>
    <n v="470925"/>
    <n v="398475"/>
    <n v="0"/>
    <n v="0"/>
    <n v="26"/>
    <n v="470925"/>
    <n v="924184.8739495799"/>
    <n v="0"/>
    <n v="4"/>
    <n v="0"/>
    <n v="0"/>
    <n v="0"/>
    <n v="0"/>
    <m/>
    <n v="72450"/>
    <n v="0"/>
    <n v="0"/>
    <n v="0"/>
    <n v="4"/>
    <n v="72450"/>
    <n v="0"/>
    <n v="0"/>
    <n v="4"/>
    <n v="0"/>
    <n v="0"/>
    <n v="0"/>
    <n v="72450"/>
    <n v="0"/>
    <n v="0"/>
    <n v="0"/>
    <n v="4"/>
    <n v="72450"/>
    <n v="0"/>
    <n v="0"/>
    <n v="4"/>
    <n v="0"/>
    <n v="0"/>
    <n v="0"/>
    <n v="72450"/>
    <n v="0"/>
    <n v="0"/>
    <n v="4"/>
    <n v="72450"/>
    <n v="0"/>
    <n v="0"/>
    <n v="4"/>
    <n v="0"/>
    <n v="0"/>
    <m/>
    <n v="72450"/>
    <n v="0"/>
    <n v="0"/>
    <n v="4"/>
    <n v="72450"/>
    <n v="0"/>
  </r>
  <r>
    <s v="Lhotse-Vestuario"/>
    <x v="4"/>
    <x v="21"/>
    <x v="52"/>
    <s v="LTW25-MKF07"/>
    <x v="483"/>
    <x v="377"/>
    <x v="0"/>
    <x v="2"/>
    <n v="1"/>
    <x v="3"/>
    <n v="60"/>
    <m/>
    <n v="0"/>
    <n v="17137"/>
    <n v="1028220"/>
    <n v="17.5"/>
    <n v="19118.75"/>
    <n v="42008.40336134454"/>
    <n v="25201.68067226891"/>
    <s v="Shenzhen"/>
    <s v="30/70"/>
    <n v="30"/>
    <n v="1"/>
    <n v="0"/>
    <s v=""/>
    <n v="0"/>
    <s v=""/>
    <n v="0"/>
    <s v=""/>
    <n v="0"/>
    <s v=""/>
    <n v="0"/>
    <s v=""/>
    <n v="3"/>
    <n v="0.4171822806516148"/>
    <n v="10"/>
    <n v="0.3222713516528981"/>
    <n v="1"/>
    <n v="0.2359875167186804"/>
    <n v="1"/>
    <n v="0.6115073337716216"/>
    <n v="1"/>
    <n v="0.6115073337716216"/>
    <n v="0"/>
    <s v=""/>
    <n v="0"/>
    <s v=""/>
    <n v="0"/>
    <s v=""/>
    <n v="0"/>
    <s v=""/>
    <n v="0"/>
    <s v=""/>
    <n v="0"/>
    <s v=""/>
    <n v="0"/>
    <n v="0"/>
    <s v=""/>
    <n v="0"/>
    <n v="3"/>
    <n v="0.6357845763680525"/>
    <n v="0.1111111111111111"/>
    <n v="2"/>
    <n v="-5.8354787298403e-06"/>
    <n v="0.1"/>
    <n v="0"/>
    <s v=""/>
    <n v="0"/>
    <m/>
    <m/>
    <m/>
    <m/>
    <m/>
    <m/>
    <m/>
    <m/>
    <m/>
    <m/>
    <m/>
    <m/>
    <n v="1"/>
    <n v="74"/>
    <n v="1"/>
    <n v="0"/>
    <n v="0"/>
    <n v="0"/>
    <n v="17137"/>
    <n v="1340325"/>
    <n v="17137"/>
    <n v="0"/>
    <n v="60"/>
    <n v="1028220"/>
    <n v="35301.17929524752"/>
    <n v="1"/>
    <n v="60"/>
    <n v="0"/>
    <n v="0"/>
    <n v="0"/>
    <n v="0"/>
    <n v="0"/>
    <n v="1086750"/>
    <n v="0"/>
    <n v="0"/>
    <n v="60"/>
    <n v="1028220"/>
    <n v="0"/>
    <n v="1"/>
    <n v="60"/>
    <n v="0"/>
    <n v="0"/>
    <n v="0"/>
    <n v="54337.5"/>
    <n v="1028220"/>
    <n v="0"/>
    <n v="0"/>
    <n v="60"/>
    <n v="1028220"/>
    <n v="0"/>
    <n v="1"/>
    <n v="60"/>
    <n v="0"/>
    <n v="0"/>
    <n v="0"/>
    <n v="1086750"/>
    <n v="0"/>
    <n v="0"/>
    <n v="0"/>
    <n v="60"/>
    <n v="1028220"/>
    <n v="0"/>
    <n v="3"/>
    <n v="60"/>
    <n v="3"/>
    <m/>
    <n v="0"/>
    <n v="0"/>
    <n v="1028220"/>
    <n v="54337.5"/>
    <n v="0"/>
    <n v="0"/>
    <n v="60"/>
    <n v="1028220"/>
    <n v="126025.2100840336"/>
    <n v="27"/>
    <n v="63"/>
    <n v="3"/>
    <m/>
    <n v="0"/>
    <n v="0"/>
    <n v="1079631"/>
    <n v="54337.5"/>
    <n v="0"/>
    <n v="0"/>
    <n v="63"/>
    <n v="1028220"/>
    <n v="126025.2100840336"/>
    <n v="20"/>
    <n v="62"/>
    <n v="2"/>
    <n v="0"/>
    <n v="0"/>
    <n v="0"/>
    <n v="1062494"/>
    <n v="36225"/>
    <n v="0"/>
    <n v="0"/>
    <n v="62"/>
    <n v="1028220"/>
    <n v="84016.80672268909"/>
    <n v="20"/>
    <n v="60"/>
    <n v="20"/>
    <n v="0"/>
    <n v="0"/>
    <n v="0"/>
    <n v="1028220"/>
    <n v="362250"/>
    <n v="0"/>
    <n v="0"/>
    <n v="60"/>
    <n v="1028220"/>
    <n v="840168.0672268908"/>
    <n v="20"/>
    <n v="40"/>
    <n v="20"/>
    <n v="0"/>
    <n v="0"/>
    <n v="0"/>
    <n v="724500"/>
    <n v="362250"/>
    <n v="0"/>
    <n v="0"/>
    <n v="40"/>
    <n v="724500"/>
    <n v="840168.0672268908"/>
    <n v="0"/>
    <n v="20"/>
    <n v="0"/>
    <n v="0"/>
    <n v="0"/>
    <n v="0"/>
    <m/>
    <n v="362250"/>
    <n v="0"/>
    <n v="0"/>
    <n v="0"/>
    <n v="20"/>
    <n v="362250"/>
    <n v="0"/>
    <n v="0"/>
    <n v="20"/>
    <n v="0"/>
    <n v="0"/>
    <n v="0"/>
    <n v="362250"/>
    <n v="0"/>
    <n v="0"/>
    <n v="0"/>
    <n v="20"/>
    <n v="362250"/>
    <n v="0"/>
    <n v="0"/>
    <n v="20"/>
    <n v="0"/>
    <n v="0"/>
    <n v="0"/>
    <n v="362250"/>
    <n v="0"/>
    <n v="0"/>
    <n v="20"/>
    <n v="362250"/>
    <n v="0"/>
    <n v="0"/>
    <n v="20"/>
    <n v="0"/>
    <n v="0"/>
    <m/>
    <n v="362250"/>
    <n v="0"/>
    <n v="0"/>
    <n v="20"/>
    <n v="362250"/>
    <n v="0"/>
  </r>
  <r>
    <m/>
    <x v="4"/>
    <x v="21"/>
    <x v="52"/>
    <s v="LTW25-MKF07"/>
    <x v="484"/>
    <x v="377"/>
    <x v="0"/>
    <x v="2"/>
    <n v="1"/>
    <x v="3"/>
    <n v="28"/>
    <m/>
    <n v="0"/>
    <n v="17136"/>
    <n v="479808"/>
    <n v="17.5"/>
    <n v="19118.75"/>
    <n v="42008.40336134454"/>
    <n v="25201.68067226891"/>
    <s v="Shenzhen"/>
    <s v="30/70"/>
    <n v="30"/>
    <n v="1"/>
    <n v="0"/>
    <s v=""/>
    <n v="0"/>
    <s v=""/>
    <n v="0"/>
    <s v=""/>
    <n v="0"/>
    <s v=""/>
    <n v="0"/>
    <s v=""/>
    <n v="1"/>
    <n v="0.05002550030489494"/>
    <n v="3"/>
    <n v="0.2559552789637455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2"/>
    <n v="0.1604890700259355"/>
    <n v="0.1666666666666667"/>
    <n v="4"/>
    <n v="0.2176243274090983"/>
    <n v="0.3636363636363636"/>
    <n v="0"/>
    <s v=""/>
    <n v="0"/>
    <m/>
    <m/>
    <m/>
    <m/>
    <m/>
    <m/>
    <m/>
    <m/>
    <m/>
    <m/>
    <m/>
    <m/>
    <n v="1"/>
    <n v="34"/>
    <n v="1"/>
    <n v="0"/>
    <n v="0"/>
    <n v="0"/>
    <n v="17136"/>
    <n v="615825"/>
    <n v="17136"/>
    <n v="0"/>
    <n v="28"/>
    <n v="479808"/>
    <n v="35301.17929524752"/>
    <n v="1"/>
    <n v="34"/>
    <n v="0"/>
    <n v="0"/>
    <n v="0"/>
    <n v="0"/>
    <n v="0"/>
    <n v="615825"/>
    <n v="0"/>
    <n v="0"/>
    <n v="28"/>
    <n v="479808"/>
    <n v="0"/>
    <n v="1"/>
    <n v="34"/>
    <n v="0"/>
    <n v="0"/>
    <n v="0"/>
    <n v="36225"/>
    <n v="582624"/>
    <n v="0"/>
    <n v="0"/>
    <n v="28"/>
    <n v="479808"/>
    <n v="0"/>
    <n v="1"/>
    <n v="34"/>
    <n v="0"/>
    <n v="0"/>
    <n v="0"/>
    <n v="615825"/>
    <n v="0"/>
    <n v="0"/>
    <n v="0"/>
    <n v="28"/>
    <n v="479808"/>
    <n v="0"/>
    <n v="2"/>
    <n v="28"/>
    <n v="2"/>
    <m/>
    <n v="0"/>
    <n v="0"/>
    <n v="479808"/>
    <n v="36225"/>
    <n v="0"/>
    <n v="0"/>
    <n v="28"/>
    <n v="479808"/>
    <n v="84016.80672268909"/>
    <n v="12"/>
    <n v="30"/>
    <n v="2"/>
    <m/>
    <n v="0"/>
    <n v="0"/>
    <n v="514080"/>
    <n v="36225"/>
    <n v="0"/>
    <n v="0"/>
    <n v="30"/>
    <n v="479808"/>
    <n v="84016.80672268909"/>
    <n v="11"/>
    <n v="32"/>
    <n v="4"/>
    <n v="0"/>
    <n v="0"/>
    <n v="0"/>
    <n v="548352"/>
    <n v="72450"/>
    <n v="0"/>
    <n v="0"/>
    <n v="32"/>
    <n v="479808"/>
    <n v="168033.6134453782"/>
    <n v="11"/>
    <n v="28"/>
    <n v="11"/>
    <n v="0"/>
    <n v="0"/>
    <n v="0"/>
    <n v="479808"/>
    <n v="199237.5"/>
    <n v="0"/>
    <n v="0"/>
    <n v="28"/>
    <n v="479808"/>
    <n v="462092.4369747899"/>
    <n v="11"/>
    <n v="17"/>
    <n v="11"/>
    <n v="0"/>
    <n v="0"/>
    <n v="0"/>
    <n v="307912.5"/>
    <n v="199237.5"/>
    <n v="0"/>
    <n v="0"/>
    <n v="17"/>
    <n v="307912.5"/>
    <n v="462092.4369747899"/>
    <n v="0"/>
    <n v="6"/>
    <n v="0"/>
    <n v="0"/>
    <n v="0"/>
    <n v="0"/>
    <m/>
    <n v="108675"/>
    <n v="0"/>
    <n v="0"/>
    <n v="0"/>
    <n v="6"/>
    <n v="108675"/>
    <n v="0"/>
    <n v="0"/>
    <n v="6"/>
    <n v="0"/>
    <n v="0"/>
    <n v="0"/>
    <n v="108675"/>
    <n v="0"/>
    <n v="0"/>
    <n v="0"/>
    <n v="6"/>
    <n v="108675"/>
    <n v="0"/>
    <n v="0"/>
    <n v="6"/>
    <n v="0"/>
    <n v="0"/>
    <n v="0"/>
    <n v="108675"/>
    <n v="0"/>
    <n v="0"/>
    <n v="6"/>
    <n v="108675"/>
    <n v="0"/>
    <n v="0"/>
    <n v="6"/>
    <n v="0"/>
    <n v="0"/>
    <m/>
    <n v="108675"/>
    <n v="0"/>
    <n v="0"/>
    <n v="6"/>
    <n v="108675"/>
    <n v="0"/>
  </r>
  <r>
    <s v="Lhotse-Vestuario"/>
    <x v="4"/>
    <x v="21"/>
    <x v="52"/>
    <s v="LTW25-MKF07"/>
    <x v="485"/>
    <x v="377"/>
    <x v="0"/>
    <x v="2"/>
    <n v="1"/>
    <x v="3"/>
    <n v="34"/>
    <m/>
    <n v="0"/>
    <n v="17137"/>
    <n v="582658"/>
    <n v="17.5"/>
    <n v="19118.75"/>
    <n v="42008.40336134454"/>
    <n v="25201.68067226891"/>
    <s v="Shenzhen"/>
    <s v="30/70"/>
    <n v="30"/>
    <n v="1"/>
    <n v="0"/>
    <s v=""/>
    <n v="0"/>
    <s v=""/>
    <n v="0"/>
    <s v=""/>
    <n v="0"/>
    <s v=""/>
    <n v="0"/>
    <s v=""/>
    <n v="1"/>
    <n v="0.4171703567663164"/>
    <n v="2"/>
    <n v="0.3523987984120037"/>
    <n v="0"/>
    <s v=""/>
    <n v="0"/>
    <s v=""/>
    <n v="1"/>
    <n v="0.4900461240886773"/>
    <n v="0"/>
    <s v=""/>
    <n v="0"/>
    <s v=""/>
    <n v="0"/>
    <s v=""/>
    <n v="0"/>
    <s v=""/>
    <n v="0"/>
    <s v=""/>
    <n v="0"/>
    <s v=""/>
    <n v="0"/>
    <n v="1"/>
    <n v="0.6357845763680526"/>
    <n v="0.5"/>
    <n v="0"/>
    <s v=""/>
    <n v="0"/>
    <n v="1"/>
    <n v="0"/>
    <n v="0.07142857142857142"/>
    <n v="0"/>
    <s v=""/>
    <n v="0"/>
    <m/>
    <m/>
    <m/>
    <m/>
    <m/>
    <m/>
    <m/>
    <m/>
    <m/>
    <m/>
    <m/>
    <m/>
    <n v="1"/>
    <n v="34"/>
    <n v="1"/>
    <n v="0"/>
    <n v="0"/>
    <n v="0"/>
    <n v="17137"/>
    <n v="615825"/>
    <n v="17137"/>
    <n v="0"/>
    <n v="34"/>
    <n v="582658"/>
    <n v="35301.17929524752"/>
    <n v="1"/>
    <n v="44"/>
    <n v="0"/>
    <n v="0"/>
    <n v="0"/>
    <n v="0"/>
    <n v="0"/>
    <n v="796950"/>
    <n v="0"/>
    <n v="0"/>
    <n v="34"/>
    <n v="582658"/>
    <n v="0"/>
    <n v="1"/>
    <n v="44"/>
    <n v="0"/>
    <n v="0"/>
    <n v="0"/>
    <n v="36225"/>
    <n v="754028"/>
    <n v="0"/>
    <n v="0"/>
    <n v="34"/>
    <n v="582658"/>
    <n v="0"/>
    <n v="1"/>
    <n v="44"/>
    <n v="0"/>
    <n v="0"/>
    <n v="0"/>
    <n v="796950"/>
    <n v="0"/>
    <n v="0"/>
    <n v="0"/>
    <n v="34"/>
    <n v="582658"/>
    <n v="0"/>
    <n v="2"/>
    <n v="35"/>
    <n v="2"/>
    <m/>
    <n v="0"/>
    <n v="0"/>
    <n v="599795"/>
    <n v="36225"/>
    <n v="0"/>
    <n v="0"/>
    <n v="34"/>
    <n v="582658"/>
    <n v="84016.80672268909"/>
    <n v="12"/>
    <n v="34"/>
    <n v="0"/>
    <m/>
    <n v="0"/>
    <n v="0"/>
    <n v="582658"/>
    <n v="0"/>
    <n v="0"/>
    <n v="0"/>
    <n v="34"/>
    <n v="582658"/>
    <n v="0"/>
    <n v="14"/>
    <n v="35"/>
    <n v="1"/>
    <n v="0"/>
    <n v="0"/>
    <n v="0"/>
    <n v="599795"/>
    <n v="18112.5"/>
    <n v="0"/>
    <n v="0"/>
    <n v="35"/>
    <n v="582658"/>
    <n v="42008.40336134454"/>
    <n v="14"/>
    <n v="34"/>
    <n v="14"/>
    <n v="0"/>
    <n v="0"/>
    <n v="0"/>
    <n v="582658"/>
    <n v="253575"/>
    <n v="0"/>
    <n v="0"/>
    <n v="34"/>
    <n v="582658"/>
    <n v="588117.6470588236"/>
    <n v="14"/>
    <n v="20"/>
    <n v="14"/>
    <n v="0"/>
    <n v="0"/>
    <n v="0"/>
    <n v="362250"/>
    <n v="253575"/>
    <n v="0"/>
    <n v="0"/>
    <n v="20"/>
    <n v="362250"/>
    <n v="588117.6470588236"/>
    <n v="0"/>
    <n v="6"/>
    <n v="0"/>
    <n v="0"/>
    <n v="0"/>
    <n v="0"/>
    <m/>
    <n v="108675"/>
    <n v="0"/>
    <n v="0"/>
    <n v="0"/>
    <n v="6"/>
    <n v="108675"/>
    <n v="0"/>
    <n v="0"/>
    <n v="6"/>
    <n v="0"/>
    <n v="0"/>
    <n v="0"/>
    <n v="108675"/>
    <n v="0"/>
    <n v="0"/>
    <n v="0"/>
    <n v="6"/>
    <n v="108675"/>
    <n v="0"/>
    <n v="0"/>
    <n v="6"/>
    <n v="0"/>
    <n v="0"/>
    <n v="0"/>
    <n v="108675"/>
    <n v="0"/>
    <n v="0"/>
    <n v="6"/>
    <n v="108675"/>
    <n v="0"/>
    <n v="0"/>
    <n v="6"/>
    <n v="0"/>
    <n v="0"/>
    <m/>
    <n v="108675"/>
    <n v="0"/>
    <n v="0"/>
    <n v="6"/>
    <n v="108675"/>
    <n v="0"/>
  </r>
  <r>
    <s v="Lhotse-Vestuario"/>
    <x v="4"/>
    <x v="21"/>
    <x v="52"/>
    <s v="LTW25-MKF07"/>
    <x v="486"/>
    <x v="377"/>
    <x v="0"/>
    <x v="2"/>
    <n v="1"/>
    <x v="3"/>
    <n v="18"/>
    <m/>
    <n v="0"/>
    <n v="17137"/>
    <n v="308466"/>
    <n v="17.5"/>
    <n v="19118.75"/>
    <n v="42008.40336134454"/>
    <n v="25201.68067226891"/>
    <s v="Shenzhen"/>
    <s v="30/70"/>
    <n v="30"/>
    <n v="1"/>
    <n v="0"/>
    <s v=""/>
    <n v="0"/>
    <s v=""/>
    <n v="0"/>
    <s v=""/>
    <n v="0"/>
    <s v=""/>
    <n v="0"/>
    <s v=""/>
    <n v="0"/>
    <s v=""/>
    <n v="4"/>
    <n v="0.3419610187355473"/>
    <n v="2"/>
    <n v="0.4171819202122233"/>
    <n v="1"/>
    <n v="0.6115118677880801"/>
    <n v="2"/>
    <n v="0.4736185897928153"/>
    <n v="0"/>
    <s v=""/>
    <n v="0"/>
    <s v=""/>
    <n v="1"/>
    <n v="0.6357859513806445"/>
    <n v="0"/>
    <s v=""/>
    <n v="0"/>
    <s v=""/>
    <n v="0"/>
    <s v=""/>
    <n v="0"/>
    <n v="0"/>
    <s v=""/>
    <n v="0"/>
    <n v="2"/>
    <n v="-0.05504686921081882"/>
    <n v="0.1666666666666667"/>
    <n v="3"/>
    <n v="0.1774127707635836"/>
    <n v="0.375"/>
    <n v="0"/>
    <s v=""/>
    <n v="0"/>
    <m/>
    <m/>
    <m/>
    <m/>
    <m/>
    <m/>
    <m/>
    <m/>
    <m/>
    <m/>
    <m/>
    <m/>
    <n v="1"/>
    <n v="27"/>
    <n v="1"/>
    <n v="0"/>
    <n v="0"/>
    <n v="0"/>
    <n v="17137"/>
    <n v="489037.5"/>
    <n v="17137"/>
    <n v="0"/>
    <n v="18"/>
    <n v="308466"/>
    <n v="35301.17929524752"/>
    <n v="1"/>
    <n v="25"/>
    <n v="0"/>
    <n v="0"/>
    <n v="0"/>
    <n v="0"/>
    <n v="0"/>
    <n v="452812.5"/>
    <n v="0"/>
    <n v="0"/>
    <n v="18"/>
    <n v="308466"/>
    <n v="0"/>
    <n v="1"/>
    <n v="25"/>
    <n v="0"/>
    <n v="0"/>
    <n v="0"/>
    <n v="36225"/>
    <n v="428425"/>
    <n v="0"/>
    <n v="0"/>
    <n v="18"/>
    <n v="308466"/>
    <n v="0"/>
    <n v="1"/>
    <n v="24"/>
    <n v="0"/>
    <n v="0"/>
    <n v="0"/>
    <n v="434700"/>
    <n v="0"/>
    <n v="0"/>
    <n v="0"/>
    <n v="18"/>
    <n v="308466"/>
    <n v="0"/>
    <n v="2"/>
    <n v="18"/>
    <n v="2"/>
    <m/>
    <n v="0"/>
    <n v="0"/>
    <n v="308466"/>
    <n v="36225"/>
    <n v="0"/>
    <n v="0"/>
    <n v="18"/>
    <n v="308466"/>
    <n v="84016.80672268909"/>
    <n v="12"/>
    <n v="20"/>
    <n v="2"/>
    <m/>
    <n v="0"/>
    <n v="0"/>
    <n v="342740"/>
    <n v="36225"/>
    <n v="0"/>
    <n v="0"/>
    <n v="20"/>
    <n v="308466"/>
    <n v="84016.80672268909"/>
    <n v="8"/>
    <n v="21"/>
    <n v="3"/>
    <n v="0"/>
    <n v="0"/>
    <n v="0"/>
    <n v="359877"/>
    <n v="54337.5"/>
    <n v="0"/>
    <n v="0"/>
    <n v="21"/>
    <n v="308466"/>
    <n v="126025.2100840336"/>
    <n v="8"/>
    <n v="18"/>
    <n v="8"/>
    <n v="0"/>
    <n v="0"/>
    <n v="0"/>
    <n v="308466"/>
    <n v="144900"/>
    <n v="0"/>
    <n v="0"/>
    <n v="18"/>
    <n v="308466"/>
    <n v="336067.2268907563"/>
    <n v="8"/>
    <n v="10"/>
    <n v="8"/>
    <n v="0"/>
    <n v="0"/>
    <n v="0"/>
    <n v="181125"/>
    <n v="144900"/>
    <n v="0"/>
    <n v="0"/>
    <n v="10"/>
    <n v="181125"/>
    <n v="336067.2268907563"/>
    <n v="0"/>
    <n v="2"/>
    <n v="0"/>
    <n v="0"/>
    <n v="0"/>
    <n v="0"/>
    <m/>
    <n v="36225"/>
    <n v="0"/>
    <n v="0"/>
    <n v="0"/>
    <n v="2"/>
    <n v="36225"/>
    <n v="0"/>
    <n v="0"/>
    <n v="2"/>
    <n v="0"/>
    <n v="0"/>
    <n v="0"/>
    <n v="36225"/>
    <n v="0"/>
    <n v="0"/>
    <n v="0"/>
    <n v="2"/>
    <n v="36225"/>
    <n v="0"/>
    <n v="0"/>
    <n v="2"/>
    <n v="0"/>
    <n v="0"/>
    <n v="0"/>
    <n v="36225"/>
    <n v="0"/>
    <n v="0"/>
    <n v="2"/>
    <n v="36225"/>
    <n v="0"/>
    <n v="0"/>
    <n v="2"/>
    <n v="0"/>
    <n v="0"/>
    <m/>
    <n v="36225"/>
    <n v="0"/>
    <n v="0"/>
    <n v="2"/>
    <n v="36225"/>
    <n v="0"/>
  </r>
  <r>
    <s v="Lhotse-Vestuario"/>
    <x v="4"/>
    <x v="21"/>
    <x v="52"/>
    <s v="LTW25-MKF07"/>
    <x v="487"/>
    <x v="377"/>
    <x v="0"/>
    <x v="2"/>
    <n v="1"/>
    <x v="3"/>
    <n v="0"/>
    <m/>
    <n v="0"/>
    <n v="17137"/>
    <n v="0"/>
    <n v="17.5"/>
    <n v="19118.75"/>
    <n v="42008.40336134454"/>
    <n v="25201.68067226891"/>
    <s v="Shenzhen"/>
    <s v="30/70"/>
    <n v="30"/>
    <n v="1"/>
    <n v="0"/>
    <s v=""/>
    <n v="0"/>
    <s v=""/>
    <n v="0"/>
    <s v=""/>
    <n v="0"/>
    <s v=""/>
    <n v="0"/>
    <s v=""/>
    <n v="4"/>
    <n v="0.4520830025199584"/>
    <n v="12"/>
    <n v="0.3321572526083726"/>
    <n v="0"/>
    <s v=""/>
    <n v="4"/>
    <n v="0.4274167534675365"/>
    <n v="0"/>
    <s v=""/>
    <n v="0"/>
    <s v=""/>
    <n v="0"/>
    <s v=""/>
    <n v="0"/>
    <s v=""/>
    <n v="1"/>
    <n v="0.6115028015753862"/>
    <n v="2"/>
    <n v="0.440406222538621"/>
    <n v="1"/>
    <n v="0.527841290906889"/>
    <n v="1"/>
    <n v="0"/>
    <s v=""/>
    <n v="0"/>
    <n v="13"/>
    <n v="0.09262522897949012"/>
    <n v="1.083333333333333"/>
    <n v="3"/>
    <n v="3.890287358285577e-06"/>
    <n v="0.75"/>
    <n v="1"/>
    <n v="0.6115129162539054"/>
    <n v="0.25"/>
    <m/>
    <m/>
    <m/>
    <m/>
    <m/>
    <m/>
    <m/>
    <m/>
    <m/>
    <m/>
    <m/>
    <m/>
    <n v="1"/>
    <n v="17"/>
    <n v="1"/>
    <n v="0"/>
    <n v="0"/>
    <n v="0"/>
    <n v="77116.5"/>
    <n v="307912.5"/>
    <n v="17137"/>
    <n v="0"/>
    <n v="0"/>
    <n v="0"/>
    <n v="35301.17929524752"/>
    <n v="1"/>
    <n v="17"/>
    <n v="1.5"/>
    <n v="0"/>
    <n v="0"/>
    <n v="0"/>
    <n v="77116.5"/>
    <n v="307912.5"/>
    <n v="25705.5"/>
    <n v="0"/>
    <n v="0"/>
    <n v="0"/>
    <n v="52951.76894287128"/>
    <n v="1"/>
    <n v="16"/>
    <n v="2"/>
    <n v="0"/>
    <n v="0"/>
    <n v="87636"/>
    <n v="274192"/>
    <n v="34274"/>
    <n v="0"/>
    <n v="0"/>
    <n v="0"/>
    <n v="84016.80672268909"/>
    <n v="1"/>
    <n v="28"/>
    <n v="1"/>
    <n v="0"/>
    <n v="0"/>
    <n v="507150"/>
    <n v="17137"/>
    <n v="0"/>
    <n v="0"/>
    <n v="0"/>
    <n v="0"/>
    <n v="42008.40336134454"/>
    <n v="2"/>
    <n v="0"/>
    <n v="2"/>
    <m/>
    <n v="0"/>
    <n v="0"/>
    <n v="0"/>
    <n v="36225"/>
    <n v="0"/>
    <n v="0"/>
    <n v="0"/>
    <n v="0"/>
    <n v="84016.80672268909"/>
    <n v="12"/>
    <n v="13"/>
    <n v="13"/>
    <m/>
    <n v="0"/>
    <n v="0"/>
    <n v="222781"/>
    <n v="235462.5"/>
    <n v="0"/>
    <n v="0"/>
    <n v="13"/>
    <n v="0"/>
    <n v="546109.243697479"/>
    <n v="4"/>
    <n v="3"/>
    <n v="3"/>
    <n v="0"/>
    <n v="0"/>
    <n v="0"/>
    <n v="51411"/>
    <n v="54337.5"/>
    <n v="0"/>
    <n v="0"/>
    <n v="3"/>
    <n v="0"/>
    <n v="126025.2100840336"/>
    <n v="4"/>
    <n v="0"/>
    <n v="4"/>
    <n v="0"/>
    <n v="0"/>
    <n v="0"/>
    <n v="0"/>
    <n v="72450"/>
    <n v="0"/>
    <n v="0"/>
    <n v="0"/>
    <n v="0"/>
    <n v="168033.6134453782"/>
    <n v="4"/>
    <n v="0"/>
    <n v="4"/>
    <n v="0"/>
    <n v="0"/>
    <n v="0"/>
    <n v="0"/>
    <n v="72450"/>
    <n v="0"/>
    <n v="0"/>
    <n v="0"/>
    <n v="0"/>
    <n v="168033.613445378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2"/>
    <s v="LTW25-MSW06"/>
    <x v="488"/>
    <x v="378"/>
    <x v="0"/>
    <x v="2"/>
    <n v="1"/>
    <x v="3"/>
    <n v="94"/>
    <m/>
    <n v="0"/>
    <n v="14101"/>
    <n v="1325494"/>
    <n v="14.4"/>
    <n v="15732"/>
    <n v="25201.68067226891"/>
    <n v="21000"/>
    <s v="Shenzhen"/>
    <s v="30/70"/>
    <n v="30"/>
    <n v="1"/>
    <n v="0"/>
    <s v=""/>
    <n v="0"/>
    <s v=""/>
    <n v="0"/>
    <s v=""/>
    <n v="0"/>
    <n v="2.127508687373579e-06"/>
    <n v="1"/>
    <n v="0.440548700654632"/>
    <n v="3"/>
    <n v="0.3357212342480274"/>
    <n v="5"/>
    <n v="0.3617810063704358"/>
    <n v="0"/>
    <n v="2.127508687373579e-06"/>
    <n v="2"/>
    <n v="0.5524354091284199"/>
    <n v="9"/>
    <n v="0.5524354091284199"/>
    <n v="0"/>
    <s v=""/>
    <n v="4"/>
    <n v="0.5524318576767733"/>
    <n v="2"/>
    <n v="0.3786055403058772"/>
    <n v="2"/>
    <n v="0.1173775790039717"/>
    <n v="0"/>
    <s v=""/>
    <n v="0"/>
    <s v=""/>
    <n v="0"/>
    <n v="1"/>
    <n v="0.1606547619047619"/>
    <n v="0.3333333333333333"/>
    <n v="0"/>
    <s v=""/>
    <n v="0"/>
    <n v="2"/>
    <n v="-0.4597986080904741"/>
    <n v="0.0625"/>
    <n v="0"/>
    <s v=""/>
    <n v="0"/>
    <m/>
    <m/>
    <m/>
    <m/>
    <m/>
    <m/>
    <m/>
    <m/>
    <m/>
    <m/>
    <m/>
    <m/>
    <n v="5"/>
    <n v="99"/>
    <n v="5"/>
    <n v="0"/>
    <n v="0"/>
    <n v="0"/>
    <n v="112808"/>
    <n v="1475496"/>
    <n v="70505"/>
    <n v="0"/>
    <n v="94"/>
    <n v="1325494"/>
    <n v="105889.4145893652"/>
    <n v="3"/>
    <n v="99"/>
    <n v="3"/>
    <n v="0"/>
    <n v="0"/>
    <n v="0"/>
    <n v="42303"/>
    <n v="1475496"/>
    <n v="42303"/>
    <n v="0"/>
    <n v="94"/>
    <n v="1325494"/>
    <n v="63533.6487536191"/>
    <n v="4"/>
    <n v="97"/>
    <n v="0"/>
    <n v="0"/>
    <n v="0"/>
    <n v="44711.99999999999"/>
    <n v="1367797"/>
    <n v="0"/>
    <n v="0"/>
    <n v="94"/>
    <n v="1325494"/>
    <n v="0"/>
    <n v="3"/>
    <n v="194"/>
    <n v="0"/>
    <n v="0"/>
    <n v="0"/>
    <n v="2891376"/>
    <n v="0"/>
    <n v="0"/>
    <n v="0"/>
    <n v="94"/>
    <n v="1325494"/>
    <n v="0"/>
    <n v="3"/>
    <n v="95"/>
    <n v="3"/>
    <m/>
    <n v="0"/>
    <n v="0"/>
    <n v="1339595"/>
    <n v="44711.99999999999"/>
    <n v="0"/>
    <n v="0"/>
    <n v="94"/>
    <n v="1325494"/>
    <n v="75605.04201680672"/>
    <n v="39"/>
    <n v="94"/>
    <n v="0"/>
    <m/>
    <n v="0"/>
    <n v="0"/>
    <n v="1325494"/>
    <n v="0"/>
    <n v="0"/>
    <n v="0"/>
    <n v="94"/>
    <n v="1325494"/>
    <n v="0"/>
    <n v="32"/>
    <n v="96"/>
    <n v="2"/>
    <n v="0"/>
    <n v="0"/>
    <n v="0"/>
    <n v="1353696"/>
    <n v="29808"/>
    <n v="0"/>
    <n v="0"/>
    <n v="96"/>
    <n v="1325494"/>
    <n v="50403.36134453781"/>
    <n v="32"/>
    <n v="94"/>
    <n v="32"/>
    <n v="0"/>
    <n v="0"/>
    <n v="0"/>
    <n v="1325494"/>
    <n v="476927.9999999999"/>
    <n v="0"/>
    <n v="0"/>
    <n v="94"/>
    <n v="1325494"/>
    <n v="806453.781512605"/>
    <n v="32"/>
    <n v="62"/>
    <n v="32"/>
    <n v="0"/>
    <n v="0"/>
    <n v="0"/>
    <n v="924047.9999999999"/>
    <n v="476927.9999999999"/>
    <n v="0"/>
    <n v="0"/>
    <n v="62"/>
    <n v="924047.9999999999"/>
    <n v="806453.781512605"/>
    <n v="0"/>
    <n v="30"/>
    <n v="0"/>
    <n v="0"/>
    <n v="0"/>
    <n v="0"/>
    <m/>
    <n v="447119.9999999999"/>
    <n v="0"/>
    <n v="0"/>
    <n v="0"/>
    <n v="30"/>
    <n v="447119.9999999999"/>
    <n v="0"/>
    <n v="0"/>
    <n v="30"/>
    <n v="0"/>
    <n v="0"/>
    <n v="0"/>
    <n v="447119.9999999999"/>
    <n v="0"/>
    <n v="0"/>
    <n v="0"/>
    <n v="30"/>
    <n v="447119.9999999999"/>
    <n v="0"/>
    <n v="0"/>
    <n v="30"/>
    <n v="0"/>
    <n v="0"/>
    <n v="0"/>
    <n v="447119.9999999999"/>
    <n v="0"/>
    <n v="0"/>
    <n v="30"/>
    <n v="447119.9999999999"/>
    <n v="0"/>
    <n v="0"/>
    <n v="30"/>
    <n v="0"/>
    <n v="0"/>
    <m/>
    <n v="447119.9999999999"/>
    <n v="0"/>
    <n v="0"/>
    <n v="30"/>
    <n v="447119.9999999999"/>
    <n v="0"/>
  </r>
  <r>
    <s v="Lhotse-Vestuario"/>
    <x v="4"/>
    <x v="21"/>
    <x v="52"/>
    <s v="LTW25-MSW06"/>
    <x v="489"/>
    <x v="378"/>
    <x v="0"/>
    <x v="2"/>
    <n v="1"/>
    <x v="3"/>
    <n v="71"/>
    <m/>
    <n v="0"/>
    <n v="14101"/>
    <n v="1001171"/>
    <n v="14.4"/>
    <n v="15732"/>
    <n v="25201.68067226891"/>
    <n v="21000"/>
    <s v="Shenzhen"/>
    <s v="30/70"/>
    <n v="30"/>
    <n v="1"/>
    <n v="0"/>
    <s v=""/>
    <n v="0"/>
    <s v=""/>
    <n v="0"/>
    <s v=""/>
    <n v="0"/>
    <s v=""/>
    <n v="1"/>
    <n v="0.4358032249029729"/>
    <n v="2"/>
    <n v="2.127508687373579e-06"/>
    <n v="9"/>
    <n v="0.3439769244636741"/>
    <n v="1"/>
    <n v="0.4404821045948735"/>
    <n v="2"/>
    <n v="0.1115260538088338"/>
    <n v="8"/>
    <n v="0.5524354091284199"/>
    <n v="0"/>
    <s v=""/>
    <n v="1"/>
    <n v="0.5804156872080221"/>
    <n v="12"/>
    <n v="0.06804371146598555"/>
    <n v="2"/>
    <n v="0.5204475580979866"/>
    <n v="0"/>
    <s v=""/>
    <n v="1"/>
    <n v="0.2764636442967636"/>
    <n v="0.3333333333333333"/>
    <n v="1"/>
    <n v="-4.048291215403129"/>
    <n v="0.3333333333333333"/>
    <n v="1"/>
    <n v="0.08760656807307525"/>
    <n v="0.02564102564102564"/>
    <n v="3"/>
    <n v="0.2700922140060896"/>
    <n v="0.1363636363636364"/>
    <n v="0"/>
    <s v=""/>
    <n v="0"/>
    <m/>
    <m/>
    <m/>
    <m/>
    <m/>
    <m/>
    <m/>
    <m/>
    <m/>
    <m/>
    <m/>
    <m/>
    <n v="5"/>
    <n v="76"/>
    <n v="5"/>
    <n v="0"/>
    <n v="0"/>
    <n v="0"/>
    <n v="112808"/>
    <n v="1132704"/>
    <n v="70505"/>
    <n v="0"/>
    <n v="71"/>
    <n v="1001171"/>
    <n v="105889.4145893652"/>
    <n v="3"/>
    <n v="68"/>
    <n v="3"/>
    <n v="0"/>
    <n v="0"/>
    <n v="0"/>
    <n v="56404"/>
    <n v="1013472"/>
    <n v="42303"/>
    <n v="0"/>
    <n v="71"/>
    <n v="1001171"/>
    <n v="63533.6487536191"/>
    <n v="4"/>
    <n v="66"/>
    <n v="0"/>
    <n v="0"/>
    <n v="0"/>
    <n v="58812.99999999999"/>
    <n v="930666"/>
    <n v="0"/>
    <n v="0"/>
    <n v="71"/>
    <n v="1001171"/>
    <n v="0"/>
    <n v="3"/>
    <n v="66"/>
    <n v="1"/>
    <n v="0"/>
    <n v="0"/>
    <n v="983663.9999999999"/>
    <n v="14101"/>
    <n v="0"/>
    <n v="0"/>
    <n v="71"/>
    <n v="1001171"/>
    <n v="25201.68067226891"/>
    <n v="3"/>
    <n v="72"/>
    <n v="3"/>
    <m/>
    <n v="0"/>
    <n v="0"/>
    <n v="1015272"/>
    <n v="44711.99999999999"/>
    <n v="0"/>
    <n v="0"/>
    <n v="71"/>
    <n v="1001171"/>
    <n v="75605.04201680672"/>
    <n v="39"/>
    <n v="72"/>
    <n v="1"/>
    <m/>
    <n v="0"/>
    <n v="0"/>
    <n v="1015272"/>
    <n v="14904"/>
    <n v="0"/>
    <n v="0"/>
    <n v="72"/>
    <n v="1001171"/>
    <n v="25201.68067226891"/>
    <n v="22"/>
    <n v="74"/>
    <n v="3"/>
    <n v="0"/>
    <n v="0"/>
    <n v="0"/>
    <n v="1043474"/>
    <n v="44711.99999999999"/>
    <n v="0"/>
    <n v="0"/>
    <n v="74"/>
    <n v="1001171"/>
    <n v="75605.04201680672"/>
    <n v="22"/>
    <n v="71"/>
    <n v="22"/>
    <n v="0"/>
    <n v="0"/>
    <n v="0"/>
    <n v="1001171"/>
    <n v="327887.9999999999"/>
    <n v="0"/>
    <n v="0"/>
    <n v="71"/>
    <n v="1001171"/>
    <n v="554436.974789916"/>
    <n v="22"/>
    <n v="49"/>
    <n v="22"/>
    <n v="0"/>
    <n v="0"/>
    <n v="0"/>
    <n v="730295.9999999999"/>
    <n v="327887.9999999999"/>
    <n v="0"/>
    <n v="0"/>
    <n v="49"/>
    <n v="730295.9999999999"/>
    <n v="554436.974789916"/>
    <n v="0"/>
    <n v="27"/>
    <n v="0"/>
    <n v="0"/>
    <n v="0"/>
    <n v="0"/>
    <m/>
    <n v="402407.9999999999"/>
    <n v="0"/>
    <n v="0"/>
    <n v="0"/>
    <n v="27"/>
    <n v="402407.9999999999"/>
    <n v="0"/>
    <n v="0"/>
    <n v="27"/>
    <n v="0"/>
    <n v="0"/>
    <n v="0"/>
    <n v="402407.9999999999"/>
    <n v="0"/>
    <n v="0"/>
    <n v="0"/>
    <n v="27"/>
    <n v="402407.9999999999"/>
    <n v="0"/>
    <n v="0"/>
    <n v="27"/>
    <n v="0"/>
    <n v="0"/>
    <n v="0"/>
    <n v="402407.9999999999"/>
    <n v="0"/>
    <n v="0"/>
    <n v="27"/>
    <n v="402407.9999999999"/>
    <n v="0"/>
    <n v="0"/>
    <n v="27"/>
    <n v="0"/>
    <n v="0"/>
    <m/>
    <n v="402407.9999999999"/>
    <n v="0"/>
    <n v="0"/>
    <n v="27"/>
    <n v="402407.9999999999"/>
    <n v="0"/>
  </r>
  <r>
    <m/>
    <x v="4"/>
    <x v="21"/>
    <x v="52"/>
    <s v="LTW25-MSW06"/>
    <x v="490"/>
    <x v="378"/>
    <x v="0"/>
    <x v="2"/>
    <n v="1"/>
    <x v="3"/>
    <n v="71"/>
    <m/>
    <n v="0"/>
    <n v="14101"/>
    <n v="1001171"/>
    <n v="14.4"/>
    <n v="15732"/>
    <n v="25201.68067226891"/>
    <n v="21000"/>
    <s v="Shenzhen"/>
    <s v="30/70"/>
    <n v="30"/>
    <n v="1"/>
    <n v="0"/>
    <s v=""/>
    <n v="0"/>
    <s v=""/>
    <n v="0"/>
    <s v=""/>
    <n v="0"/>
    <n v="2.127508687373579e-06"/>
    <n v="1"/>
    <n v="0.520473032714412"/>
    <n v="0"/>
    <n v="2.127508687373579e-06"/>
    <n v="3"/>
    <n v="0.2172433317605263"/>
    <n v="1"/>
    <n v="0.3285252380952381"/>
    <n v="1"/>
    <n v="0.5524354091284199"/>
    <n v="4"/>
    <n v="0.4628815754389974"/>
    <n v="0"/>
    <s v=""/>
    <n v="0"/>
    <s v=""/>
    <n v="2"/>
    <n v="0.1442446536109561"/>
    <n v="0"/>
    <s v=""/>
    <n v="0"/>
    <s v=""/>
    <n v="0"/>
    <s v=""/>
    <n v="0"/>
    <n v="0"/>
    <s v=""/>
    <n v="0"/>
    <n v="0"/>
    <s v=""/>
    <n v="0"/>
    <n v="1"/>
    <n v="0.2700922140060896"/>
    <n v="0.04166666666666666"/>
    <n v="0"/>
    <s v=""/>
    <n v="0"/>
    <m/>
    <m/>
    <m/>
    <m/>
    <m/>
    <m/>
    <m/>
    <m/>
    <m/>
    <m/>
    <m/>
    <m/>
    <n v="5"/>
    <n v="68"/>
    <n v="5"/>
    <n v="0"/>
    <n v="0"/>
    <n v="0"/>
    <n v="70505"/>
    <n v="1013472"/>
    <n v="70505"/>
    <n v="0"/>
    <n v="71"/>
    <n v="1001171"/>
    <n v="105889.4145893652"/>
    <n v="3"/>
    <n v="72"/>
    <n v="0"/>
    <n v="0"/>
    <n v="0"/>
    <n v="0"/>
    <n v="0"/>
    <n v="1073088"/>
    <n v="0"/>
    <n v="0"/>
    <n v="71"/>
    <n v="1001171"/>
    <n v="0"/>
    <n v="4"/>
    <n v="72"/>
    <n v="0"/>
    <n v="0"/>
    <n v="0"/>
    <n v="29808"/>
    <n v="1015272"/>
    <n v="0"/>
    <n v="0"/>
    <n v="71"/>
    <n v="1001171"/>
    <n v="0"/>
    <n v="2"/>
    <n v="72"/>
    <n v="0"/>
    <n v="0"/>
    <n v="0"/>
    <n v="1073088"/>
    <n v="0"/>
    <n v="0"/>
    <n v="0"/>
    <n v="71"/>
    <n v="1001171"/>
    <n v="0"/>
    <n v="2"/>
    <n v="71"/>
    <n v="2"/>
    <m/>
    <n v="0"/>
    <n v="0"/>
    <n v="1001171"/>
    <n v="29808"/>
    <n v="0"/>
    <n v="0"/>
    <n v="71"/>
    <n v="1001171"/>
    <n v="50403.36134453781"/>
    <n v="27"/>
    <n v="71"/>
    <n v="0"/>
    <m/>
    <n v="0"/>
    <n v="0"/>
    <n v="1001171"/>
    <n v="0"/>
    <n v="0"/>
    <n v="0"/>
    <n v="71"/>
    <n v="1001171"/>
    <n v="0"/>
    <n v="24"/>
    <n v="72"/>
    <n v="1"/>
    <n v="0"/>
    <n v="0"/>
    <n v="0"/>
    <n v="1015272"/>
    <n v="14904"/>
    <n v="0"/>
    <n v="0"/>
    <n v="72"/>
    <n v="1001171"/>
    <n v="25201.68067226891"/>
    <n v="24"/>
    <n v="71"/>
    <n v="24"/>
    <n v="0"/>
    <n v="0"/>
    <n v="0"/>
    <n v="1001171"/>
    <n v="357695.9999999999"/>
    <n v="0"/>
    <n v="0"/>
    <n v="71"/>
    <n v="1001171"/>
    <n v="604840.3361344538"/>
    <n v="24"/>
    <n v="47"/>
    <n v="24"/>
    <n v="0"/>
    <n v="0"/>
    <n v="0"/>
    <n v="700487.9999999999"/>
    <n v="357695.9999999999"/>
    <n v="0"/>
    <n v="0"/>
    <n v="47"/>
    <n v="700487.9999999999"/>
    <n v="604840.3361344538"/>
    <n v="0"/>
    <n v="23"/>
    <n v="0"/>
    <n v="0"/>
    <n v="0"/>
    <n v="0"/>
    <m/>
    <n v="342791.9999999999"/>
    <n v="0"/>
    <n v="0"/>
    <n v="0"/>
    <n v="23"/>
    <n v="342791.9999999999"/>
    <n v="0"/>
    <n v="0"/>
    <n v="23"/>
    <n v="0"/>
    <n v="0"/>
    <n v="0"/>
    <n v="342791.9999999999"/>
    <n v="0"/>
    <n v="0"/>
    <n v="0"/>
    <n v="23"/>
    <n v="342791.9999999999"/>
    <n v="0"/>
    <n v="0"/>
    <n v="23"/>
    <n v="0"/>
    <n v="0"/>
    <n v="0"/>
    <n v="342791.9999999999"/>
    <n v="0"/>
    <n v="0"/>
    <n v="23"/>
    <n v="342791.9999999999"/>
    <n v="0"/>
    <n v="0"/>
    <n v="23"/>
    <n v="0"/>
    <n v="0"/>
    <m/>
    <n v="342791.9999999999"/>
    <n v="0"/>
    <n v="0"/>
    <n v="23"/>
    <n v="342791.9999999999"/>
    <n v="0"/>
  </r>
  <r>
    <m/>
    <x v="4"/>
    <x v="21"/>
    <x v="52"/>
    <s v="LTW25-MSW06"/>
    <x v="491"/>
    <x v="378"/>
    <x v="0"/>
    <x v="2"/>
    <n v="1"/>
    <x v="3"/>
    <n v="61"/>
    <m/>
    <n v="0"/>
    <n v="14101"/>
    <n v="860161"/>
    <n v="14.4"/>
    <n v="15732"/>
    <n v="25201.68067226891"/>
    <n v="21000"/>
    <s v="Shenzhen"/>
    <s v="30/70"/>
    <n v="30"/>
    <n v="1"/>
    <n v="0"/>
    <s v=""/>
    <n v="0"/>
    <s v=""/>
    <n v="0"/>
    <s v=""/>
    <n v="0"/>
    <s v=""/>
    <n v="0"/>
    <s v=""/>
    <n v="0"/>
    <s v=""/>
    <n v="6"/>
    <n v="0.3696842590421117"/>
    <n v="2"/>
    <n v="0.3895948227349466"/>
    <n v="0"/>
    <s v=""/>
    <n v="9"/>
    <n v="0.5087530773399396"/>
    <n v="0"/>
    <s v=""/>
    <n v="0"/>
    <s v=""/>
    <n v="5"/>
    <n v="-0.02514517377061434"/>
    <n v="0"/>
    <s v=""/>
    <n v="1"/>
    <n v="0"/>
    <n v="0"/>
    <s v=""/>
    <n v="0"/>
    <n v="0"/>
    <s v=""/>
    <n v="0"/>
    <n v="3"/>
    <n v="0.248330521254834"/>
    <n v="0.1111111111111111"/>
    <n v="1"/>
    <n v="0.5804195839167834"/>
    <n v="0.05263157894736842"/>
    <n v="0"/>
    <s v=""/>
    <n v="0"/>
    <m/>
    <m/>
    <m/>
    <m/>
    <m/>
    <m/>
    <m/>
    <m/>
    <m/>
    <m/>
    <m/>
    <m/>
    <n v="5"/>
    <n v="60"/>
    <n v="5"/>
    <n v="0"/>
    <n v="0"/>
    <n v="0"/>
    <n v="84606"/>
    <n v="894239.9999999999"/>
    <n v="70505"/>
    <n v="0"/>
    <n v="61"/>
    <n v="860161"/>
    <n v="105889.4145893652"/>
    <n v="3"/>
    <n v="57"/>
    <n v="0"/>
    <n v="0"/>
    <n v="0"/>
    <n v="0"/>
    <n v="14101"/>
    <n v="849527.9999999999"/>
    <n v="0"/>
    <n v="0"/>
    <n v="61"/>
    <n v="860161"/>
    <n v="0"/>
    <n v="4"/>
    <n v="57"/>
    <n v="1"/>
    <n v="0"/>
    <n v="0"/>
    <n v="43909"/>
    <n v="803757"/>
    <n v="14101"/>
    <n v="0"/>
    <n v="61"/>
    <n v="860161"/>
    <n v="25201.68067226891"/>
    <n v="2"/>
    <n v="56"/>
    <n v="0"/>
    <n v="0"/>
    <n v="0"/>
    <n v="834623.9999999999"/>
    <n v="0"/>
    <n v="0"/>
    <n v="0"/>
    <n v="61"/>
    <n v="860161"/>
    <n v="0"/>
    <n v="2"/>
    <n v="61"/>
    <n v="2"/>
    <m/>
    <n v="0"/>
    <n v="0"/>
    <n v="860161"/>
    <n v="29808"/>
    <n v="0"/>
    <n v="0"/>
    <n v="61"/>
    <n v="860161"/>
    <n v="50403.36134453781"/>
    <n v="27"/>
    <n v="64"/>
    <n v="3"/>
    <m/>
    <n v="0"/>
    <n v="0"/>
    <n v="902464"/>
    <n v="44711.99999999999"/>
    <n v="0"/>
    <n v="0"/>
    <n v="64"/>
    <n v="860161"/>
    <n v="75605.04201680672"/>
    <n v="19"/>
    <n v="62"/>
    <n v="1"/>
    <n v="0"/>
    <n v="0"/>
    <n v="0"/>
    <n v="874262"/>
    <n v="14904"/>
    <n v="0"/>
    <n v="0"/>
    <n v="62"/>
    <n v="860161"/>
    <n v="25201.68067226891"/>
    <n v="19"/>
    <n v="61"/>
    <n v="19"/>
    <n v="0"/>
    <n v="0"/>
    <n v="0"/>
    <n v="860161"/>
    <n v="283175.9999999999"/>
    <n v="0"/>
    <n v="0"/>
    <n v="61"/>
    <n v="860161"/>
    <n v="478831.9327731092"/>
    <n v="19"/>
    <n v="42"/>
    <n v="19"/>
    <n v="0"/>
    <n v="0"/>
    <n v="0"/>
    <n v="625967.9999999999"/>
    <n v="283175.9999999999"/>
    <n v="0"/>
    <n v="0"/>
    <n v="42"/>
    <n v="625967.9999999999"/>
    <n v="478831.9327731092"/>
    <n v="0"/>
    <n v="23"/>
    <n v="0"/>
    <n v="0"/>
    <n v="0"/>
    <n v="0"/>
    <m/>
    <n v="342791.9999999999"/>
    <n v="0"/>
    <n v="0"/>
    <n v="0"/>
    <n v="23"/>
    <n v="342791.9999999999"/>
    <n v="0"/>
    <n v="0"/>
    <n v="23"/>
    <n v="0"/>
    <n v="0"/>
    <n v="0"/>
    <n v="342791.9999999999"/>
    <n v="0"/>
    <n v="0"/>
    <n v="0"/>
    <n v="23"/>
    <n v="342791.9999999999"/>
    <n v="0"/>
    <n v="0"/>
    <n v="23"/>
    <n v="0"/>
    <n v="0"/>
    <n v="0"/>
    <n v="342791.9999999999"/>
    <n v="0"/>
    <n v="0"/>
    <n v="23"/>
    <n v="342791.9999999999"/>
    <n v="0"/>
    <n v="0"/>
    <n v="23"/>
    <n v="0"/>
    <n v="0"/>
    <m/>
    <n v="342791.9999999999"/>
    <n v="0"/>
    <n v="0"/>
    <n v="23"/>
    <n v="342791.9999999999"/>
    <n v="0"/>
  </r>
  <r>
    <m/>
    <x v="4"/>
    <x v="21"/>
    <x v="52"/>
    <s v="LTW25-MSW06"/>
    <x v="492"/>
    <x v="378"/>
    <x v="0"/>
    <x v="2"/>
    <n v="1"/>
    <x v="3"/>
    <n v="31"/>
    <m/>
    <n v="0"/>
    <n v="14101"/>
    <n v="437131"/>
    <n v="14.4"/>
    <n v="15732"/>
    <n v="25201.68067226891"/>
    <n v="21000"/>
    <s v="Shenzhen"/>
    <s v="30/70"/>
    <n v="30"/>
    <n v="1"/>
    <n v="0"/>
    <s v=""/>
    <n v="0"/>
    <s v=""/>
    <n v="0"/>
    <s v=""/>
    <n v="0"/>
    <s v=""/>
    <n v="1"/>
    <n v="0.5803904180925458"/>
    <n v="0"/>
    <s v=""/>
    <n v="3"/>
    <n v="0.3932713738651521"/>
    <n v="0"/>
    <s v=""/>
    <n v="0"/>
    <s v=""/>
    <n v="1"/>
    <n v="0.3285247619047619"/>
    <n v="0"/>
    <s v=""/>
    <n v="1"/>
    <n v="0.5804153896509656"/>
    <n v="2"/>
    <n v="-0.02514517377061434"/>
    <n v="1"/>
    <n v="0.06727080330840145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3"/>
    <n v="31"/>
    <n v="3"/>
    <n v="0"/>
    <n v="0"/>
    <n v="0"/>
    <n v="63454.5"/>
    <n v="462023.9999999999"/>
    <n v="42303"/>
    <n v="0"/>
    <n v="31"/>
    <n v="437131"/>
    <n v="63533.6487536191"/>
    <n v="3"/>
    <n v="31"/>
    <n v="1.5"/>
    <n v="0"/>
    <n v="0"/>
    <n v="0"/>
    <n v="21151.5"/>
    <n v="462023.9999999999"/>
    <n v="21151.5"/>
    <n v="0"/>
    <n v="31"/>
    <n v="437131"/>
    <n v="31766.82437680955"/>
    <n v="4"/>
    <n v="30"/>
    <n v="0"/>
    <n v="0"/>
    <n v="0"/>
    <n v="29808"/>
    <n v="423030"/>
    <n v="0"/>
    <n v="0"/>
    <n v="31"/>
    <n v="437131"/>
    <n v="0"/>
    <n v="2"/>
    <n v="30"/>
    <n v="0"/>
    <n v="0"/>
    <n v="0"/>
    <n v="447119.9999999999"/>
    <n v="0"/>
    <n v="0"/>
    <n v="0"/>
    <n v="31"/>
    <n v="437131"/>
    <n v="0"/>
    <n v="2"/>
    <n v="31"/>
    <n v="2"/>
    <m/>
    <n v="0"/>
    <n v="0"/>
    <n v="437131"/>
    <n v="29808"/>
    <n v="0"/>
    <n v="0"/>
    <n v="31"/>
    <n v="437131"/>
    <n v="50403.36134453781"/>
    <n v="12"/>
    <n v="31"/>
    <n v="0"/>
    <m/>
    <n v="0"/>
    <n v="0"/>
    <n v="437131"/>
    <n v="0"/>
    <n v="0"/>
    <n v="0"/>
    <n v="31"/>
    <n v="437131"/>
    <n v="0"/>
    <n v="10"/>
    <n v="31"/>
    <n v="0"/>
    <n v="0"/>
    <n v="0"/>
    <n v="0"/>
    <n v="437131"/>
    <n v="0"/>
    <n v="0"/>
    <n v="0"/>
    <n v="31"/>
    <n v="437131"/>
    <n v="0"/>
    <n v="10"/>
    <n v="31"/>
    <n v="10"/>
    <n v="0"/>
    <n v="0"/>
    <n v="0"/>
    <n v="437131"/>
    <n v="149040"/>
    <n v="0"/>
    <n v="0"/>
    <n v="31"/>
    <n v="437131"/>
    <n v="252016.8067226891"/>
    <n v="10"/>
    <n v="21"/>
    <n v="10"/>
    <n v="0"/>
    <n v="0"/>
    <n v="0"/>
    <n v="312983.9999999999"/>
    <n v="149040"/>
    <n v="0"/>
    <n v="0"/>
    <n v="21"/>
    <n v="312983.9999999999"/>
    <n v="252016.8067226891"/>
    <n v="0"/>
    <n v="11"/>
    <n v="0"/>
    <n v="0"/>
    <n v="0"/>
    <n v="0"/>
    <m/>
    <n v="163944"/>
    <n v="0"/>
    <n v="0"/>
    <n v="0"/>
    <n v="11"/>
    <n v="163944"/>
    <n v="0"/>
    <n v="0"/>
    <n v="11"/>
    <n v="0"/>
    <n v="0"/>
    <n v="0"/>
    <n v="163944"/>
    <n v="0"/>
    <n v="0"/>
    <n v="0"/>
    <n v="11"/>
    <n v="163944"/>
    <n v="0"/>
    <n v="0"/>
    <n v="11"/>
    <n v="0"/>
    <n v="0"/>
    <n v="0"/>
    <n v="163944"/>
    <n v="0"/>
    <n v="0"/>
    <n v="11"/>
    <n v="163944"/>
    <n v="0"/>
    <n v="0"/>
    <n v="11"/>
    <n v="0"/>
    <n v="0"/>
    <m/>
    <n v="163944"/>
    <n v="0"/>
    <n v="0"/>
    <n v="11"/>
    <n v="163944"/>
    <n v="0"/>
  </r>
  <r>
    <m/>
    <x v="4"/>
    <x v="21"/>
    <x v="52"/>
    <s v="LTW25-MSW06"/>
    <x v="493"/>
    <x v="378"/>
    <x v="0"/>
    <x v="2"/>
    <n v="1"/>
    <x v="3"/>
    <n v="21"/>
    <m/>
    <n v="0"/>
    <n v="14101"/>
    <n v="296121"/>
    <n v="14.4"/>
    <n v="15732"/>
    <n v="25201.68067226891"/>
    <n v="21000"/>
    <s v="Shenzhen"/>
    <s v="30/70"/>
    <n v="30"/>
    <n v="1"/>
    <n v="0"/>
    <s v=""/>
    <n v="0"/>
    <s v=""/>
    <n v="0"/>
    <s v=""/>
    <n v="0"/>
    <s v=""/>
    <n v="0"/>
    <s v=""/>
    <n v="0"/>
    <s v=""/>
    <n v="5"/>
    <n v="0.2700983487758166"/>
    <n v="2"/>
    <n v="0.2931844611528822"/>
    <n v="0"/>
    <s v=""/>
    <n v="2"/>
    <n v="0.5524354091284199"/>
    <n v="1"/>
    <n v="0.2006705969049374"/>
    <n v="0"/>
    <s v=""/>
    <n v="3"/>
    <n v="-0.02514517377061434"/>
    <n v="0"/>
    <s v=""/>
    <n v="1"/>
    <n v="0.3783176075814731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3"/>
    <n v="22"/>
    <n v="3"/>
    <n v="0"/>
    <n v="0"/>
    <n v="0"/>
    <n v="56404"/>
    <n v="327887.9999999999"/>
    <n v="42303"/>
    <n v="0"/>
    <n v="21"/>
    <n v="296121"/>
    <n v="63533.6487536191"/>
    <n v="3"/>
    <n v="21"/>
    <n v="0"/>
    <n v="0"/>
    <n v="0"/>
    <n v="0"/>
    <n v="14101"/>
    <n v="312983.9999999999"/>
    <n v="0"/>
    <n v="0"/>
    <n v="21"/>
    <n v="296121"/>
    <n v="0"/>
    <n v="4"/>
    <n v="21"/>
    <n v="1"/>
    <n v="0"/>
    <n v="0"/>
    <n v="43909"/>
    <n v="296121"/>
    <n v="14101"/>
    <n v="0"/>
    <n v="21"/>
    <n v="296121"/>
    <n v="25201.68067226891"/>
    <n v="2"/>
    <n v="20"/>
    <n v="0"/>
    <n v="0"/>
    <n v="0"/>
    <n v="298079.9999999999"/>
    <n v="0"/>
    <n v="0"/>
    <n v="0"/>
    <n v="21"/>
    <n v="296121"/>
    <n v="0"/>
    <n v="2"/>
    <n v="21"/>
    <n v="2"/>
    <m/>
    <n v="0"/>
    <n v="0"/>
    <n v="296121"/>
    <n v="29808"/>
    <n v="0"/>
    <n v="0"/>
    <n v="21"/>
    <n v="296121"/>
    <n v="50403.36134453781"/>
    <n v="12"/>
    <n v="21"/>
    <n v="0"/>
    <m/>
    <n v="0"/>
    <n v="0"/>
    <n v="296121"/>
    <n v="0"/>
    <n v="0"/>
    <n v="0"/>
    <n v="21"/>
    <n v="296121"/>
    <n v="0"/>
    <n v="7"/>
    <n v="21"/>
    <n v="0"/>
    <n v="0"/>
    <n v="0"/>
    <n v="0"/>
    <n v="296121"/>
    <n v="0"/>
    <n v="0"/>
    <n v="0"/>
    <n v="21"/>
    <n v="296121"/>
    <n v="0"/>
    <n v="7"/>
    <n v="21"/>
    <n v="7"/>
    <n v="0"/>
    <n v="0"/>
    <n v="0"/>
    <n v="296121"/>
    <n v="104328"/>
    <n v="0"/>
    <n v="0"/>
    <n v="21"/>
    <n v="296121"/>
    <n v="176411.7647058823"/>
    <n v="7"/>
    <n v="14"/>
    <n v="7"/>
    <n v="0"/>
    <n v="0"/>
    <n v="0"/>
    <n v="208656"/>
    <n v="104328"/>
    <n v="0"/>
    <n v="0"/>
    <n v="14"/>
    <n v="208656"/>
    <n v="176411.7647058823"/>
    <n v="0"/>
    <n v="7"/>
    <n v="0"/>
    <n v="0"/>
    <n v="0"/>
    <n v="0"/>
    <m/>
    <n v="104328"/>
    <n v="0"/>
    <n v="0"/>
    <n v="0"/>
    <n v="7"/>
    <n v="104328"/>
    <n v="0"/>
    <n v="0"/>
    <n v="7"/>
    <n v="0"/>
    <n v="0"/>
    <n v="0"/>
    <n v="104328"/>
    <n v="0"/>
    <n v="0"/>
    <n v="0"/>
    <n v="7"/>
    <n v="104328"/>
    <n v="0"/>
    <n v="0"/>
    <n v="7"/>
    <n v="0"/>
    <n v="0"/>
    <n v="0"/>
    <n v="104328"/>
    <n v="0"/>
    <n v="0"/>
    <n v="7"/>
    <n v="104328"/>
    <n v="0"/>
    <n v="0"/>
    <n v="7"/>
    <n v="0"/>
    <n v="0"/>
    <m/>
    <n v="104328"/>
    <n v="0"/>
    <n v="0"/>
    <n v="7"/>
    <n v="104328"/>
    <n v="0"/>
  </r>
  <r>
    <m/>
    <x v="4"/>
    <x v="21"/>
    <x v="52"/>
    <s v="LTW25-MSW06"/>
    <x v="494"/>
    <x v="378"/>
    <x v="0"/>
    <x v="2"/>
    <n v="1"/>
    <x v="3"/>
    <n v="8"/>
    <m/>
    <n v="0"/>
    <n v="14101"/>
    <n v="112808"/>
    <n v="14.4"/>
    <n v="15732"/>
    <n v="25201.68067226891"/>
    <n v="21000"/>
    <s v="Shenzhen"/>
    <s v="30/70"/>
    <n v="30"/>
    <n v="1"/>
    <n v="0"/>
    <s v=""/>
    <n v="0"/>
    <s v=""/>
    <n v="0"/>
    <s v=""/>
    <n v="0"/>
    <s v=""/>
    <n v="0"/>
    <s v=""/>
    <n v="5"/>
    <n v="0.5063342412424117"/>
    <n v="5"/>
    <n v="0.2700983487758166"/>
    <n v="2"/>
    <n v="0.04068508061772914"/>
    <n v="1"/>
    <n v="0.5524354091284199"/>
    <n v="2"/>
    <n v="0.4628815754389974"/>
    <n v="1"/>
    <n v="0.1999903551571542"/>
    <n v="2"/>
    <n v="0.5804156872080221"/>
    <n v="3"/>
    <n v="-0.02514517377061434"/>
    <n v="0"/>
    <s v=""/>
    <n v="0"/>
    <s v=""/>
    <n v="0"/>
    <s v=""/>
    <n v="0"/>
    <n v="2"/>
    <n v="-0.6694378948415659"/>
    <n v="0.6666666666666666"/>
    <n v="2"/>
    <n v="0.2191901260992974"/>
    <n v="0.1666666666666667"/>
    <n v="1"/>
    <n v="0"/>
    <n v="0.25"/>
    <n v="1"/>
    <n v="0.5804195839167834"/>
    <n v="0.25"/>
    <m/>
    <m/>
    <m/>
    <m/>
    <m/>
    <m/>
    <m/>
    <m/>
    <m/>
    <m/>
    <m/>
    <m/>
    <n v="3"/>
    <n v="16"/>
    <n v="3"/>
    <n v="0"/>
    <n v="0"/>
    <n v="0"/>
    <n v="42303"/>
    <n v="238464"/>
    <n v="42303"/>
    <n v="0"/>
    <n v="8"/>
    <n v="112808"/>
    <n v="63533.6487536191"/>
    <n v="3"/>
    <n v="14"/>
    <n v="0"/>
    <n v="0"/>
    <n v="0"/>
    <n v="0"/>
    <n v="0"/>
    <n v="208656"/>
    <n v="0"/>
    <n v="0"/>
    <n v="8"/>
    <n v="112808"/>
    <n v="0"/>
    <n v="0"/>
    <n v="14"/>
    <n v="0"/>
    <n v="0"/>
    <n v="0"/>
    <n v="44711.99999999999"/>
    <n v="197414"/>
    <n v="0"/>
    <n v="0"/>
    <n v="8"/>
    <n v="112808"/>
    <n v="0"/>
    <n v="3"/>
    <n v="28"/>
    <n v="0"/>
    <n v="0"/>
    <n v="0"/>
    <n v="417311.9999999999"/>
    <n v="0"/>
    <n v="0"/>
    <n v="0"/>
    <n v="8"/>
    <n v="112808"/>
    <n v="0"/>
    <n v="3"/>
    <n v="10"/>
    <n v="3"/>
    <m/>
    <n v="0"/>
    <n v="0"/>
    <n v="141010"/>
    <n v="44711.99999999999"/>
    <n v="0"/>
    <n v="0"/>
    <n v="8"/>
    <n v="112808"/>
    <n v="75605.04201680672"/>
    <n v="12"/>
    <n v="10"/>
    <n v="2"/>
    <m/>
    <n v="0"/>
    <n v="0"/>
    <n v="141010"/>
    <n v="29808"/>
    <n v="0"/>
    <n v="0"/>
    <n v="10"/>
    <n v="112808"/>
    <n v="50403.36134453781"/>
    <n v="4"/>
    <n v="9"/>
    <n v="1"/>
    <n v="0"/>
    <n v="0"/>
    <n v="0"/>
    <n v="126909"/>
    <n v="14904"/>
    <n v="0"/>
    <n v="0"/>
    <n v="9"/>
    <n v="112808"/>
    <n v="25201.68067226891"/>
    <n v="4"/>
    <n v="8"/>
    <n v="4"/>
    <n v="0"/>
    <n v="0"/>
    <n v="0"/>
    <n v="112808"/>
    <n v="59615.99999999999"/>
    <n v="0"/>
    <n v="0"/>
    <n v="8"/>
    <n v="112808"/>
    <n v="100806.7226890756"/>
    <n v="4"/>
    <n v="4"/>
    <n v="4"/>
    <n v="0"/>
    <n v="0"/>
    <n v="0"/>
    <n v="59615.99999999999"/>
    <n v="59615.99999999999"/>
    <n v="0"/>
    <n v="0"/>
    <n v="4"/>
    <n v="59615.99999999999"/>
    <n v="100806.7226890756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2"/>
    <s v="LTW25-MSW06"/>
    <x v="495"/>
    <x v="378"/>
    <x v="0"/>
    <x v="2"/>
    <n v="1"/>
    <x v="3"/>
    <n v="5"/>
    <m/>
    <n v="0"/>
    <n v="14101"/>
    <n v="70505"/>
    <n v="14.4"/>
    <n v="15732"/>
    <n v="25201.68067226891"/>
    <n v="21000"/>
    <s v="Shenzhen"/>
    <s v="30/70"/>
    <n v="30"/>
    <n v="1"/>
    <n v="0"/>
    <s v=""/>
    <n v="0"/>
    <s v=""/>
    <n v="0"/>
    <s v=""/>
    <n v="0"/>
    <n v="2.127508687373579e-06"/>
    <n v="0"/>
    <n v="0.5204241063837024"/>
    <n v="1"/>
    <n v="1"/>
    <n v="11"/>
    <n v="0.3761862303890222"/>
    <n v="1"/>
    <n v="0.2539169312169313"/>
    <n v="0"/>
    <s v=""/>
    <n v="5"/>
    <n v="0.3543925755675003"/>
    <n v="0"/>
    <s v=""/>
    <n v="2"/>
    <n v="0.3605423667324218"/>
    <n v="4"/>
    <n v="-0.02514517377061434"/>
    <n v="1"/>
    <n v="0.06727080330840145"/>
    <n v="0"/>
    <s v=""/>
    <n v="0"/>
    <s v=""/>
    <n v="0"/>
    <n v="0"/>
    <s v=""/>
    <n v="0"/>
    <n v="2"/>
    <n v="0.440516637770072"/>
    <n v="0.1666666666666667"/>
    <n v="1"/>
    <n v="0.02684625645189352"/>
    <n v="0.3333333333333333"/>
    <n v="0"/>
    <s v=""/>
    <n v="0"/>
    <m/>
    <m/>
    <m/>
    <m/>
    <m/>
    <m/>
    <m/>
    <m/>
    <m/>
    <m/>
    <m/>
    <m/>
    <n v="3"/>
    <n v="5"/>
    <n v="3"/>
    <n v="0"/>
    <n v="0"/>
    <n v="0"/>
    <n v="63454.5"/>
    <n v="74519.99999999999"/>
    <n v="42303"/>
    <n v="0"/>
    <n v="5"/>
    <n v="70505"/>
    <n v="63533.6487536191"/>
    <n v="3"/>
    <n v="8"/>
    <n v="1.5"/>
    <n v="0"/>
    <n v="0"/>
    <n v="0"/>
    <n v="21151.5"/>
    <n v="119232"/>
    <n v="21151.5"/>
    <n v="0"/>
    <n v="5"/>
    <n v="70505"/>
    <n v="31766.82437680955"/>
    <n v="4"/>
    <n v="7"/>
    <n v="0"/>
    <n v="0"/>
    <n v="0"/>
    <n v="44711.99999999999"/>
    <n v="98707"/>
    <n v="0"/>
    <n v="0"/>
    <n v="5"/>
    <n v="70505"/>
    <n v="0"/>
    <n v="3"/>
    <n v="7"/>
    <n v="0"/>
    <n v="0"/>
    <n v="0"/>
    <n v="104328"/>
    <n v="0"/>
    <n v="0"/>
    <n v="0"/>
    <n v="5"/>
    <n v="70505"/>
    <n v="0"/>
    <n v="3"/>
    <n v="5"/>
    <n v="3"/>
    <m/>
    <n v="0"/>
    <n v="0"/>
    <n v="70505"/>
    <n v="44711.99999999999"/>
    <n v="0"/>
    <n v="0"/>
    <n v="5"/>
    <n v="70505"/>
    <n v="75605.04201680672"/>
    <n v="12"/>
    <n v="7"/>
    <n v="2"/>
    <m/>
    <n v="0"/>
    <n v="0"/>
    <n v="98707"/>
    <n v="29808"/>
    <n v="0"/>
    <n v="0"/>
    <n v="7"/>
    <n v="70505"/>
    <n v="50403.36134453781"/>
    <n v="3"/>
    <n v="6"/>
    <n v="1"/>
    <n v="0"/>
    <n v="0"/>
    <n v="0"/>
    <n v="84606"/>
    <n v="14904"/>
    <n v="0"/>
    <n v="0"/>
    <n v="6"/>
    <n v="70505"/>
    <n v="25201.68067226891"/>
    <n v="3"/>
    <n v="5"/>
    <n v="3"/>
    <n v="0"/>
    <n v="0"/>
    <n v="0"/>
    <n v="70505"/>
    <n v="44711.99999999999"/>
    <n v="0"/>
    <n v="0"/>
    <n v="5"/>
    <n v="70505"/>
    <n v="75605.04201680672"/>
    <n v="3"/>
    <n v="2"/>
    <n v="3"/>
    <n v="0"/>
    <n v="0"/>
    <n v="0"/>
    <n v="29808"/>
    <n v="44711.99999999999"/>
    <n v="0"/>
    <n v="0"/>
    <n v="2"/>
    <n v="29808"/>
    <n v="75605.0420168067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3"/>
    <s v="LTS26-MTS01"/>
    <x v="496"/>
    <x v="379"/>
    <x v="0"/>
    <x v="0"/>
    <n v="1"/>
    <x v="242"/>
    <n v="2"/>
    <m/>
    <n v="0"/>
    <n v="3853"/>
    <n v="7706"/>
    <n v="3.6"/>
    <n v="3933"/>
    <n v="10915.96638655462"/>
    <n v="6714.28571428571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3485673449942149"/>
    <n v="2"/>
    <n v="0.3708360548661006"/>
    <n v="29"/>
    <n v="0.2188717046157527"/>
    <n v="3"/>
    <n v="0.4914786826625308"/>
    <n v="7"/>
    <n v="0.3846609245700085"/>
    <n v="3"/>
    <n v="0.2956795503928013"/>
    <n v="0.75"/>
    <n v="1"/>
    <n v="0.541039039039039"/>
    <n v="0.3333333333333333"/>
    <n v="8"/>
    <n v="0.1886962166172107"/>
    <n v="1"/>
    <n v="1"/>
    <n v="0.2346227045075125"/>
    <n v="0.25"/>
    <n v="0"/>
    <s v=""/>
    <n v="0"/>
    <m/>
    <m/>
    <m/>
    <m/>
    <m/>
    <m/>
    <m/>
    <m/>
    <m/>
    <m/>
    <m/>
    <m/>
    <n v="5"/>
    <n v="52"/>
    <n v="5"/>
    <n v="0"/>
    <n v="0"/>
    <n v="0"/>
    <n v="63574.5"/>
    <n v="193752"/>
    <n v="19265"/>
    <n v="0"/>
    <n v="2"/>
    <n v="7706"/>
    <n v="45865.40498552363"/>
    <n v="4"/>
    <n v="23"/>
    <n v="4.5"/>
    <n v="0"/>
    <n v="0"/>
    <n v="0"/>
    <n v="55868.5"/>
    <n v="85697.99999999999"/>
    <n v="17338.5"/>
    <n v="0"/>
    <n v="2"/>
    <n v="7706"/>
    <n v="41278.86448697127"/>
    <n v="2.9"/>
    <n v="20"/>
    <n v="7"/>
    <n v="0"/>
    <n v="0"/>
    <n v="49708"/>
    <n v="77060"/>
    <n v="26971"/>
    <n v="0"/>
    <n v="2"/>
    <n v="7706"/>
    <n v="76411.76470588236"/>
    <n v="4"/>
    <n v="12"/>
    <n v="3"/>
    <n v="0"/>
    <n v="0"/>
    <n v="44711.99999999999"/>
    <n v="11559"/>
    <n v="0"/>
    <n v="0"/>
    <n v="2"/>
    <n v="7706"/>
    <n v="32747.89915966387"/>
    <n v="3"/>
    <n v="3"/>
    <n v="3"/>
    <m/>
    <n v="0"/>
    <n v="0"/>
    <n v="11559"/>
    <n v="11178"/>
    <n v="0"/>
    <n v="0"/>
    <n v="2"/>
    <n v="7706"/>
    <n v="32747.89915966387"/>
    <n v="8"/>
    <n v="10"/>
    <n v="8"/>
    <m/>
    <n v="0"/>
    <n v="0"/>
    <n v="38530"/>
    <n v="29808"/>
    <n v="0"/>
    <n v="0"/>
    <n v="10"/>
    <n v="7706"/>
    <n v="87327.73109243698"/>
    <n v="4"/>
    <n v="3"/>
    <n v="1"/>
    <n v="0"/>
    <n v="0"/>
    <n v="0"/>
    <n v="11559"/>
    <n v="3726"/>
    <n v="0"/>
    <n v="0"/>
    <n v="3"/>
    <n v="7706"/>
    <n v="10915.96638655462"/>
    <n v="4"/>
    <n v="2"/>
    <n v="4"/>
    <n v="0"/>
    <n v="0"/>
    <n v="0"/>
    <n v="7706"/>
    <n v="14904"/>
    <n v="0"/>
    <n v="0"/>
    <n v="2"/>
    <n v="7706"/>
    <n v="43663.86554621849"/>
    <n v="4"/>
    <n v="0"/>
    <n v="4"/>
    <n v="0"/>
    <n v="0"/>
    <n v="0"/>
    <n v="0"/>
    <n v="14904"/>
    <n v="0"/>
    <n v="0"/>
    <n v="0"/>
    <n v="0"/>
    <n v="43663.8655462184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3"/>
    <s v="LTS26-MTS01"/>
    <x v="497"/>
    <x v="379"/>
    <x v="0"/>
    <x v="0"/>
    <n v="1"/>
    <x v="243"/>
    <n v="25"/>
    <m/>
    <n v="0"/>
    <n v="3853"/>
    <n v="96325"/>
    <n v="3.6"/>
    <n v="3933"/>
    <n v="8394.957983193277"/>
    <n v="6714.28571428571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3090416892257715"/>
    <n v="1"/>
    <n v="0.516925777331996"/>
    <n v="17"/>
    <n v="0.158358558623598"/>
    <n v="4"/>
    <n v="0.2985712720837148"/>
    <n v="1"/>
    <n v="0.5410363417271346"/>
    <n v="2"/>
    <n v="0.5410363417271346"/>
    <n v="0.5"/>
    <n v="1"/>
    <n v="0.4261063829787234"/>
    <n v="0.3333333333333333"/>
    <n v="7"/>
    <n v="0.2270406049804922"/>
    <n v="0.875"/>
    <n v="0"/>
    <s v=""/>
    <n v="0"/>
    <n v="0"/>
    <s v=""/>
    <n v="0"/>
    <m/>
    <m/>
    <m/>
    <m/>
    <m/>
    <m/>
    <m/>
    <m/>
    <m/>
    <m/>
    <m/>
    <m/>
    <n v="5"/>
    <n v="61"/>
    <n v="5"/>
    <n v="0"/>
    <n v="0"/>
    <n v="0"/>
    <n v="46236"/>
    <n v="227286"/>
    <n v="19265"/>
    <n v="0"/>
    <n v="25"/>
    <n v="96325"/>
    <n v="35272.93270249276"/>
    <n v="4"/>
    <n v="40"/>
    <n v="6"/>
    <n v="0"/>
    <n v="0"/>
    <n v="0"/>
    <n v="34677"/>
    <n v="149040"/>
    <n v="23118"/>
    <n v="0"/>
    <n v="25"/>
    <n v="96325"/>
    <n v="42327.51924299131"/>
    <n v="6"/>
    <n v="36"/>
    <n v="1"/>
    <n v="0"/>
    <n v="0"/>
    <n v="22737"/>
    <n v="138708"/>
    <n v="3853"/>
    <n v="0"/>
    <n v="25"/>
    <n v="96325"/>
    <n v="8394.957983193277"/>
    <n v="4"/>
    <n v="35"/>
    <n v="2"/>
    <n v="0"/>
    <n v="0"/>
    <n v="130410"/>
    <n v="7706"/>
    <n v="0"/>
    <n v="0"/>
    <n v="25"/>
    <n v="96325"/>
    <n v="16789.91596638655"/>
    <n v="3"/>
    <n v="26"/>
    <n v="3"/>
    <m/>
    <n v="0"/>
    <n v="0"/>
    <n v="100178"/>
    <n v="11178"/>
    <n v="0"/>
    <n v="0"/>
    <n v="25"/>
    <n v="96325"/>
    <n v="25184.87394957983"/>
    <n v="8"/>
    <n v="32"/>
    <n v="7"/>
    <m/>
    <n v="0"/>
    <n v="0"/>
    <n v="123296"/>
    <n v="26082"/>
    <n v="0"/>
    <n v="0"/>
    <n v="32"/>
    <n v="96325"/>
    <n v="58764.70588235294"/>
    <n v="11"/>
    <n v="25"/>
    <n v="0"/>
    <n v="0"/>
    <n v="0"/>
    <n v="0"/>
    <n v="96325"/>
    <n v="0"/>
    <n v="0"/>
    <n v="0"/>
    <n v="25"/>
    <n v="96325"/>
    <n v="0"/>
    <n v="11"/>
    <n v="25"/>
    <n v="11"/>
    <n v="0"/>
    <n v="0"/>
    <n v="0"/>
    <n v="96325"/>
    <n v="40985.99999999999"/>
    <n v="0"/>
    <n v="0"/>
    <n v="25"/>
    <n v="96325"/>
    <n v="92344.53781512605"/>
    <n v="11"/>
    <n v="14"/>
    <n v="11"/>
    <n v="0"/>
    <n v="0"/>
    <n v="0"/>
    <n v="52163.99999999999"/>
    <n v="40985.99999999999"/>
    <n v="0"/>
    <n v="0"/>
    <n v="14"/>
    <n v="52163.99999999999"/>
    <n v="92344.53781512605"/>
    <n v="0"/>
    <n v="3"/>
    <n v="0"/>
    <n v="0"/>
    <n v="0"/>
    <n v="0"/>
    <m/>
    <n v="11178"/>
    <n v="0"/>
    <n v="0"/>
    <n v="0"/>
    <n v="3"/>
    <n v="11178"/>
    <n v="0"/>
    <n v="0"/>
    <n v="3"/>
    <n v="0"/>
    <n v="0"/>
    <n v="0"/>
    <n v="11178"/>
    <n v="0"/>
    <n v="0"/>
    <n v="0"/>
    <n v="3"/>
    <n v="11178"/>
    <n v="0"/>
    <n v="0"/>
    <n v="3"/>
    <n v="0"/>
    <n v="0"/>
    <n v="0"/>
    <n v="11178"/>
    <n v="0"/>
    <n v="0"/>
    <n v="3"/>
    <n v="11178"/>
    <n v="0"/>
    <n v="0"/>
    <n v="3"/>
    <n v="0"/>
    <n v="0"/>
    <m/>
    <n v="11178"/>
    <n v="0"/>
    <n v="0"/>
    <n v="3"/>
    <n v="11178"/>
    <n v="0"/>
  </r>
  <r>
    <s v="Lhotse-Vestuario"/>
    <x v="4"/>
    <x v="21"/>
    <x v="53"/>
    <s v="LTS26-MTS01"/>
    <x v="498"/>
    <x v="379"/>
    <x v="0"/>
    <x v="0"/>
    <n v="1"/>
    <x v="244"/>
    <n v="11"/>
    <m/>
    <n v="0"/>
    <n v="3853"/>
    <n v="42383"/>
    <n v="3.6"/>
    <n v="3933"/>
    <n v="8394.957983193277"/>
    <n v="6714.28571428571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3090416892257715"/>
    <n v="8"/>
    <n v="0.1497985211846172"/>
    <n v="24"/>
    <n v="0.2232421228316211"/>
    <n v="1"/>
    <n v="0.2409777362944437"/>
    <n v="4"/>
    <n v="0.4835040970270614"/>
    <n v="1"/>
    <n v="0.3396025823448742"/>
    <n v="0.25"/>
    <n v="2"/>
    <n v="0.541039039039039"/>
    <n v="0.6666666666666666"/>
    <n v="1"/>
    <n v="0.2346227045075125"/>
    <n v="0.1204819277108434"/>
    <n v="3"/>
    <n v="0.1649426264343391"/>
    <n v="0.6"/>
    <n v="0"/>
    <s v=""/>
    <n v="0"/>
    <m/>
    <m/>
    <m/>
    <m/>
    <m/>
    <m/>
    <m/>
    <m/>
    <m/>
    <m/>
    <m/>
    <m/>
    <n v="5"/>
    <n v="49"/>
    <n v="5"/>
    <n v="0"/>
    <n v="0"/>
    <n v="0"/>
    <n v="40456.5"/>
    <n v="182574"/>
    <n v="19265"/>
    <n v="0"/>
    <n v="11"/>
    <n v="42383"/>
    <n v="35272.93270249276"/>
    <n v="4"/>
    <n v="25"/>
    <n v="1.5"/>
    <n v="0"/>
    <n v="0"/>
    <n v="0"/>
    <n v="25044.5"/>
    <n v="93149.99999999999"/>
    <n v="5779.5"/>
    <n v="0"/>
    <n v="11"/>
    <n v="42383"/>
    <n v="10581.87981074783"/>
    <n v="2.916"/>
    <n v="24"/>
    <n v="4"/>
    <n v="0"/>
    <n v="0"/>
    <n v="30443"/>
    <n v="92472"/>
    <n v="15412"/>
    <n v="0"/>
    <n v="11"/>
    <n v="42383"/>
    <n v="33579.83193277311"/>
    <n v="4"/>
    <n v="19"/>
    <n v="1"/>
    <n v="0"/>
    <n v="0"/>
    <n v="70793.99999999999"/>
    <n v="3853"/>
    <n v="0"/>
    <n v="0"/>
    <n v="11"/>
    <n v="42383"/>
    <n v="8394.957983193277"/>
    <n v="3"/>
    <n v="13"/>
    <n v="3"/>
    <m/>
    <n v="0"/>
    <n v="0"/>
    <n v="50089"/>
    <n v="11178"/>
    <n v="0"/>
    <n v="0"/>
    <n v="11"/>
    <n v="42383"/>
    <n v="25184.87394957983"/>
    <n v="8.300000000000001"/>
    <n v="12"/>
    <n v="1"/>
    <m/>
    <n v="0"/>
    <n v="0"/>
    <n v="46236"/>
    <n v="3726"/>
    <n v="0"/>
    <n v="0"/>
    <n v="12"/>
    <n v="42383"/>
    <n v="8394.957983193277"/>
    <n v="5"/>
    <n v="14"/>
    <n v="3"/>
    <n v="0"/>
    <n v="0"/>
    <n v="0"/>
    <n v="53942"/>
    <n v="11178"/>
    <n v="0"/>
    <n v="0"/>
    <n v="14"/>
    <n v="42383"/>
    <n v="25184.87394957983"/>
    <n v="5"/>
    <n v="11"/>
    <n v="5"/>
    <n v="0"/>
    <n v="0"/>
    <n v="0"/>
    <n v="42383"/>
    <n v="18630"/>
    <n v="0"/>
    <n v="0"/>
    <n v="11"/>
    <n v="42383"/>
    <n v="41974.78991596639"/>
    <n v="5"/>
    <n v="6"/>
    <n v="5"/>
    <n v="0"/>
    <n v="0"/>
    <n v="0"/>
    <n v="22356"/>
    <n v="18630"/>
    <n v="0"/>
    <n v="0"/>
    <n v="6"/>
    <n v="22356"/>
    <n v="41974.78991596639"/>
    <n v="0"/>
    <n v="1"/>
    <n v="0"/>
    <n v="0"/>
    <n v="0"/>
    <n v="0"/>
    <m/>
    <n v="3726"/>
    <n v="0"/>
    <n v="0"/>
    <n v="0"/>
    <n v="1"/>
    <n v="3726"/>
    <n v="0"/>
    <n v="0"/>
    <n v="1"/>
    <n v="0"/>
    <n v="0"/>
    <n v="0"/>
    <n v="3726"/>
    <n v="0"/>
    <n v="0"/>
    <n v="0"/>
    <n v="1"/>
    <n v="3726"/>
    <n v="0"/>
    <n v="0"/>
    <n v="1"/>
    <n v="0"/>
    <n v="0"/>
    <n v="0"/>
    <n v="3726"/>
    <n v="0"/>
    <n v="0"/>
    <n v="1"/>
    <n v="3726"/>
    <n v="0"/>
    <n v="0"/>
    <n v="1"/>
    <n v="0"/>
    <n v="0"/>
    <m/>
    <n v="3726"/>
    <n v="0"/>
    <n v="0"/>
    <n v="1"/>
    <n v="3726"/>
    <n v="0"/>
  </r>
  <r>
    <s v="Lhotse-Vestuario"/>
    <x v="4"/>
    <x v="21"/>
    <x v="53"/>
    <s v="LTS26-MTS01"/>
    <x v="499"/>
    <x v="379"/>
    <x v="0"/>
    <x v="0"/>
    <n v="1"/>
    <x v="245"/>
    <n v="39"/>
    <m/>
    <n v="0"/>
    <n v="3853"/>
    <n v="150267"/>
    <n v="3.6"/>
    <n v="3933"/>
    <n v="10915.96638655462"/>
    <n v="6714.28571428571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154452180285819"/>
    <n v="0"/>
    <s v=""/>
    <n v="10"/>
    <n v="0.1792633297056138"/>
    <n v="0"/>
    <s v=""/>
    <n v="2"/>
    <n v="0.3684396076269151"/>
    <n v="1"/>
    <n v="0.5410363417271346"/>
    <n v="0.3333333333333333"/>
    <n v="0"/>
    <s v=""/>
    <n v="0"/>
    <n v="5"/>
    <n v="0.2334532279314888"/>
    <n v="0.8333333333333334"/>
    <n v="3"/>
    <n v="0.2346227045075125"/>
    <n v="0.1764705882352941"/>
    <n v="2"/>
    <n v="0.2346227045075125"/>
    <n v="0.1176470588235294"/>
    <m/>
    <m/>
    <m/>
    <m/>
    <m/>
    <m/>
    <m/>
    <m/>
    <m/>
    <m/>
    <m/>
    <m/>
    <n v="5"/>
    <n v="62"/>
    <n v="5"/>
    <n v="0"/>
    <n v="0"/>
    <n v="0"/>
    <n v="26971"/>
    <n v="231012"/>
    <n v="19265"/>
    <n v="0"/>
    <n v="39"/>
    <n v="150267"/>
    <n v="45865.40498552363"/>
    <n v="4"/>
    <n v="52"/>
    <n v="0"/>
    <n v="0"/>
    <n v="0"/>
    <n v="0"/>
    <n v="11559"/>
    <n v="193752"/>
    <n v="0"/>
    <n v="0"/>
    <n v="39"/>
    <n v="150267"/>
    <n v="0"/>
    <n v="3"/>
    <n v="52"/>
    <n v="2"/>
    <n v="0"/>
    <n v="0"/>
    <n v="19011"/>
    <n v="200356"/>
    <n v="7706"/>
    <n v="0"/>
    <n v="39"/>
    <n v="150267"/>
    <n v="21831.93277310925"/>
    <n v="3"/>
    <n v="49"/>
    <n v="1"/>
    <n v="0"/>
    <n v="0"/>
    <n v="182574"/>
    <n v="3853"/>
    <n v="0"/>
    <n v="0"/>
    <n v="39"/>
    <n v="150267"/>
    <n v="10915.96638655462"/>
    <n v="2"/>
    <n v="39"/>
    <n v="2"/>
    <m/>
    <n v="0"/>
    <n v="0"/>
    <n v="150267"/>
    <n v="7451.999999999999"/>
    <n v="0"/>
    <n v="0"/>
    <n v="39"/>
    <n v="150267"/>
    <n v="21831.93277310925"/>
    <n v="6"/>
    <n v="44"/>
    <n v="5"/>
    <m/>
    <n v="0"/>
    <n v="0"/>
    <n v="169532"/>
    <n v="18630"/>
    <n v="0"/>
    <n v="0"/>
    <n v="44"/>
    <n v="150267"/>
    <n v="54579.83193277312"/>
    <n v="17"/>
    <n v="42"/>
    <n v="3"/>
    <n v="0"/>
    <n v="0"/>
    <n v="0"/>
    <n v="161826"/>
    <n v="11178"/>
    <n v="0"/>
    <n v="0"/>
    <n v="42"/>
    <n v="150267"/>
    <n v="32747.89915966387"/>
    <n v="17"/>
    <n v="39"/>
    <n v="17"/>
    <n v="0"/>
    <n v="0"/>
    <n v="0"/>
    <n v="150267"/>
    <n v="63341.99999999999"/>
    <n v="0"/>
    <n v="0"/>
    <n v="39"/>
    <n v="150267"/>
    <n v="185571.4285714286"/>
    <n v="17"/>
    <n v="22"/>
    <n v="17"/>
    <n v="0"/>
    <n v="0"/>
    <n v="0"/>
    <n v="81971.99999999999"/>
    <n v="63341.99999999999"/>
    <n v="0"/>
    <n v="0"/>
    <n v="22"/>
    <n v="81971.99999999999"/>
    <n v="185571.4285714286"/>
    <n v="0"/>
    <n v="5"/>
    <n v="0"/>
    <n v="0"/>
    <n v="0"/>
    <n v="0"/>
    <m/>
    <n v="18630"/>
    <n v="0"/>
    <n v="0"/>
    <n v="0"/>
    <n v="5"/>
    <n v="18630"/>
    <n v="0"/>
    <n v="0"/>
    <n v="5"/>
    <n v="0"/>
    <n v="0"/>
    <n v="0"/>
    <n v="18630"/>
    <n v="0"/>
    <n v="0"/>
    <n v="0"/>
    <n v="5"/>
    <n v="18630"/>
    <n v="0"/>
    <n v="0"/>
    <n v="5"/>
    <n v="0"/>
    <n v="0"/>
    <n v="0"/>
    <n v="18630"/>
    <n v="0"/>
    <n v="0"/>
    <n v="5"/>
    <n v="18630"/>
    <n v="0"/>
    <n v="0"/>
    <n v="5"/>
    <n v="0"/>
    <n v="0"/>
    <m/>
    <n v="18630"/>
    <n v="0"/>
    <n v="0"/>
    <n v="5"/>
    <n v="18630"/>
    <n v="0"/>
  </r>
  <r>
    <s v="Lhotse-Vestuario"/>
    <x v="4"/>
    <x v="21"/>
    <x v="53"/>
    <s v="LTS26-MTS01"/>
    <x v="500"/>
    <x v="379"/>
    <x v="0"/>
    <x v="0"/>
    <n v="1"/>
    <x v="246"/>
    <n v="42"/>
    <m/>
    <n v="0"/>
    <n v="3853"/>
    <n v="161826"/>
    <n v="3.6"/>
    <n v="3933"/>
    <n v="8394.957983193277"/>
    <n v="6714.28571428571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4"/>
    <n v="0.2871273335190861"/>
    <n v="8"/>
    <n v="0.158358558623598"/>
    <n v="1"/>
    <n v="0"/>
    <n v="0"/>
    <s v=""/>
    <n v="0"/>
    <s v=""/>
    <n v="0"/>
    <n v="0"/>
    <s v=""/>
    <n v="0"/>
    <n v="3"/>
    <n v="0.3247791085804044"/>
    <n v="0.5"/>
    <n v="2"/>
    <n v="0.2346227045075125"/>
    <n v="0.1176470588235294"/>
    <n v="4"/>
    <n v="0.2346227045075125"/>
    <n v="0.2352941176470588"/>
    <m/>
    <m/>
    <m/>
    <m/>
    <m/>
    <m/>
    <m/>
    <m/>
    <m/>
    <m/>
    <m/>
    <m/>
    <n v="5"/>
    <n v="61"/>
    <n v="5"/>
    <n v="0"/>
    <n v="0"/>
    <n v="0"/>
    <n v="25044.5"/>
    <n v="227286"/>
    <n v="19265"/>
    <n v="0"/>
    <n v="42"/>
    <n v="161826"/>
    <n v="35272.93270249276"/>
    <n v="4"/>
    <n v="53"/>
    <n v="1.5"/>
    <n v="0"/>
    <n v="0"/>
    <n v="0"/>
    <n v="5779.5"/>
    <n v="197478"/>
    <n v="5779.5"/>
    <n v="0"/>
    <n v="42"/>
    <n v="161826"/>
    <n v="10581.87981074783"/>
    <n v="3"/>
    <n v="52"/>
    <n v="0"/>
    <n v="0"/>
    <n v="0"/>
    <n v="7451.999999999999"/>
    <n v="200356"/>
    <n v="0"/>
    <n v="0"/>
    <n v="42"/>
    <n v="161826"/>
    <n v="0"/>
    <n v="3"/>
    <n v="52"/>
    <n v="0"/>
    <n v="0"/>
    <n v="0"/>
    <n v="193752"/>
    <n v="0"/>
    <n v="0"/>
    <n v="0"/>
    <n v="42"/>
    <n v="161826"/>
    <n v="0"/>
    <n v="2"/>
    <n v="42"/>
    <n v="2"/>
    <m/>
    <n v="0"/>
    <n v="0"/>
    <n v="161826"/>
    <n v="7451.999999999999"/>
    <n v="0"/>
    <n v="0"/>
    <n v="42"/>
    <n v="161826"/>
    <n v="16789.91596638655"/>
    <n v="6"/>
    <n v="45"/>
    <n v="3"/>
    <m/>
    <n v="0"/>
    <n v="0"/>
    <n v="173385"/>
    <n v="11178"/>
    <n v="0"/>
    <n v="0"/>
    <n v="45"/>
    <n v="161826"/>
    <n v="25184.87394957983"/>
    <n v="17"/>
    <n v="44"/>
    <n v="2"/>
    <n v="0"/>
    <n v="0"/>
    <n v="0"/>
    <n v="169532"/>
    <n v="7451.999999999999"/>
    <n v="0"/>
    <n v="0"/>
    <n v="44"/>
    <n v="161826"/>
    <n v="16789.91596638655"/>
    <n v="17"/>
    <n v="42"/>
    <n v="17"/>
    <n v="0"/>
    <n v="0"/>
    <n v="0"/>
    <n v="161826"/>
    <n v="63341.99999999999"/>
    <n v="0"/>
    <n v="0"/>
    <n v="42"/>
    <n v="161826"/>
    <n v="142714.2857142857"/>
    <n v="17"/>
    <n v="25"/>
    <n v="17"/>
    <n v="0"/>
    <n v="0"/>
    <n v="0"/>
    <n v="93149.99999999999"/>
    <n v="63341.99999999999"/>
    <n v="0"/>
    <n v="0"/>
    <n v="25"/>
    <n v="93149.99999999999"/>
    <n v="142714.2857142857"/>
    <n v="0"/>
    <n v="8"/>
    <n v="0"/>
    <n v="0"/>
    <n v="0"/>
    <n v="0"/>
    <m/>
    <n v="29808"/>
    <n v="0"/>
    <n v="0"/>
    <n v="0"/>
    <n v="8"/>
    <n v="29808"/>
    <n v="0"/>
    <n v="0"/>
    <n v="8"/>
    <n v="0"/>
    <n v="0"/>
    <n v="0"/>
    <n v="29808"/>
    <n v="0"/>
    <n v="0"/>
    <n v="0"/>
    <n v="8"/>
    <n v="29808"/>
    <n v="0"/>
    <n v="0"/>
    <n v="8"/>
    <n v="0"/>
    <n v="0"/>
    <n v="0"/>
    <n v="29808"/>
    <n v="0"/>
    <n v="0"/>
    <n v="8"/>
    <n v="29808"/>
    <n v="0"/>
    <n v="0"/>
    <n v="8"/>
    <n v="0"/>
    <n v="0"/>
    <m/>
    <n v="29808"/>
    <n v="0"/>
    <n v="0"/>
    <n v="8"/>
    <n v="29808"/>
    <n v="0"/>
  </r>
  <r>
    <s v="Lhotse-Vestuario"/>
    <x v="4"/>
    <x v="21"/>
    <x v="53"/>
    <s v="LTS26-MTS01"/>
    <x v="501"/>
    <x v="379"/>
    <x v="0"/>
    <x v="0"/>
    <n v="1"/>
    <x v="247"/>
    <n v="36"/>
    <m/>
    <n v="0"/>
    <n v="3853"/>
    <n v="138708"/>
    <n v="3.6"/>
    <n v="3933"/>
    <n v="8394.957983193277"/>
    <n v="6714.28571428571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5410363311494938"/>
    <n v="14"/>
    <n v="0.1734681918090154"/>
    <n v="1"/>
    <n v="0"/>
    <n v="0"/>
    <s v=""/>
    <n v="0"/>
    <s v=""/>
    <n v="0"/>
    <n v="0"/>
    <s v=""/>
    <n v="0"/>
    <n v="1"/>
    <n v="0.1999598673878904"/>
    <n v="0.1666666666666667"/>
    <n v="3"/>
    <n v="0.2346227045075125"/>
    <n v="0.2142857142857143"/>
    <n v="2"/>
    <n v="0.2346227045075125"/>
    <n v="0.1428571428571428"/>
    <m/>
    <m/>
    <m/>
    <m/>
    <m/>
    <m/>
    <m/>
    <m/>
    <m/>
    <m/>
    <m/>
    <m/>
    <n v="5"/>
    <n v="58"/>
    <n v="5"/>
    <n v="0"/>
    <n v="0"/>
    <n v="0"/>
    <n v="25044.5"/>
    <n v="216108"/>
    <n v="19265"/>
    <n v="0"/>
    <n v="36"/>
    <n v="138708"/>
    <n v="35272.93270249276"/>
    <n v="4"/>
    <n v="44"/>
    <n v="1.5"/>
    <n v="0"/>
    <n v="0"/>
    <n v="0"/>
    <n v="5779.5"/>
    <n v="163944"/>
    <n v="5779.5"/>
    <n v="0"/>
    <n v="36"/>
    <n v="138708"/>
    <n v="10581.87981074783"/>
    <n v="3.402"/>
    <n v="43"/>
    <n v="0"/>
    <n v="0"/>
    <n v="0"/>
    <n v="7451.999999999999"/>
    <n v="165679"/>
    <n v="0"/>
    <n v="0"/>
    <n v="36"/>
    <n v="138708"/>
    <n v="0"/>
    <n v="2.9"/>
    <n v="43"/>
    <n v="0"/>
    <n v="0"/>
    <n v="0"/>
    <n v="160218"/>
    <n v="0"/>
    <n v="0"/>
    <n v="0"/>
    <n v="36"/>
    <n v="138708"/>
    <n v="0"/>
    <n v="2"/>
    <n v="36"/>
    <n v="2"/>
    <m/>
    <n v="0"/>
    <n v="0"/>
    <n v="138708"/>
    <n v="7451.999999999999"/>
    <n v="0"/>
    <n v="0"/>
    <n v="36"/>
    <n v="138708"/>
    <n v="16789.91596638655"/>
    <n v="6"/>
    <n v="37"/>
    <n v="1"/>
    <m/>
    <n v="0"/>
    <n v="0"/>
    <n v="142561"/>
    <n v="3726"/>
    <n v="0"/>
    <n v="0"/>
    <n v="37"/>
    <n v="138708"/>
    <n v="8394.957983193277"/>
    <n v="14"/>
    <n v="39"/>
    <n v="3"/>
    <n v="0"/>
    <n v="0"/>
    <n v="0"/>
    <n v="150267"/>
    <n v="11178"/>
    <n v="0"/>
    <n v="0"/>
    <n v="39"/>
    <n v="138708"/>
    <n v="25184.87394957983"/>
    <n v="14"/>
    <n v="36"/>
    <n v="14"/>
    <n v="0"/>
    <n v="0"/>
    <n v="0"/>
    <n v="138708"/>
    <n v="52163.99999999999"/>
    <n v="0"/>
    <n v="0"/>
    <n v="36"/>
    <n v="138708"/>
    <n v="117529.4117647059"/>
    <n v="14"/>
    <n v="22"/>
    <n v="14"/>
    <n v="0"/>
    <n v="0"/>
    <n v="0"/>
    <n v="81971.99999999999"/>
    <n v="52163.99999999999"/>
    <n v="0"/>
    <n v="0"/>
    <n v="22"/>
    <n v="81971.99999999999"/>
    <n v="117529.4117647059"/>
    <n v="0"/>
    <n v="8"/>
    <n v="0"/>
    <n v="0"/>
    <n v="0"/>
    <n v="0"/>
    <m/>
    <n v="29808"/>
    <n v="0"/>
    <n v="0"/>
    <n v="0"/>
    <n v="8"/>
    <n v="29808"/>
    <n v="0"/>
    <n v="0"/>
    <n v="8"/>
    <n v="0"/>
    <n v="0"/>
    <n v="0"/>
    <n v="29808"/>
    <n v="0"/>
    <n v="0"/>
    <n v="0"/>
    <n v="8"/>
    <n v="29808"/>
    <n v="0"/>
    <n v="0"/>
    <n v="8"/>
    <n v="0"/>
    <n v="0"/>
    <n v="0"/>
    <n v="29808"/>
    <n v="0"/>
    <n v="0"/>
    <n v="8"/>
    <n v="29808"/>
    <n v="0"/>
    <n v="0"/>
    <n v="8"/>
    <n v="0"/>
    <n v="0"/>
    <m/>
    <n v="29808"/>
    <n v="0"/>
    <n v="0"/>
    <n v="8"/>
    <n v="29808"/>
    <n v="0"/>
  </r>
  <r>
    <s v="Lhotse-Vestuario"/>
    <x v="4"/>
    <x v="21"/>
    <x v="53"/>
    <s v="LTS26-MTS01"/>
    <x v="502"/>
    <x v="379"/>
    <x v="0"/>
    <x v="0"/>
    <n v="1"/>
    <x v="248"/>
    <n v="21"/>
    <m/>
    <n v="0"/>
    <n v="3853"/>
    <n v="80913"/>
    <n v="3.6"/>
    <n v="3933"/>
    <n v="10915.96638655462"/>
    <n v="6714.28571428571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5410363311494938"/>
    <n v="4"/>
    <n v="0.158358558623598"/>
    <n v="0"/>
    <s v=""/>
    <n v="1"/>
    <n v="0.4259718523269882"/>
    <n v="1"/>
    <n v="0.344281827255259"/>
    <n v="0.3333333333333333"/>
    <n v="0"/>
    <s v=""/>
    <n v="0"/>
    <n v="0"/>
    <s v=""/>
    <n v="0"/>
    <n v="0"/>
    <s v=""/>
    <n v="0"/>
    <n v="2"/>
    <n v="0.2346227045075125"/>
    <n v="0.25"/>
    <m/>
    <m/>
    <m/>
    <m/>
    <m/>
    <m/>
    <m/>
    <m/>
    <m/>
    <m/>
    <m/>
    <m/>
    <n v="4"/>
    <n v="32"/>
    <n v="4"/>
    <n v="0"/>
    <n v="0"/>
    <n v="0"/>
    <n v="19265"/>
    <n v="119232"/>
    <n v="15412"/>
    <n v="0"/>
    <n v="21"/>
    <n v="80913"/>
    <n v="36692.3239884189"/>
    <n v="2"/>
    <n v="26"/>
    <n v="0"/>
    <n v="0"/>
    <n v="0"/>
    <n v="0"/>
    <n v="7706"/>
    <n v="96875.99999999999"/>
    <n v="0"/>
    <n v="0"/>
    <n v="21"/>
    <n v="80913"/>
    <n v="0"/>
    <n v="2"/>
    <n v="26"/>
    <n v="1"/>
    <n v="0"/>
    <n v="0"/>
    <n v="15158"/>
    <n v="100178"/>
    <n v="3853"/>
    <n v="0"/>
    <n v="21"/>
    <n v="80913"/>
    <n v="10915.96638655462"/>
    <n v="3"/>
    <n v="24"/>
    <n v="1"/>
    <n v="0"/>
    <n v="0"/>
    <n v="89423.99999999999"/>
    <n v="3853"/>
    <n v="0"/>
    <n v="0"/>
    <n v="21"/>
    <n v="80913"/>
    <n v="10915.96638655462"/>
    <n v="2"/>
    <n v="21"/>
    <n v="2"/>
    <m/>
    <n v="0"/>
    <n v="0"/>
    <n v="80913"/>
    <n v="7451.999999999999"/>
    <n v="0"/>
    <n v="0"/>
    <n v="21"/>
    <n v="80913"/>
    <n v="21831.93277310925"/>
    <n v="6"/>
    <n v="21"/>
    <n v="0"/>
    <m/>
    <n v="0"/>
    <n v="0"/>
    <n v="80913"/>
    <n v="0"/>
    <n v="0"/>
    <n v="0"/>
    <n v="21"/>
    <n v="80913"/>
    <n v="0"/>
    <n v="8"/>
    <n v="21"/>
    <n v="0"/>
    <n v="0"/>
    <n v="0"/>
    <n v="0"/>
    <n v="80913"/>
    <n v="0"/>
    <n v="0"/>
    <n v="0"/>
    <n v="21"/>
    <n v="80913"/>
    <n v="0"/>
    <n v="8"/>
    <n v="21"/>
    <n v="8"/>
    <n v="0"/>
    <n v="0"/>
    <n v="0"/>
    <n v="80913"/>
    <n v="29808"/>
    <n v="0"/>
    <n v="0"/>
    <n v="21"/>
    <n v="80913"/>
    <n v="87327.73109243698"/>
    <n v="8"/>
    <n v="13"/>
    <n v="8"/>
    <n v="0"/>
    <n v="0"/>
    <n v="0"/>
    <n v="48437.99999999999"/>
    <n v="29808"/>
    <n v="0"/>
    <n v="0"/>
    <n v="13"/>
    <n v="48437.99999999999"/>
    <n v="87327.73109243698"/>
    <n v="0"/>
    <n v="5"/>
    <n v="0"/>
    <n v="0"/>
    <n v="0"/>
    <n v="0"/>
    <m/>
    <n v="18630"/>
    <n v="0"/>
    <n v="0"/>
    <n v="0"/>
    <n v="5"/>
    <n v="18630"/>
    <n v="0"/>
    <n v="0"/>
    <n v="5"/>
    <n v="0"/>
    <n v="0"/>
    <n v="0"/>
    <n v="18630"/>
    <n v="0"/>
    <n v="0"/>
    <n v="0"/>
    <n v="5"/>
    <n v="18630"/>
    <n v="0"/>
    <n v="0"/>
    <n v="5"/>
    <n v="0"/>
    <n v="0"/>
    <n v="0"/>
    <n v="18630"/>
    <n v="0"/>
    <n v="0"/>
    <n v="5"/>
    <n v="18630"/>
    <n v="0"/>
    <n v="0"/>
    <n v="5"/>
    <n v="0"/>
    <n v="0"/>
    <m/>
    <n v="18630"/>
    <n v="0"/>
    <n v="0"/>
    <n v="5"/>
    <n v="18630"/>
    <n v="0"/>
  </r>
  <r>
    <s v="Lhotse-Vestuario"/>
    <x v="4"/>
    <x v="21"/>
    <x v="53"/>
    <s v="LTS26-MTS01"/>
    <x v="503"/>
    <x v="379"/>
    <x v="0"/>
    <x v="0"/>
    <n v="1"/>
    <x v="249"/>
    <n v="24"/>
    <m/>
    <n v="0"/>
    <n v="3853"/>
    <n v="92472"/>
    <n v="3.6"/>
    <n v="3933"/>
    <n v="8394.957983193277"/>
    <n v="6714.28571428571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154452180285819"/>
    <n v="1"/>
    <n v="0.5410363311494938"/>
    <n v="4"/>
    <n v="0.2188467109328567"/>
    <n v="1"/>
    <n v="0.5410363417271346"/>
    <n v="0"/>
    <s v=""/>
    <n v="1"/>
    <n v="0.3069033693535492"/>
    <n v="0.3333333333333333"/>
    <n v="0"/>
    <s v=""/>
    <n v="0"/>
    <n v="0"/>
    <s v=""/>
    <n v="0"/>
    <n v="0"/>
    <s v=""/>
    <n v="0"/>
    <n v="1"/>
    <n v="0.2346227045075125"/>
    <n v="0.125"/>
    <m/>
    <m/>
    <m/>
    <m/>
    <m/>
    <m/>
    <m/>
    <m/>
    <m/>
    <m/>
    <m/>
    <m/>
    <n v="4"/>
    <n v="33"/>
    <n v="4"/>
    <n v="0"/>
    <n v="0"/>
    <n v="0"/>
    <n v="21191.5"/>
    <n v="122958"/>
    <n v="15412"/>
    <n v="0"/>
    <n v="24"/>
    <n v="92472"/>
    <n v="28218.34616199421"/>
    <n v="2"/>
    <n v="29"/>
    <n v="1.5"/>
    <n v="0"/>
    <n v="0"/>
    <n v="0"/>
    <n v="9632.5"/>
    <n v="108054"/>
    <n v="5779.5"/>
    <n v="0"/>
    <n v="24"/>
    <n v="92472"/>
    <n v="10581.87981074783"/>
    <n v="2"/>
    <n v="28"/>
    <n v="0"/>
    <n v="0"/>
    <n v="0"/>
    <n v="11305"/>
    <n v="107884"/>
    <n v="0"/>
    <n v="0"/>
    <n v="24"/>
    <n v="92472"/>
    <n v="0"/>
    <n v="3"/>
    <n v="28"/>
    <n v="1"/>
    <n v="0"/>
    <n v="0"/>
    <n v="104328"/>
    <n v="3853"/>
    <n v="0"/>
    <n v="0"/>
    <n v="24"/>
    <n v="92472"/>
    <n v="8394.957983193277"/>
    <n v="2"/>
    <n v="24"/>
    <n v="2"/>
    <m/>
    <n v="0"/>
    <n v="0"/>
    <n v="92472"/>
    <n v="7451.999999999999"/>
    <n v="0"/>
    <n v="0"/>
    <n v="24"/>
    <n v="92472"/>
    <n v="16789.91596638655"/>
    <n v="6"/>
    <n v="24"/>
    <n v="0"/>
    <m/>
    <n v="0"/>
    <n v="0"/>
    <n v="92472"/>
    <n v="0"/>
    <n v="0"/>
    <n v="0"/>
    <n v="24"/>
    <n v="92472"/>
    <n v="0"/>
    <n v="8"/>
    <n v="24"/>
    <n v="0"/>
    <n v="0"/>
    <n v="0"/>
    <n v="0"/>
    <n v="92472"/>
    <n v="0"/>
    <n v="0"/>
    <n v="0"/>
    <n v="24"/>
    <n v="92472"/>
    <n v="0"/>
    <n v="8"/>
    <n v="24"/>
    <n v="8"/>
    <n v="0"/>
    <n v="0"/>
    <n v="0"/>
    <n v="92472"/>
    <n v="29808"/>
    <n v="0"/>
    <n v="0"/>
    <n v="24"/>
    <n v="92472"/>
    <n v="67159.66386554622"/>
    <n v="8"/>
    <n v="16"/>
    <n v="8"/>
    <n v="0"/>
    <n v="0"/>
    <n v="0"/>
    <n v="59615.99999999999"/>
    <n v="29808"/>
    <n v="0"/>
    <n v="0"/>
    <n v="16"/>
    <n v="59615.99999999999"/>
    <n v="67159.66386554622"/>
    <n v="0"/>
    <n v="8"/>
    <n v="0"/>
    <n v="0"/>
    <n v="0"/>
    <n v="0"/>
    <m/>
    <n v="29808"/>
    <n v="0"/>
    <n v="0"/>
    <n v="0"/>
    <n v="8"/>
    <n v="29808"/>
    <n v="0"/>
    <n v="0"/>
    <n v="8"/>
    <n v="0"/>
    <n v="0"/>
    <n v="0"/>
    <n v="29808"/>
    <n v="0"/>
    <n v="0"/>
    <n v="0"/>
    <n v="8"/>
    <n v="29808"/>
    <n v="0"/>
    <n v="0"/>
    <n v="8"/>
    <n v="0"/>
    <n v="0"/>
    <n v="0"/>
    <n v="29808"/>
    <n v="0"/>
    <n v="0"/>
    <n v="8"/>
    <n v="29808"/>
    <n v="0"/>
    <n v="0"/>
    <n v="8"/>
    <n v="0"/>
    <n v="0"/>
    <m/>
    <n v="29808"/>
    <n v="0"/>
    <n v="0"/>
    <n v="8"/>
    <n v="29808"/>
    <n v="0"/>
  </r>
  <r>
    <s v="Lhotse-Vestuario"/>
    <x v="4"/>
    <x v="21"/>
    <x v="53"/>
    <s v="LTS26-MTS01"/>
    <x v="504"/>
    <x v="379"/>
    <x v="0"/>
    <x v="0"/>
    <n v="1"/>
    <x v="250"/>
    <n v="21"/>
    <m/>
    <n v="0"/>
    <n v="3853"/>
    <n v="80913"/>
    <n v="3.6"/>
    <n v="3933"/>
    <n v="8394.957983193277"/>
    <n v="6714.28571428571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2384945850058785"/>
    <n v="1"/>
    <n v="0.5410363417271346"/>
    <n v="0"/>
    <s v=""/>
    <n v="0"/>
    <s v=""/>
    <n v="0"/>
    <n v="0"/>
    <s v=""/>
    <n v="0"/>
    <n v="1"/>
    <n v="0.1922765957446808"/>
    <n v="0.2380952380952381"/>
    <n v="1"/>
    <n v="0.2346227045075125"/>
    <n v="0.125"/>
    <n v="2"/>
    <n v="0.2346227045075125"/>
    <n v="0.25"/>
    <m/>
    <m/>
    <m/>
    <m/>
    <m/>
    <m/>
    <m/>
    <m/>
    <m/>
    <m/>
    <m/>
    <m/>
    <n v="4"/>
    <n v="33"/>
    <n v="4"/>
    <n v="0"/>
    <n v="0"/>
    <n v="0"/>
    <n v="21191.5"/>
    <n v="122958"/>
    <n v="15412"/>
    <n v="0"/>
    <n v="21"/>
    <n v="80913"/>
    <n v="28218.34616199421"/>
    <n v="2"/>
    <n v="27"/>
    <n v="1.5"/>
    <n v="0"/>
    <n v="0"/>
    <n v="0"/>
    <n v="5779.5"/>
    <n v="100602"/>
    <n v="5779.5"/>
    <n v="0"/>
    <n v="21"/>
    <n v="80913"/>
    <n v="10581.87981074783"/>
    <n v="1.62"/>
    <n v="26"/>
    <n v="0"/>
    <n v="0"/>
    <n v="0"/>
    <n v="5216.399999999999"/>
    <n v="100178"/>
    <n v="0"/>
    <n v="0"/>
    <n v="21"/>
    <n v="80913"/>
    <n v="0"/>
    <n v="1.4"/>
    <n v="26"/>
    <n v="0"/>
    <n v="0"/>
    <n v="0"/>
    <n v="96875.99999999999"/>
    <n v="0"/>
    <n v="0"/>
    <n v="0"/>
    <n v="21"/>
    <n v="80913"/>
    <n v="0"/>
    <n v="1.4"/>
    <n v="21"/>
    <n v="1.4"/>
    <m/>
    <n v="0"/>
    <n v="0"/>
    <n v="80913"/>
    <n v="5216.399999999999"/>
    <n v="0"/>
    <n v="0"/>
    <n v="21"/>
    <n v="80913"/>
    <n v="11752.94117647059"/>
    <n v="4.2"/>
    <n v="22"/>
    <n v="1"/>
    <m/>
    <n v="0"/>
    <n v="0"/>
    <n v="84766"/>
    <n v="3726"/>
    <n v="0"/>
    <n v="0"/>
    <n v="22"/>
    <n v="80913"/>
    <n v="8394.957983193277"/>
    <n v="8"/>
    <n v="22"/>
    <n v="1"/>
    <n v="0"/>
    <n v="0"/>
    <n v="0"/>
    <n v="84766"/>
    <n v="3726"/>
    <n v="0"/>
    <n v="0"/>
    <n v="22"/>
    <n v="80913"/>
    <n v="8394.957983193277"/>
    <n v="8"/>
    <n v="21"/>
    <n v="8"/>
    <n v="0"/>
    <n v="0"/>
    <n v="0"/>
    <n v="80913"/>
    <n v="29808"/>
    <n v="0"/>
    <n v="0"/>
    <n v="21"/>
    <n v="80913"/>
    <n v="67159.66386554622"/>
    <n v="8"/>
    <n v="13"/>
    <n v="8"/>
    <n v="0"/>
    <n v="0"/>
    <n v="0"/>
    <n v="48437.99999999999"/>
    <n v="29808"/>
    <n v="0"/>
    <n v="0"/>
    <n v="13"/>
    <n v="48437.99999999999"/>
    <n v="67159.66386554622"/>
    <n v="0"/>
    <n v="5"/>
    <n v="0"/>
    <n v="0"/>
    <n v="0"/>
    <n v="0"/>
    <m/>
    <n v="18630"/>
    <n v="0"/>
    <n v="0"/>
    <n v="0"/>
    <n v="5"/>
    <n v="18630"/>
    <n v="0"/>
    <n v="0"/>
    <n v="5"/>
    <n v="0"/>
    <n v="0"/>
    <n v="0"/>
    <n v="18630"/>
    <n v="0"/>
    <n v="0"/>
    <n v="0"/>
    <n v="5"/>
    <n v="18630"/>
    <n v="0"/>
    <n v="0"/>
    <n v="5"/>
    <n v="0"/>
    <n v="0"/>
    <n v="0"/>
    <n v="18630"/>
    <n v="0"/>
    <n v="0"/>
    <n v="5"/>
    <n v="18630"/>
    <n v="0"/>
    <n v="0"/>
    <n v="5"/>
    <n v="0"/>
    <n v="0"/>
    <m/>
    <n v="18630"/>
    <n v="0"/>
    <n v="0"/>
    <n v="5"/>
    <n v="18630"/>
    <n v="0"/>
  </r>
  <r>
    <s v="Lhotse-Vestuario"/>
    <x v="4"/>
    <x v="21"/>
    <x v="53"/>
    <s v="LTS26-MTS01"/>
    <x v="505"/>
    <x v="379"/>
    <x v="0"/>
    <x v="0"/>
    <n v="1"/>
    <x v="251"/>
    <n v="0"/>
    <m/>
    <n v="0"/>
    <n v="3853"/>
    <n v="0"/>
    <n v="3.6"/>
    <n v="3933"/>
    <n v="10915.96638655462"/>
    <n v="6714.28571428571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4"/>
    <n v="0.5168652037617555"/>
    <n v="21"/>
    <n v="0.1838805439693903"/>
    <n v="0"/>
    <s v=""/>
    <n v="0"/>
    <s v=""/>
    <n v="0"/>
    <s v=""/>
    <n v="0"/>
    <n v="0"/>
    <s v=""/>
    <n v="0"/>
    <n v="3"/>
    <n v="0.2657208926406538"/>
    <n v="0.375"/>
    <n v="0"/>
    <s v=""/>
    <n v="0"/>
    <n v="0"/>
    <s v=""/>
    <n v="0"/>
    <m/>
    <m/>
    <m/>
    <m/>
    <m/>
    <m/>
    <m/>
    <m/>
    <m/>
    <m/>
    <m/>
    <m/>
    <n v="4"/>
    <n v="29"/>
    <n v="4"/>
    <n v="0"/>
    <n v="0"/>
    <n v="0"/>
    <n v="15412"/>
    <n v="108054"/>
    <n v="15412"/>
    <n v="0"/>
    <n v="0"/>
    <n v="0"/>
    <n v="36692.3239884189"/>
    <n v="2"/>
    <n v="6"/>
    <n v="0"/>
    <n v="0"/>
    <n v="0"/>
    <n v="0"/>
    <n v="0"/>
    <n v="22356"/>
    <n v="0"/>
    <n v="0"/>
    <n v="0"/>
    <n v="0"/>
    <n v="0"/>
    <n v="2"/>
    <n v="3"/>
    <n v="0"/>
    <n v="0"/>
    <n v="0"/>
    <n v="11178"/>
    <n v="11559"/>
    <n v="0"/>
    <n v="0"/>
    <n v="0"/>
    <n v="0"/>
    <n v="0"/>
    <n v="4"/>
    <n v="0"/>
    <n v="0"/>
    <n v="0"/>
    <n v="0"/>
    <n v="0"/>
    <n v="0"/>
    <n v="0"/>
    <n v="0"/>
    <n v="0"/>
    <n v="0"/>
    <n v="0"/>
    <n v="3"/>
    <n v="0"/>
    <n v="3"/>
    <m/>
    <n v="0"/>
    <n v="0"/>
    <n v="0"/>
    <n v="11178"/>
    <n v="0"/>
    <n v="0"/>
    <n v="0"/>
    <n v="0"/>
    <n v="32747.89915966387"/>
    <n v="8"/>
    <n v="3"/>
    <n v="3"/>
    <m/>
    <n v="0"/>
    <n v="0"/>
    <n v="11559"/>
    <n v="11178"/>
    <n v="0"/>
    <n v="0"/>
    <n v="3"/>
    <n v="0"/>
    <n v="32747.89915966387"/>
    <n v="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3726"/>
    <n v="0"/>
    <n v="0"/>
    <n v="0"/>
    <n v="0"/>
    <n v="10915.96638655462"/>
    <n v="1"/>
    <n v="0"/>
    <n v="1"/>
    <n v="0"/>
    <n v="0"/>
    <n v="0"/>
    <n v="0"/>
    <n v="3726"/>
    <n v="0"/>
    <n v="0"/>
    <n v="0"/>
    <n v="0"/>
    <n v="10915.9663865546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3"/>
    <s v="LTS26-MTS01"/>
    <x v="506"/>
    <x v="379"/>
    <x v="0"/>
    <x v="0"/>
    <n v="1"/>
    <x v="252"/>
    <n v="0"/>
    <m/>
    <n v="0"/>
    <n v="3853"/>
    <n v="0"/>
    <n v="3.6"/>
    <n v="3933"/>
    <n v="8394.957983193277"/>
    <n v="6714.28571428571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900066181336863"/>
    <n v="22"/>
    <n v="0.1827426520063383"/>
    <n v="2"/>
    <n v="0.3708360643078716"/>
    <n v="0"/>
    <s v=""/>
    <n v="0"/>
    <s v=""/>
    <n v="0"/>
    <n v="0"/>
    <s v=""/>
    <n v="0"/>
    <n v="2"/>
    <n v="0.2635425531914893"/>
    <n v="0.25"/>
    <n v="-1"/>
    <n v="0.4261063829787234"/>
    <n v="-1"/>
    <n v="0"/>
    <s v=""/>
    <n v="0"/>
    <m/>
    <m/>
    <m/>
    <m/>
    <m/>
    <m/>
    <m/>
    <m/>
    <m/>
    <m/>
    <m/>
    <m/>
    <n v="4"/>
    <n v="29"/>
    <n v="4"/>
    <n v="0"/>
    <n v="0"/>
    <n v="0"/>
    <n v="26971"/>
    <n v="108054"/>
    <n v="15412"/>
    <n v="0"/>
    <n v="0"/>
    <n v="0"/>
    <n v="28218.34616199421"/>
    <n v="2"/>
    <n v="4"/>
    <n v="3"/>
    <n v="0"/>
    <n v="0"/>
    <n v="0"/>
    <n v="11559"/>
    <n v="14904"/>
    <n v="11559"/>
    <n v="0"/>
    <n v="0"/>
    <n v="0"/>
    <n v="21163.75962149566"/>
    <n v="2"/>
    <n v="2"/>
    <n v="0"/>
    <n v="0"/>
    <n v="0"/>
    <n v="11178"/>
    <n v="7706"/>
    <n v="0"/>
    <n v="0"/>
    <n v="0"/>
    <n v="0"/>
    <n v="0"/>
    <n v="4"/>
    <n v="0"/>
    <n v="0"/>
    <n v="0"/>
    <n v="0"/>
    <n v="0"/>
    <n v="0"/>
    <n v="0"/>
    <n v="0"/>
    <n v="0"/>
    <n v="0"/>
    <n v="0"/>
    <n v="3"/>
    <n v="0"/>
    <n v="3"/>
    <m/>
    <n v="0"/>
    <n v="0"/>
    <n v="0"/>
    <n v="11178"/>
    <n v="0"/>
    <n v="0"/>
    <n v="0"/>
    <n v="0"/>
    <n v="25184.87394957983"/>
    <n v="8"/>
    <n v="2"/>
    <n v="2"/>
    <m/>
    <n v="0"/>
    <n v="0"/>
    <n v="7706"/>
    <n v="7451.999999999999"/>
    <n v="0"/>
    <n v="0"/>
    <n v="2"/>
    <n v="0"/>
    <n v="16789.91596638655"/>
    <n v="1"/>
    <n v="-1"/>
    <n v="-1"/>
    <n v="0"/>
    <n v="0"/>
    <n v="0"/>
    <n v="-3853"/>
    <n v="-3726"/>
    <n v="0"/>
    <n v="0"/>
    <n v="-1"/>
    <n v="0"/>
    <n v="-8394.957983193277"/>
    <n v="1"/>
    <n v="0"/>
    <n v="1"/>
    <n v="0"/>
    <n v="0"/>
    <n v="0"/>
    <n v="0"/>
    <n v="3726"/>
    <n v="0"/>
    <n v="0"/>
    <n v="0"/>
    <n v="0"/>
    <n v="8394.957983193277"/>
    <n v="1"/>
    <n v="0"/>
    <n v="1"/>
    <n v="0"/>
    <n v="0"/>
    <n v="0"/>
    <n v="0"/>
    <n v="3726"/>
    <n v="0"/>
    <n v="0"/>
    <n v="0"/>
    <n v="0"/>
    <n v="8394.95798319327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3"/>
    <s v="LTS26-MTS01"/>
    <x v="507"/>
    <x v="379"/>
    <x v="0"/>
    <x v="0"/>
    <n v="1"/>
    <x v="253"/>
    <n v="0"/>
    <m/>
    <n v="0"/>
    <n v="3853"/>
    <n v="0"/>
    <n v="3.6"/>
    <n v="3933"/>
    <n v="8394.957983193277"/>
    <n v="6714.285714285715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5"/>
    <n v="0.2528038293490663"/>
    <n v="14"/>
    <n v="0.2039036534449723"/>
    <n v="0"/>
    <s v=""/>
    <n v="0"/>
    <s v=""/>
    <n v="2"/>
    <n v="0.4145634980450763"/>
    <n v="0.5"/>
    <n v="2"/>
    <n v="0.541039039039039"/>
    <n v="0.6666666666666666"/>
    <n v="6"/>
    <n v="0.2764078924480008"/>
    <n v="0.75"/>
    <n v="0"/>
    <s v=""/>
    <n v="0"/>
    <n v="0"/>
    <s v=""/>
    <n v="0"/>
    <m/>
    <m/>
    <m/>
    <m/>
    <m/>
    <m/>
    <m/>
    <m/>
    <m/>
    <m/>
    <m/>
    <m/>
    <n v="4"/>
    <n v="26"/>
    <n v="4"/>
    <n v="0"/>
    <n v="0"/>
    <n v="0"/>
    <n v="15412"/>
    <n v="96875.99999999999"/>
    <n v="15412"/>
    <n v="0"/>
    <n v="0"/>
    <n v="0"/>
    <n v="28218.34616199421"/>
    <n v="2"/>
    <n v="12"/>
    <n v="0"/>
    <n v="0"/>
    <n v="0"/>
    <n v="0"/>
    <n v="7706"/>
    <n v="44711.99999999999"/>
    <n v="0"/>
    <n v="0"/>
    <n v="0"/>
    <n v="0"/>
    <n v="0"/>
    <n v="2"/>
    <n v="12"/>
    <n v="0"/>
    <n v="0"/>
    <n v="0"/>
    <n v="18884"/>
    <n v="46236"/>
    <n v="0"/>
    <n v="0"/>
    <n v="0"/>
    <n v="0"/>
    <n v="0"/>
    <n v="4"/>
    <n v="12"/>
    <n v="2"/>
    <n v="0"/>
    <n v="0"/>
    <n v="44711.99999999999"/>
    <n v="7706"/>
    <n v="0"/>
    <n v="0"/>
    <n v="0"/>
    <n v="0"/>
    <n v="16789.91596638655"/>
    <n v="3"/>
    <n v="2"/>
    <n v="3"/>
    <m/>
    <n v="0"/>
    <n v="0"/>
    <n v="7706"/>
    <n v="11178"/>
    <n v="0"/>
    <n v="0"/>
    <n v="0"/>
    <n v="0"/>
    <n v="25184.87394957983"/>
    <n v="8"/>
    <n v="6"/>
    <n v="6"/>
    <m/>
    <n v="0"/>
    <n v="0"/>
    <n v="23118"/>
    <n v="22356"/>
    <n v="0"/>
    <n v="0"/>
    <n v="6"/>
    <n v="0"/>
    <n v="50369.74789915966"/>
    <n v="2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7451.999999999999"/>
    <n v="0"/>
    <n v="0"/>
    <n v="0"/>
    <n v="0"/>
    <n v="16789.91596638655"/>
    <n v="2"/>
    <n v="0"/>
    <n v="2"/>
    <n v="0"/>
    <n v="0"/>
    <n v="0"/>
    <n v="0"/>
    <n v="7451.999999999999"/>
    <n v="0"/>
    <n v="0"/>
    <n v="0"/>
    <n v="0"/>
    <n v="16789.9159663865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3"/>
    <s v="LTS26-MTS02BD"/>
    <x v="508"/>
    <x v="380"/>
    <x v="0"/>
    <x v="0"/>
    <n v="1"/>
    <x v="254"/>
    <n v="2"/>
    <m/>
    <n v="0"/>
    <n v="6238"/>
    <n v="12476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8"/>
    <n v="0.2614781415408743"/>
    <n v="39"/>
    <n v="0.4440758152935239"/>
    <n v="4"/>
    <n v="0.4921022690647012"/>
    <n v="2"/>
    <n v="0.4064399796093862"/>
    <n v="1"/>
    <n v="0.5048027413323605"/>
    <n v="1"/>
    <n v="0.5048027413323605"/>
    <n v="0.3333333333333333"/>
    <n v="0"/>
    <s v=""/>
    <n v="0"/>
    <n v="2"/>
    <n v="0.1402032032032032"/>
    <n v="0.2"/>
    <n v="0"/>
    <s v=""/>
    <n v="0"/>
    <n v="1"/>
    <n v="0.25693993993994"/>
    <n v="0.5"/>
    <m/>
    <m/>
    <m/>
    <m/>
    <m/>
    <m/>
    <m/>
    <m/>
    <m/>
    <m/>
    <m/>
    <m/>
    <n v="8"/>
    <n v="6"/>
    <n v="5"/>
    <n v="0"/>
    <n v="0"/>
    <n v="0"/>
    <n v="56142"/>
    <n v="29808"/>
    <n v="31190"/>
    <n v="0"/>
    <n v="2"/>
    <n v="12476"/>
    <n v="52927.05317421087"/>
    <n v="5"/>
    <n v="9"/>
    <n v="3"/>
    <n v="0"/>
    <n v="0"/>
    <n v="0"/>
    <n v="31190"/>
    <n v="44712"/>
    <n v="18714"/>
    <n v="0"/>
    <n v="2"/>
    <n v="12476"/>
    <n v="31756.23190452652"/>
    <n v="5"/>
    <n v="7"/>
    <n v="1"/>
    <n v="0"/>
    <n v="0"/>
    <n v="27380"/>
    <n v="43666"/>
    <n v="6238"/>
    <n v="0"/>
    <n v="2"/>
    <n v="12476"/>
    <n v="12596.63865546219"/>
    <n v="3"/>
    <n v="4"/>
    <n v="1"/>
    <n v="0"/>
    <n v="0"/>
    <n v="19872"/>
    <n v="6238"/>
    <n v="0"/>
    <n v="0"/>
    <n v="2"/>
    <n v="12476"/>
    <n v="12596.63865546219"/>
    <n v="3"/>
    <n v="2"/>
    <n v="3"/>
    <m/>
    <n v="0"/>
    <n v="0"/>
    <n v="12476"/>
    <n v="14904"/>
    <n v="0"/>
    <n v="0"/>
    <n v="2"/>
    <n v="12476"/>
    <n v="37789.91596638656"/>
    <n v="10"/>
    <n v="4"/>
    <n v="2"/>
    <m/>
    <n v="0"/>
    <n v="0"/>
    <n v="24952"/>
    <n v="9936"/>
    <n v="0"/>
    <n v="0"/>
    <n v="4"/>
    <n v="12476"/>
    <n v="25193.27731092437"/>
    <n v="2"/>
    <n v="2"/>
    <n v="0"/>
    <n v="0"/>
    <n v="0"/>
    <n v="0"/>
    <n v="12476"/>
    <n v="0"/>
    <n v="0"/>
    <n v="0"/>
    <n v="2"/>
    <n v="12476"/>
    <n v="0"/>
    <n v="2"/>
    <n v="2"/>
    <n v="2"/>
    <n v="0"/>
    <n v="0"/>
    <n v="0"/>
    <n v="12476"/>
    <n v="9936"/>
    <n v="0"/>
    <n v="0"/>
    <n v="2"/>
    <n v="12476"/>
    <n v="25193.27731092437"/>
    <n v="2"/>
    <n v="0"/>
    <n v="2"/>
    <n v="0"/>
    <n v="0"/>
    <n v="0"/>
    <n v="0"/>
    <n v="9936"/>
    <n v="0"/>
    <n v="0"/>
    <n v="0"/>
    <n v="0"/>
    <n v="25193.2773109243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3"/>
    <s v="LTS26-MTS02BD"/>
    <x v="509"/>
    <x v="380"/>
    <x v="0"/>
    <x v="0"/>
    <n v="1"/>
    <x v="255"/>
    <n v="31"/>
    <m/>
    <n v="0"/>
    <n v="5381"/>
    <n v="166811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4"/>
    <n v="0.2415973111395647"/>
    <n v="23"/>
    <n v="0.4723093138962582"/>
    <n v="4"/>
    <n v="0.4245996824275751"/>
    <n v="1"/>
    <n v="0.4111650029804171"/>
    <n v="0"/>
    <s v=""/>
    <n v="2"/>
    <n v="0.4397966016729423"/>
    <n v="0.6666666666666666"/>
    <n v="1"/>
    <n v="0.359025025025025"/>
    <n v="0.3333333333333333"/>
    <n v="3"/>
    <n v="0.2604127204127204"/>
    <n v="0.3"/>
    <n v="0"/>
    <s v=""/>
    <n v="0"/>
    <n v="0"/>
    <s v=""/>
    <n v="0"/>
    <m/>
    <m/>
    <m/>
    <m/>
    <m/>
    <m/>
    <m/>
    <m/>
    <m/>
    <m/>
    <m/>
    <m/>
    <n v="8"/>
    <n v="37"/>
    <n v="2"/>
    <n v="0"/>
    <n v="0"/>
    <n v="0"/>
    <n v="18833.5"/>
    <n v="183816"/>
    <n v="10762"/>
    <n v="0"/>
    <n v="31"/>
    <n v="166811"/>
    <n v="21170.82126968435"/>
    <n v="5"/>
    <n v="38"/>
    <n v="1.5"/>
    <n v="0"/>
    <n v="0"/>
    <n v="0"/>
    <n v="18833.5"/>
    <n v="188784"/>
    <n v="8071.5"/>
    <n v="0"/>
    <n v="31"/>
    <n v="166811"/>
    <n v="15878.11595226326"/>
    <n v="5"/>
    <n v="37"/>
    <n v="0"/>
    <n v="0"/>
    <n v="0"/>
    <n v="25666"/>
    <n v="199097"/>
    <n v="0"/>
    <n v="0"/>
    <n v="31"/>
    <n v="166811"/>
    <n v="0"/>
    <n v="3"/>
    <n v="37"/>
    <n v="2"/>
    <n v="0"/>
    <n v="0"/>
    <n v="183816"/>
    <n v="10762"/>
    <n v="0"/>
    <n v="0"/>
    <n v="31"/>
    <n v="166811"/>
    <n v="25193.27731092437"/>
    <n v="3"/>
    <n v="32"/>
    <n v="3"/>
    <m/>
    <n v="0"/>
    <n v="0"/>
    <n v="172192"/>
    <n v="14904"/>
    <n v="0"/>
    <n v="0"/>
    <n v="31"/>
    <n v="166811"/>
    <n v="37789.91596638656"/>
    <n v="10"/>
    <n v="34"/>
    <n v="3"/>
    <m/>
    <n v="0"/>
    <n v="0"/>
    <n v="182954"/>
    <n v="14904"/>
    <n v="0"/>
    <n v="0"/>
    <n v="34"/>
    <n v="166811"/>
    <n v="37789.91596638656"/>
    <n v="11"/>
    <n v="31"/>
    <n v="0"/>
    <n v="0"/>
    <n v="0"/>
    <n v="0"/>
    <n v="166811"/>
    <n v="0"/>
    <n v="0"/>
    <n v="0"/>
    <n v="31"/>
    <n v="166811"/>
    <n v="0"/>
    <n v="11"/>
    <n v="31"/>
    <n v="11"/>
    <n v="0"/>
    <n v="0"/>
    <n v="0"/>
    <n v="166811"/>
    <n v="54648"/>
    <n v="0"/>
    <n v="0"/>
    <n v="31"/>
    <n v="166811"/>
    <n v="138563.025210084"/>
    <n v="11"/>
    <n v="20"/>
    <n v="11"/>
    <n v="0"/>
    <n v="0"/>
    <n v="0"/>
    <n v="99360"/>
    <n v="54648"/>
    <n v="0"/>
    <n v="0"/>
    <n v="20"/>
    <n v="99360"/>
    <n v="138563.025210084"/>
    <n v="0"/>
    <n v="9"/>
    <n v="0"/>
    <n v="0"/>
    <n v="0"/>
    <n v="0"/>
    <m/>
    <n v="44712"/>
    <n v="0"/>
    <n v="0"/>
    <n v="0"/>
    <n v="9"/>
    <n v="44712"/>
    <n v="0"/>
    <n v="0"/>
    <n v="9"/>
    <n v="0"/>
    <n v="0"/>
    <n v="0"/>
    <n v="44712"/>
    <n v="0"/>
    <n v="0"/>
    <n v="0"/>
    <n v="9"/>
    <n v="44712"/>
    <n v="0"/>
    <n v="0"/>
    <n v="9"/>
    <n v="0"/>
    <n v="0"/>
    <n v="0"/>
    <n v="44712"/>
    <n v="0"/>
    <n v="0"/>
    <n v="9"/>
    <n v="44712"/>
    <n v="0"/>
    <n v="0"/>
    <n v="9"/>
    <n v="0"/>
    <n v="0"/>
    <m/>
    <n v="44712"/>
    <n v="0"/>
    <n v="0"/>
    <n v="9"/>
    <n v="44712"/>
    <n v="0"/>
  </r>
  <r>
    <s v="Lhotse-Vestuario"/>
    <x v="4"/>
    <x v="21"/>
    <x v="53"/>
    <s v="LTS26-MTS02BD"/>
    <x v="510"/>
    <x v="380"/>
    <x v="0"/>
    <x v="0"/>
    <n v="1"/>
    <x v="256"/>
    <n v="20"/>
    <m/>
    <n v="0"/>
    <n v="5500"/>
    <n v="110000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3378988326848249"/>
    <n v="4"/>
    <n v="0.4375496126789478"/>
    <n v="6"/>
    <n v="0.4586259086591374"/>
    <n v="1"/>
    <n v="0.3666625965785462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3"/>
    <n v="22"/>
    <n v="4"/>
    <n v="0"/>
    <n v="0"/>
    <n v="0"/>
    <n v="30250"/>
    <n v="109296"/>
    <n v="22000"/>
    <n v="0"/>
    <n v="20"/>
    <n v="110000"/>
    <n v="42341.64253936869"/>
    <n v="2"/>
    <n v="21"/>
    <n v="1.5"/>
    <n v="0"/>
    <n v="0"/>
    <n v="0"/>
    <n v="8250"/>
    <n v="104328"/>
    <n v="8250"/>
    <n v="0"/>
    <n v="20"/>
    <n v="110000"/>
    <n v="15878.11595226326"/>
    <n v="2"/>
    <n v="20"/>
    <n v="0"/>
    <n v="0"/>
    <n v="0"/>
    <n v="9936"/>
    <n v="110000"/>
    <n v="0"/>
    <n v="0"/>
    <n v="20"/>
    <n v="110000"/>
    <n v="0"/>
    <n v="2"/>
    <n v="20"/>
    <n v="0"/>
    <n v="0"/>
    <n v="0"/>
    <n v="99360"/>
    <n v="0"/>
    <n v="0"/>
    <n v="0"/>
    <n v="20"/>
    <n v="110000"/>
    <n v="0"/>
    <n v="2"/>
    <n v="20"/>
    <n v="2"/>
    <m/>
    <n v="0"/>
    <n v="0"/>
    <n v="110000"/>
    <n v="9936"/>
    <n v="0"/>
    <n v="0"/>
    <n v="20"/>
    <n v="110000"/>
    <n v="25193.27731092437"/>
    <n v="6"/>
    <n v="20"/>
    <n v="0"/>
    <m/>
    <n v="0"/>
    <n v="0"/>
    <n v="110000"/>
    <n v="0"/>
    <n v="0"/>
    <n v="0"/>
    <n v="20"/>
    <n v="110000"/>
    <n v="0"/>
    <n v="7"/>
    <n v="20"/>
    <n v="0"/>
    <n v="0"/>
    <n v="0"/>
    <n v="0"/>
    <n v="110000"/>
    <n v="0"/>
    <n v="0"/>
    <n v="0"/>
    <n v="20"/>
    <n v="110000"/>
    <n v="0"/>
    <n v="7"/>
    <n v="20"/>
    <n v="7"/>
    <n v="0"/>
    <n v="0"/>
    <n v="0"/>
    <n v="110000"/>
    <n v="34776"/>
    <n v="0"/>
    <n v="0"/>
    <n v="20"/>
    <n v="110000"/>
    <n v="88176.4705882353"/>
    <n v="7"/>
    <n v="13"/>
    <n v="7"/>
    <n v="0"/>
    <n v="0"/>
    <n v="0"/>
    <n v="64584"/>
    <n v="34776"/>
    <n v="0"/>
    <n v="0"/>
    <n v="13"/>
    <n v="64584"/>
    <n v="88176.4705882353"/>
    <n v="0"/>
    <n v="6"/>
    <n v="0"/>
    <n v="0"/>
    <n v="0"/>
    <n v="0"/>
    <m/>
    <n v="29808"/>
    <n v="0"/>
    <n v="0"/>
    <n v="0"/>
    <n v="6"/>
    <n v="29808"/>
    <n v="0"/>
    <n v="0"/>
    <n v="6"/>
    <n v="0"/>
    <n v="0"/>
    <n v="0"/>
    <n v="29808"/>
    <n v="0"/>
    <n v="0"/>
    <n v="0"/>
    <n v="6"/>
    <n v="29808"/>
    <n v="0"/>
    <n v="0"/>
    <n v="6"/>
    <n v="0"/>
    <n v="0"/>
    <n v="0"/>
    <n v="29808"/>
    <n v="0"/>
    <n v="0"/>
    <n v="6"/>
    <n v="29808"/>
    <n v="0"/>
    <n v="0"/>
    <n v="6"/>
    <n v="0"/>
    <n v="0"/>
    <m/>
    <n v="29808"/>
    <n v="0"/>
    <n v="0"/>
    <n v="6"/>
    <n v="29808"/>
    <n v="0"/>
  </r>
  <r>
    <s v="Lhotse-Vestuario"/>
    <x v="4"/>
    <x v="21"/>
    <x v="53"/>
    <s v="LTS26-MTS02BD"/>
    <x v="511"/>
    <x v="380"/>
    <x v="0"/>
    <x v="0"/>
    <n v="1"/>
    <x v="257"/>
    <n v="0"/>
    <m/>
    <n v="0"/>
    <n v="6151"/>
    <n v="0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4"/>
    <n v="0.4494473842856186"/>
    <n v="6"/>
    <n v="0.3793058974892115"/>
    <n v="2"/>
    <n v="0.511709147763547"/>
    <n v="0"/>
    <s v=""/>
    <n v="1"/>
    <n v="0.3489627398005117"/>
    <n v="0.3333333333333333"/>
    <n v="1"/>
    <n v="0.2673033033033033"/>
    <n v="0.3333333333333333"/>
    <n v="1"/>
    <n v="0.2673033033033033"/>
    <n v="0.1"/>
    <n v="0"/>
    <s v=""/>
    <n v="0"/>
    <n v="0"/>
    <s v=""/>
    <n v="0"/>
    <m/>
    <m/>
    <m/>
    <m/>
    <m/>
    <m/>
    <m/>
    <m/>
    <m/>
    <m/>
    <m/>
    <m/>
    <n v="10"/>
    <n v="7"/>
    <n v="7"/>
    <n v="0"/>
    <n v="0"/>
    <n v="0"/>
    <n v="61510"/>
    <n v="34776"/>
    <n v="43057"/>
    <n v="0"/>
    <n v="0"/>
    <n v="0"/>
    <n v="74097.87444389521"/>
    <n v="5"/>
    <n v="5"/>
    <n v="3"/>
    <n v="0"/>
    <n v="0"/>
    <n v="0"/>
    <n v="24604"/>
    <n v="24840"/>
    <n v="18453"/>
    <n v="0"/>
    <n v="0"/>
    <n v="0"/>
    <n v="31756.23190452652"/>
    <n v="5"/>
    <n v="3"/>
    <n v="0"/>
    <n v="0"/>
    <n v="0"/>
    <n v="21055"/>
    <n v="18453"/>
    <n v="0"/>
    <n v="0"/>
    <n v="0"/>
    <n v="0"/>
    <n v="0"/>
    <n v="3"/>
    <n v="1"/>
    <n v="1"/>
    <n v="0"/>
    <n v="0"/>
    <n v="4968"/>
    <n v="6151"/>
    <n v="0"/>
    <n v="0"/>
    <n v="0"/>
    <n v="0"/>
    <n v="12596.63865546219"/>
    <n v="3"/>
    <n v="1"/>
    <n v="3"/>
    <m/>
    <n v="0"/>
    <n v="0"/>
    <n v="6151"/>
    <n v="14904"/>
    <n v="0"/>
    <n v="0"/>
    <n v="0"/>
    <n v="0"/>
    <n v="37789.91596638656"/>
    <n v="10"/>
    <n v="1"/>
    <n v="1"/>
    <m/>
    <n v="0"/>
    <n v="0"/>
    <n v="6151"/>
    <n v="4968"/>
    <n v="0"/>
    <n v="0"/>
    <n v="1"/>
    <n v="0"/>
    <n v="12596.638655462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3"/>
    <s v="LTS26-MTS02BE"/>
    <x v="512"/>
    <x v="381"/>
    <x v="0"/>
    <x v="0"/>
    <n v="1"/>
    <x v="258"/>
    <n v="34"/>
    <m/>
    <n v="0"/>
    <n v="5548"/>
    <n v="188632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24"/>
    <n v="0.4252843557710237"/>
    <n v="1"/>
    <n v="0.5106289038253498"/>
    <n v="4"/>
    <n v="0.5103963080285598"/>
    <n v="3"/>
    <n v="0.5036382943436133"/>
    <n v="0"/>
    <s v=""/>
    <n v="0"/>
    <n v="0"/>
    <s v=""/>
    <n v="0"/>
    <n v="0"/>
    <s v=""/>
    <n v="0"/>
    <n v="1"/>
    <n v="0.1739139139139139"/>
    <n v="0.08333333333333333"/>
    <n v="0"/>
    <s v=""/>
    <n v="0"/>
    <m/>
    <m/>
    <m/>
    <m/>
    <m/>
    <m/>
    <m/>
    <m/>
    <m/>
    <m/>
    <m/>
    <m/>
    <n v="6"/>
    <n v="28"/>
    <n v="6"/>
    <n v="0"/>
    <n v="0"/>
    <n v="0"/>
    <n v="83220"/>
    <n v="139104"/>
    <n v="33288"/>
    <n v="0"/>
    <n v="34"/>
    <n v="188632"/>
    <n v="63512.46380905304"/>
    <n v="2.07"/>
    <n v="42"/>
    <n v="6"/>
    <n v="0"/>
    <n v="0"/>
    <n v="0"/>
    <n v="49932"/>
    <n v="208656"/>
    <n v="33288"/>
    <n v="0"/>
    <n v="34"/>
    <n v="188632"/>
    <n v="63512.46380905304"/>
    <n v="3.726"/>
    <n v="38"/>
    <n v="3"/>
    <n v="0"/>
    <n v="0"/>
    <n v="31548"/>
    <n v="210824"/>
    <n v="16644"/>
    <n v="0"/>
    <n v="34"/>
    <n v="188632"/>
    <n v="37789.91596638656"/>
    <n v="3"/>
    <n v="35"/>
    <n v="0"/>
    <n v="0"/>
    <n v="0"/>
    <n v="173880"/>
    <n v="0"/>
    <n v="0"/>
    <n v="0"/>
    <n v="34"/>
    <n v="188632"/>
    <n v="0"/>
    <n v="3"/>
    <n v="34"/>
    <n v="3"/>
    <m/>
    <n v="0"/>
    <n v="0"/>
    <n v="188632"/>
    <n v="14904"/>
    <n v="0"/>
    <n v="0"/>
    <n v="34"/>
    <n v="188632"/>
    <n v="37789.91596638656"/>
    <n v="9"/>
    <n v="34"/>
    <n v="0"/>
    <m/>
    <n v="0"/>
    <n v="0"/>
    <n v="188632"/>
    <n v="0"/>
    <n v="0"/>
    <n v="0"/>
    <n v="34"/>
    <n v="188632"/>
    <n v="0"/>
    <n v="12"/>
    <n v="35"/>
    <n v="1"/>
    <n v="0"/>
    <n v="0"/>
    <n v="0"/>
    <n v="194180"/>
    <n v="4968"/>
    <n v="0"/>
    <n v="0"/>
    <n v="35"/>
    <n v="188632"/>
    <n v="12596.63865546219"/>
    <n v="12"/>
    <n v="34"/>
    <n v="12"/>
    <n v="0"/>
    <n v="0"/>
    <n v="0"/>
    <n v="188632"/>
    <n v="59616"/>
    <n v="0"/>
    <n v="0"/>
    <n v="34"/>
    <n v="188632"/>
    <n v="151159.6638655462"/>
    <n v="12"/>
    <n v="22"/>
    <n v="12"/>
    <n v="0"/>
    <n v="0"/>
    <n v="0"/>
    <n v="109296"/>
    <n v="59616"/>
    <n v="0"/>
    <n v="0"/>
    <n v="22"/>
    <n v="109296"/>
    <n v="151159.6638655462"/>
    <n v="0"/>
    <n v="10"/>
    <n v="0"/>
    <n v="0"/>
    <n v="0"/>
    <n v="0"/>
    <m/>
    <n v="49680"/>
    <n v="0"/>
    <n v="0"/>
    <n v="0"/>
    <n v="10"/>
    <n v="49680"/>
    <n v="0"/>
    <n v="0"/>
    <n v="10"/>
    <n v="0"/>
    <n v="0"/>
    <n v="0"/>
    <n v="49680"/>
    <n v="0"/>
    <n v="0"/>
    <n v="0"/>
    <n v="10"/>
    <n v="49680"/>
    <n v="0"/>
    <n v="0"/>
    <n v="10"/>
    <n v="0"/>
    <n v="0"/>
    <n v="0"/>
    <n v="49680"/>
    <n v="0"/>
    <n v="0"/>
    <n v="10"/>
    <n v="49680"/>
    <n v="0"/>
    <n v="0"/>
    <n v="10"/>
    <n v="0"/>
    <n v="0"/>
    <m/>
    <n v="49680"/>
    <n v="0"/>
    <n v="0"/>
    <n v="10"/>
    <n v="49680"/>
    <n v="0"/>
  </r>
  <r>
    <s v="Lhotse-Vestuario"/>
    <x v="4"/>
    <x v="21"/>
    <x v="53"/>
    <s v="LTS26-MTS02BE"/>
    <x v="513"/>
    <x v="381"/>
    <x v="0"/>
    <x v="0"/>
    <n v="1"/>
    <x v="259"/>
    <n v="48"/>
    <m/>
    <n v="0"/>
    <n v="5356"/>
    <n v="257088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1491718426501035"/>
    <n v="10"/>
    <n v="0.4741367838095141"/>
    <n v="5"/>
    <n v="0.3572152839901228"/>
    <n v="3"/>
    <n v="0.5601543939527193"/>
    <n v="0"/>
    <s v=""/>
    <n v="0"/>
    <s v=""/>
    <n v="0"/>
    <n v="0"/>
    <s v=""/>
    <n v="0"/>
    <n v="2"/>
    <n v="0.2911138916694472"/>
    <n v="0.2040816326530612"/>
    <n v="0"/>
    <s v=""/>
    <n v="0"/>
    <n v="0"/>
    <s v=""/>
    <n v="0"/>
    <m/>
    <m/>
    <m/>
    <m/>
    <m/>
    <m/>
    <m/>
    <m/>
    <m/>
    <m/>
    <m/>
    <m/>
    <n v="4"/>
    <n v="56"/>
    <n v="4"/>
    <n v="0"/>
    <n v="0"/>
    <n v="0"/>
    <n v="45526"/>
    <n v="278208"/>
    <n v="21424"/>
    <n v="0"/>
    <n v="48"/>
    <n v="257088"/>
    <n v="42341.64253936869"/>
    <n v="4"/>
    <n v="52"/>
    <n v="4.5"/>
    <n v="0"/>
    <n v="0"/>
    <n v="0"/>
    <n v="24102"/>
    <n v="258336"/>
    <n v="24102"/>
    <n v="0"/>
    <n v="48"/>
    <n v="257088"/>
    <n v="47634.34785678978"/>
    <n v="4.536"/>
    <n v="49"/>
    <n v="0"/>
    <n v="0"/>
    <n v="0"/>
    <n v="16394.4"/>
    <n v="262444"/>
    <n v="0"/>
    <n v="0"/>
    <n v="48"/>
    <n v="257088"/>
    <n v="0"/>
    <n v="3.25"/>
    <n v="49"/>
    <n v="0"/>
    <n v="0"/>
    <n v="0"/>
    <n v="243432"/>
    <n v="0"/>
    <n v="0"/>
    <n v="0"/>
    <n v="48"/>
    <n v="257088"/>
    <n v="0"/>
    <n v="3.3"/>
    <n v="48"/>
    <n v="3.3"/>
    <m/>
    <n v="0"/>
    <n v="0"/>
    <n v="257088"/>
    <n v="16394.4"/>
    <n v="0"/>
    <n v="0"/>
    <n v="48"/>
    <n v="257088"/>
    <n v="41568.90756302521"/>
    <n v="9.800000000000001"/>
    <n v="50"/>
    <n v="2"/>
    <m/>
    <n v="0"/>
    <n v="0"/>
    <n v="267800"/>
    <n v="9936"/>
    <n v="0"/>
    <n v="0"/>
    <n v="50"/>
    <n v="257088"/>
    <n v="25193.27731092437"/>
    <n v="17"/>
    <n v="48"/>
    <n v="0"/>
    <n v="0"/>
    <n v="0"/>
    <n v="0"/>
    <n v="257088"/>
    <n v="0"/>
    <n v="0"/>
    <n v="0"/>
    <n v="48"/>
    <n v="257088"/>
    <n v="0"/>
    <n v="17"/>
    <n v="48"/>
    <n v="17"/>
    <n v="0"/>
    <n v="0"/>
    <n v="0"/>
    <n v="257088"/>
    <n v="84456"/>
    <n v="0"/>
    <n v="0"/>
    <n v="48"/>
    <n v="257088"/>
    <n v="214142.8571428572"/>
    <n v="17"/>
    <n v="31"/>
    <n v="17"/>
    <n v="0"/>
    <n v="0"/>
    <n v="0"/>
    <n v="154008"/>
    <n v="84456"/>
    <n v="0"/>
    <n v="0"/>
    <n v="31"/>
    <n v="154008"/>
    <n v="214142.8571428572"/>
    <n v="0"/>
    <n v="14"/>
    <n v="0"/>
    <n v="0"/>
    <n v="0"/>
    <n v="0"/>
    <m/>
    <n v="69552"/>
    <n v="0"/>
    <n v="0"/>
    <n v="0"/>
    <n v="14"/>
    <n v="69552"/>
    <n v="0"/>
    <n v="0"/>
    <n v="14"/>
    <n v="0"/>
    <n v="0"/>
    <n v="0"/>
    <n v="69552"/>
    <n v="0"/>
    <n v="0"/>
    <n v="0"/>
    <n v="14"/>
    <n v="69552"/>
    <n v="0"/>
    <n v="0"/>
    <n v="14"/>
    <n v="0"/>
    <n v="0"/>
    <n v="0"/>
    <n v="69552"/>
    <n v="0"/>
    <n v="0"/>
    <n v="14"/>
    <n v="69552"/>
    <n v="0"/>
    <n v="0"/>
    <n v="14"/>
    <n v="0"/>
    <n v="0"/>
    <m/>
    <n v="69552"/>
    <n v="0"/>
    <n v="0"/>
    <n v="14"/>
    <n v="69552"/>
    <n v="0"/>
  </r>
  <r>
    <s v="Lhotse-Vestuario"/>
    <x v="4"/>
    <x v="21"/>
    <x v="53"/>
    <s v="LTS26-MTS02BE"/>
    <x v="514"/>
    <x v="381"/>
    <x v="0"/>
    <x v="0"/>
    <n v="1"/>
    <x v="260"/>
    <n v="24"/>
    <m/>
    <n v="0"/>
    <n v="5676"/>
    <n v="136224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8"/>
    <n v="0.4161007075672757"/>
    <n v="2"/>
    <n v="0.4318318460211737"/>
    <n v="1"/>
    <n v="0.3526910157522377"/>
    <n v="0"/>
    <s v=""/>
    <n v="0"/>
    <s v=""/>
    <n v="0"/>
    <n v="0"/>
    <s v=""/>
    <n v="0"/>
    <n v="0"/>
    <s v=""/>
    <n v="0"/>
    <n v="1"/>
    <n v="0.3238848848848849"/>
    <n v="0.125"/>
    <n v="0"/>
    <s v=""/>
    <n v="0"/>
    <m/>
    <m/>
    <m/>
    <m/>
    <m/>
    <m/>
    <m/>
    <m/>
    <m/>
    <m/>
    <m/>
    <m/>
    <n v="1.3"/>
    <n v="19"/>
    <n v="1.3"/>
    <n v="0"/>
    <n v="0"/>
    <n v="0"/>
    <n v="15892.8"/>
    <n v="94392"/>
    <n v="7378.8"/>
    <n v="0"/>
    <n v="24"/>
    <n v="136224"/>
    <n v="13761.03382529483"/>
    <n v="1.17"/>
    <n v="23"/>
    <n v="1.5"/>
    <n v="0"/>
    <n v="0"/>
    <n v="0"/>
    <n v="8514"/>
    <n v="114264"/>
    <n v="8514"/>
    <n v="0"/>
    <n v="24"/>
    <n v="136224"/>
    <n v="15878.11595226326"/>
    <n v="2.106"/>
    <n v="22"/>
    <n v="0"/>
    <n v="0"/>
    <n v="0"/>
    <n v="7948.8"/>
    <n v="124872"/>
    <n v="0"/>
    <n v="0"/>
    <n v="24"/>
    <n v="136224"/>
    <n v="0"/>
    <n v="1.55"/>
    <n v="24"/>
    <n v="0"/>
    <n v="0"/>
    <n v="0"/>
    <n v="119232"/>
    <n v="0"/>
    <n v="0"/>
    <n v="0"/>
    <n v="24"/>
    <n v="136224"/>
    <n v="0"/>
    <n v="1.6"/>
    <n v="24"/>
    <n v="1.6"/>
    <m/>
    <n v="0"/>
    <n v="0"/>
    <n v="136224"/>
    <n v="7948.8"/>
    <n v="0"/>
    <n v="0"/>
    <n v="24"/>
    <n v="136224"/>
    <n v="20154.6218487395"/>
    <n v="4.7"/>
    <n v="24"/>
    <n v="0"/>
    <m/>
    <n v="0"/>
    <n v="0"/>
    <n v="136224"/>
    <n v="0"/>
    <n v="0"/>
    <n v="0"/>
    <n v="24"/>
    <n v="136224"/>
    <n v="0"/>
    <n v="8"/>
    <n v="25"/>
    <n v="1"/>
    <n v="0"/>
    <n v="0"/>
    <n v="0"/>
    <n v="141900"/>
    <n v="4968"/>
    <n v="0"/>
    <n v="0"/>
    <n v="25"/>
    <n v="136224"/>
    <n v="12596.63865546219"/>
    <n v="8"/>
    <n v="24"/>
    <n v="8"/>
    <n v="0"/>
    <n v="0"/>
    <n v="0"/>
    <n v="136224"/>
    <n v="39744"/>
    <n v="0"/>
    <n v="0"/>
    <n v="24"/>
    <n v="136224"/>
    <n v="100773.1092436975"/>
    <n v="8"/>
    <n v="16"/>
    <n v="8"/>
    <n v="0"/>
    <n v="0"/>
    <n v="0"/>
    <n v="79488"/>
    <n v="39744"/>
    <n v="0"/>
    <n v="0"/>
    <n v="16"/>
    <n v="79488"/>
    <n v="100773.1092436975"/>
    <n v="0"/>
    <n v="8"/>
    <n v="0"/>
    <n v="0"/>
    <n v="0"/>
    <n v="0"/>
    <m/>
    <n v="39744"/>
    <n v="0"/>
    <n v="0"/>
    <n v="0"/>
    <n v="8"/>
    <n v="39744"/>
    <n v="0"/>
    <n v="0"/>
    <n v="8"/>
    <n v="0"/>
    <n v="0"/>
    <n v="0"/>
    <n v="39744"/>
    <n v="0"/>
    <n v="0"/>
    <n v="0"/>
    <n v="8"/>
    <n v="39744"/>
    <n v="0"/>
    <n v="0"/>
    <n v="8"/>
    <n v="0"/>
    <n v="0"/>
    <n v="0"/>
    <n v="39744"/>
    <n v="0"/>
    <n v="0"/>
    <n v="8"/>
    <n v="39744"/>
    <n v="0"/>
    <n v="0"/>
    <n v="8"/>
    <n v="0"/>
    <n v="0"/>
    <m/>
    <n v="39744"/>
    <n v="0"/>
    <n v="0"/>
    <n v="8"/>
    <n v="39744"/>
    <n v="0"/>
  </r>
  <r>
    <s v="Lhotse-Vestuario"/>
    <x v="4"/>
    <x v="21"/>
    <x v="53"/>
    <s v="LTS26-MTS02BE"/>
    <x v="515"/>
    <x v="381"/>
    <x v="0"/>
    <x v="0"/>
    <n v="1"/>
    <x v="261"/>
    <n v="4"/>
    <m/>
    <n v="0"/>
    <n v="6077"/>
    <n v="24308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259347442680776"/>
    <n v="13"/>
    <n v="0.4462190379049846"/>
    <n v="7"/>
    <n v="0.3661207999396842"/>
    <n v="1"/>
    <n v="0.3382024506195359"/>
    <n v="0"/>
    <s v=""/>
    <n v="2"/>
    <n v="0.4192208007061797"/>
    <n v="1.333333333333333"/>
    <n v="1"/>
    <n v="0"/>
    <n v="0.6666666666666666"/>
    <n v="0"/>
    <s v=""/>
    <n v="0"/>
    <n v="1"/>
    <n v="0.2761181181181181"/>
    <n v="0.5"/>
    <n v="1"/>
    <n v="0.2761181181181181"/>
    <n v="0.5"/>
    <m/>
    <m/>
    <m/>
    <m/>
    <m/>
    <m/>
    <m/>
    <m/>
    <m/>
    <m/>
    <m/>
    <m/>
    <n v="4"/>
    <n v="11"/>
    <n v="4"/>
    <n v="0"/>
    <n v="0"/>
    <n v="0"/>
    <n v="33423.5"/>
    <n v="54648"/>
    <n v="24308"/>
    <n v="0"/>
    <n v="4"/>
    <n v="24308"/>
    <n v="42341.64253936869"/>
    <n v="4"/>
    <n v="8"/>
    <n v="1.5"/>
    <n v="0"/>
    <n v="0"/>
    <n v="0"/>
    <n v="21269.5"/>
    <n v="39744"/>
    <n v="9115.5"/>
    <n v="0"/>
    <n v="4"/>
    <n v="24308"/>
    <n v="15878.11595226326"/>
    <n v="1.944"/>
    <n v="7"/>
    <n v="0"/>
    <n v="0"/>
    <n v="0"/>
    <n v="19606"/>
    <n v="42539"/>
    <n v="0"/>
    <n v="0"/>
    <n v="4"/>
    <n v="24308"/>
    <n v="0"/>
    <n v="1.5"/>
    <n v="9"/>
    <n v="2"/>
    <n v="0"/>
    <n v="0"/>
    <n v="44712"/>
    <n v="12154"/>
    <n v="0"/>
    <n v="0"/>
    <n v="4"/>
    <n v="24308"/>
    <n v="25193.27731092437"/>
    <n v="1.5"/>
    <n v="5"/>
    <n v="1.5"/>
    <m/>
    <n v="0"/>
    <n v="0"/>
    <n v="30385"/>
    <n v="7452"/>
    <n v="0"/>
    <n v="0"/>
    <n v="4"/>
    <n v="24308"/>
    <n v="18894.95798319328"/>
    <n v="4.5"/>
    <n v="4"/>
    <n v="0"/>
    <m/>
    <n v="0"/>
    <n v="0"/>
    <n v="24308"/>
    <n v="0"/>
    <n v="0"/>
    <n v="0"/>
    <n v="4"/>
    <n v="24308"/>
    <n v="0"/>
    <n v="2"/>
    <n v="5"/>
    <n v="1"/>
    <n v="0"/>
    <n v="0"/>
    <n v="0"/>
    <n v="30385"/>
    <n v="4968"/>
    <n v="0"/>
    <n v="0"/>
    <n v="5"/>
    <n v="24308"/>
    <n v="12596.63865546219"/>
    <n v="2"/>
    <n v="4"/>
    <n v="2"/>
    <n v="0"/>
    <n v="0"/>
    <n v="0"/>
    <n v="24308"/>
    <n v="9936"/>
    <n v="0"/>
    <n v="0"/>
    <n v="4"/>
    <n v="24308"/>
    <n v="25193.27731092437"/>
    <n v="2"/>
    <n v="2"/>
    <n v="2"/>
    <n v="0"/>
    <n v="0"/>
    <n v="0"/>
    <n v="9936"/>
    <n v="9936"/>
    <n v="0"/>
    <n v="0"/>
    <n v="2"/>
    <n v="9936"/>
    <n v="25193.27731092437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3"/>
    <s v="LTS26-MTS02BL"/>
    <x v="516"/>
    <x v="382"/>
    <x v="0"/>
    <x v="0"/>
    <n v="1"/>
    <x v="262"/>
    <n v="34"/>
    <m/>
    <n v="0"/>
    <n v="5239"/>
    <n v="178126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3698478900883219"/>
    <n v="23"/>
    <n v="0.373832072881832"/>
    <n v="4"/>
    <n v="0.4778666373596738"/>
    <n v="1"/>
    <n v="0.3873024318901382"/>
    <n v="0"/>
    <s v=""/>
    <n v="0"/>
    <s v=""/>
    <n v="0"/>
    <n v="1"/>
    <n v="0.37593993993994"/>
    <n v="0.303030303030303"/>
    <n v="1"/>
    <n v="0.2001398332264272"/>
    <n v="0.101010101010101"/>
    <n v="1"/>
    <s v=""/>
    <n v="0.08333333333333333"/>
    <n v="0"/>
    <s v=""/>
    <n v="0"/>
    <m/>
    <m/>
    <m/>
    <m/>
    <m/>
    <m/>
    <m/>
    <m/>
    <m/>
    <m/>
    <m/>
    <m/>
    <n v="5"/>
    <n v="25"/>
    <n v="5"/>
    <n v="0"/>
    <n v="0"/>
    <n v="0"/>
    <n v="34053.5"/>
    <n v="124200"/>
    <n v="26195"/>
    <n v="0"/>
    <n v="34"/>
    <n v="178126"/>
    <n v="52927.05317421087"/>
    <n v="2.61"/>
    <n v="33"/>
    <n v="1.5"/>
    <n v="0"/>
    <n v="0"/>
    <n v="0"/>
    <n v="7858.5"/>
    <n v="163944"/>
    <n v="7858.5"/>
    <n v="0"/>
    <n v="34"/>
    <n v="178126"/>
    <n v="15878.11595226326"/>
    <n v="4.698"/>
    <n v="32"/>
    <n v="0"/>
    <n v="0"/>
    <n v="0"/>
    <n v="16394.4"/>
    <n v="167648"/>
    <n v="0"/>
    <n v="0"/>
    <n v="34"/>
    <n v="178126"/>
    <n v="0"/>
    <n v="3.3"/>
    <n v="35"/>
    <n v="0"/>
    <n v="0"/>
    <n v="0"/>
    <n v="173880"/>
    <n v="0"/>
    <n v="0"/>
    <n v="0"/>
    <n v="34"/>
    <n v="178126"/>
    <n v="0"/>
    <n v="3.3"/>
    <n v="35"/>
    <n v="3.3"/>
    <m/>
    <n v="0"/>
    <n v="0"/>
    <n v="183365"/>
    <n v="16394.4"/>
    <n v="0"/>
    <n v="0"/>
    <n v="34"/>
    <n v="178126"/>
    <n v="41568.90756302521"/>
    <n v="9.9"/>
    <n v="35"/>
    <n v="1"/>
    <m/>
    <n v="0"/>
    <n v="0"/>
    <n v="183365"/>
    <n v="4968"/>
    <n v="0"/>
    <n v="0"/>
    <n v="35"/>
    <n v="178126"/>
    <n v="12596.63865546219"/>
    <n v="12"/>
    <n v="35"/>
    <n v="1"/>
    <n v="0"/>
    <n v="0"/>
    <n v="0"/>
    <n v="183365"/>
    <n v="4968"/>
    <n v="0"/>
    <n v="0"/>
    <n v="35"/>
    <n v="178126"/>
    <n v="12596.63865546219"/>
    <n v="12"/>
    <n v="34"/>
    <n v="12"/>
    <n v="0"/>
    <n v="0"/>
    <n v="0"/>
    <n v="178126"/>
    <n v="59616"/>
    <n v="0"/>
    <n v="0"/>
    <n v="34"/>
    <n v="178126"/>
    <n v="151159.6638655462"/>
    <n v="12"/>
    <n v="22"/>
    <n v="12"/>
    <n v="0"/>
    <n v="0"/>
    <n v="0"/>
    <n v="109296"/>
    <n v="59616"/>
    <n v="0"/>
    <n v="0"/>
    <n v="22"/>
    <n v="109296"/>
    <n v="151159.6638655462"/>
    <n v="0"/>
    <n v="10"/>
    <n v="0"/>
    <n v="0"/>
    <n v="0"/>
    <n v="0"/>
    <m/>
    <n v="49680"/>
    <n v="0"/>
    <n v="0"/>
    <n v="0"/>
    <n v="10"/>
    <n v="49680"/>
    <n v="0"/>
    <n v="0"/>
    <n v="10"/>
    <n v="0"/>
    <n v="0"/>
    <n v="0"/>
    <n v="49680"/>
    <n v="0"/>
    <n v="0"/>
    <n v="0"/>
    <n v="10"/>
    <n v="49680"/>
    <n v="0"/>
    <n v="0"/>
    <n v="10"/>
    <n v="0"/>
    <n v="0"/>
    <n v="0"/>
    <n v="49680"/>
    <n v="0"/>
    <n v="0"/>
    <n v="10"/>
    <n v="49680"/>
    <n v="0"/>
    <n v="0"/>
    <n v="10"/>
    <n v="0"/>
    <n v="0"/>
    <m/>
    <n v="49680"/>
    <n v="0"/>
    <n v="0"/>
    <n v="10"/>
    <n v="49680"/>
    <n v="0"/>
  </r>
  <r>
    <s v="Lhotse-Vestuario"/>
    <x v="4"/>
    <x v="21"/>
    <x v="53"/>
    <s v="LTS26-MTS02BL"/>
    <x v="517"/>
    <x v="382"/>
    <x v="0"/>
    <x v="0"/>
    <n v="1"/>
    <x v="263"/>
    <n v="51"/>
    <m/>
    <n v="0"/>
    <n v="5262"/>
    <n v="268362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172378237399163"/>
    <n v="9"/>
    <n v="0.3924225300286488"/>
    <n v="2"/>
    <n v="0.1806572129604234"/>
    <n v="1"/>
    <n v="0"/>
    <n v="2"/>
    <n v="0.4107962908397225"/>
    <n v="0"/>
    <s v=""/>
    <n v="0"/>
    <n v="1"/>
    <n v="0.3732002002002002"/>
    <n v="0.2941176470588235"/>
    <n v="1"/>
    <n v="0.216498998998999"/>
    <n v="0.09900990099009901"/>
    <n v="1"/>
    <n v="0.3732002002002002"/>
    <n v="0.05555555555555555"/>
    <n v="0"/>
    <s v=""/>
    <n v="0"/>
    <m/>
    <m/>
    <m/>
    <m/>
    <m/>
    <m/>
    <m/>
    <m/>
    <m/>
    <m/>
    <m/>
    <m/>
    <n v="3"/>
    <n v="50"/>
    <n v="3"/>
    <n v="0"/>
    <n v="0"/>
    <n v="0"/>
    <n v="34203"/>
    <n v="248400"/>
    <n v="15786"/>
    <n v="0"/>
    <n v="51"/>
    <n v="268362"/>
    <n v="31756.23190452652"/>
    <n v="2.7"/>
    <n v="52"/>
    <n v="1.5"/>
    <n v="0"/>
    <n v="0"/>
    <n v="0"/>
    <n v="18417"/>
    <n v="258336"/>
    <n v="7893"/>
    <n v="0"/>
    <n v="51"/>
    <n v="268362"/>
    <n v="15878.11595226326"/>
    <n v="4.86"/>
    <n v="51"/>
    <n v="2"/>
    <n v="0"/>
    <n v="0"/>
    <n v="27415.2"/>
    <n v="268362"/>
    <n v="10524"/>
    <n v="0"/>
    <n v="51"/>
    <n v="268362"/>
    <n v="25193.27731092437"/>
    <n v="3.35"/>
    <n v="53"/>
    <n v="0"/>
    <n v="0"/>
    <n v="0"/>
    <n v="263304"/>
    <n v="0"/>
    <n v="0"/>
    <n v="0"/>
    <n v="51"/>
    <n v="268362"/>
    <n v="0"/>
    <n v="3.4"/>
    <n v="52"/>
    <n v="3.4"/>
    <m/>
    <n v="0"/>
    <n v="0"/>
    <n v="273624"/>
    <n v="16891.2"/>
    <n v="0"/>
    <n v="0"/>
    <n v="51"/>
    <n v="268362"/>
    <n v="42828.57142857143"/>
    <n v="10.1"/>
    <n v="52"/>
    <n v="1"/>
    <m/>
    <n v="0"/>
    <n v="0"/>
    <n v="273624"/>
    <n v="4968"/>
    <n v="0"/>
    <n v="0"/>
    <n v="52"/>
    <n v="268362"/>
    <n v="12596.63865546219"/>
    <n v="18"/>
    <n v="52"/>
    <n v="1"/>
    <n v="0"/>
    <n v="0"/>
    <n v="0"/>
    <n v="273624"/>
    <n v="4968"/>
    <n v="0"/>
    <n v="0"/>
    <n v="52"/>
    <n v="268362"/>
    <n v="12596.63865546219"/>
    <n v="18"/>
    <n v="51"/>
    <n v="18"/>
    <n v="0"/>
    <n v="0"/>
    <n v="0"/>
    <n v="268362"/>
    <n v="89424"/>
    <n v="0"/>
    <n v="0"/>
    <n v="51"/>
    <n v="268362"/>
    <n v="226739.4957983193"/>
    <n v="18"/>
    <n v="33"/>
    <n v="18"/>
    <n v="0"/>
    <n v="0"/>
    <n v="0"/>
    <n v="163944"/>
    <n v="89424"/>
    <n v="0"/>
    <n v="0"/>
    <n v="33"/>
    <n v="163944"/>
    <n v="226739.4957983193"/>
    <n v="0"/>
    <n v="15"/>
    <n v="0"/>
    <n v="0"/>
    <n v="0"/>
    <n v="0"/>
    <m/>
    <n v="74520"/>
    <n v="0"/>
    <n v="0"/>
    <n v="0"/>
    <n v="15"/>
    <n v="74520"/>
    <n v="0"/>
    <n v="0"/>
    <n v="15"/>
    <n v="0"/>
    <n v="0"/>
    <n v="0"/>
    <n v="74520"/>
    <n v="0"/>
    <n v="0"/>
    <n v="0"/>
    <n v="15"/>
    <n v="74520"/>
    <n v="0"/>
    <n v="0"/>
    <n v="15"/>
    <n v="0"/>
    <n v="0"/>
    <n v="0"/>
    <n v="74520"/>
    <n v="0"/>
    <n v="0"/>
    <n v="15"/>
    <n v="74520"/>
    <n v="0"/>
    <n v="0"/>
    <n v="15"/>
    <n v="0"/>
    <n v="0"/>
    <m/>
    <n v="74520"/>
    <n v="0"/>
    <n v="0"/>
    <n v="15"/>
    <n v="74520"/>
    <n v="0"/>
  </r>
  <r>
    <s v="Lhotse-Vestuario"/>
    <x v="4"/>
    <x v="21"/>
    <x v="53"/>
    <s v="LTS26-MTS02BL"/>
    <x v="518"/>
    <x v="382"/>
    <x v="0"/>
    <x v="0"/>
    <n v="1"/>
    <x v="264"/>
    <n v="29"/>
    <m/>
    <n v="0"/>
    <n v="5355"/>
    <n v="155295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4859915949569742"/>
    <n v="3"/>
    <n v="0.4815400906455076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1.3"/>
    <n v="25"/>
    <n v="1.3"/>
    <n v="0"/>
    <n v="0"/>
    <n v="0"/>
    <n v="6961.5"/>
    <n v="124200"/>
    <n v="6961.5"/>
    <n v="0"/>
    <n v="29"/>
    <n v="155295"/>
    <n v="13761.03382529483"/>
    <n v="1.17"/>
    <n v="26"/>
    <n v="0"/>
    <n v="0"/>
    <n v="0"/>
    <n v="0"/>
    <n v="0"/>
    <n v="129168"/>
    <n v="0"/>
    <n v="0"/>
    <n v="29"/>
    <n v="155295"/>
    <n v="0"/>
    <n v="2.106"/>
    <n v="26"/>
    <n v="0"/>
    <n v="0"/>
    <n v="0"/>
    <n v="7948.8"/>
    <n v="139230"/>
    <n v="0"/>
    <n v="0"/>
    <n v="29"/>
    <n v="155295"/>
    <n v="0"/>
    <n v="1.55"/>
    <n v="29"/>
    <n v="0"/>
    <n v="0"/>
    <n v="0"/>
    <n v="144072"/>
    <n v="0"/>
    <n v="0"/>
    <n v="0"/>
    <n v="29"/>
    <n v="155295"/>
    <n v="0"/>
    <n v="1.6"/>
    <n v="29"/>
    <n v="1.6"/>
    <m/>
    <n v="0"/>
    <n v="0"/>
    <n v="155295"/>
    <n v="7948.8"/>
    <n v="0"/>
    <n v="0"/>
    <n v="29"/>
    <n v="155295"/>
    <n v="20154.6218487395"/>
    <n v="4.7"/>
    <n v="29"/>
    <n v="0"/>
    <m/>
    <n v="0"/>
    <n v="0"/>
    <n v="155295"/>
    <n v="0"/>
    <n v="0"/>
    <n v="0"/>
    <n v="29"/>
    <n v="155295"/>
    <n v="0"/>
    <n v="10"/>
    <n v="29"/>
    <n v="0"/>
    <n v="0"/>
    <n v="0"/>
    <n v="0"/>
    <n v="155295"/>
    <n v="0"/>
    <n v="0"/>
    <n v="0"/>
    <n v="29"/>
    <n v="155295"/>
    <n v="0"/>
    <n v="10"/>
    <n v="29"/>
    <n v="10"/>
    <n v="0"/>
    <n v="0"/>
    <n v="0"/>
    <n v="155295"/>
    <n v="49680"/>
    <n v="0"/>
    <n v="0"/>
    <n v="29"/>
    <n v="155295"/>
    <n v="125966.3865546219"/>
    <n v="10"/>
    <n v="19"/>
    <n v="10"/>
    <n v="0"/>
    <n v="0"/>
    <n v="0"/>
    <n v="94392"/>
    <n v="49680"/>
    <n v="0"/>
    <n v="0"/>
    <n v="19"/>
    <n v="94392"/>
    <n v="125966.3865546219"/>
    <n v="0"/>
    <n v="9"/>
    <n v="0"/>
    <n v="0"/>
    <n v="0"/>
    <n v="0"/>
    <m/>
    <n v="44712"/>
    <n v="0"/>
    <n v="0"/>
    <n v="0"/>
    <n v="9"/>
    <n v="44712"/>
    <n v="0"/>
    <n v="0"/>
    <n v="9"/>
    <n v="0"/>
    <n v="0"/>
    <n v="0"/>
    <n v="44712"/>
    <n v="0"/>
    <n v="0"/>
    <n v="0"/>
    <n v="9"/>
    <n v="44712"/>
    <n v="0"/>
    <n v="0"/>
    <n v="9"/>
    <n v="0"/>
    <n v="0"/>
    <n v="0"/>
    <n v="44712"/>
    <n v="0"/>
    <n v="0"/>
    <n v="9"/>
    <n v="44712"/>
    <n v="0"/>
    <n v="0"/>
    <n v="9"/>
    <n v="0"/>
    <n v="0"/>
    <m/>
    <n v="44712"/>
    <n v="0"/>
    <n v="0"/>
    <n v="9"/>
    <n v="44712"/>
    <n v="0"/>
  </r>
  <r>
    <s v="Lhotse-Vestuario"/>
    <x v="4"/>
    <x v="21"/>
    <x v="53"/>
    <s v="LTS26-MTS02BL"/>
    <x v="519"/>
    <x v="382"/>
    <x v="0"/>
    <x v="0"/>
    <n v="1"/>
    <x v="265"/>
    <n v="17"/>
    <m/>
    <n v="0"/>
    <n v="5290"/>
    <n v="89930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5470017636684303"/>
    <n v="9"/>
    <n v="0.3936178584544358"/>
    <n v="4"/>
    <n v="0.4141129238615909"/>
    <n v="0"/>
    <s v=""/>
    <n v="2"/>
    <n v="0.579979372255736"/>
    <n v="1"/>
    <n v="0.579979372255736"/>
    <n v="0.6451612903225806"/>
    <n v="0"/>
    <s v=""/>
    <n v="0"/>
    <n v="3"/>
    <n v="0.2274917191424307"/>
    <n v="0.6382978723404255"/>
    <n v="0"/>
    <s v=""/>
    <n v="0"/>
    <n v="0"/>
    <s v=""/>
    <n v="0"/>
    <m/>
    <m/>
    <m/>
    <m/>
    <m/>
    <m/>
    <m/>
    <m/>
    <m/>
    <m/>
    <m/>
    <m/>
    <n v="4"/>
    <n v="16"/>
    <n v="4"/>
    <n v="0"/>
    <n v="0"/>
    <n v="0"/>
    <n v="31740"/>
    <n v="79488"/>
    <n v="21160"/>
    <n v="0"/>
    <n v="17"/>
    <n v="89930"/>
    <n v="42341.64253936869"/>
    <n v="3"/>
    <n v="19"/>
    <n v="0"/>
    <n v="0"/>
    <n v="0"/>
    <n v="0"/>
    <n v="15870"/>
    <n v="94392"/>
    <n v="0"/>
    <n v="0"/>
    <n v="17"/>
    <n v="89930"/>
    <n v="0"/>
    <n v="2.106"/>
    <n v="19"/>
    <n v="2"/>
    <n v="0"/>
    <n v="0"/>
    <n v="23818.8"/>
    <n v="100510"/>
    <n v="10580"/>
    <n v="0"/>
    <n v="17"/>
    <n v="89930"/>
    <n v="25193.27731092437"/>
    <n v="1.55"/>
    <n v="20"/>
    <n v="1"/>
    <n v="0"/>
    <n v="0"/>
    <n v="99360"/>
    <n v="5290"/>
    <n v="0"/>
    <n v="0"/>
    <n v="17"/>
    <n v="89930"/>
    <n v="12596.63865546219"/>
    <n v="1.6"/>
    <n v="17"/>
    <n v="1.6"/>
    <m/>
    <n v="0"/>
    <n v="0"/>
    <n v="89930"/>
    <n v="7948.8"/>
    <n v="0"/>
    <n v="0"/>
    <n v="17"/>
    <n v="89930"/>
    <n v="20154.6218487395"/>
    <n v="4.7"/>
    <n v="20"/>
    <n v="3"/>
    <m/>
    <n v="0"/>
    <n v="0"/>
    <n v="105800"/>
    <n v="14904"/>
    <n v="0"/>
    <n v="0"/>
    <n v="20"/>
    <n v="89930"/>
    <n v="37789.91596638656"/>
    <n v="7"/>
    <n v="17"/>
    <n v="0"/>
    <n v="0"/>
    <n v="0"/>
    <n v="0"/>
    <n v="89930"/>
    <n v="0"/>
    <n v="0"/>
    <n v="0"/>
    <n v="17"/>
    <n v="89930"/>
    <n v="0"/>
    <n v="7"/>
    <n v="17"/>
    <n v="7"/>
    <n v="0"/>
    <n v="0"/>
    <n v="0"/>
    <n v="89930"/>
    <n v="34776"/>
    <n v="0"/>
    <n v="0"/>
    <n v="17"/>
    <n v="89930"/>
    <n v="88176.4705882353"/>
    <n v="7"/>
    <n v="10"/>
    <n v="7"/>
    <n v="0"/>
    <n v="0"/>
    <n v="0"/>
    <n v="49680"/>
    <n v="34776"/>
    <n v="0"/>
    <n v="0"/>
    <n v="10"/>
    <n v="49680"/>
    <n v="88176.4705882353"/>
    <n v="0"/>
    <n v="3"/>
    <n v="0"/>
    <n v="0"/>
    <n v="0"/>
    <n v="0"/>
    <m/>
    <n v="14904"/>
    <n v="0"/>
    <n v="0"/>
    <n v="0"/>
    <n v="3"/>
    <n v="14904"/>
    <n v="0"/>
    <n v="0"/>
    <n v="3"/>
    <n v="0"/>
    <n v="0"/>
    <n v="0"/>
    <n v="14904"/>
    <n v="0"/>
    <n v="0"/>
    <n v="0"/>
    <n v="3"/>
    <n v="14904"/>
    <n v="0"/>
    <n v="0"/>
    <n v="3"/>
    <n v="0"/>
    <n v="0"/>
    <n v="0"/>
    <n v="14904"/>
    <n v="0"/>
    <n v="0"/>
    <n v="3"/>
    <n v="14904"/>
    <n v="0"/>
    <n v="0"/>
    <n v="3"/>
    <n v="0"/>
    <n v="0"/>
    <m/>
    <n v="14904"/>
    <n v="0"/>
    <n v="0"/>
    <n v="3"/>
    <n v="14904"/>
    <n v="0"/>
  </r>
  <r>
    <s v="Lhotse-Vestuario"/>
    <x v="4"/>
    <x v="21"/>
    <x v="53"/>
    <s v="LTS26-MTS02BMU"/>
    <x v="520"/>
    <x v="383"/>
    <x v="0"/>
    <x v="0"/>
    <n v="1"/>
    <x v="266"/>
    <n v="2"/>
    <m/>
    <n v="0"/>
    <n v="5137"/>
    <n v="10274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6"/>
    <n v="0.5114907915174185"/>
    <n v="16"/>
    <n v="0.4558442848157834"/>
    <n v="6"/>
    <n v="0.5045964987182887"/>
    <n v="2"/>
    <n v="0.39980514025934"/>
    <n v="1"/>
    <n v="0.5468818800686075"/>
    <n v="1"/>
    <n v="0.4562295035257931"/>
    <n v="0.2985074626865671"/>
    <n v="1"/>
    <n v="0.3880900900900901"/>
    <n v="0.2941176470588235"/>
    <n v="1"/>
    <n v="0.2801236457842675"/>
    <n v="0.09900990099009901"/>
    <n v="0"/>
    <s v=""/>
    <n v="0"/>
    <n v="0"/>
    <s v=""/>
    <n v="0"/>
    <m/>
    <m/>
    <m/>
    <m/>
    <m/>
    <m/>
    <m/>
    <m/>
    <m/>
    <m/>
    <m/>
    <m/>
    <n v="5"/>
    <n v="3"/>
    <n v="5"/>
    <n v="0"/>
    <n v="0"/>
    <n v="0"/>
    <n v="46233"/>
    <n v="14904"/>
    <n v="25685"/>
    <n v="0"/>
    <n v="2"/>
    <n v="10274"/>
    <n v="52927.05317421087"/>
    <n v="2.7"/>
    <n v="9"/>
    <n v="3"/>
    <n v="0"/>
    <n v="0"/>
    <n v="0"/>
    <n v="25685"/>
    <n v="44712"/>
    <n v="15411"/>
    <n v="0"/>
    <n v="2"/>
    <n v="10274"/>
    <n v="31756.23190452652"/>
    <n v="4.86"/>
    <n v="7"/>
    <n v="1"/>
    <n v="0"/>
    <n v="0"/>
    <n v="27165.2"/>
    <n v="35959"/>
    <n v="5137"/>
    <n v="0"/>
    <n v="2"/>
    <n v="10274"/>
    <n v="12596.63865546219"/>
    <n v="3.35"/>
    <n v="6"/>
    <n v="1"/>
    <n v="0"/>
    <n v="0"/>
    <n v="29808"/>
    <n v="5137"/>
    <n v="0"/>
    <n v="0"/>
    <n v="2"/>
    <n v="10274"/>
    <n v="12596.63865546219"/>
    <n v="3.4"/>
    <n v="3"/>
    <n v="3.4"/>
    <m/>
    <n v="0"/>
    <n v="0"/>
    <n v="15411"/>
    <n v="16891.2"/>
    <n v="0"/>
    <n v="0"/>
    <n v="2"/>
    <n v="10274"/>
    <n v="42828.57142857143"/>
    <n v="10.1"/>
    <n v="3"/>
    <n v="1"/>
    <m/>
    <n v="0"/>
    <n v="0"/>
    <n v="15411"/>
    <n v="4968"/>
    <n v="0"/>
    <n v="0"/>
    <n v="3"/>
    <n v="10274"/>
    <n v="12596.63865546219"/>
    <n v="1"/>
    <n v="2"/>
    <n v="0"/>
    <n v="0"/>
    <n v="0"/>
    <n v="0"/>
    <n v="10274"/>
    <n v="0"/>
    <n v="0"/>
    <n v="0"/>
    <n v="2"/>
    <n v="10274"/>
    <n v="0"/>
    <n v="1"/>
    <n v="2"/>
    <n v="1"/>
    <n v="0"/>
    <n v="0"/>
    <n v="0"/>
    <n v="10274"/>
    <n v="4968"/>
    <n v="0"/>
    <n v="0"/>
    <n v="2"/>
    <n v="10274"/>
    <n v="12596.63865546219"/>
    <n v="1"/>
    <n v="1"/>
    <n v="1"/>
    <n v="0"/>
    <n v="0"/>
    <n v="0"/>
    <n v="4968"/>
    <n v="4968"/>
    <n v="0"/>
    <n v="0"/>
    <n v="1"/>
    <n v="4968"/>
    <n v="12596.6386554621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3"/>
    <s v="LTS26-MTS02BMU"/>
    <x v="521"/>
    <x v="383"/>
    <x v="0"/>
    <x v="0"/>
    <n v="1"/>
    <x v="267"/>
    <n v="13"/>
    <m/>
    <n v="0"/>
    <n v="5187"/>
    <n v="67431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1"/>
    <n v="0.4466234106316739"/>
    <n v="6"/>
    <n v="0.3592020108075978"/>
    <n v="1"/>
    <n v="0.5882353063803728"/>
    <n v="0"/>
    <s v=""/>
    <n v="0"/>
    <s v=""/>
    <n v="0"/>
    <n v="0"/>
    <s v=""/>
    <n v="0"/>
    <n v="1"/>
    <n v="0.2276664164164164"/>
    <n v="0.09900990099009901"/>
    <n v="1"/>
    <n v="0.3822532532532533"/>
    <n v="0.2"/>
    <n v="0"/>
    <s v=""/>
    <n v="0"/>
    <m/>
    <m/>
    <m/>
    <m/>
    <m/>
    <m/>
    <m/>
    <m/>
    <m/>
    <m/>
    <m/>
    <m/>
    <n v="4"/>
    <n v="17"/>
    <n v="4"/>
    <n v="0"/>
    <n v="0"/>
    <n v="0"/>
    <n v="28528.5"/>
    <n v="84456"/>
    <n v="20748"/>
    <n v="0"/>
    <n v="13"/>
    <n v="67431"/>
    <n v="42341.64253936869"/>
    <n v="2.7"/>
    <n v="14"/>
    <n v="1.5"/>
    <n v="0"/>
    <n v="0"/>
    <n v="0"/>
    <n v="7780.5"/>
    <n v="69552"/>
    <n v="7780.5"/>
    <n v="0"/>
    <n v="13"/>
    <n v="67431"/>
    <n v="15878.11595226326"/>
    <n v="4.86"/>
    <n v="13"/>
    <n v="0"/>
    <n v="0"/>
    <n v="0"/>
    <n v="16891.2"/>
    <n v="67431"/>
    <n v="0"/>
    <n v="0"/>
    <n v="13"/>
    <n v="67431"/>
    <n v="0"/>
    <n v="3.35"/>
    <n v="14"/>
    <n v="0"/>
    <n v="0"/>
    <n v="0"/>
    <n v="69552"/>
    <n v="0"/>
    <n v="0"/>
    <n v="0"/>
    <n v="13"/>
    <n v="67431"/>
    <n v="0"/>
    <n v="3.4"/>
    <n v="13"/>
    <n v="3.4"/>
    <m/>
    <n v="0"/>
    <n v="0"/>
    <n v="67431"/>
    <n v="16891.2"/>
    <n v="0"/>
    <n v="0"/>
    <n v="13"/>
    <n v="67431"/>
    <n v="42828.57142857143"/>
    <n v="10.1"/>
    <n v="14"/>
    <n v="1"/>
    <m/>
    <n v="0"/>
    <n v="0"/>
    <n v="72618"/>
    <n v="4968"/>
    <n v="0"/>
    <n v="0"/>
    <n v="14"/>
    <n v="67431"/>
    <n v="12596.63865546219"/>
    <n v="5"/>
    <n v="14"/>
    <n v="1"/>
    <n v="0"/>
    <n v="0"/>
    <n v="0"/>
    <n v="72618"/>
    <n v="4968"/>
    <n v="0"/>
    <n v="0"/>
    <n v="14"/>
    <n v="67431"/>
    <n v="12596.63865546219"/>
    <n v="5"/>
    <n v="13"/>
    <n v="5"/>
    <n v="0"/>
    <n v="0"/>
    <n v="0"/>
    <n v="67431"/>
    <n v="24840"/>
    <n v="0"/>
    <n v="0"/>
    <n v="13"/>
    <n v="67431"/>
    <n v="62983.19327731093"/>
    <n v="5"/>
    <n v="8"/>
    <n v="5"/>
    <n v="0"/>
    <n v="0"/>
    <n v="0"/>
    <n v="39744"/>
    <n v="24840"/>
    <n v="0"/>
    <n v="0"/>
    <n v="8"/>
    <n v="39744"/>
    <n v="62983.19327731093"/>
    <n v="0"/>
    <n v="3"/>
    <n v="0"/>
    <n v="0"/>
    <n v="0"/>
    <n v="0"/>
    <m/>
    <n v="14904"/>
    <n v="0"/>
    <n v="0"/>
    <n v="0"/>
    <n v="3"/>
    <n v="14904"/>
    <n v="0"/>
    <n v="0"/>
    <n v="3"/>
    <n v="0"/>
    <n v="0"/>
    <n v="0"/>
    <n v="14904"/>
    <n v="0"/>
    <n v="0"/>
    <n v="0"/>
    <n v="3"/>
    <n v="14904"/>
    <n v="0"/>
    <n v="0"/>
    <n v="3"/>
    <n v="0"/>
    <n v="0"/>
    <n v="0"/>
    <n v="14904"/>
    <n v="0"/>
    <n v="0"/>
    <n v="3"/>
    <n v="14904"/>
    <n v="0"/>
    <n v="0"/>
    <n v="3"/>
    <n v="0"/>
    <n v="0"/>
    <m/>
    <n v="14904"/>
    <n v="0"/>
    <n v="0"/>
    <n v="3"/>
    <n v="14904"/>
    <n v="0"/>
  </r>
  <r>
    <m/>
    <x v="4"/>
    <x v="21"/>
    <x v="53"/>
    <s v="LTS26-MTS02BMU"/>
    <x v="522"/>
    <x v="383"/>
    <x v="0"/>
    <x v="0"/>
    <n v="1"/>
    <x v="268"/>
    <n v="8"/>
    <m/>
    <n v="0"/>
    <n v="5341"/>
    <n v="42728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6"/>
    <n v="0.4019483427888922"/>
    <n v="2"/>
    <n v="0.4653653806565685"/>
    <n v="1"/>
    <n v="0.3792846497114044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3"/>
    <n v="7"/>
    <n v="3"/>
    <n v="0"/>
    <n v="0"/>
    <n v="0"/>
    <n v="24034.5"/>
    <n v="34776"/>
    <n v="16023"/>
    <n v="0"/>
    <n v="8"/>
    <n v="42728"/>
    <n v="31756.23190452652"/>
    <n v="2"/>
    <n v="7"/>
    <n v="1.5"/>
    <n v="0"/>
    <n v="0"/>
    <n v="0"/>
    <n v="8011.5"/>
    <n v="34776"/>
    <n v="8011.5"/>
    <n v="0"/>
    <n v="8"/>
    <n v="42728"/>
    <n v="15878.11595226326"/>
    <n v="2.106"/>
    <n v="6"/>
    <n v="0"/>
    <n v="0"/>
    <n v="0"/>
    <n v="7948.8"/>
    <n v="32046"/>
    <n v="0"/>
    <n v="0"/>
    <n v="8"/>
    <n v="42728"/>
    <n v="0"/>
    <n v="1.55"/>
    <n v="8"/>
    <n v="0"/>
    <n v="0"/>
    <n v="0"/>
    <n v="39744"/>
    <n v="0"/>
    <n v="0"/>
    <n v="0"/>
    <n v="8"/>
    <n v="42728"/>
    <n v="0"/>
    <n v="1.6"/>
    <n v="8"/>
    <n v="1.6"/>
    <m/>
    <n v="0"/>
    <n v="0"/>
    <n v="42728"/>
    <n v="7948.8"/>
    <n v="0"/>
    <n v="0"/>
    <n v="8"/>
    <n v="42728"/>
    <n v="20154.6218487395"/>
    <n v="4.7"/>
    <n v="8"/>
    <n v="0"/>
    <m/>
    <n v="0"/>
    <n v="0"/>
    <n v="42728"/>
    <n v="0"/>
    <n v="0"/>
    <n v="0"/>
    <n v="8"/>
    <n v="42728"/>
    <n v="0"/>
    <n v="3"/>
    <n v="8"/>
    <n v="0"/>
    <n v="0"/>
    <n v="0"/>
    <n v="0"/>
    <n v="42728"/>
    <n v="0"/>
    <n v="0"/>
    <n v="0"/>
    <n v="8"/>
    <n v="42728"/>
    <n v="0"/>
    <n v="3"/>
    <n v="8"/>
    <n v="3"/>
    <n v="0"/>
    <n v="0"/>
    <n v="0"/>
    <n v="42728"/>
    <n v="14904"/>
    <n v="0"/>
    <n v="0"/>
    <n v="8"/>
    <n v="42728"/>
    <n v="37789.91596638656"/>
    <n v="3"/>
    <n v="5"/>
    <n v="3"/>
    <n v="0"/>
    <n v="0"/>
    <n v="0"/>
    <n v="24840"/>
    <n v="14904"/>
    <n v="0"/>
    <n v="0"/>
    <n v="5"/>
    <n v="24840"/>
    <n v="37789.91596638656"/>
    <n v="0"/>
    <n v="2"/>
    <n v="0"/>
    <n v="0"/>
    <n v="0"/>
    <n v="0"/>
    <m/>
    <n v="9936"/>
    <n v="0"/>
    <n v="0"/>
    <n v="0"/>
    <n v="2"/>
    <n v="9936"/>
    <n v="0"/>
    <n v="0"/>
    <n v="2"/>
    <n v="0"/>
    <n v="0"/>
    <n v="0"/>
    <n v="9936"/>
    <n v="0"/>
    <n v="0"/>
    <n v="0"/>
    <n v="2"/>
    <n v="9936"/>
    <n v="0"/>
    <n v="0"/>
    <n v="2"/>
    <n v="0"/>
    <n v="0"/>
    <n v="0"/>
    <n v="9936"/>
    <n v="0"/>
    <n v="0"/>
    <n v="2"/>
    <n v="9936"/>
    <n v="0"/>
    <n v="0"/>
    <n v="2"/>
    <n v="0"/>
    <n v="0"/>
    <m/>
    <n v="9936"/>
    <n v="0"/>
    <n v="0"/>
    <n v="2"/>
    <n v="9936"/>
    <n v="0"/>
  </r>
  <r>
    <m/>
    <x v="4"/>
    <x v="21"/>
    <x v="53"/>
    <s v="LTS26-MTS02BMU"/>
    <x v="523"/>
    <x v="383"/>
    <x v="0"/>
    <x v="0"/>
    <n v="1"/>
    <x v="269"/>
    <n v="0"/>
    <m/>
    <n v="0"/>
    <n v="5242"/>
    <n v="0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8"/>
    <n v="0.408969191307044"/>
    <n v="2"/>
    <n v="0.535839174620079"/>
    <n v="0"/>
    <s v=""/>
    <n v="0"/>
    <s v=""/>
    <n v="2"/>
    <n v="0.4799735694811794"/>
    <n v="1.290322580645161"/>
    <n v="1"/>
    <n v="0"/>
    <n v="0.625"/>
    <n v="1"/>
    <n v="0.3061361361361361"/>
    <n v="0.2127659574468085"/>
    <n v="1"/>
    <n v="0"/>
    <n v="1"/>
    <n v="0"/>
    <s v=""/>
    <n v="0"/>
    <m/>
    <m/>
    <m/>
    <m/>
    <m/>
    <m/>
    <m/>
    <m/>
    <m/>
    <m/>
    <m/>
    <m/>
    <n v="5"/>
    <n v="3"/>
    <n v="5"/>
    <n v="0"/>
    <n v="0"/>
    <n v="0"/>
    <n v="26210"/>
    <n v="14904"/>
    <n v="26210"/>
    <n v="0"/>
    <n v="0"/>
    <n v="0"/>
    <n v="52927.05317421087"/>
    <n v="2"/>
    <n v="3"/>
    <n v="0"/>
    <n v="0"/>
    <n v="0"/>
    <n v="0"/>
    <n v="10484"/>
    <n v="14904"/>
    <n v="0"/>
    <n v="0"/>
    <n v="0"/>
    <n v="0"/>
    <n v="0"/>
    <n v="2.106"/>
    <n v="3"/>
    <n v="0"/>
    <n v="0"/>
    <n v="0"/>
    <n v="18432.8"/>
    <n v="15726"/>
    <n v="0"/>
    <n v="0"/>
    <n v="0"/>
    <n v="0"/>
    <n v="0"/>
    <n v="1.55"/>
    <n v="3"/>
    <n v="2"/>
    <n v="0"/>
    <n v="0"/>
    <n v="14904"/>
    <n v="10484"/>
    <n v="0"/>
    <n v="0"/>
    <n v="0"/>
    <n v="0"/>
    <n v="25193.27731092437"/>
    <n v="1.6"/>
    <n v="1"/>
    <n v="1.6"/>
    <m/>
    <n v="0"/>
    <n v="0"/>
    <n v="5242"/>
    <n v="7948.8"/>
    <n v="0"/>
    <n v="0"/>
    <n v="0"/>
    <n v="0"/>
    <n v="20154.6218487395"/>
    <n v="4.7"/>
    <n v="1"/>
    <n v="1"/>
    <m/>
    <n v="0"/>
    <n v="0"/>
    <n v="5242"/>
    <n v="4968"/>
    <n v="0"/>
    <n v="0"/>
    <n v="1"/>
    <n v="0"/>
    <n v="12596.63865546219"/>
    <n v="1"/>
    <n v="1"/>
    <n v="1"/>
    <n v="0"/>
    <n v="0"/>
    <n v="0"/>
    <n v="5242"/>
    <n v="4968"/>
    <n v="0"/>
    <n v="0"/>
    <n v="1"/>
    <n v="0"/>
    <n v="12596.63865546219"/>
    <n v="1"/>
    <n v="0"/>
    <n v="1"/>
    <n v="0"/>
    <n v="0"/>
    <n v="0"/>
    <n v="0"/>
    <n v="4968"/>
    <n v="0"/>
    <n v="0"/>
    <n v="0"/>
    <n v="0"/>
    <n v="12596.63865546219"/>
    <n v="1"/>
    <n v="0"/>
    <n v="1"/>
    <n v="0"/>
    <n v="0"/>
    <n v="0"/>
    <n v="0"/>
    <n v="4968"/>
    <n v="0"/>
    <n v="0"/>
    <n v="0"/>
    <n v="0"/>
    <n v="12596.63865546219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3"/>
    <s v="LTS26-MTS02BMY"/>
    <x v="524"/>
    <x v="384"/>
    <x v="0"/>
    <x v="0"/>
    <n v="1"/>
    <x v="270"/>
    <n v="29"/>
    <m/>
    <n v="0"/>
    <n v="5559"/>
    <n v="161211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1426844014510278"/>
    <n v="19"/>
    <n v="0.4120761627101492"/>
    <n v="3"/>
    <n v="0.4842111833338832"/>
    <n v="1"/>
    <n v="0.5587044650884027"/>
    <n v="0"/>
    <s v=""/>
    <n v="2"/>
    <n v="0.4311879806060742"/>
    <n v="0.5970149253731343"/>
    <n v="1"/>
    <n v="0.5587204803202135"/>
    <n v="0.2941176470588235"/>
    <n v="1"/>
    <n v="0.3378218218218219"/>
    <n v="0.09900990099009901"/>
    <n v="1"/>
    <n v="0.3378218218218219"/>
    <n v="0.09090909090909091"/>
    <n v="1"/>
    <n v="0.3378218218218219"/>
    <n v="0.09090909090909091"/>
    <m/>
    <m/>
    <m/>
    <m/>
    <m/>
    <m/>
    <m/>
    <m/>
    <m/>
    <m/>
    <m/>
    <m/>
    <n v="3"/>
    <n v="26"/>
    <n v="3"/>
    <n v="0"/>
    <n v="0"/>
    <n v="0"/>
    <n v="25015.5"/>
    <n v="129168"/>
    <n v="16677"/>
    <n v="0"/>
    <n v="29"/>
    <n v="161211"/>
    <n v="31756.23190452652"/>
    <n v="2.7"/>
    <n v="32"/>
    <n v="1.5"/>
    <n v="0"/>
    <n v="0"/>
    <n v="0"/>
    <n v="19456.5"/>
    <n v="158976"/>
    <n v="8338.5"/>
    <n v="0"/>
    <n v="29"/>
    <n v="161211"/>
    <n v="15878.11595226326"/>
    <n v="4.86"/>
    <n v="30"/>
    <n v="0"/>
    <n v="0"/>
    <n v="0"/>
    <n v="28009.2"/>
    <n v="166770"/>
    <n v="0"/>
    <n v="0"/>
    <n v="29"/>
    <n v="161211"/>
    <n v="0"/>
    <n v="3.35"/>
    <n v="35"/>
    <n v="2"/>
    <n v="0"/>
    <n v="0"/>
    <n v="173880"/>
    <n v="11118"/>
    <n v="0"/>
    <n v="0"/>
    <n v="29"/>
    <n v="161211"/>
    <n v="25193.27731092437"/>
    <n v="3.4"/>
    <n v="30"/>
    <n v="3.4"/>
    <m/>
    <n v="0"/>
    <n v="0"/>
    <n v="166770"/>
    <n v="16891.2"/>
    <n v="0"/>
    <n v="0"/>
    <n v="29"/>
    <n v="161211"/>
    <n v="42828.57142857143"/>
    <n v="10.1"/>
    <n v="30"/>
    <n v="1"/>
    <m/>
    <n v="0"/>
    <n v="0"/>
    <n v="166770"/>
    <n v="4968"/>
    <n v="0"/>
    <n v="0"/>
    <n v="30"/>
    <n v="161211"/>
    <n v="12596.63865546219"/>
    <n v="11"/>
    <n v="30"/>
    <n v="1"/>
    <n v="0"/>
    <n v="0"/>
    <n v="0"/>
    <n v="166770"/>
    <n v="4968"/>
    <n v="0"/>
    <n v="0"/>
    <n v="30"/>
    <n v="161211"/>
    <n v="12596.63865546219"/>
    <n v="11"/>
    <n v="29"/>
    <n v="11"/>
    <n v="0"/>
    <n v="0"/>
    <n v="0"/>
    <n v="161211"/>
    <n v="54648"/>
    <n v="0"/>
    <n v="0"/>
    <n v="29"/>
    <n v="161211"/>
    <n v="138563.025210084"/>
    <n v="11"/>
    <n v="18"/>
    <n v="11"/>
    <n v="0"/>
    <n v="0"/>
    <n v="0"/>
    <n v="89424"/>
    <n v="54648"/>
    <n v="0"/>
    <n v="0"/>
    <n v="18"/>
    <n v="89424"/>
    <n v="138563.025210084"/>
    <n v="0"/>
    <n v="7"/>
    <n v="0"/>
    <n v="0"/>
    <n v="0"/>
    <n v="0"/>
    <m/>
    <n v="34776"/>
    <n v="0"/>
    <n v="0"/>
    <n v="0"/>
    <n v="7"/>
    <n v="34776"/>
    <n v="0"/>
    <n v="0"/>
    <n v="7"/>
    <n v="0"/>
    <n v="0"/>
    <n v="0"/>
    <n v="34776"/>
    <n v="0"/>
    <n v="0"/>
    <n v="0"/>
    <n v="7"/>
    <n v="34776"/>
    <n v="0"/>
    <n v="0"/>
    <n v="7"/>
    <n v="0"/>
    <n v="0"/>
    <n v="0"/>
    <n v="34776"/>
    <n v="0"/>
    <n v="0"/>
    <n v="7"/>
    <n v="34776"/>
    <n v="0"/>
    <n v="0"/>
    <n v="7"/>
    <n v="0"/>
    <n v="0"/>
    <m/>
    <n v="34776"/>
    <n v="0"/>
    <n v="0"/>
    <n v="7"/>
    <n v="34776"/>
    <n v="0"/>
  </r>
  <r>
    <s v="Lhotse-Vestuario"/>
    <x v="4"/>
    <x v="21"/>
    <x v="53"/>
    <s v="LTS26-MTS02BMY"/>
    <x v="525"/>
    <x v="384"/>
    <x v="0"/>
    <x v="0"/>
    <n v="1"/>
    <x v="271"/>
    <n v="44"/>
    <m/>
    <n v="0"/>
    <n v="5401"/>
    <n v="237644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1615668883961567"/>
    <n v="10"/>
    <n v="0.4287080594757504"/>
    <n v="5"/>
    <n v="0.476596578531592"/>
    <n v="3"/>
    <n v="0.3876247407046826"/>
    <n v="0"/>
    <s v=""/>
    <n v="1"/>
    <n v="0"/>
    <n v="0.2985074626865671"/>
    <n v="1"/>
    <n v="0.3566426426426427"/>
    <n v="0.2941176470588235"/>
    <n v="0"/>
    <s v=""/>
    <n v="0"/>
    <n v="1"/>
    <n v="0.3566426426426427"/>
    <n v="0.06666666666666667"/>
    <n v="0"/>
    <s v=""/>
    <n v="0"/>
    <m/>
    <m/>
    <m/>
    <m/>
    <m/>
    <m/>
    <m/>
    <m/>
    <m/>
    <m/>
    <m/>
    <m/>
    <n v="2"/>
    <n v="48"/>
    <n v="2"/>
    <n v="0"/>
    <n v="0"/>
    <n v="0"/>
    <n v="35106.5"/>
    <n v="238464"/>
    <n v="10802"/>
    <n v="0"/>
    <n v="44"/>
    <n v="237644"/>
    <n v="21170.82126968435"/>
    <n v="2.7"/>
    <n v="48"/>
    <n v="4.5"/>
    <n v="0"/>
    <n v="0"/>
    <n v="0"/>
    <n v="29705.5"/>
    <n v="238464"/>
    <n v="24304.5"/>
    <n v="0"/>
    <n v="44"/>
    <n v="237644"/>
    <n v="47634.34785678978"/>
    <n v="4.86"/>
    <n v="45"/>
    <n v="0"/>
    <n v="0"/>
    <n v="0"/>
    <n v="22292.2"/>
    <n v="243045"/>
    <n v="0"/>
    <n v="0"/>
    <n v="44"/>
    <n v="237644"/>
    <n v="0"/>
    <n v="3.35"/>
    <n v="47"/>
    <n v="1"/>
    <n v="0"/>
    <n v="0"/>
    <n v="233496"/>
    <n v="5401"/>
    <n v="0"/>
    <n v="0"/>
    <n v="44"/>
    <n v="237644"/>
    <n v="12596.63865546219"/>
    <n v="3.4"/>
    <n v="45"/>
    <n v="3.4"/>
    <m/>
    <n v="0"/>
    <n v="0"/>
    <n v="243045"/>
    <n v="16891.2"/>
    <n v="0"/>
    <n v="0"/>
    <n v="44"/>
    <n v="237644"/>
    <n v="42828.57142857143"/>
    <n v="10.1"/>
    <n v="44"/>
    <n v="0"/>
    <m/>
    <n v="0"/>
    <n v="0"/>
    <n v="237644"/>
    <n v="0"/>
    <n v="0"/>
    <n v="0"/>
    <n v="44"/>
    <n v="237644"/>
    <n v="0"/>
    <n v="15"/>
    <n v="45"/>
    <n v="1"/>
    <n v="0"/>
    <n v="0"/>
    <n v="0"/>
    <n v="243045"/>
    <n v="4968"/>
    <n v="0"/>
    <n v="0"/>
    <n v="45"/>
    <n v="237644"/>
    <n v="12596.63865546219"/>
    <n v="15"/>
    <n v="44"/>
    <n v="15"/>
    <n v="0"/>
    <n v="0"/>
    <n v="0"/>
    <n v="237644"/>
    <n v="74520"/>
    <n v="0"/>
    <n v="0"/>
    <n v="44"/>
    <n v="237644"/>
    <n v="188949.5798319328"/>
    <n v="15"/>
    <n v="29"/>
    <n v="15"/>
    <n v="0"/>
    <n v="0"/>
    <n v="0"/>
    <n v="144072"/>
    <n v="74520"/>
    <n v="0"/>
    <n v="0"/>
    <n v="29"/>
    <n v="144072"/>
    <n v="188949.5798319328"/>
    <n v="0"/>
    <n v="14"/>
    <n v="0"/>
    <n v="0"/>
    <n v="0"/>
    <n v="0"/>
    <m/>
    <n v="69552"/>
    <n v="0"/>
    <n v="0"/>
    <n v="0"/>
    <n v="14"/>
    <n v="69552"/>
    <n v="0"/>
    <n v="0"/>
    <n v="14"/>
    <n v="0"/>
    <n v="0"/>
    <n v="0"/>
    <n v="69552"/>
    <n v="0"/>
    <n v="0"/>
    <n v="0"/>
    <n v="14"/>
    <n v="69552"/>
    <n v="0"/>
    <n v="0"/>
    <n v="14"/>
    <n v="0"/>
    <n v="0"/>
    <n v="0"/>
    <n v="69552"/>
    <n v="0"/>
    <n v="0"/>
    <n v="14"/>
    <n v="69552"/>
    <n v="0"/>
    <n v="0"/>
    <n v="14"/>
    <n v="0"/>
    <n v="0"/>
    <m/>
    <n v="69552"/>
    <n v="0"/>
    <n v="0"/>
    <n v="14"/>
    <n v="69552"/>
    <n v="0"/>
  </r>
  <r>
    <s v="Lhotse-Vestuario"/>
    <x v="4"/>
    <x v="21"/>
    <x v="53"/>
    <s v="LTS26-MTS02BMY"/>
    <x v="526"/>
    <x v="384"/>
    <x v="0"/>
    <x v="0"/>
    <n v="1"/>
    <x v="272"/>
    <n v="26"/>
    <m/>
    <n v="0"/>
    <n v="5602"/>
    <n v="145652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6"/>
    <n v="0.4971531119993474"/>
    <n v="1"/>
    <n v="0.4393393537753666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3"/>
    <n v="24"/>
    <n v="3"/>
    <n v="0"/>
    <n v="0"/>
    <n v="0"/>
    <n v="16806"/>
    <n v="119232"/>
    <n v="16806"/>
    <n v="0"/>
    <n v="26"/>
    <n v="145652"/>
    <n v="31756.23190452652"/>
    <n v="2"/>
    <n v="26"/>
    <n v="0"/>
    <n v="0"/>
    <n v="0"/>
    <n v="0"/>
    <n v="0"/>
    <n v="129168"/>
    <n v="0"/>
    <n v="0"/>
    <n v="26"/>
    <n v="145652"/>
    <n v="0"/>
    <n v="2.106"/>
    <n v="26"/>
    <n v="0"/>
    <n v="0"/>
    <n v="0"/>
    <n v="7948.8"/>
    <n v="145652"/>
    <n v="0"/>
    <n v="0"/>
    <n v="26"/>
    <n v="145652"/>
    <n v="0"/>
    <n v="1.55"/>
    <n v="26"/>
    <n v="0"/>
    <n v="0"/>
    <n v="0"/>
    <n v="129168"/>
    <n v="0"/>
    <n v="0"/>
    <n v="0"/>
    <n v="26"/>
    <n v="145652"/>
    <n v="0"/>
    <n v="1.6"/>
    <n v="26"/>
    <n v="1.6"/>
    <m/>
    <n v="0"/>
    <n v="0"/>
    <n v="145652"/>
    <n v="7948.8"/>
    <n v="0"/>
    <n v="0"/>
    <n v="26"/>
    <n v="145652"/>
    <n v="20154.6218487395"/>
    <n v="4.7"/>
    <n v="26"/>
    <n v="0"/>
    <m/>
    <n v="0"/>
    <n v="0"/>
    <n v="145652"/>
    <n v="0"/>
    <n v="0"/>
    <n v="0"/>
    <n v="26"/>
    <n v="145652"/>
    <n v="0"/>
    <n v="9"/>
    <n v="26"/>
    <n v="0"/>
    <n v="0"/>
    <n v="0"/>
    <n v="0"/>
    <n v="145652"/>
    <n v="0"/>
    <n v="0"/>
    <n v="0"/>
    <n v="26"/>
    <n v="145652"/>
    <n v="0"/>
    <n v="9"/>
    <n v="26"/>
    <n v="9"/>
    <n v="0"/>
    <n v="0"/>
    <n v="0"/>
    <n v="145652"/>
    <n v="44712"/>
    <n v="0"/>
    <n v="0"/>
    <n v="26"/>
    <n v="145652"/>
    <n v="113369.7478991597"/>
    <n v="9"/>
    <n v="17"/>
    <n v="9"/>
    <n v="0"/>
    <n v="0"/>
    <n v="0"/>
    <n v="84456"/>
    <n v="44712"/>
    <n v="0"/>
    <n v="0"/>
    <n v="17"/>
    <n v="84456"/>
    <n v="113369.7478991597"/>
    <n v="0"/>
    <n v="8"/>
    <n v="0"/>
    <n v="0"/>
    <n v="0"/>
    <n v="0"/>
    <m/>
    <n v="39744"/>
    <n v="0"/>
    <n v="0"/>
    <n v="0"/>
    <n v="8"/>
    <n v="39744"/>
    <n v="0"/>
    <n v="0"/>
    <n v="8"/>
    <n v="0"/>
    <n v="0"/>
    <n v="0"/>
    <n v="39744"/>
    <n v="0"/>
    <n v="0"/>
    <n v="0"/>
    <n v="8"/>
    <n v="39744"/>
    <n v="0"/>
    <n v="0"/>
    <n v="8"/>
    <n v="0"/>
    <n v="0"/>
    <n v="0"/>
    <n v="39744"/>
    <n v="0"/>
    <n v="0"/>
    <n v="8"/>
    <n v="39744"/>
    <n v="0"/>
    <n v="0"/>
    <n v="8"/>
    <n v="0"/>
    <n v="0"/>
    <m/>
    <n v="39744"/>
    <n v="0"/>
    <n v="0"/>
    <n v="8"/>
    <n v="39744"/>
    <n v="0"/>
  </r>
  <r>
    <s v="Lhotse-Vestuario"/>
    <x v="4"/>
    <x v="21"/>
    <x v="53"/>
    <s v="LTS26-MTS02BMY"/>
    <x v="527"/>
    <x v="384"/>
    <x v="0"/>
    <x v="0"/>
    <n v="1"/>
    <x v="273"/>
    <n v="13"/>
    <m/>
    <n v="0"/>
    <n v="5699"/>
    <n v="74087"/>
    <n v="4.8"/>
    <n v="5244"/>
    <n v="12596.63865546219"/>
    <n v="8394.957983193277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8"/>
    <n v="0.4434754347001788"/>
    <n v="7"/>
    <n v="0.2775987932360384"/>
    <n v="2"/>
    <n v="0.54759070761293"/>
    <n v="1"/>
    <n v="0.5377844044173691"/>
    <n v="0"/>
    <s v=""/>
    <n v="0"/>
    <n v="0"/>
    <s v=""/>
    <n v="0"/>
    <n v="0"/>
    <s v=""/>
    <n v="0"/>
    <n v="1"/>
    <n v="0.3211451451451451"/>
    <n v="0.2"/>
    <n v="0"/>
    <s v=""/>
    <n v="0"/>
    <m/>
    <m/>
    <m/>
    <m/>
    <m/>
    <m/>
    <m/>
    <m/>
    <m/>
    <m/>
    <m/>
    <m/>
    <n v="3"/>
    <n v="18"/>
    <n v="3"/>
    <n v="0"/>
    <n v="0"/>
    <n v="0"/>
    <n v="39893"/>
    <n v="89424"/>
    <n v="17097"/>
    <n v="0"/>
    <n v="13"/>
    <n v="74087"/>
    <n v="31756.23190452652"/>
    <n v="2"/>
    <n v="17"/>
    <n v="3"/>
    <n v="0"/>
    <n v="0"/>
    <n v="0"/>
    <n v="22796"/>
    <n v="84456"/>
    <n v="17097"/>
    <n v="0"/>
    <n v="13"/>
    <n v="74087"/>
    <n v="31756.23190452652"/>
    <n v="2.106"/>
    <n v="15"/>
    <n v="1"/>
    <n v="0"/>
    <n v="0"/>
    <n v="13647.8"/>
    <n v="85485"/>
    <n v="5699"/>
    <n v="0"/>
    <n v="13"/>
    <n v="74087"/>
    <n v="12596.63865546219"/>
    <n v="1.55"/>
    <n v="15"/>
    <n v="0"/>
    <n v="0"/>
    <n v="0"/>
    <n v="74520"/>
    <n v="0"/>
    <n v="0"/>
    <n v="0"/>
    <n v="13"/>
    <n v="74087"/>
    <n v="0"/>
    <n v="1.6"/>
    <n v="13"/>
    <n v="1.6"/>
    <m/>
    <n v="0"/>
    <n v="0"/>
    <n v="74087"/>
    <n v="7948.8"/>
    <n v="0"/>
    <n v="0"/>
    <n v="13"/>
    <n v="74087"/>
    <n v="20154.6218487395"/>
    <n v="4.7"/>
    <n v="13"/>
    <n v="0"/>
    <m/>
    <n v="0"/>
    <n v="0"/>
    <n v="74087"/>
    <n v="0"/>
    <n v="0"/>
    <n v="0"/>
    <n v="13"/>
    <n v="74087"/>
    <n v="0"/>
    <n v="5"/>
    <n v="14"/>
    <n v="1"/>
    <n v="0"/>
    <n v="0"/>
    <n v="0"/>
    <n v="79786"/>
    <n v="4968"/>
    <n v="0"/>
    <n v="0"/>
    <n v="14"/>
    <n v="74087"/>
    <n v="12596.63865546219"/>
    <n v="5"/>
    <n v="13"/>
    <n v="5"/>
    <n v="0"/>
    <n v="0"/>
    <n v="0"/>
    <n v="74087"/>
    <n v="24840"/>
    <n v="0"/>
    <n v="0"/>
    <n v="13"/>
    <n v="74087"/>
    <n v="62983.19327731093"/>
    <n v="5"/>
    <n v="8"/>
    <n v="5"/>
    <n v="0"/>
    <n v="0"/>
    <n v="0"/>
    <n v="39744"/>
    <n v="24840"/>
    <n v="0"/>
    <n v="0"/>
    <n v="8"/>
    <n v="39744"/>
    <n v="62983.19327731093"/>
    <n v="0"/>
    <n v="3"/>
    <n v="0"/>
    <n v="0"/>
    <n v="0"/>
    <n v="0"/>
    <m/>
    <n v="14904"/>
    <n v="0"/>
    <n v="0"/>
    <n v="0"/>
    <n v="3"/>
    <n v="14904"/>
    <n v="0"/>
    <n v="0"/>
    <n v="3"/>
    <n v="0"/>
    <n v="0"/>
    <n v="0"/>
    <n v="14904"/>
    <n v="0"/>
    <n v="0"/>
    <n v="0"/>
    <n v="3"/>
    <n v="14904"/>
    <n v="0"/>
    <n v="0"/>
    <n v="3"/>
    <n v="0"/>
    <n v="0"/>
    <n v="0"/>
    <n v="14904"/>
    <n v="0"/>
    <n v="0"/>
    <n v="3"/>
    <n v="14904"/>
    <n v="0"/>
    <n v="0"/>
    <n v="3"/>
    <n v="0"/>
    <n v="0"/>
    <m/>
    <n v="14904"/>
    <n v="0"/>
    <n v="0"/>
    <n v="3"/>
    <n v="14904"/>
    <n v="0"/>
  </r>
  <r>
    <m/>
    <x v="4"/>
    <x v="21"/>
    <x v="53"/>
    <s v="LTS27-MTS02"/>
    <x v="528"/>
    <x v="385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49"/>
    <n v="49"/>
    <n v="49"/>
    <n v="0"/>
    <n v="0"/>
    <n v="0"/>
    <n v="243432"/>
    <n v="243432"/>
    <n v="49"/>
    <n v="243432"/>
    <n v="0"/>
    <n v="11"/>
    <n v="49"/>
    <n v="11"/>
    <n v="0"/>
    <n v="0"/>
    <n v="243432"/>
    <n v="54648"/>
    <n v="0"/>
    <n v="0"/>
    <n v="49"/>
    <n v="243432"/>
    <n v="109296"/>
    <n v="14"/>
    <n v="38"/>
    <n v="14"/>
    <n v="0"/>
    <n v="0"/>
    <n v="188784"/>
    <n v="69552"/>
    <n v="0"/>
    <n v="38"/>
    <n v="188784"/>
    <n v="155858.8235294118"/>
    <n v="6.6"/>
    <n v="24"/>
    <n v="6.6"/>
    <n v="0"/>
    <m/>
    <n v="119232"/>
    <n v="29145.6"/>
    <n v="0"/>
    <n v="24"/>
    <n v="119232"/>
    <n v="73476.3025210084"/>
  </r>
  <r>
    <s v="Lhotse-Vestuario"/>
    <x v="4"/>
    <x v="21"/>
    <x v="53"/>
    <s v="LTS27-MTS02"/>
    <x v="529"/>
    <x v="386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49"/>
    <n v="49"/>
    <n v="49"/>
    <n v="0"/>
    <n v="0"/>
    <n v="0"/>
    <n v="243432"/>
    <n v="243432"/>
    <n v="49"/>
    <n v="243432"/>
    <n v="0"/>
    <n v="11"/>
    <n v="49"/>
    <n v="11"/>
    <n v="0"/>
    <n v="0"/>
    <n v="243432"/>
    <n v="54648"/>
    <n v="0"/>
    <n v="0"/>
    <n v="49"/>
    <n v="243432"/>
    <n v="109296"/>
    <n v="14"/>
    <n v="38"/>
    <n v="14"/>
    <n v="0"/>
    <n v="0"/>
    <n v="188784"/>
    <n v="69552"/>
    <n v="0"/>
    <n v="38"/>
    <n v="188784"/>
    <n v="155858.8235294118"/>
    <n v="6.6"/>
    <n v="24"/>
    <n v="6.6"/>
    <n v="0"/>
    <m/>
    <n v="119232"/>
    <n v="29145.6"/>
    <n v="0"/>
    <n v="24"/>
    <n v="119232"/>
    <n v="73476.3025210084"/>
  </r>
  <r>
    <s v="Lhotse-Vestuario"/>
    <x v="4"/>
    <x v="21"/>
    <x v="53"/>
    <s v="LTS27-MTS02"/>
    <x v="530"/>
    <x v="387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49"/>
    <n v="49"/>
    <n v="49"/>
    <n v="0"/>
    <n v="0"/>
    <n v="0"/>
    <n v="243432"/>
    <n v="243432"/>
    <n v="49"/>
    <n v="243432"/>
    <n v="0"/>
    <n v="11"/>
    <n v="49"/>
    <n v="11"/>
    <n v="0"/>
    <n v="0"/>
    <n v="243432"/>
    <n v="54648"/>
    <n v="0"/>
    <n v="0"/>
    <n v="49"/>
    <n v="243432"/>
    <n v="109296"/>
    <n v="14"/>
    <n v="38"/>
    <n v="14"/>
    <n v="0"/>
    <n v="0"/>
    <n v="188784"/>
    <n v="69552"/>
    <n v="0"/>
    <n v="38"/>
    <n v="188784"/>
    <n v="155858.8235294118"/>
    <n v="6.6"/>
    <n v="24"/>
    <n v="6.6"/>
    <n v="0"/>
    <m/>
    <n v="119232"/>
    <n v="29145.6"/>
    <n v="0"/>
    <n v="24"/>
    <n v="119232"/>
    <n v="73476.3025210084"/>
  </r>
  <r>
    <s v="Lhotse-Vestuario"/>
    <x v="4"/>
    <x v="21"/>
    <x v="53"/>
    <s v="LTS27-MTS02"/>
    <x v="531"/>
    <x v="388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49"/>
    <n v="49"/>
    <n v="49"/>
    <n v="0"/>
    <n v="0"/>
    <n v="0"/>
    <n v="243432"/>
    <n v="243432"/>
    <n v="49"/>
    <n v="243432"/>
    <n v="0"/>
    <n v="11"/>
    <n v="49"/>
    <n v="11"/>
    <n v="0"/>
    <n v="0"/>
    <n v="243432"/>
    <n v="54648"/>
    <n v="0"/>
    <n v="0"/>
    <n v="49"/>
    <n v="243432"/>
    <n v="109296"/>
    <n v="14"/>
    <n v="38"/>
    <n v="14"/>
    <n v="0"/>
    <n v="0"/>
    <n v="188784"/>
    <n v="69552"/>
    <n v="0"/>
    <n v="38"/>
    <n v="188784"/>
    <n v="155858.8235294118"/>
    <n v="6.6"/>
    <n v="24"/>
    <n v="6.6"/>
    <n v="0"/>
    <m/>
    <n v="119232"/>
    <n v="29145.6"/>
    <n v="0"/>
    <n v="24"/>
    <n v="119232"/>
    <n v="73476.3025210084"/>
  </r>
  <r>
    <s v="Lhotse-Vestuario"/>
    <x v="4"/>
    <x v="21"/>
    <x v="53"/>
    <s v="LTS27-MTS02"/>
    <x v="532"/>
    <x v="389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49"/>
    <n v="49"/>
    <n v="49"/>
    <n v="0"/>
    <n v="0"/>
    <n v="0"/>
    <n v="243432"/>
    <n v="243432"/>
    <n v="49"/>
    <n v="243432"/>
    <n v="0"/>
    <n v="11"/>
    <n v="49"/>
    <n v="11"/>
    <n v="0"/>
    <n v="0"/>
    <n v="243432"/>
    <n v="54648"/>
    <n v="0"/>
    <n v="0"/>
    <n v="49"/>
    <n v="243432"/>
    <n v="109296"/>
    <n v="14"/>
    <n v="38"/>
    <n v="14"/>
    <n v="0"/>
    <n v="0"/>
    <n v="188784"/>
    <n v="69552"/>
    <n v="0"/>
    <n v="38"/>
    <n v="188784"/>
    <n v="155858.8235294118"/>
    <n v="6.6"/>
    <n v="24"/>
    <n v="6.6"/>
    <n v="0"/>
    <m/>
    <n v="119232"/>
    <n v="29145.6"/>
    <n v="0"/>
    <n v="24"/>
    <n v="119232"/>
    <n v="73476.3025210084"/>
  </r>
  <r>
    <m/>
    <x v="4"/>
    <x v="21"/>
    <x v="53"/>
    <s v="LTS27-MTS02"/>
    <x v="533"/>
    <x v="390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44"/>
    <n v="44"/>
    <n v="44"/>
    <n v="0"/>
    <n v="0"/>
    <n v="0"/>
    <n v="218592"/>
    <n v="218592"/>
    <n v="44"/>
    <n v="218592"/>
    <n v="0"/>
    <n v="10"/>
    <n v="44"/>
    <n v="10"/>
    <n v="0"/>
    <n v="0"/>
    <n v="218592"/>
    <n v="49680"/>
    <n v="0"/>
    <n v="0"/>
    <n v="44"/>
    <n v="218592"/>
    <n v="99360.00000000001"/>
    <n v="12"/>
    <n v="34"/>
    <n v="12"/>
    <n v="0"/>
    <n v="0"/>
    <n v="168912"/>
    <n v="59616"/>
    <n v="0"/>
    <n v="34"/>
    <n v="168912"/>
    <n v="133593.2773109244"/>
    <n v="6"/>
    <n v="22"/>
    <n v="6"/>
    <n v="0"/>
    <m/>
    <n v="109296"/>
    <n v="26496"/>
    <n v="0"/>
    <n v="22"/>
    <n v="109296"/>
    <n v="66796.63865546219"/>
  </r>
  <r>
    <m/>
    <x v="4"/>
    <x v="21"/>
    <x v="53"/>
    <s v="LTS27-MTS02"/>
    <x v="534"/>
    <x v="391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44"/>
    <n v="44"/>
    <n v="44"/>
    <n v="0"/>
    <n v="0"/>
    <n v="0"/>
    <n v="218592"/>
    <n v="218592"/>
    <n v="44"/>
    <n v="218592"/>
    <n v="0"/>
    <n v="10"/>
    <n v="44"/>
    <n v="10"/>
    <n v="0"/>
    <n v="0"/>
    <n v="218592"/>
    <n v="49680"/>
    <n v="0"/>
    <n v="0"/>
    <n v="44"/>
    <n v="218592"/>
    <n v="99360.00000000001"/>
    <n v="12"/>
    <n v="34"/>
    <n v="12"/>
    <n v="0"/>
    <n v="0"/>
    <n v="168912"/>
    <n v="59616"/>
    <n v="0"/>
    <n v="34"/>
    <n v="168912"/>
    <n v="133593.2773109244"/>
    <n v="6"/>
    <n v="22"/>
    <n v="6"/>
    <n v="0"/>
    <m/>
    <n v="109296"/>
    <n v="26496"/>
    <n v="0"/>
    <n v="22"/>
    <n v="109296"/>
    <n v="66796.63865546219"/>
  </r>
  <r>
    <m/>
    <x v="4"/>
    <x v="21"/>
    <x v="53"/>
    <s v="LTS27-MTS02"/>
    <x v="535"/>
    <x v="392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44"/>
    <n v="44"/>
    <n v="44"/>
    <n v="0"/>
    <n v="0"/>
    <n v="0"/>
    <n v="218592"/>
    <n v="218592"/>
    <n v="44"/>
    <n v="218592"/>
    <n v="0"/>
    <n v="10"/>
    <n v="44"/>
    <n v="10"/>
    <n v="0"/>
    <n v="0"/>
    <n v="218592"/>
    <n v="49680"/>
    <n v="0"/>
    <n v="0"/>
    <n v="44"/>
    <n v="218592"/>
    <n v="99360.00000000001"/>
    <n v="12"/>
    <n v="34"/>
    <n v="12"/>
    <n v="0"/>
    <n v="0"/>
    <n v="168912"/>
    <n v="59616"/>
    <n v="0"/>
    <n v="34"/>
    <n v="168912"/>
    <n v="133593.2773109244"/>
    <n v="6"/>
    <n v="22"/>
    <n v="6"/>
    <n v="0"/>
    <m/>
    <n v="109296"/>
    <n v="26496"/>
    <n v="0"/>
    <n v="22"/>
    <n v="109296"/>
    <n v="66796.63865546219"/>
  </r>
  <r>
    <m/>
    <x v="4"/>
    <x v="21"/>
    <x v="53"/>
    <s v="LTS27-MTS02"/>
    <x v="536"/>
    <x v="393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44"/>
    <n v="44"/>
    <n v="44"/>
    <n v="0"/>
    <n v="0"/>
    <n v="0"/>
    <n v="218592"/>
    <n v="218592"/>
    <n v="44"/>
    <n v="218592"/>
    <n v="0"/>
    <n v="10"/>
    <n v="44"/>
    <n v="10"/>
    <n v="0"/>
    <n v="0"/>
    <n v="218592"/>
    <n v="49680"/>
    <n v="0"/>
    <n v="0"/>
    <n v="44"/>
    <n v="218592"/>
    <n v="99360.00000000001"/>
    <n v="12"/>
    <n v="34"/>
    <n v="12"/>
    <n v="0"/>
    <n v="0"/>
    <n v="168912"/>
    <n v="59616"/>
    <n v="0"/>
    <n v="34"/>
    <n v="168912"/>
    <n v="133593.2773109244"/>
    <n v="6"/>
    <n v="22"/>
    <n v="6"/>
    <n v="0"/>
    <m/>
    <n v="109296"/>
    <n v="26496"/>
    <n v="0"/>
    <n v="22"/>
    <n v="109296"/>
    <n v="66796.63865546219"/>
  </r>
  <r>
    <s v="Lhotse-Vestuario"/>
    <x v="4"/>
    <x v="21"/>
    <x v="53"/>
    <s v="LTS27-MTS02"/>
    <x v="537"/>
    <x v="394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44"/>
    <n v="44"/>
    <n v="44"/>
    <n v="0"/>
    <n v="0"/>
    <n v="0"/>
    <n v="218592"/>
    <n v="218592"/>
    <n v="44"/>
    <n v="218592"/>
    <n v="0"/>
    <n v="10"/>
    <n v="44"/>
    <n v="10"/>
    <n v="0"/>
    <n v="0"/>
    <n v="218592"/>
    <n v="49680"/>
    <n v="0"/>
    <n v="0"/>
    <n v="44"/>
    <n v="218592"/>
    <n v="99360.00000000001"/>
    <n v="12"/>
    <n v="34"/>
    <n v="12"/>
    <n v="0"/>
    <n v="0"/>
    <n v="168912"/>
    <n v="59616"/>
    <n v="0"/>
    <n v="34"/>
    <n v="168912"/>
    <n v="133593.2773109244"/>
    <n v="6"/>
    <n v="22"/>
    <n v="6"/>
    <n v="0"/>
    <m/>
    <n v="109296"/>
    <n v="26496"/>
    <n v="0"/>
    <n v="22"/>
    <n v="109296"/>
    <n v="66796.63865546219"/>
  </r>
  <r>
    <s v="Lhotse-Vestuario"/>
    <x v="4"/>
    <x v="21"/>
    <x v="53"/>
    <s v="LTS27-MTS02"/>
    <x v="538"/>
    <x v="395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6"/>
    <n v="16"/>
    <n v="16"/>
    <n v="0"/>
    <n v="0"/>
    <n v="0"/>
    <n v="79488"/>
    <n v="79488"/>
    <n v="16"/>
    <n v="79488"/>
    <n v="0"/>
    <n v="4"/>
    <n v="16"/>
    <n v="4"/>
    <n v="0"/>
    <n v="0"/>
    <n v="79488"/>
    <n v="19872"/>
    <n v="0"/>
    <n v="0"/>
    <n v="16"/>
    <n v="79488"/>
    <n v="39744"/>
    <n v="4"/>
    <n v="12"/>
    <n v="4"/>
    <n v="0"/>
    <n v="0"/>
    <n v="59616"/>
    <n v="19872"/>
    <n v="0"/>
    <n v="12"/>
    <n v="59616"/>
    <n v="44531.0924369748"/>
    <n v="2.4"/>
    <n v="8"/>
    <n v="2.4"/>
    <n v="0"/>
    <m/>
    <n v="39744"/>
    <n v="10598.4"/>
    <n v="0"/>
    <n v="8"/>
    <n v="39744"/>
    <n v="26718.65546218488"/>
  </r>
  <r>
    <s v="Lhotse-Vestuario"/>
    <x v="4"/>
    <x v="21"/>
    <x v="53"/>
    <s v="LTS27-MTS02"/>
    <x v="539"/>
    <x v="396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6"/>
    <n v="16"/>
    <n v="16"/>
    <n v="0"/>
    <n v="0"/>
    <n v="0"/>
    <n v="79488"/>
    <n v="79488"/>
    <n v="16"/>
    <n v="79488"/>
    <n v="0"/>
    <n v="4"/>
    <n v="16"/>
    <n v="4"/>
    <n v="0"/>
    <n v="0"/>
    <n v="79488"/>
    <n v="19872"/>
    <n v="0"/>
    <n v="0"/>
    <n v="16"/>
    <n v="79488"/>
    <n v="39744"/>
    <n v="4"/>
    <n v="12"/>
    <n v="4"/>
    <n v="0"/>
    <n v="0"/>
    <n v="59616"/>
    <n v="19872"/>
    <n v="0"/>
    <n v="12"/>
    <n v="59616"/>
    <n v="44531.0924369748"/>
    <n v="2.4"/>
    <n v="8"/>
    <n v="2.4"/>
    <n v="0"/>
    <m/>
    <n v="39744"/>
    <n v="10598.4"/>
    <n v="0"/>
    <n v="8"/>
    <n v="39744"/>
    <n v="26718.65546218488"/>
  </r>
  <r>
    <m/>
    <x v="4"/>
    <x v="21"/>
    <x v="53"/>
    <s v="LTS27-MTS02"/>
    <x v="540"/>
    <x v="397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6"/>
    <n v="16"/>
    <n v="16"/>
    <n v="0"/>
    <n v="0"/>
    <n v="0"/>
    <n v="79488"/>
    <n v="79488"/>
    <n v="16"/>
    <n v="79488"/>
    <n v="0"/>
    <n v="4"/>
    <n v="16"/>
    <n v="4"/>
    <n v="0"/>
    <n v="0"/>
    <n v="79488"/>
    <n v="19872"/>
    <n v="0"/>
    <n v="0"/>
    <n v="16"/>
    <n v="79488"/>
    <n v="39744"/>
    <n v="4"/>
    <n v="12"/>
    <n v="4"/>
    <n v="0"/>
    <n v="0"/>
    <n v="59616"/>
    <n v="19872"/>
    <n v="0"/>
    <n v="12"/>
    <n v="59616"/>
    <n v="44531.0924369748"/>
    <n v="2.4"/>
    <n v="8"/>
    <n v="2.4"/>
    <n v="0"/>
    <m/>
    <n v="39744"/>
    <n v="10598.4"/>
    <n v="0"/>
    <n v="8"/>
    <n v="39744"/>
    <n v="26718.65546218488"/>
  </r>
  <r>
    <m/>
    <x v="4"/>
    <x v="21"/>
    <x v="53"/>
    <s v="LTS27-MTS02"/>
    <x v="541"/>
    <x v="398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6"/>
    <n v="16"/>
    <n v="16"/>
    <n v="0"/>
    <n v="0"/>
    <n v="0"/>
    <n v="79488"/>
    <n v="79488"/>
    <n v="16"/>
    <n v="79488"/>
    <n v="0"/>
    <n v="4"/>
    <n v="16"/>
    <n v="4"/>
    <n v="0"/>
    <n v="0"/>
    <n v="79488"/>
    <n v="19872"/>
    <n v="0"/>
    <n v="0"/>
    <n v="16"/>
    <n v="79488"/>
    <n v="39744"/>
    <n v="4"/>
    <n v="12"/>
    <n v="4"/>
    <n v="0"/>
    <n v="0"/>
    <n v="59616"/>
    <n v="19872"/>
    <n v="0"/>
    <n v="12"/>
    <n v="59616"/>
    <n v="44531.0924369748"/>
    <n v="2.4"/>
    <n v="8"/>
    <n v="2.4"/>
    <n v="0"/>
    <m/>
    <n v="39744"/>
    <n v="10598.4"/>
    <n v="0"/>
    <n v="8"/>
    <n v="39744"/>
    <n v="26718.65546218488"/>
  </r>
  <r>
    <s v="Lhotse-Vestuario"/>
    <x v="4"/>
    <x v="21"/>
    <x v="53"/>
    <s v="LTS27-MTS02"/>
    <x v="542"/>
    <x v="399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6"/>
    <n v="16"/>
    <n v="16"/>
    <n v="0"/>
    <n v="0"/>
    <n v="0"/>
    <n v="79488"/>
    <n v="79488"/>
    <n v="16"/>
    <n v="79488"/>
    <n v="0"/>
    <n v="4"/>
    <n v="16"/>
    <n v="4"/>
    <n v="0"/>
    <n v="0"/>
    <n v="79488"/>
    <n v="19872"/>
    <n v="0"/>
    <n v="0"/>
    <n v="16"/>
    <n v="79488"/>
    <n v="39744"/>
    <n v="4"/>
    <n v="12"/>
    <n v="4"/>
    <n v="0"/>
    <n v="0"/>
    <n v="59616"/>
    <n v="19872"/>
    <n v="0"/>
    <n v="12"/>
    <n v="59616"/>
    <n v="44531.0924369748"/>
    <n v="2.4"/>
    <n v="8"/>
    <n v="2.4"/>
    <n v="0"/>
    <m/>
    <n v="39744"/>
    <n v="10598.4"/>
    <n v="0"/>
    <n v="8"/>
    <n v="39744"/>
    <n v="26718.65546218488"/>
  </r>
  <r>
    <s v="Lhotse-Vestuario"/>
    <x v="4"/>
    <x v="21"/>
    <x v="53"/>
    <s v="LTS27-MTS02"/>
    <x v="543"/>
    <x v="400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32"/>
    <n v="32"/>
    <n v="32"/>
    <n v="0"/>
    <n v="0"/>
    <n v="0"/>
    <n v="158976"/>
    <n v="158976"/>
    <n v="32"/>
    <n v="158976"/>
    <n v="0"/>
    <n v="7"/>
    <n v="32"/>
    <n v="7"/>
    <n v="0"/>
    <n v="0"/>
    <n v="158976"/>
    <n v="34776"/>
    <n v="0"/>
    <n v="0"/>
    <n v="32"/>
    <n v="158976"/>
    <n v="69552"/>
    <n v="9"/>
    <n v="25"/>
    <n v="9"/>
    <n v="0"/>
    <n v="0"/>
    <n v="124200"/>
    <n v="44712"/>
    <n v="0"/>
    <n v="25"/>
    <n v="124200"/>
    <n v="100194.9579831933"/>
    <n v="4.2"/>
    <n v="16"/>
    <n v="4.2"/>
    <n v="0"/>
    <m/>
    <n v="79488"/>
    <n v="18547.2"/>
    <n v="0"/>
    <n v="16"/>
    <n v="79488"/>
    <n v="46757.64705882354"/>
  </r>
  <r>
    <s v="Lhotse-Vestuario"/>
    <x v="4"/>
    <x v="21"/>
    <x v="53"/>
    <s v="LTS27-MTS02"/>
    <x v="544"/>
    <x v="401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32"/>
    <n v="32"/>
    <n v="32"/>
    <n v="0"/>
    <n v="0"/>
    <n v="0"/>
    <n v="158976"/>
    <n v="158976"/>
    <n v="32"/>
    <n v="158976"/>
    <n v="0"/>
    <n v="7"/>
    <n v="32"/>
    <n v="7"/>
    <n v="0"/>
    <n v="0"/>
    <n v="158976"/>
    <n v="34776"/>
    <n v="0"/>
    <n v="0"/>
    <n v="32"/>
    <n v="158976"/>
    <n v="69552"/>
    <n v="9"/>
    <n v="25"/>
    <n v="9"/>
    <n v="0"/>
    <n v="0"/>
    <n v="124200"/>
    <n v="44712"/>
    <n v="0"/>
    <n v="25"/>
    <n v="124200"/>
    <n v="100194.9579831933"/>
    <n v="4.2"/>
    <n v="16"/>
    <n v="4.2"/>
    <n v="0"/>
    <m/>
    <n v="79488"/>
    <n v="18547.2"/>
    <n v="0"/>
    <n v="16"/>
    <n v="79488"/>
    <n v="46757.64705882354"/>
  </r>
  <r>
    <s v="Lhotse-Vestuario"/>
    <x v="4"/>
    <x v="21"/>
    <x v="53"/>
    <s v="LTS27-MTS02"/>
    <x v="545"/>
    <x v="402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32"/>
    <n v="32"/>
    <n v="32"/>
    <n v="0"/>
    <n v="0"/>
    <n v="0"/>
    <n v="158976"/>
    <n v="158976"/>
    <n v="32"/>
    <n v="158976"/>
    <n v="0"/>
    <n v="7"/>
    <n v="32"/>
    <n v="7"/>
    <n v="0"/>
    <n v="0"/>
    <n v="158976"/>
    <n v="34776"/>
    <n v="0"/>
    <n v="0"/>
    <n v="32"/>
    <n v="158976"/>
    <n v="69552"/>
    <n v="9"/>
    <n v="25"/>
    <n v="9"/>
    <n v="0"/>
    <n v="0"/>
    <n v="124200"/>
    <n v="44712"/>
    <n v="0"/>
    <n v="25"/>
    <n v="124200"/>
    <n v="100194.9579831933"/>
    <n v="4.2"/>
    <n v="16"/>
    <n v="4.2"/>
    <n v="0"/>
    <m/>
    <n v="79488"/>
    <n v="18547.2"/>
    <n v="0"/>
    <n v="16"/>
    <n v="79488"/>
    <n v="46757.64705882354"/>
  </r>
  <r>
    <s v="Lhotse-Vestuario"/>
    <x v="4"/>
    <x v="21"/>
    <x v="53"/>
    <s v="LTS27-MTS02"/>
    <x v="546"/>
    <x v="403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32"/>
    <n v="32"/>
    <n v="32"/>
    <n v="0"/>
    <n v="0"/>
    <n v="0"/>
    <n v="158976"/>
    <n v="158976"/>
    <n v="32"/>
    <n v="158976"/>
    <n v="0"/>
    <n v="7"/>
    <n v="32"/>
    <n v="7"/>
    <n v="0"/>
    <n v="0"/>
    <n v="158976"/>
    <n v="34776"/>
    <n v="0"/>
    <n v="0"/>
    <n v="32"/>
    <n v="158976"/>
    <n v="69552"/>
    <n v="9"/>
    <n v="25"/>
    <n v="9"/>
    <n v="0"/>
    <n v="0"/>
    <n v="124200"/>
    <n v="44712"/>
    <n v="0"/>
    <n v="25"/>
    <n v="124200"/>
    <n v="100194.9579831933"/>
    <n v="4.2"/>
    <n v="16"/>
    <n v="4.2"/>
    <n v="0"/>
    <m/>
    <n v="79488"/>
    <n v="18547.2"/>
    <n v="0"/>
    <n v="16"/>
    <n v="79488"/>
    <n v="46757.64705882354"/>
  </r>
  <r>
    <s v="Lhotse-Vestuario"/>
    <x v="4"/>
    <x v="21"/>
    <x v="53"/>
    <s v="LTS27-MTS02"/>
    <x v="547"/>
    <x v="404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32"/>
    <n v="32"/>
    <n v="32"/>
    <n v="0"/>
    <n v="0"/>
    <n v="0"/>
    <n v="158976"/>
    <n v="158976"/>
    <n v="32"/>
    <n v="158976"/>
    <n v="0"/>
    <n v="7"/>
    <n v="32"/>
    <n v="7"/>
    <n v="0"/>
    <n v="0"/>
    <n v="158976"/>
    <n v="34776"/>
    <n v="0"/>
    <n v="0"/>
    <n v="32"/>
    <n v="158976"/>
    <n v="69552"/>
    <n v="9"/>
    <n v="25"/>
    <n v="9"/>
    <n v="0"/>
    <n v="0"/>
    <n v="124200"/>
    <n v="44712"/>
    <n v="0"/>
    <n v="25"/>
    <n v="124200"/>
    <n v="100194.9579831933"/>
    <n v="4.2"/>
    <n v="16"/>
    <n v="4.2"/>
    <n v="0"/>
    <m/>
    <n v="79488"/>
    <n v="18547.2"/>
    <n v="0"/>
    <n v="16"/>
    <n v="79488"/>
    <n v="46757.64705882354"/>
  </r>
  <r>
    <s v="Lhotse-Vestuario"/>
    <x v="4"/>
    <x v="21"/>
    <x v="53"/>
    <s v="LTS27-MTS02"/>
    <x v="548"/>
    <x v="405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0"/>
    <n v="10"/>
    <n v="10"/>
    <n v="0"/>
    <n v="0"/>
    <n v="0"/>
    <n v="49680"/>
    <n v="49680"/>
    <n v="10"/>
    <n v="49680"/>
    <n v="0"/>
    <n v="2"/>
    <n v="10"/>
    <n v="2"/>
    <n v="0"/>
    <n v="0"/>
    <n v="49680"/>
    <n v="9936"/>
    <n v="0"/>
    <n v="0"/>
    <n v="10"/>
    <n v="49680"/>
    <n v="19872"/>
    <n v="3"/>
    <n v="8"/>
    <n v="3"/>
    <n v="0"/>
    <n v="0"/>
    <n v="39744"/>
    <n v="14904"/>
    <n v="0"/>
    <n v="8"/>
    <n v="39744"/>
    <n v="33398.31932773109"/>
    <n v="1.2"/>
    <n v="5"/>
    <n v="1.2"/>
    <n v="0"/>
    <m/>
    <n v="24840"/>
    <n v="5299.2"/>
    <n v="0"/>
    <n v="5"/>
    <n v="24840"/>
    <n v="13359.32773109244"/>
  </r>
  <r>
    <s v="Lhotse-Vestuario"/>
    <x v="4"/>
    <x v="21"/>
    <x v="53"/>
    <s v="LTS27-MTS02"/>
    <x v="549"/>
    <x v="406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0"/>
    <n v="10"/>
    <n v="10"/>
    <n v="0"/>
    <n v="0"/>
    <n v="0"/>
    <n v="49680"/>
    <n v="49680"/>
    <n v="10"/>
    <n v="49680"/>
    <n v="0"/>
    <n v="2"/>
    <n v="10"/>
    <n v="2"/>
    <n v="0"/>
    <n v="0"/>
    <n v="49680"/>
    <n v="9936"/>
    <n v="0"/>
    <n v="0"/>
    <n v="10"/>
    <n v="49680"/>
    <n v="19872"/>
    <n v="3"/>
    <n v="8"/>
    <n v="3"/>
    <n v="0"/>
    <n v="0"/>
    <n v="39744"/>
    <n v="14904"/>
    <n v="0"/>
    <n v="8"/>
    <n v="39744"/>
    <n v="33398.31932773109"/>
    <n v="1.2"/>
    <n v="5"/>
    <n v="1.2"/>
    <n v="0"/>
    <m/>
    <n v="24840"/>
    <n v="5299.2"/>
    <n v="0"/>
    <n v="5"/>
    <n v="24840"/>
    <n v="13359.32773109244"/>
  </r>
  <r>
    <s v="Lhotse-Vestuario"/>
    <x v="4"/>
    <x v="21"/>
    <x v="53"/>
    <s v="LTS27-MTS02"/>
    <x v="550"/>
    <x v="407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0"/>
    <n v="10"/>
    <n v="10"/>
    <n v="0"/>
    <n v="0"/>
    <n v="0"/>
    <n v="49680"/>
    <n v="49680"/>
    <n v="10"/>
    <n v="49680"/>
    <n v="0"/>
    <n v="2"/>
    <n v="10"/>
    <n v="2"/>
    <n v="0"/>
    <n v="0"/>
    <n v="49680"/>
    <n v="9936"/>
    <n v="0"/>
    <n v="0"/>
    <n v="10"/>
    <n v="49680"/>
    <n v="19872"/>
    <n v="3"/>
    <n v="8"/>
    <n v="3"/>
    <n v="0"/>
    <n v="0"/>
    <n v="39744"/>
    <n v="14904"/>
    <n v="0"/>
    <n v="8"/>
    <n v="39744"/>
    <n v="33398.31932773109"/>
    <n v="1.2"/>
    <n v="5"/>
    <n v="1.2"/>
    <n v="0"/>
    <m/>
    <n v="24840"/>
    <n v="5299.2"/>
    <n v="0"/>
    <n v="5"/>
    <n v="24840"/>
    <n v="13359.32773109244"/>
  </r>
  <r>
    <s v="Lhotse-Vestuario"/>
    <x v="4"/>
    <x v="21"/>
    <x v="53"/>
    <s v="LTS27-MTS02"/>
    <x v="551"/>
    <x v="408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0"/>
    <n v="10"/>
    <n v="10"/>
    <n v="0"/>
    <n v="0"/>
    <n v="0"/>
    <n v="49680"/>
    <n v="49680"/>
    <n v="10"/>
    <n v="49680"/>
    <n v="0"/>
    <n v="2"/>
    <n v="10"/>
    <n v="2"/>
    <n v="0"/>
    <n v="0"/>
    <n v="49680"/>
    <n v="9936"/>
    <n v="0"/>
    <n v="0"/>
    <n v="10"/>
    <n v="49680"/>
    <n v="19872"/>
    <n v="3"/>
    <n v="8"/>
    <n v="3"/>
    <n v="0"/>
    <n v="0"/>
    <n v="39744"/>
    <n v="14904"/>
    <n v="0"/>
    <n v="8"/>
    <n v="39744"/>
    <n v="33398.31932773109"/>
    <n v="1.2"/>
    <n v="5"/>
    <n v="1.2"/>
    <n v="0"/>
    <m/>
    <n v="24840"/>
    <n v="5299.2"/>
    <n v="0"/>
    <n v="5"/>
    <n v="24840"/>
    <n v="13359.32773109244"/>
  </r>
  <r>
    <m/>
    <x v="4"/>
    <x v="21"/>
    <x v="53"/>
    <s v="LTS27-MTS02"/>
    <x v="552"/>
    <x v="409"/>
    <x v="0"/>
    <x v="4"/>
    <n v="1"/>
    <x v="50"/>
    <n v="0"/>
    <m/>
    <n v="0"/>
    <n v="4416"/>
    <n v="0"/>
    <n v="4.8"/>
    <n v="4416"/>
    <n v="11132.7731092437"/>
    <n v="9462.857142857143"/>
    <s v="Shenzhen"/>
    <s v="30/70"/>
    <n v="90"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0"/>
    <n v="10"/>
    <n v="10"/>
    <n v="0"/>
    <n v="0"/>
    <n v="0"/>
    <n v="49680"/>
    <n v="49680"/>
    <n v="10"/>
    <n v="49680"/>
    <n v="0"/>
    <n v="2"/>
    <n v="10"/>
    <n v="2"/>
    <n v="0"/>
    <n v="0"/>
    <n v="49680"/>
    <n v="9936"/>
    <n v="0"/>
    <n v="0"/>
    <n v="10"/>
    <n v="49680"/>
    <n v="19872"/>
    <n v="3"/>
    <n v="8"/>
    <n v="3"/>
    <n v="0"/>
    <n v="0"/>
    <n v="39744"/>
    <n v="14904"/>
    <n v="0"/>
    <n v="8"/>
    <n v="39744"/>
    <n v="33398.31932773109"/>
    <n v="1.2"/>
    <n v="5"/>
    <n v="1.2"/>
    <n v="0"/>
    <m/>
    <n v="24840"/>
    <n v="5299.2"/>
    <n v="0"/>
    <n v="5"/>
    <n v="24840"/>
    <n v="13359.32773109244"/>
  </r>
  <r>
    <s v="Lhotse-Vestuario"/>
    <x v="4"/>
    <x v="21"/>
    <x v="53"/>
    <s v="LTW25-MFL01"/>
    <x v="553"/>
    <x v="410"/>
    <x v="0"/>
    <x v="0"/>
    <n v="1"/>
    <x v="274"/>
    <n v="177"/>
    <m/>
    <n v="0"/>
    <n v="7834"/>
    <n v="1386618"/>
    <n v="8"/>
    <n v="8740"/>
    <n v="16798.31932773109"/>
    <n v="12596.63865546219"/>
    <s v="Shenzhen"/>
    <s v="30/70"/>
    <n v="30"/>
    <n v="1"/>
    <n v="0"/>
    <s v=""/>
    <n v="0"/>
    <s v=""/>
    <n v="0"/>
    <s v=""/>
    <n v="0"/>
    <s v=""/>
    <n v="4"/>
    <n v="0.5988853189283292"/>
    <n v="26"/>
    <n v="0.3874377249722599"/>
    <n v="64"/>
    <n v="0.3273212442485143"/>
    <n v="6"/>
    <n v="0.3487042919494547"/>
    <n v="5"/>
    <n v="0.4077657962595556"/>
    <n v="32"/>
    <n v="0.4014285761582171"/>
    <n v="0"/>
    <s v=""/>
    <n v="7"/>
    <n v="0.5588691426838582"/>
    <n v="1"/>
    <n v="0.2422661363265264"/>
    <n v="8"/>
    <n v="0.4915426509555125"/>
    <n v="11"/>
    <n v="0.3242503301361242"/>
    <n v="7"/>
    <n v="0.3344294739868613"/>
    <n v="1.166666666666667"/>
    <n v="15"/>
    <n v="0.4121331881584368"/>
    <n v="0.5"/>
    <n v="37"/>
    <n v="0.1414719331012635"/>
    <n v="0.5692307692307692"/>
    <n v="27"/>
    <n v="0.2272539887697366"/>
    <n v="0.3648648648648649"/>
    <n v="10"/>
    <n v="0.2823389670375813"/>
    <n v="0.1351351351351351"/>
    <m/>
    <m/>
    <m/>
    <m/>
    <m/>
    <m/>
    <m/>
    <m/>
    <m/>
    <m/>
    <m/>
    <m/>
    <n v="5"/>
    <n v="282"/>
    <n v="2"/>
    <n v="0"/>
    <n v="0"/>
    <n v="0"/>
    <n v="195850"/>
    <n v="2334960"/>
    <n v="15668"/>
    <n v="0"/>
    <n v="177"/>
    <n v="1386618"/>
    <n v="28232.46945837159"/>
    <n v="2"/>
    <n v="281"/>
    <n v="12"/>
    <n v="0"/>
    <n v="0"/>
    <n v="0"/>
    <n v="235020"/>
    <n v="2326680"/>
    <n v="94008"/>
    <n v="0"/>
    <n v="177"/>
    <n v="1386618"/>
    <n v="169394.8167502295"/>
    <n v="3"/>
    <n v="274"/>
    <n v="11"/>
    <n v="0"/>
    <n v="0"/>
    <n v="389412"/>
    <n v="2146516"/>
    <n v="86174"/>
    <n v="0"/>
    <n v="177"/>
    <n v="1386618"/>
    <n v="184781.512605042"/>
    <n v="6"/>
    <n v="263"/>
    <n v="7"/>
    <n v="0"/>
    <n v="0"/>
    <n v="2177640"/>
    <n v="54838"/>
    <n v="0"/>
    <n v="0"/>
    <n v="177"/>
    <n v="1386618"/>
    <n v="117588.2352941177"/>
    <n v="30"/>
    <n v="192"/>
    <n v="30"/>
    <m/>
    <n v="0"/>
    <n v="0"/>
    <n v="1504128"/>
    <n v="248400"/>
    <n v="0"/>
    <n v="0"/>
    <n v="177"/>
    <n v="1386618"/>
    <n v="503949.5798319328"/>
    <n v="65"/>
    <n v="214"/>
    <n v="37"/>
    <m/>
    <n v="0"/>
    <n v="0"/>
    <n v="1676476"/>
    <n v="306360"/>
    <n v="0"/>
    <n v="0"/>
    <n v="214"/>
    <n v="1386618"/>
    <n v="621537.8151260505"/>
    <n v="74"/>
    <n v="204"/>
    <n v="27"/>
    <n v="0"/>
    <n v="0"/>
    <n v="0"/>
    <n v="1598136"/>
    <n v="223560"/>
    <n v="0"/>
    <n v="0"/>
    <n v="204"/>
    <n v="1386618"/>
    <n v="453554.6218487395"/>
    <n v="74"/>
    <n v="177"/>
    <n v="74"/>
    <n v="0"/>
    <n v="0"/>
    <n v="0"/>
    <n v="1386618"/>
    <n v="612720"/>
    <n v="0"/>
    <n v="0"/>
    <n v="177"/>
    <n v="1386618"/>
    <n v="1243075.630252101"/>
    <n v="25"/>
    <n v="103"/>
    <n v="25"/>
    <n v="0"/>
    <n v="0"/>
    <n v="0"/>
    <n v="852840"/>
    <n v="207000"/>
    <n v="0"/>
    <n v="0"/>
    <n v="103"/>
    <n v="852840"/>
    <n v="419957.9831932773"/>
    <n v="0"/>
    <n v="78"/>
    <n v="0"/>
    <n v="0"/>
    <n v="0"/>
    <n v="0"/>
    <m/>
    <n v="645840"/>
    <n v="0"/>
    <n v="0"/>
    <n v="0"/>
    <n v="78"/>
    <n v="645840"/>
    <n v="0"/>
    <n v="0"/>
    <n v="78"/>
    <n v="0"/>
    <n v="0"/>
    <n v="0"/>
    <n v="645840"/>
    <n v="0"/>
    <n v="0"/>
    <n v="0"/>
    <n v="78"/>
    <n v="645840"/>
    <n v="0"/>
    <n v="0"/>
    <n v="78"/>
    <n v="0"/>
    <n v="0"/>
    <n v="0"/>
    <n v="645840"/>
    <n v="0"/>
    <n v="0"/>
    <n v="78"/>
    <n v="645840"/>
    <n v="0"/>
    <n v="0"/>
    <n v="78"/>
    <n v="0"/>
    <n v="0"/>
    <m/>
    <n v="645840"/>
    <n v="0"/>
    <n v="0"/>
    <n v="78"/>
    <n v="645840"/>
    <n v="0"/>
  </r>
  <r>
    <n v="3"/>
    <x v="4"/>
    <x v="21"/>
    <x v="53"/>
    <s v="LTW25-MFL01"/>
    <x v="554"/>
    <x v="410"/>
    <x v="0"/>
    <x v="0"/>
    <n v="1"/>
    <x v="275"/>
    <n v="194"/>
    <m/>
    <n v="0"/>
    <n v="7834"/>
    <n v="1519796"/>
    <n v="8"/>
    <n v="8740"/>
    <n v="16798.31932773109"/>
    <n v="12596.63865546219"/>
    <s v="Shenzhen"/>
    <s v="30/70"/>
    <n v="30"/>
    <n v="1"/>
    <n v="0"/>
    <s v=""/>
    <n v="0"/>
    <s v=""/>
    <n v="0"/>
    <s v=""/>
    <n v="0"/>
    <s v=""/>
    <n v="4"/>
    <n v="0.5662429057888764"/>
    <n v="29"/>
    <n v="0.456835170783127"/>
    <n v="37"/>
    <n v="0.3632111220096472"/>
    <n v="8"/>
    <n v="0.3314474233504131"/>
    <n v="4"/>
    <n v="0.3780994161117143"/>
    <n v="21"/>
    <n v="0.4650833183825773"/>
    <n v="5"/>
    <n v="0.5760914846620678"/>
    <n v="3"/>
    <n v="0.6219172793230482"/>
    <n v="2"/>
    <n v="0.3821843753618211"/>
    <n v="4"/>
    <n v="0.3560828511737328"/>
    <n v="11"/>
    <n v="0.2541339903976373"/>
    <n v="5"/>
    <n v="0.2301479522434702"/>
    <n v="0.8333333333333334"/>
    <n v="16"/>
    <n v="0.4158953654572866"/>
    <n v="0.8"/>
    <n v="35"/>
    <n v="0.2144585324293803"/>
    <n v="0.7"/>
    <n v="43"/>
    <n v="0.2656891606122756"/>
    <n v="0.4942528735632184"/>
    <n v="15"/>
    <n v="0.3206928330536863"/>
    <n v="0.1724137931034483"/>
    <m/>
    <m/>
    <m/>
    <m/>
    <m/>
    <m/>
    <m/>
    <m/>
    <m/>
    <m/>
    <m/>
    <m/>
    <n v="5"/>
    <n v="318"/>
    <n v="2"/>
    <n v="0"/>
    <n v="0"/>
    <n v="0"/>
    <n v="148846"/>
    <n v="2633040"/>
    <n v="15668"/>
    <n v="0"/>
    <n v="194"/>
    <n v="1519796"/>
    <n v="28232.46945837159"/>
    <n v="2"/>
    <n v="316"/>
    <n v="6"/>
    <n v="0"/>
    <n v="0"/>
    <n v="0"/>
    <n v="172348"/>
    <n v="2616480"/>
    <n v="47004"/>
    <n v="0"/>
    <n v="194"/>
    <n v="1519796"/>
    <n v="84697.40837511476"/>
    <n v="8"/>
    <n v="313"/>
    <n v="11"/>
    <n v="0"/>
    <n v="0"/>
    <n v="290944"/>
    <n v="2452042"/>
    <n v="86174"/>
    <n v="0"/>
    <n v="194"/>
    <n v="1519796"/>
    <n v="184781.512605042"/>
    <n v="6"/>
    <n v="308"/>
    <n v="5"/>
    <n v="0"/>
    <n v="0"/>
    <n v="2550240"/>
    <n v="39170"/>
    <n v="0"/>
    <n v="0"/>
    <n v="194"/>
    <n v="1519796"/>
    <n v="83991.59663865546"/>
    <n v="20"/>
    <n v="210"/>
    <n v="20"/>
    <m/>
    <n v="0"/>
    <n v="0"/>
    <n v="1645140"/>
    <n v="165600"/>
    <n v="0"/>
    <n v="0"/>
    <n v="194"/>
    <n v="1519796"/>
    <n v="335966.3865546219"/>
    <n v="50"/>
    <n v="229"/>
    <n v="35"/>
    <m/>
    <n v="0"/>
    <n v="0"/>
    <n v="1793986"/>
    <n v="289800"/>
    <n v="0"/>
    <n v="0"/>
    <n v="229"/>
    <n v="1519796"/>
    <n v="587941.1764705882"/>
    <n v="87"/>
    <n v="237"/>
    <n v="43"/>
    <n v="0"/>
    <n v="0"/>
    <n v="0"/>
    <n v="1856658"/>
    <n v="356040"/>
    <n v="0"/>
    <n v="0"/>
    <n v="237"/>
    <n v="1519796"/>
    <n v="722327.7310924369"/>
    <n v="87"/>
    <n v="194"/>
    <n v="87"/>
    <n v="0"/>
    <n v="0"/>
    <n v="0"/>
    <n v="1519796"/>
    <n v="720360"/>
    <n v="0"/>
    <n v="0"/>
    <n v="194"/>
    <n v="1519796"/>
    <n v="1461453.781512605"/>
    <n v="29"/>
    <n v="107"/>
    <n v="29"/>
    <n v="0"/>
    <n v="0"/>
    <n v="0"/>
    <n v="885960"/>
    <n v="240120"/>
    <n v="0"/>
    <n v="0"/>
    <n v="107"/>
    <n v="885960"/>
    <n v="487151.2605042017"/>
    <n v="5"/>
    <n v="78"/>
    <n v="5"/>
    <n v="0"/>
    <n v="0"/>
    <n v="0"/>
    <m/>
    <n v="645840"/>
    <n v="41400"/>
    <n v="0"/>
    <n v="0"/>
    <n v="78"/>
    <n v="645840"/>
    <n v="62983.19327731093"/>
    <n v="0"/>
    <n v="73"/>
    <n v="0"/>
    <n v="0"/>
    <n v="0"/>
    <n v="604440"/>
    <n v="0"/>
    <n v="0"/>
    <n v="0"/>
    <n v="73"/>
    <n v="604440"/>
    <n v="0"/>
    <n v="0"/>
    <n v="73"/>
    <n v="0"/>
    <n v="0"/>
    <n v="0"/>
    <n v="604440"/>
    <n v="0"/>
    <n v="0"/>
    <n v="73"/>
    <n v="604440"/>
    <n v="0"/>
    <n v="0"/>
    <n v="73"/>
    <n v="0"/>
    <n v="0"/>
    <m/>
    <n v="604440"/>
    <n v="0"/>
    <n v="0"/>
    <n v="73"/>
    <n v="604440"/>
    <n v="0"/>
  </r>
  <r>
    <s v="Lhotse-Vestuario"/>
    <x v="4"/>
    <x v="21"/>
    <x v="53"/>
    <s v="LTW25-MFL01"/>
    <x v="555"/>
    <x v="410"/>
    <x v="0"/>
    <x v="0"/>
    <n v="1"/>
    <x v="276"/>
    <n v="348"/>
    <m/>
    <n v="0"/>
    <n v="7834"/>
    <n v="2726232"/>
    <n v="8"/>
    <n v="8740"/>
    <n v="16798.31932773109"/>
    <n v="12596.63865546219"/>
    <s v="Shenzhen"/>
    <s v="30/70"/>
    <n v="30"/>
    <n v="1"/>
    <n v="0"/>
    <s v=""/>
    <n v="0"/>
    <s v=""/>
    <n v="0"/>
    <s v=""/>
    <n v="0"/>
    <s v=""/>
    <n v="1"/>
    <n v="0.6269585714285715"/>
    <n v="6"/>
    <n v="0.3426042060710258"/>
    <n v="26"/>
    <n v="0.3530570862017662"/>
    <n v="1"/>
    <n v="0.3780983789192796"/>
    <n v="7"/>
    <n v="0.3780989716010945"/>
    <n v="19"/>
    <n v="0.4659586850479633"/>
    <n v="0"/>
    <s v=""/>
    <n v="2"/>
    <n v="0.5760707811358532"/>
    <n v="0"/>
    <s v=""/>
    <n v="2"/>
    <n v="0.4502399295846226"/>
    <n v="10"/>
    <n v="0.3679194749291579"/>
    <n v="3"/>
    <n v="0.1822342906197225"/>
    <n v="1"/>
    <n v="12"/>
    <n v="0.3090558777569839"/>
    <n v="1.2"/>
    <n v="13"/>
    <n v="0.224"/>
    <n v="0.26"/>
    <n v="24"/>
    <n v="0.2485979023444977"/>
    <n v="0.2051282051282051"/>
    <n v="8"/>
    <n v="0.2256995565646782"/>
    <n v="0.06837606837606838"/>
    <m/>
    <m/>
    <m/>
    <m/>
    <m/>
    <m/>
    <m/>
    <m/>
    <m/>
    <m/>
    <m/>
    <m/>
    <n v="5"/>
    <n v="415"/>
    <n v="2"/>
    <n v="0"/>
    <n v="0"/>
    <n v="0"/>
    <n v="117510"/>
    <n v="3436200"/>
    <n v="15668"/>
    <n v="0"/>
    <n v="348"/>
    <n v="2726232"/>
    <n v="28232.46945837159"/>
    <n v="2"/>
    <n v="416"/>
    <n v="3"/>
    <n v="0"/>
    <n v="0"/>
    <n v="0"/>
    <n v="125344"/>
    <n v="3444480"/>
    <n v="23502"/>
    <n v="0"/>
    <n v="348"/>
    <n v="2726232"/>
    <n v="42348.70418755738"/>
    <n v="3"/>
    <n v="415"/>
    <n v="10"/>
    <n v="0"/>
    <n v="0"/>
    <n v="184642"/>
    <n v="3251110"/>
    <n v="78340"/>
    <n v="0"/>
    <n v="348"/>
    <n v="2726232"/>
    <n v="167983.1932773109"/>
    <n v="3"/>
    <n v="408"/>
    <n v="3"/>
    <n v="0"/>
    <n v="0"/>
    <n v="3378240"/>
    <n v="23502"/>
    <n v="0"/>
    <n v="0"/>
    <n v="348"/>
    <n v="2726232"/>
    <n v="50394.95798319328"/>
    <n v="10"/>
    <n v="360"/>
    <n v="10"/>
    <m/>
    <n v="0"/>
    <n v="0"/>
    <n v="2820240"/>
    <n v="82800"/>
    <n v="0"/>
    <n v="0"/>
    <n v="348"/>
    <n v="2726232"/>
    <n v="167983.1932773109"/>
    <n v="50"/>
    <n v="361"/>
    <n v="13"/>
    <m/>
    <n v="0"/>
    <n v="0"/>
    <n v="2828074"/>
    <n v="107640"/>
    <n v="0"/>
    <n v="0"/>
    <n v="361"/>
    <n v="2726232"/>
    <n v="218378.1512605042"/>
    <n v="117"/>
    <n v="372"/>
    <n v="24"/>
    <n v="0"/>
    <n v="0"/>
    <n v="0"/>
    <n v="2914248"/>
    <n v="198720"/>
    <n v="0"/>
    <n v="0"/>
    <n v="372"/>
    <n v="2726232"/>
    <n v="403159.6638655462"/>
    <n v="117"/>
    <n v="348"/>
    <n v="117"/>
    <n v="0"/>
    <n v="0"/>
    <n v="0"/>
    <n v="2726232"/>
    <n v="968760"/>
    <n v="0"/>
    <n v="0"/>
    <n v="348"/>
    <n v="2726232"/>
    <n v="1965403.361344538"/>
    <n v="39"/>
    <n v="231"/>
    <n v="39"/>
    <n v="0"/>
    <n v="0"/>
    <n v="0"/>
    <n v="1912680"/>
    <n v="322920"/>
    <n v="0"/>
    <n v="0"/>
    <n v="231"/>
    <n v="1912680"/>
    <n v="655134.4537815126"/>
    <n v="5"/>
    <n v="192"/>
    <n v="5"/>
    <n v="0"/>
    <n v="0"/>
    <n v="0"/>
    <m/>
    <n v="1589760"/>
    <n v="41400"/>
    <n v="0"/>
    <n v="0"/>
    <n v="192"/>
    <n v="1589760"/>
    <n v="62983.19327731093"/>
    <n v="0"/>
    <n v="187"/>
    <n v="0"/>
    <n v="0"/>
    <n v="0"/>
    <n v="1548360"/>
    <n v="0"/>
    <n v="0"/>
    <n v="0"/>
    <n v="187"/>
    <n v="1548360"/>
    <n v="0"/>
    <n v="0"/>
    <n v="187"/>
    <n v="0"/>
    <n v="0"/>
    <n v="0"/>
    <n v="1548360"/>
    <n v="0"/>
    <n v="0"/>
    <n v="187"/>
    <n v="1548360"/>
    <n v="0"/>
    <n v="0"/>
    <n v="187"/>
    <n v="0"/>
    <n v="0"/>
    <m/>
    <n v="1548360"/>
    <n v="0"/>
    <n v="0"/>
    <n v="187"/>
    <n v="1548360"/>
    <n v="0"/>
  </r>
  <r>
    <s v="Lhotse-Vestuario"/>
    <x v="4"/>
    <x v="21"/>
    <x v="53"/>
    <s v="LTW25-MFL01"/>
    <x v="556"/>
    <x v="410"/>
    <x v="0"/>
    <x v="5"/>
    <n v="1"/>
    <x v="277"/>
    <n v="316"/>
    <m/>
    <n v="0"/>
    <n v="7834"/>
    <n v="2475544"/>
    <n v="8"/>
    <n v="8740"/>
    <n v="16798.31932773109"/>
    <n v="12596.63865546219"/>
    <s v="Shenzhen"/>
    <s v="30/70"/>
    <n v="30"/>
    <n v="1"/>
    <n v="0"/>
    <s v=""/>
    <n v="0"/>
    <s v=""/>
    <n v="0"/>
    <s v=""/>
    <n v="0"/>
    <s v=""/>
    <n v="2"/>
    <n v="0.5854875919360814"/>
    <n v="13"/>
    <n v="0.4520201353900106"/>
    <n v="44"/>
    <n v="0.303916051421276"/>
    <n v="6"/>
    <n v="0.3781043254422963"/>
    <n v="4"/>
    <n v="0.5025769931251745"/>
    <n v="32"/>
    <n v="0.4751593466181504"/>
    <n v="3"/>
    <n v="0.5257991162405924"/>
    <n v="3"/>
    <n v="0.6114280045632657"/>
    <n v="0"/>
    <s v=""/>
    <n v="2"/>
    <n v="0.260287105549907"/>
    <n v="2"/>
    <n v="0.1915974372928918"/>
    <n v="1"/>
    <n v="0.2495875383560901"/>
    <n v="0.25"/>
    <n v="11"/>
    <n v="0.3781817575434171"/>
    <n v="1.1"/>
    <n v="11"/>
    <n v="0.1853366601720413"/>
    <n v="0.22"/>
    <n v="15"/>
    <n v="0.2569115537086437"/>
    <n v="0.1442307692307692"/>
    <n v="6"/>
    <n v="0.2823387220939184"/>
    <n v="0.0576923076923077"/>
    <m/>
    <m/>
    <m/>
    <m/>
    <m/>
    <m/>
    <m/>
    <m/>
    <m/>
    <m/>
    <m/>
    <m/>
    <n v="5"/>
    <n v="360"/>
    <n v="2"/>
    <n v="0"/>
    <n v="0"/>
    <n v="0"/>
    <n v="54838"/>
    <n v="2980800"/>
    <n v="15668"/>
    <n v="0"/>
    <n v="316"/>
    <n v="2475544"/>
    <n v="28232.46945837159"/>
    <n v="2"/>
    <n v="360"/>
    <n v="3"/>
    <n v="0"/>
    <n v="0"/>
    <n v="0"/>
    <n v="47004"/>
    <n v="2980800"/>
    <n v="23502"/>
    <n v="0"/>
    <n v="316"/>
    <n v="2475544"/>
    <n v="42348.70418755738"/>
    <n v="3"/>
    <n v="359"/>
    <n v="2"/>
    <n v="0"/>
    <n v="0"/>
    <n v="106302"/>
    <n v="2812406"/>
    <n v="15668"/>
    <n v="0"/>
    <n v="316"/>
    <n v="2475544"/>
    <n v="33596.63865546219"/>
    <n v="4"/>
    <n v="362"/>
    <n v="1"/>
    <n v="0"/>
    <n v="0"/>
    <n v="2997360"/>
    <n v="7834"/>
    <n v="0"/>
    <n v="0"/>
    <n v="316"/>
    <n v="2475544"/>
    <n v="16798.31932773109"/>
    <n v="10"/>
    <n v="327"/>
    <n v="10"/>
    <m/>
    <n v="0"/>
    <n v="0"/>
    <n v="2561718"/>
    <n v="82800"/>
    <n v="0"/>
    <n v="0"/>
    <n v="316"/>
    <n v="2475544"/>
    <n v="167983.1932773109"/>
    <n v="50"/>
    <n v="327"/>
    <n v="11"/>
    <m/>
    <n v="0"/>
    <n v="0"/>
    <n v="2561718"/>
    <n v="91080"/>
    <n v="0"/>
    <n v="0"/>
    <n v="327"/>
    <n v="2475544"/>
    <n v="184781.512605042"/>
    <n v="104"/>
    <n v="331"/>
    <n v="15"/>
    <n v="0"/>
    <n v="0"/>
    <n v="0"/>
    <n v="2593054"/>
    <n v="124200"/>
    <n v="0"/>
    <n v="0"/>
    <n v="331"/>
    <n v="2475544"/>
    <n v="251974.7899159664"/>
    <n v="104"/>
    <n v="316"/>
    <n v="104"/>
    <n v="0"/>
    <n v="0"/>
    <n v="0"/>
    <n v="2475544"/>
    <n v="861120"/>
    <n v="0"/>
    <n v="0"/>
    <n v="316"/>
    <n v="2475544"/>
    <n v="1747025.210084034"/>
    <n v="35"/>
    <n v="212"/>
    <n v="35"/>
    <n v="0"/>
    <n v="0"/>
    <n v="0"/>
    <n v="1755360"/>
    <n v="289800"/>
    <n v="0"/>
    <n v="0"/>
    <n v="212"/>
    <n v="1755360"/>
    <n v="587941.1764705882"/>
    <n v="5"/>
    <n v="177"/>
    <n v="5"/>
    <n v="0"/>
    <n v="0"/>
    <n v="0"/>
    <m/>
    <n v="1465560"/>
    <n v="41400"/>
    <n v="0"/>
    <n v="0"/>
    <n v="177"/>
    <n v="1465560"/>
    <n v="62983.19327731093"/>
    <n v="0"/>
    <n v="172"/>
    <n v="0"/>
    <n v="0"/>
    <n v="0"/>
    <n v="1424160"/>
    <n v="0"/>
    <n v="0"/>
    <n v="0"/>
    <n v="172"/>
    <n v="1424160"/>
    <n v="0"/>
    <n v="0"/>
    <n v="172"/>
    <n v="0"/>
    <n v="0"/>
    <n v="0"/>
    <n v="1424160"/>
    <n v="0"/>
    <n v="0"/>
    <n v="172"/>
    <n v="1424160"/>
    <n v="0"/>
    <n v="0"/>
    <n v="172"/>
    <n v="0"/>
    <n v="0"/>
    <m/>
    <n v="1424160"/>
    <n v="0"/>
    <n v="0"/>
    <n v="172"/>
    <n v="1424160"/>
    <n v="0"/>
  </r>
  <r>
    <s v="Lhotse-Vestuario"/>
    <x v="4"/>
    <x v="21"/>
    <x v="53"/>
    <s v="LTW25-MTS02"/>
    <x v="557"/>
    <x v="411"/>
    <x v="0"/>
    <x v="2"/>
    <n v="1"/>
    <x v="3"/>
    <n v="39"/>
    <m/>
    <n v="0"/>
    <n v="5875"/>
    <n v="229125"/>
    <n v="6"/>
    <n v="6554.999999999999"/>
    <n v="8394.957983193277"/>
    <n v="7554.621848739496"/>
    <s v="Shenzhen"/>
    <s v="30/70"/>
    <n v="30"/>
    <n v="1"/>
    <n v="0"/>
    <s v=""/>
    <n v="0"/>
    <s v=""/>
    <n v="0"/>
    <s v=""/>
    <n v="0"/>
    <n v="0"/>
    <n v="2"/>
    <n v="0.5534696359352436"/>
    <n v="2"/>
    <n v="0.2224036001058855"/>
    <n v="8"/>
    <n v="0.2463117382937781"/>
    <n v="3"/>
    <n v="0.4617986414192632"/>
    <n v="2"/>
    <n v="0.3122622183201639"/>
    <n v="12"/>
    <n v="0.4349286246723788"/>
    <n v="0"/>
    <s v=""/>
    <n v="9"/>
    <n v="0.5336355698245676"/>
    <n v="13"/>
    <n v="0.1472137661297887"/>
    <n v="0"/>
    <s v=""/>
    <n v="2"/>
    <n v="0.5073375436621327"/>
    <n v="2"/>
    <n v="0.3001786836530997"/>
    <n v="0.6666666666666666"/>
    <n v="1"/>
    <n v="0.3001801801801802"/>
    <n v="0.2"/>
    <n v="1"/>
    <n v="0.2223804226918799"/>
    <n v="0.03174603174603174"/>
    <n v="2"/>
    <n v="0.6198792887825567"/>
    <n v="0.1333333333333333"/>
    <n v="0"/>
    <s v=""/>
    <n v="0"/>
    <m/>
    <m/>
    <m/>
    <m/>
    <m/>
    <m/>
    <m/>
    <m/>
    <m/>
    <m/>
    <m/>
    <m/>
    <n v="6"/>
    <n v="47"/>
    <n v="3"/>
    <n v="0"/>
    <n v="0"/>
    <n v="0"/>
    <n v="29375"/>
    <n v="291869.9999999999"/>
    <n v="17625"/>
    <n v="0"/>
    <n v="39"/>
    <n v="229125"/>
    <n v="21163.75962149566"/>
    <n v="4"/>
    <n v="47"/>
    <n v="0"/>
    <n v="0"/>
    <n v="0"/>
    <n v="0"/>
    <n v="23500"/>
    <n v="291869.9999999999"/>
    <n v="0"/>
    <n v="0"/>
    <n v="39"/>
    <n v="229125"/>
    <n v="0"/>
    <n v="3"/>
    <n v="48"/>
    <n v="2"/>
    <n v="0"/>
    <n v="0"/>
    <n v="54550"/>
    <n v="282000"/>
    <n v="11750"/>
    <n v="0"/>
    <n v="39"/>
    <n v="229125"/>
    <n v="16789.91596638655"/>
    <n v="3"/>
    <n v="46"/>
    <n v="2"/>
    <n v="0"/>
    <n v="0"/>
    <n v="285659.9999999999"/>
    <n v="11750"/>
    <n v="0"/>
    <n v="0"/>
    <n v="39"/>
    <n v="229125"/>
    <n v="16789.91596638655"/>
    <n v="5"/>
    <n v="40"/>
    <n v="5"/>
    <m/>
    <n v="0"/>
    <n v="0"/>
    <n v="235000"/>
    <n v="31050"/>
    <n v="0"/>
    <n v="0"/>
    <n v="39"/>
    <n v="229125"/>
    <n v="41974.78991596639"/>
    <n v="31.5"/>
    <n v="40"/>
    <n v="1"/>
    <m/>
    <n v="0"/>
    <n v="0"/>
    <n v="235000"/>
    <n v="6209.999999999999"/>
    <n v="0"/>
    <n v="0"/>
    <n v="40"/>
    <n v="229125"/>
    <n v="8394.957983193277"/>
    <n v="15"/>
    <n v="41"/>
    <n v="2"/>
    <n v="0"/>
    <n v="0"/>
    <n v="0"/>
    <n v="240875"/>
    <n v="12420"/>
    <n v="0"/>
    <n v="0"/>
    <n v="41"/>
    <n v="229125"/>
    <n v="16789.91596638655"/>
    <n v="15"/>
    <n v="39"/>
    <n v="15"/>
    <n v="0"/>
    <n v="0"/>
    <n v="0"/>
    <n v="229125"/>
    <n v="93149.99999999999"/>
    <n v="0"/>
    <n v="0"/>
    <n v="39"/>
    <n v="229125"/>
    <n v="125924.3697478992"/>
    <n v="15"/>
    <n v="24"/>
    <n v="15"/>
    <n v="0"/>
    <n v="0"/>
    <n v="0"/>
    <n v="149040"/>
    <n v="93149.99999999999"/>
    <n v="0"/>
    <n v="0"/>
    <n v="24"/>
    <n v="149040"/>
    <n v="125924.3697478992"/>
    <n v="0"/>
    <n v="9"/>
    <n v="0"/>
    <n v="0"/>
    <n v="0"/>
    <n v="0"/>
    <m/>
    <n v="55889.99999999999"/>
    <n v="0"/>
    <n v="0"/>
    <n v="0"/>
    <n v="9"/>
    <n v="55889.99999999999"/>
    <n v="0"/>
    <n v="0"/>
    <n v="9"/>
    <n v="0"/>
    <n v="0"/>
    <n v="0"/>
    <n v="55889.99999999999"/>
    <n v="0"/>
    <n v="0"/>
    <n v="0"/>
    <n v="9"/>
    <n v="55889.99999999999"/>
    <n v="0"/>
    <n v="0"/>
    <n v="9"/>
    <n v="0"/>
    <n v="0"/>
    <n v="0"/>
    <n v="55889.99999999999"/>
    <n v="0"/>
    <n v="0"/>
    <n v="9"/>
    <n v="55889.99999999999"/>
    <n v="0"/>
    <n v="0"/>
    <n v="9"/>
    <n v="0"/>
    <n v="0"/>
    <m/>
    <n v="55889.99999999999"/>
    <n v="0"/>
    <n v="0"/>
    <n v="9"/>
    <n v="55889.99999999999"/>
    <n v="0"/>
  </r>
  <r>
    <m/>
    <x v="4"/>
    <x v="21"/>
    <x v="53"/>
    <s v="LTW25-MTS02"/>
    <x v="558"/>
    <x v="411"/>
    <x v="0"/>
    <x v="2"/>
    <n v="1"/>
    <x v="3"/>
    <n v="32"/>
    <m/>
    <n v="0"/>
    <n v="5875"/>
    <n v="188000"/>
    <n v="6"/>
    <n v="6554.999999999999"/>
    <n v="8394.957983193277"/>
    <n v="7554.621848739496"/>
    <s v="Shenzhen"/>
    <s v="30/70"/>
    <n v="30"/>
    <n v="1"/>
    <n v="0"/>
    <s v=""/>
    <n v="0"/>
    <s v=""/>
    <n v="0"/>
    <s v=""/>
    <n v="1"/>
    <n v="0.4817624487275614"/>
    <n v="0"/>
    <n v="1"/>
    <n v="1"/>
    <n v="0.4617991938438988"/>
    <n v="11"/>
    <n v="0.2290302184364673"/>
    <n v="2"/>
    <n v="0.4169023869783137"/>
    <n v="4"/>
    <n v="0.5945199806749948"/>
    <n v="10"/>
    <n v="0.5351909870565524"/>
    <n v="1"/>
    <n v="0.4617991938438988"/>
    <n v="5"/>
    <n v="0.4659479310595593"/>
    <n v="11"/>
    <n v="-0.02062484842156513"/>
    <n v="1"/>
    <n v="0.6198641479746766"/>
    <n v="3"/>
    <n v="0.3878429141479692"/>
    <n v="3"/>
    <n v="0.3001786836530997"/>
    <n v="1"/>
    <n v="0"/>
    <s v=""/>
    <n v="0"/>
    <n v="2"/>
    <n v="-0.04268909899888765"/>
    <n v="0.06535947712418301"/>
    <n v="2"/>
    <n v="0.6198792887825567"/>
    <n v="0.1538461538461539"/>
    <n v="2"/>
    <n v="0.1359075458871516"/>
    <n v="0.1538461538461539"/>
    <m/>
    <m/>
    <m/>
    <m/>
    <m/>
    <m/>
    <m/>
    <m/>
    <m/>
    <m/>
    <m/>
    <m/>
    <n v="5"/>
    <n v="49"/>
    <n v="2"/>
    <n v="0"/>
    <n v="0"/>
    <n v="0"/>
    <n v="38187.5"/>
    <n v="304289.9999999999"/>
    <n v="11750"/>
    <n v="0"/>
    <n v="32"/>
    <n v="188000"/>
    <n v="14109.1730809971"/>
    <n v="2"/>
    <n v="45"/>
    <n v="1.5"/>
    <n v="0"/>
    <n v="0"/>
    <n v="0"/>
    <n v="44062.5"/>
    <n v="279449.9999999999"/>
    <n v="8812.5"/>
    <n v="0"/>
    <n v="32"/>
    <n v="188000"/>
    <n v="10581.87981074783"/>
    <n v="2"/>
    <n v="44"/>
    <n v="3"/>
    <n v="0"/>
    <n v="0"/>
    <n v="66300"/>
    <n v="258500"/>
    <n v="17625"/>
    <n v="0"/>
    <n v="32"/>
    <n v="188000"/>
    <n v="25184.87394957983"/>
    <n v="3"/>
    <n v="41"/>
    <n v="3"/>
    <n v="0"/>
    <n v="0"/>
    <n v="254610"/>
    <n v="17625"/>
    <n v="0"/>
    <n v="0"/>
    <n v="32"/>
    <n v="188000"/>
    <n v="25184.87394957983"/>
    <n v="5"/>
    <n v="32"/>
    <n v="5"/>
    <m/>
    <n v="0"/>
    <n v="0"/>
    <n v="188000"/>
    <n v="31050"/>
    <n v="0"/>
    <n v="0"/>
    <n v="32"/>
    <n v="188000"/>
    <n v="41974.78991596639"/>
    <n v="30.6"/>
    <n v="34"/>
    <n v="2"/>
    <m/>
    <n v="0"/>
    <n v="0"/>
    <n v="199750"/>
    <n v="12420"/>
    <n v="0"/>
    <n v="0"/>
    <n v="34"/>
    <n v="188000"/>
    <n v="16789.91596638655"/>
    <n v="13"/>
    <n v="34"/>
    <n v="2"/>
    <n v="0"/>
    <n v="0"/>
    <n v="0"/>
    <n v="199750"/>
    <n v="12420"/>
    <n v="0"/>
    <n v="0"/>
    <n v="34"/>
    <n v="188000"/>
    <n v="16789.91596638655"/>
    <n v="13"/>
    <n v="32"/>
    <n v="13"/>
    <n v="0"/>
    <n v="0"/>
    <n v="0"/>
    <n v="188000"/>
    <n v="80729.99999999999"/>
    <n v="0"/>
    <n v="0"/>
    <n v="32"/>
    <n v="188000"/>
    <n v="109134.4537815126"/>
    <n v="13"/>
    <n v="19"/>
    <n v="13"/>
    <n v="0"/>
    <n v="0"/>
    <n v="0"/>
    <n v="117990"/>
    <n v="80729.99999999999"/>
    <n v="0"/>
    <n v="0"/>
    <n v="19"/>
    <n v="117990"/>
    <n v="109134.4537815126"/>
    <n v="0"/>
    <n v="6"/>
    <n v="0"/>
    <n v="0"/>
    <n v="0"/>
    <n v="0"/>
    <m/>
    <n v="37259.99999999999"/>
    <n v="0"/>
    <n v="0"/>
    <n v="0"/>
    <n v="6"/>
    <n v="37259.99999999999"/>
    <n v="0"/>
    <n v="0"/>
    <n v="6"/>
    <n v="0"/>
    <n v="0"/>
    <n v="0"/>
    <n v="37259.99999999999"/>
    <n v="0"/>
    <n v="0"/>
    <n v="0"/>
    <n v="6"/>
    <n v="37259.99999999999"/>
    <n v="0"/>
    <n v="0"/>
    <n v="6"/>
    <n v="0"/>
    <n v="0"/>
    <n v="0"/>
    <n v="37259.99999999999"/>
    <n v="0"/>
    <n v="0"/>
    <n v="6"/>
    <n v="37259.99999999999"/>
    <n v="0"/>
    <n v="0"/>
    <n v="6"/>
    <n v="0"/>
    <n v="0"/>
    <m/>
    <n v="37259.99999999999"/>
    <n v="0"/>
    <n v="0"/>
    <n v="6"/>
    <n v="37259.99999999999"/>
    <n v="0"/>
  </r>
  <r>
    <m/>
    <x v="4"/>
    <x v="21"/>
    <x v="53"/>
    <s v="LTW25-MTS02"/>
    <x v="559"/>
    <x v="411"/>
    <x v="0"/>
    <x v="2"/>
    <n v="1"/>
    <x v="3"/>
    <n v="25"/>
    <m/>
    <n v="0"/>
    <n v="5875"/>
    <n v="146875"/>
    <n v="6"/>
    <n v="6554.999999999999"/>
    <n v="8394.957983193277"/>
    <n v="7554.621848739496"/>
    <s v="Shenzhen"/>
    <s v="30/70"/>
    <n v="30"/>
    <n v="1"/>
    <n v="0"/>
    <s v=""/>
    <n v="0"/>
    <s v=""/>
    <n v="0"/>
    <s v=""/>
    <n v="0"/>
    <n v="0"/>
    <n v="0"/>
    <n v="0"/>
    <n v="1"/>
    <n v="0"/>
    <n v="10"/>
    <n v="0.3078826116550605"/>
    <n v="1"/>
    <n v="0.2223692918596956"/>
    <n v="5"/>
    <n v="0.4687872979131252"/>
    <n v="12"/>
    <n v="0.4128718478297079"/>
    <n v="0"/>
    <s v=""/>
    <n v="4"/>
    <n v="0.3398876404494382"/>
    <n v="23"/>
    <n v="-0.02830892761874521"/>
    <n v="2"/>
    <n v="0.09339907518756534"/>
    <n v="5"/>
    <n v="0.3578259376894076"/>
    <n v="3"/>
    <n v="0.1568023560829553"/>
    <n v="1"/>
    <n v="1"/>
    <n v="0.3001801801801802"/>
    <n v="0.2"/>
    <n v="2"/>
    <n v="0.1112693872362064"/>
    <n v="0.06349206349206349"/>
    <n v="3"/>
    <n v="0.6198792887825566"/>
    <n v="0.3"/>
    <n v="0"/>
    <s v=""/>
    <n v="0"/>
    <m/>
    <m/>
    <m/>
    <m/>
    <m/>
    <m/>
    <m/>
    <m/>
    <m/>
    <m/>
    <m/>
    <m/>
    <n v="5"/>
    <n v="39"/>
    <n v="3"/>
    <n v="0"/>
    <n v="0"/>
    <n v="0"/>
    <n v="64625"/>
    <n v="242190"/>
    <n v="17625"/>
    <n v="0"/>
    <n v="25"/>
    <n v="146875"/>
    <n v="21163.75962149566"/>
    <n v="2"/>
    <n v="38"/>
    <n v="3"/>
    <n v="0"/>
    <n v="0"/>
    <n v="0"/>
    <n v="64625"/>
    <n v="235980"/>
    <n v="17625"/>
    <n v="0"/>
    <n v="25"/>
    <n v="146875"/>
    <n v="21163.75962149566"/>
    <n v="3"/>
    <n v="36"/>
    <n v="5"/>
    <n v="0"/>
    <n v="0"/>
    <n v="78050"/>
    <n v="211500"/>
    <n v="29375"/>
    <n v="0"/>
    <n v="25"/>
    <n v="146875"/>
    <n v="41974.78991596639"/>
    <n v="3"/>
    <n v="32"/>
    <n v="3"/>
    <n v="0"/>
    <n v="0"/>
    <n v="198720"/>
    <n v="17625"/>
    <n v="0"/>
    <n v="0"/>
    <n v="25"/>
    <n v="146875"/>
    <n v="25184.87394957983"/>
    <n v="5"/>
    <n v="26"/>
    <n v="5"/>
    <m/>
    <n v="0"/>
    <n v="0"/>
    <n v="152750"/>
    <n v="31050"/>
    <n v="0"/>
    <n v="0"/>
    <n v="25"/>
    <n v="146875"/>
    <n v="41974.78991596639"/>
    <n v="31.5"/>
    <n v="27"/>
    <n v="2"/>
    <m/>
    <n v="0"/>
    <n v="0"/>
    <n v="158625"/>
    <n v="12420"/>
    <n v="0"/>
    <n v="0"/>
    <n v="27"/>
    <n v="146875"/>
    <n v="16789.91596638655"/>
    <n v="10"/>
    <n v="28"/>
    <n v="3"/>
    <n v="0"/>
    <n v="0"/>
    <n v="0"/>
    <n v="164500"/>
    <n v="18630"/>
    <n v="0"/>
    <n v="0"/>
    <n v="28"/>
    <n v="146875"/>
    <n v="25184.87394957983"/>
    <n v="10"/>
    <n v="25"/>
    <n v="10"/>
    <n v="0"/>
    <n v="0"/>
    <n v="0"/>
    <n v="146875"/>
    <n v="62099.99999999999"/>
    <n v="0"/>
    <n v="0"/>
    <n v="25"/>
    <n v="146875"/>
    <n v="83949.57983193277"/>
    <n v="10"/>
    <n v="15"/>
    <n v="10"/>
    <n v="0"/>
    <n v="0"/>
    <n v="0"/>
    <n v="93149.99999999999"/>
    <n v="62099.99999999999"/>
    <n v="0"/>
    <n v="0"/>
    <n v="15"/>
    <n v="93149.99999999999"/>
    <n v="83949.57983193277"/>
    <n v="0"/>
    <n v="5"/>
    <n v="0"/>
    <n v="0"/>
    <n v="0"/>
    <n v="0"/>
    <m/>
    <n v="31050"/>
    <n v="0"/>
    <n v="0"/>
    <n v="0"/>
    <n v="5"/>
    <n v="31050"/>
    <n v="0"/>
    <n v="0"/>
    <n v="5"/>
    <n v="0"/>
    <n v="0"/>
    <n v="0"/>
    <n v="31050"/>
    <n v="0"/>
    <n v="0"/>
    <n v="0"/>
    <n v="5"/>
    <n v="31050"/>
    <n v="0"/>
    <n v="0"/>
    <n v="5"/>
    <n v="0"/>
    <n v="0"/>
    <n v="0"/>
    <n v="31050"/>
    <n v="0"/>
    <n v="0"/>
    <n v="5"/>
    <n v="31050"/>
    <n v="0"/>
    <n v="0"/>
    <n v="5"/>
    <n v="0"/>
    <n v="0"/>
    <m/>
    <n v="31050"/>
    <n v="0"/>
    <n v="0"/>
    <n v="5"/>
    <n v="31050"/>
    <n v="0"/>
  </r>
  <r>
    <m/>
    <x v="4"/>
    <x v="21"/>
    <x v="53"/>
    <s v="LTW25-MTS02"/>
    <x v="560"/>
    <x v="411"/>
    <x v="0"/>
    <x v="2"/>
    <n v="1"/>
    <x v="3"/>
    <n v="29"/>
    <m/>
    <n v="0"/>
    <n v="5875"/>
    <n v="170375"/>
    <n v="6"/>
    <n v="6554.999999999999"/>
    <n v="8394.957983193277"/>
    <n v="7554.621848739496"/>
    <s v="Shenzhen"/>
    <s v="30/70"/>
    <n v="30"/>
    <n v="1"/>
    <n v="0"/>
    <s v=""/>
    <n v="0"/>
    <s v=""/>
    <n v="0"/>
    <s v=""/>
    <n v="0"/>
    <s v=""/>
    <n v="0"/>
    <n v="0"/>
    <n v="1"/>
    <n v="0.4169352121509326"/>
    <n v="6"/>
    <n v="0.2223692918596956"/>
    <n v="0"/>
    <n v="0.4617991938438988"/>
    <n v="1"/>
    <n v="0.3638535031847134"/>
    <n v="8"/>
    <n v="0.4769467042077968"/>
    <n v="1"/>
    <n v="0.4617991938438988"/>
    <n v="6"/>
    <n v="0.4450916189156854"/>
    <n v="5"/>
    <n v="-0.06073723368288994"/>
    <n v="0"/>
    <s v=""/>
    <n v="2"/>
    <n v="0.4263340717236604"/>
    <n v="0"/>
    <s v=""/>
    <n v="0"/>
    <n v="0"/>
    <s v=""/>
    <n v="0"/>
    <n v="2"/>
    <n v="0.4534773091506078"/>
    <n v="0.09523809523809523"/>
    <n v="1"/>
    <n v="0.2223804226918799"/>
    <n v="0.09090909090909091"/>
    <n v="0"/>
    <s v=""/>
    <n v="0"/>
    <m/>
    <m/>
    <m/>
    <m/>
    <m/>
    <m/>
    <m/>
    <m/>
    <m/>
    <m/>
    <m/>
    <m/>
    <n v="6"/>
    <n v="33"/>
    <n v="2"/>
    <n v="0"/>
    <n v="0"/>
    <n v="0"/>
    <n v="23500"/>
    <n v="204930"/>
    <n v="11750"/>
    <n v="0"/>
    <n v="29"/>
    <n v="170375"/>
    <n v="14109.1730809971"/>
    <n v="4"/>
    <n v="32"/>
    <n v="0"/>
    <n v="0"/>
    <n v="0"/>
    <n v="0"/>
    <n v="11750"/>
    <n v="198720"/>
    <n v="0"/>
    <n v="0"/>
    <n v="29"/>
    <n v="170375"/>
    <n v="0"/>
    <n v="3"/>
    <n v="34"/>
    <n v="2"/>
    <n v="0"/>
    <n v="0"/>
    <n v="42800"/>
    <n v="199750"/>
    <n v="11750"/>
    <n v="0"/>
    <n v="29"/>
    <n v="170375"/>
    <n v="16789.91596638655"/>
    <n v="3"/>
    <n v="32"/>
    <n v="0"/>
    <n v="0"/>
    <n v="0"/>
    <n v="198720"/>
    <n v="0"/>
    <n v="0"/>
    <n v="0"/>
    <n v="29"/>
    <n v="170375"/>
    <n v="0"/>
    <n v="5"/>
    <n v="29"/>
    <n v="5"/>
    <m/>
    <n v="0"/>
    <n v="0"/>
    <n v="170375"/>
    <n v="31050"/>
    <n v="0"/>
    <n v="0"/>
    <n v="29"/>
    <n v="170375"/>
    <n v="41974.78991596639"/>
    <n v="21"/>
    <n v="31"/>
    <n v="2"/>
    <m/>
    <n v="0"/>
    <n v="0"/>
    <n v="182125"/>
    <n v="12420"/>
    <n v="0"/>
    <n v="0"/>
    <n v="31"/>
    <n v="170375"/>
    <n v="16789.91596638655"/>
    <n v="11"/>
    <n v="30"/>
    <n v="1"/>
    <n v="0"/>
    <n v="0"/>
    <n v="0"/>
    <n v="176250"/>
    <n v="6209.999999999999"/>
    <n v="0"/>
    <n v="0"/>
    <n v="30"/>
    <n v="170375"/>
    <n v="8394.957983193277"/>
    <n v="11"/>
    <n v="29"/>
    <n v="11"/>
    <n v="0"/>
    <n v="0"/>
    <n v="0"/>
    <n v="170375"/>
    <n v="68309.99999999999"/>
    <n v="0"/>
    <n v="0"/>
    <n v="29"/>
    <n v="170375"/>
    <n v="92344.53781512605"/>
    <n v="11"/>
    <n v="18"/>
    <n v="11"/>
    <n v="0"/>
    <n v="0"/>
    <n v="0"/>
    <n v="111780"/>
    <n v="68309.99999999999"/>
    <n v="0"/>
    <n v="0"/>
    <n v="18"/>
    <n v="111780"/>
    <n v="92344.53781512605"/>
    <n v="0"/>
    <n v="7"/>
    <n v="0"/>
    <n v="0"/>
    <n v="0"/>
    <n v="0"/>
    <m/>
    <n v="43469.99999999999"/>
    <n v="0"/>
    <n v="0"/>
    <n v="0"/>
    <n v="7"/>
    <n v="43469.99999999999"/>
    <n v="0"/>
    <n v="0"/>
    <n v="7"/>
    <n v="0"/>
    <n v="0"/>
    <n v="0"/>
    <n v="43469.99999999999"/>
    <n v="0"/>
    <n v="0"/>
    <n v="0"/>
    <n v="7"/>
    <n v="43469.99999999999"/>
    <n v="0"/>
    <n v="0"/>
    <n v="7"/>
    <n v="0"/>
    <n v="0"/>
    <n v="0"/>
    <n v="43469.99999999999"/>
    <n v="0"/>
    <n v="0"/>
    <n v="7"/>
    <n v="43469.99999999999"/>
    <n v="0"/>
    <n v="0"/>
    <n v="7"/>
    <n v="0"/>
    <n v="0"/>
    <m/>
    <n v="43469.99999999999"/>
    <n v="0"/>
    <n v="0"/>
    <n v="7"/>
    <n v="43469.99999999999"/>
    <n v="0"/>
  </r>
  <r>
    <m/>
    <x v="4"/>
    <x v="21"/>
    <x v="53"/>
    <s v="LTW25-MTS02"/>
    <x v="561"/>
    <x v="411"/>
    <x v="0"/>
    <x v="2"/>
    <n v="1"/>
    <x v="3"/>
    <n v="19"/>
    <m/>
    <n v="0"/>
    <n v="5875"/>
    <n v="111625"/>
    <n v="6"/>
    <n v="6554.999999999999"/>
    <n v="8394.957983193277"/>
    <n v="7554.621848739496"/>
    <s v="Shenzhen"/>
    <s v="30/70"/>
    <n v="30"/>
    <n v="1"/>
    <n v="0"/>
    <s v=""/>
    <n v="0"/>
    <s v=""/>
    <n v="0"/>
    <s v=""/>
    <n v="0"/>
    <s v=""/>
    <n v="1"/>
    <n v="0.2449233141975838"/>
    <n v="2"/>
    <n v="0.5760265569748142"/>
    <n v="6"/>
    <n v="0.2760469080528229"/>
    <n v="1"/>
    <n v="0.3002203561431719"/>
    <n v="2"/>
    <n v="0.504727097812369"/>
    <n v="4"/>
    <n v="0.5540966187241471"/>
    <n v="0"/>
    <s v=""/>
    <n v="4"/>
    <n v="0.5073375262054507"/>
    <n v="6"/>
    <n v="-0.06073723368288994"/>
    <n v="2"/>
    <n v="0.08503348127275102"/>
    <n v="2"/>
    <n v="0.5073375436621327"/>
    <n v="0"/>
    <s v=""/>
    <n v="0"/>
    <n v="2"/>
    <n v="0.2633298208640674"/>
    <n v="0.4"/>
    <n v="1"/>
    <n v="-0.08881979977753059"/>
    <n v="0.04901960784313726"/>
    <n v="3"/>
    <n v="0.1668325917686318"/>
    <n v="0.375"/>
    <n v="1"/>
    <n v="0.1249574468085106"/>
    <n v="0.125"/>
    <m/>
    <m/>
    <m/>
    <m/>
    <m/>
    <m/>
    <m/>
    <m/>
    <m/>
    <m/>
    <m/>
    <m/>
    <n v="5"/>
    <n v="34"/>
    <n v="2"/>
    <n v="0"/>
    <n v="0"/>
    <n v="0"/>
    <n v="41125"/>
    <n v="211140"/>
    <n v="11750"/>
    <n v="0"/>
    <n v="19"/>
    <n v="111625"/>
    <n v="14109.1730809971"/>
    <n v="2"/>
    <n v="30"/>
    <n v="3"/>
    <n v="0"/>
    <n v="0"/>
    <n v="0"/>
    <n v="29375"/>
    <n v="186300"/>
    <n v="17625"/>
    <n v="0"/>
    <n v="19"/>
    <n v="111625"/>
    <n v="21163.75962149566"/>
    <n v="2"/>
    <n v="28"/>
    <n v="2"/>
    <n v="0"/>
    <n v="0"/>
    <n v="42800"/>
    <n v="164500"/>
    <n v="11750"/>
    <n v="0"/>
    <n v="19"/>
    <n v="111625"/>
    <n v="16789.91596638655"/>
    <n v="3"/>
    <n v="24"/>
    <n v="0"/>
    <n v="0"/>
    <n v="0"/>
    <n v="149040"/>
    <n v="0"/>
    <n v="0"/>
    <n v="0"/>
    <n v="19"/>
    <n v="111625"/>
    <n v="0"/>
    <n v="5"/>
    <n v="21"/>
    <n v="5"/>
    <m/>
    <n v="0"/>
    <n v="0"/>
    <n v="123375"/>
    <n v="31050"/>
    <n v="0"/>
    <n v="0"/>
    <n v="19"/>
    <n v="111625"/>
    <n v="41974.78991596639"/>
    <n v="20.4"/>
    <n v="20"/>
    <n v="1"/>
    <m/>
    <n v="0"/>
    <n v="0"/>
    <n v="117500"/>
    <n v="6209.999999999999"/>
    <n v="0"/>
    <n v="0"/>
    <n v="20"/>
    <n v="111625"/>
    <n v="8394.957983193277"/>
    <n v="8"/>
    <n v="22"/>
    <n v="3"/>
    <n v="0"/>
    <n v="0"/>
    <n v="0"/>
    <n v="129250"/>
    <n v="18630"/>
    <n v="0"/>
    <n v="0"/>
    <n v="22"/>
    <n v="111625"/>
    <n v="25184.87394957983"/>
    <n v="8"/>
    <n v="19"/>
    <n v="8"/>
    <n v="0"/>
    <n v="0"/>
    <n v="0"/>
    <n v="111625"/>
    <n v="49679.99999999999"/>
    <n v="0"/>
    <n v="0"/>
    <n v="19"/>
    <n v="111625"/>
    <n v="67159.66386554622"/>
    <n v="8"/>
    <n v="11"/>
    <n v="8"/>
    <n v="0"/>
    <n v="0"/>
    <n v="0"/>
    <n v="68309.99999999999"/>
    <n v="49679.99999999999"/>
    <n v="0"/>
    <n v="0"/>
    <n v="11"/>
    <n v="68309.99999999999"/>
    <n v="67159.66386554622"/>
    <n v="0"/>
    <n v="3"/>
    <n v="0"/>
    <n v="0"/>
    <n v="0"/>
    <n v="0"/>
    <m/>
    <n v="18630"/>
    <n v="0"/>
    <n v="0"/>
    <n v="0"/>
    <n v="3"/>
    <n v="18630"/>
    <n v="0"/>
    <n v="0"/>
    <n v="3"/>
    <n v="0"/>
    <n v="0"/>
    <n v="0"/>
    <n v="18630"/>
    <n v="0"/>
    <n v="0"/>
    <n v="0"/>
    <n v="3"/>
    <n v="18630"/>
    <n v="0"/>
    <n v="0"/>
    <n v="3"/>
    <n v="0"/>
    <n v="0"/>
    <n v="0"/>
    <n v="18630"/>
    <n v="0"/>
    <n v="0"/>
    <n v="3"/>
    <n v="18630"/>
    <n v="0"/>
    <n v="0"/>
    <n v="3"/>
    <n v="0"/>
    <n v="0"/>
    <m/>
    <n v="18630"/>
    <n v="0"/>
    <n v="0"/>
    <n v="3"/>
    <n v="18630"/>
    <n v="0"/>
  </r>
  <r>
    <m/>
    <x v="4"/>
    <x v="21"/>
    <x v="53"/>
    <s v="LTW25-MTS02"/>
    <x v="562"/>
    <x v="411"/>
    <x v="0"/>
    <x v="2"/>
    <n v="1"/>
    <x v="3"/>
    <n v="32"/>
    <m/>
    <n v="0"/>
    <n v="5875"/>
    <n v="188000"/>
    <n v="6"/>
    <n v="6554.999999999999"/>
    <n v="8394.957983193277"/>
    <n v="7554.621848739496"/>
    <s v="Shenzhen"/>
    <s v="30/70"/>
    <n v="30"/>
    <n v="1"/>
    <n v="0"/>
    <s v=""/>
    <n v="0"/>
    <s v=""/>
    <n v="0"/>
    <s v=""/>
    <n v="0"/>
    <n v="0"/>
    <n v="1"/>
    <n v="0.3173169102053859"/>
    <n v="0"/>
    <n v="0.4617991938438988"/>
    <n v="0"/>
    <n v="0.4617991938438988"/>
    <n v="2"/>
    <n v="0.3638332430969139"/>
    <n v="2"/>
    <n v="0.569554405306279"/>
    <n v="6"/>
    <n v="0.3687094809986031"/>
    <n v="1"/>
    <n v="0.2000272331154684"/>
    <n v="5"/>
    <n v="0.5816420992665385"/>
    <n v="11"/>
    <n v="-0.02604352240075454"/>
    <n v="3"/>
    <n v="0.1700805180072043"/>
    <n v="3"/>
    <n v="0.3634255850689365"/>
    <n v="0"/>
    <s v=""/>
    <n v="0"/>
    <n v="0"/>
    <s v=""/>
    <n v="0"/>
    <n v="3"/>
    <n v="0.0556896551724138"/>
    <n v="0.1428571428571428"/>
    <n v="1"/>
    <n v="0.2223804226918799"/>
    <n v="0.08333333333333333"/>
    <n v="0"/>
    <s v=""/>
    <n v="0"/>
    <m/>
    <m/>
    <m/>
    <m/>
    <m/>
    <m/>
    <m/>
    <m/>
    <m/>
    <m/>
    <m/>
    <m/>
    <n v="5"/>
    <n v="42"/>
    <n v="3"/>
    <n v="0"/>
    <n v="0"/>
    <n v="0"/>
    <n v="61687.5"/>
    <n v="260820"/>
    <n v="17625"/>
    <n v="0"/>
    <n v="32"/>
    <n v="188000"/>
    <n v="21163.75962149566"/>
    <n v="3"/>
    <n v="41"/>
    <n v="4.5"/>
    <n v="0"/>
    <n v="0"/>
    <n v="0"/>
    <n v="44062.5"/>
    <n v="254610"/>
    <n v="26437.5"/>
    <n v="0"/>
    <n v="32"/>
    <n v="188000"/>
    <n v="31745.63943224349"/>
    <n v="3"/>
    <n v="38"/>
    <n v="3"/>
    <n v="0"/>
    <n v="0"/>
    <n v="48675"/>
    <n v="223250"/>
    <n v="17625"/>
    <n v="0"/>
    <n v="32"/>
    <n v="188000"/>
    <n v="25184.87394957983"/>
    <n v="3"/>
    <n v="36"/>
    <n v="0"/>
    <n v="0"/>
    <n v="0"/>
    <n v="223560"/>
    <n v="0"/>
    <n v="0"/>
    <n v="0"/>
    <n v="32"/>
    <n v="188000"/>
    <n v="0"/>
    <n v="5"/>
    <n v="32"/>
    <n v="5"/>
    <m/>
    <n v="0"/>
    <n v="0"/>
    <n v="188000"/>
    <n v="31050"/>
    <n v="0"/>
    <n v="0"/>
    <n v="32"/>
    <n v="188000"/>
    <n v="41974.78991596639"/>
    <n v="21"/>
    <n v="35"/>
    <n v="3"/>
    <m/>
    <n v="0"/>
    <n v="0"/>
    <n v="205625"/>
    <n v="18630"/>
    <n v="0"/>
    <n v="0"/>
    <n v="35"/>
    <n v="188000"/>
    <n v="25184.87394957983"/>
    <n v="12"/>
    <n v="33"/>
    <n v="1"/>
    <n v="0"/>
    <n v="0"/>
    <n v="0"/>
    <n v="193875"/>
    <n v="6209.999999999999"/>
    <n v="0"/>
    <n v="0"/>
    <n v="33"/>
    <n v="188000"/>
    <n v="8394.957983193277"/>
    <n v="12"/>
    <n v="32"/>
    <n v="12"/>
    <n v="0"/>
    <n v="0"/>
    <n v="0"/>
    <n v="188000"/>
    <n v="74519.99999999999"/>
    <n v="0"/>
    <n v="0"/>
    <n v="32"/>
    <n v="188000"/>
    <n v="100739.4957983193"/>
    <n v="12"/>
    <n v="20"/>
    <n v="12"/>
    <n v="0"/>
    <n v="0"/>
    <n v="0"/>
    <n v="124200"/>
    <n v="74519.99999999999"/>
    <n v="0"/>
    <n v="0"/>
    <n v="20"/>
    <n v="124200"/>
    <n v="100739.4957983193"/>
    <n v="0"/>
    <n v="8"/>
    <n v="0"/>
    <n v="0"/>
    <n v="0"/>
    <n v="0"/>
    <m/>
    <n v="49679.99999999999"/>
    <n v="0"/>
    <n v="0"/>
    <n v="0"/>
    <n v="8"/>
    <n v="49679.99999999999"/>
    <n v="0"/>
    <n v="0"/>
    <n v="8"/>
    <n v="0"/>
    <n v="0"/>
    <n v="0"/>
    <n v="49679.99999999999"/>
    <n v="0"/>
    <n v="0"/>
    <n v="0"/>
    <n v="8"/>
    <n v="49679.99999999999"/>
    <n v="0"/>
    <n v="0"/>
    <n v="8"/>
    <n v="0"/>
    <n v="0"/>
    <n v="0"/>
    <n v="49679.99999999999"/>
    <n v="0"/>
    <n v="0"/>
    <n v="8"/>
    <n v="49679.99999999999"/>
    <n v="0"/>
    <n v="0"/>
    <n v="8"/>
    <n v="0"/>
    <n v="0"/>
    <m/>
    <n v="49679.99999999999"/>
    <n v="0"/>
    <n v="0"/>
    <n v="8"/>
    <n v="49679.99999999999"/>
    <n v="0"/>
  </r>
  <r>
    <m/>
    <x v="4"/>
    <x v="21"/>
    <x v="53"/>
    <s v="LTW25-MTS02"/>
    <x v="563"/>
    <x v="411"/>
    <x v="0"/>
    <x v="2"/>
    <n v="1"/>
    <x v="3"/>
    <n v="29"/>
    <m/>
    <n v="0"/>
    <n v="5875"/>
    <n v="170375"/>
    <n v="6"/>
    <n v="6554.999999999999"/>
    <n v="8394.957983193277"/>
    <n v="7554.621848739496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1"/>
    <n v="0.5945199806749948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5"/>
    <n v="28"/>
    <n v="2"/>
    <n v="0"/>
    <n v="0"/>
    <n v="0"/>
    <n v="11750"/>
    <n v="173880"/>
    <n v="11750"/>
    <n v="0"/>
    <n v="29"/>
    <n v="170375"/>
    <n v="14109.1730809971"/>
    <n v="4"/>
    <n v="29"/>
    <n v="0"/>
    <n v="0"/>
    <n v="0"/>
    <n v="0"/>
    <n v="0"/>
    <n v="180090"/>
    <n v="0"/>
    <n v="0"/>
    <n v="29"/>
    <n v="170375"/>
    <n v="0"/>
    <n v="3"/>
    <n v="29"/>
    <n v="0"/>
    <n v="0"/>
    <n v="0"/>
    <n v="31050"/>
    <n v="170375"/>
    <n v="0"/>
    <n v="0"/>
    <n v="29"/>
    <n v="170375"/>
    <n v="0"/>
    <n v="3"/>
    <n v="27"/>
    <n v="0"/>
    <n v="0"/>
    <n v="0"/>
    <n v="167670"/>
    <n v="0"/>
    <n v="0"/>
    <n v="0"/>
    <n v="29"/>
    <n v="170375"/>
    <n v="0"/>
    <n v="5"/>
    <n v="29"/>
    <n v="5"/>
    <m/>
    <n v="0"/>
    <n v="0"/>
    <n v="170375"/>
    <n v="31050"/>
    <n v="0"/>
    <n v="0"/>
    <n v="29"/>
    <n v="170375"/>
    <n v="41974.78991596639"/>
    <n v="10.5"/>
    <n v="29"/>
    <n v="0"/>
    <m/>
    <n v="0"/>
    <n v="0"/>
    <n v="170375"/>
    <n v="0"/>
    <n v="0"/>
    <n v="0"/>
    <n v="29"/>
    <n v="170375"/>
    <n v="0"/>
    <n v="10"/>
    <n v="29"/>
    <n v="0"/>
    <n v="0"/>
    <n v="0"/>
    <n v="0"/>
    <n v="170375"/>
    <n v="0"/>
    <n v="0"/>
    <n v="0"/>
    <n v="29"/>
    <n v="170375"/>
    <n v="0"/>
    <n v="10"/>
    <n v="29"/>
    <n v="10"/>
    <n v="0"/>
    <n v="0"/>
    <n v="0"/>
    <n v="170375"/>
    <n v="62099.99999999999"/>
    <n v="0"/>
    <n v="0"/>
    <n v="29"/>
    <n v="170375"/>
    <n v="83949.57983193277"/>
    <n v="10"/>
    <n v="19"/>
    <n v="10"/>
    <n v="0"/>
    <n v="0"/>
    <n v="0"/>
    <n v="117990"/>
    <n v="62099.99999999999"/>
    <n v="0"/>
    <n v="0"/>
    <n v="19"/>
    <n v="117990"/>
    <n v="83949.57983193277"/>
    <n v="0"/>
    <n v="9"/>
    <n v="0"/>
    <n v="0"/>
    <n v="0"/>
    <n v="0"/>
    <m/>
    <n v="55889.99999999999"/>
    <n v="0"/>
    <n v="0"/>
    <n v="0"/>
    <n v="9"/>
    <n v="55889.99999999999"/>
    <n v="0"/>
    <n v="0"/>
    <n v="9"/>
    <n v="0"/>
    <n v="0"/>
    <n v="0"/>
    <n v="55889.99999999999"/>
    <n v="0"/>
    <n v="0"/>
    <n v="0"/>
    <n v="9"/>
    <n v="55889.99999999999"/>
    <n v="0"/>
    <n v="0"/>
    <n v="9"/>
    <n v="0"/>
    <n v="0"/>
    <n v="0"/>
    <n v="55889.99999999999"/>
    <n v="0"/>
    <n v="0"/>
    <n v="9"/>
    <n v="55889.99999999999"/>
    <n v="0"/>
    <n v="0"/>
    <n v="9"/>
    <n v="0"/>
    <n v="0"/>
    <m/>
    <n v="55889.99999999999"/>
    <n v="0"/>
    <n v="0"/>
    <n v="9"/>
    <n v="55889.99999999999"/>
    <n v="0"/>
  </r>
  <r>
    <s v="Lhotse-Vestuario"/>
    <x v="4"/>
    <x v="21"/>
    <x v="53"/>
    <s v="LTW25-MTS02"/>
    <x v="564"/>
    <x v="411"/>
    <x v="0"/>
    <x v="2"/>
    <n v="1"/>
    <x v="3"/>
    <n v="22"/>
    <m/>
    <n v="0"/>
    <n v="5875"/>
    <n v="129250"/>
    <n v="6"/>
    <n v="6554.999999999999"/>
    <n v="8394.957983193277"/>
    <n v="7554.621848739496"/>
    <s v="Shenzhen"/>
    <s v="30/70"/>
    <n v="30"/>
    <n v="1"/>
    <n v="0"/>
    <s v=""/>
    <n v="0"/>
    <s v=""/>
    <n v="0"/>
    <s v=""/>
    <n v="0"/>
    <s v=""/>
    <n v="0"/>
    <s v=""/>
    <n v="0"/>
    <s v=""/>
    <n v="1"/>
    <n v="0.4617991938438988"/>
    <n v="0"/>
    <n v="0"/>
    <n v="1"/>
    <n v="0.5945199806749948"/>
    <n v="1"/>
    <n v="0.5945199806749948"/>
    <n v="0"/>
    <s v=""/>
    <n v="2"/>
    <n v="0.619864121643481"/>
    <n v="1"/>
    <n v="-0.06073723368288994"/>
    <n v="0"/>
    <s v=""/>
    <n v="1"/>
    <n v="0.06686785051304384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5"/>
    <n v="22"/>
    <n v="2"/>
    <n v="0"/>
    <n v="0"/>
    <n v="0"/>
    <n v="17625"/>
    <n v="136620"/>
    <n v="11750"/>
    <n v="0"/>
    <n v="22"/>
    <n v="129250"/>
    <n v="14109.1730809971"/>
    <n v="2"/>
    <n v="23"/>
    <n v="0"/>
    <n v="0"/>
    <n v="0"/>
    <n v="0"/>
    <n v="5875"/>
    <n v="142830"/>
    <n v="0"/>
    <n v="0"/>
    <n v="22"/>
    <n v="129250"/>
    <n v="0"/>
    <n v="2"/>
    <n v="23"/>
    <n v="1"/>
    <n v="0"/>
    <n v="0"/>
    <n v="36925"/>
    <n v="135125"/>
    <n v="5875"/>
    <n v="0"/>
    <n v="22"/>
    <n v="129250"/>
    <n v="8394.957983193277"/>
    <n v="3"/>
    <n v="20"/>
    <n v="0"/>
    <n v="0"/>
    <n v="0"/>
    <n v="124200"/>
    <n v="0"/>
    <n v="0"/>
    <n v="0"/>
    <n v="22"/>
    <n v="129250"/>
    <n v="0"/>
    <n v="5"/>
    <n v="22"/>
    <n v="5"/>
    <m/>
    <n v="0"/>
    <n v="0"/>
    <n v="129250"/>
    <n v="31050"/>
    <n v="0"/>
    <n v="0"/>
    <n v="22"/>
    <n v="129250"/>
    <n v="41974.78991596639"/>
    <n v="10.2"/>
    <n v="22"/>
    <n v="0"/>
    <m/>
    <n v="0"/>
    <n v="0"/>
    <n v="129250"/>
    <n v="0"/>
    <n v="0"/>
    <n v="0"/>
    <n v="22"/>
    <n v="129250"/>
    <n v="0"/>
    <n v="7"/>
    <n v="22"/>
    <n v="0"/>
    <n v="0"/>
    <n v="0"/>
    <n v="0"/>
    <n v="129250"/>
    <n v="0"/>
    <n v="0"/>
    <n v="0"/>
    <n v="22"/>
    <n v="129250"/>
    <n v="0"/>
    <n v="7"/>
    <n v="22"/>
    <n v="7"/>
    <n v="0"/>
    <n v="0"/>
    <n v="0"/>
    <n v="129250"/>
    <n v="43469.99999999999"/>
    <n v="0"/>
    <n v="0"/>
    <n v="22"/>
    <n v="129250"/>
    <n v="58764.70588235294"/>
    <n v="7"/>
    <n v="15"/>
    <n v="7"/>
    <n v="0"/>
    <n v="0"/>
    <n v="0"/>
    <n v="93149.99999999999"/>
    <n v="43469.99999999999"/>
    <n v="0"/>
    <n v="0"/>
    <n v="15"/>
    <n v="93149.99999999999"/>
    <n v="58764.70588235294"/>
    <n v="0"/>
    <n v="8"/>
    <n v="0"/>
    <n v="0"/>
    <n v="0"/>
    <n v="0"/>
    <m/>
    <n v="49679.99999999999"/>
    <n v="0"/>
    <n v="0"/>
    <n v="0"/>
    <n v="8"/>
    <n v="49679.99999999999"/>
    <n v="0"/>
    <n v="0"/>
    <n v="8"/>
    <n v="0"/>
    <n v="0"/>
    <n v="0"/>
    <n v="49679.99999999999"/>
    <n v="0"/>
    <n v="0"/>
    <n v="0"/>
    <n v="8"/>
    <n v="49679.99999999999"/>
    <n v="0"/>
    <n v="0"/>
    <n v="8"/>
    <n v="0"/>
    <n v="0"/>
    <n v="0"/>
    <n v="49679.99999999999"/>
    <n v="0"/>
    <n v="0"/>
    <n v="8"/>
    <n v="49679.99999999999"/>
    <n v="0"/>
    <n v="0"/>
    <n v="8"/>
    <n v="0"/>
    <n v="0"/>
    <m/>
    <n v="49679.99999999999"/>
    <n v="0"/>
    <n v="0"/>
    <n v="8"/>
    <n v="49679.99999999999"/>
    <n v="0"/>
  </r>
  <r>
    <s v="Lhotse-Vestuario"/>
    <x v="4"/>
    <x v="21"/>
    <x v="53"/>
    <s v="LTW25-MTS02"/>
    <x v="565"/>
    <x v="411"/>
    <x v="0"/>
    <x v="2"/>
    <n v="1"/>
    <x v="3"/>
    <n v="18"/>
    <m/>
    <n v="0"/>
    <n v="5875"/>
    <n v="105750"/>
    <n v="6"/>
    <n v="6554.999999999999"/>
    <n v="8394.957983193277"/>
    <n v="7554.621848739496"/>
    <s v="Shenzhen"/>
    <s v="30/70"/>
    <n v="30"/>
    <n v="1"/>
    <n v="0"/>
    <s v=""/>
    <n v="0"/>
    <s v=""/>
    <n v="0"/>
    <s v=""/>
    <n v="0"/>
    <s v=""/>
    <n v="0"/>
    <s v=""/>
    <n v="0"/>
    <s v=""/>
    <n v="0"/>
    <s v=""/>
    <n v="0"/>
    <s v=""/>
    <n v="1"/>
    <n v="0.5945199806749948"/>
    <n v="5"/>
    <n v="0"/>
    <n v="1"/>
    <n v="0.2311215809449025"/>
    <n v="1"/>
    <n v="0.619864121643481"/>
    <n v="6"/>
    <n v="0.1430208272233025"/>
    <n v="0"/>
    <s v=""/>
    <n v="0"/>
    <s v=""/>
    <n v="1"/>
    <n v="0.0640437290337036"/>
    <n v="0.3333333333333333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5"/>
    <n v="18"/>
    <n v="2"/>
    <n v="0"/>
    <n v="0"/>
    <n v="0"/>
    <n v="11750"/>
    <n v="111780"/>
    <n v="11750"/>
    <n v="0"/>
    <n v="18"/>
    <n v="105750"/>
    <n v="14109.1730809971"/>
    <n v="3"/>
    <n v="19"/>
    <n v="0"/>
    <n v="0"/>
    <n v="0"/>
    <n v="0"/>
    <n v="5875"/>
    <n v="117990"/>
    <n v="0"/>
    <n v="0"/>
    <n v="18"/>
    <n v="105750"/>
    <n v="0"/>
    <n v="3"/>
    <n v="19"/>
    <n v="0"/>
    <n v="0"/>
    <n v="0"/>
    <n v="36925"/>
    <n v="111625"/>
    <n v="0"/>
    <n v="0"/>
    <n v="18"/>
    <n v="105750"/>
    <n v="0"/>
    <n v="3"/>
    <n v="19"/>
    <n v="1"/>
    <n v="0"/>
    <n v="0"/>
    <n v="117990"/>
    <n v="5875"/>
    <n v="0"/>
    <n v="0"/>
    <n v="18"/>
    <n v="105750"/>
    <n v="8394.957983193277"/>
    <n v="5"/>
    <n v="18"/>
    <n v="5"/>
    <m/>
    <n v="0"/>
    <n v="0"/>
    <n v="105750"/>
    <n v="31050"/>
    <n v="0"/>
    <n v="0"/>
    <n v="18"/>
    <n v="105750"/>
    <n v="41974.78991596639"/>
    <n v="10.5"/>
    <n v="18"/>
    <n v="0"/>
    <m/>
    <n v="0"/>
    <n v="0"/>
    <n v="105750"/>
    <n v="0"/>
    <n v="0"/>
    <n v="0"/>
    <n v="18"/>
    <n v="105750"/>
    <n v="0"/>
    <n v="6"/>
    <n v="18"/>
    <n v="0"/>
    <n v="0"/>
    <n v="0"/>
    <n v="0"/>
    <n v="105750"/>
    <n v="0"/>
    <n v="0"/>
    <n v="0"/>
    <n v="18"/>
    <n v="105750"/>
    <n v="0"/>
    <n v="6"/>
    <n v="18"/>
    <n v="6"/>
    <n v="0"/>
    <n v="0"/>
    <n v="0"/>
    <n v="105750"/>
    <n v="37259.99999999999"/>
    <n v="0"/>
    <n v="0"/>
    <n v="18"/>
    <n v="105750"/>
    <n v="50369.74789915966"/>
    <n v="6"/>
    <n v="12"/>
    <n v="6"/>
    <n v="0"/>
    <n v="0"/>
    <n v="0"/>
    <n v="74519.99999999999"/>
    <n v="37259.99999999999"/>
    <n v="0"/>
    <n v="0"/>
    <n v="12"/>
    <n v="74519.99999999999"/>
    <n v="50369.74789915966"/>
    <n v="0"/>
    <n v="6"/>
    <n v="0"/>
    <n v="0"/>
    <n v="0"/>
    <n v="0"/>
    <m/>
    <n v="37259.99999999999"/>
    <n v="0"/>
    <n v="0"/>
    <n v="0"/>
    <n v="6"/>
    <n v="37259.99999999999"/>
    <n v="0"/>
    <n v="0"/>
    <n v="6"/>
    <n v="0"/>
    <n v="0"/>
    <n v="0"/>
    <n v="37259.99999999999"/>
    <n v="0"/>
    <n v="0"/>
    <n v="0"/>
    <n v="6"/>
    <n v="37259.99999999999"/>
    <n v="0"/>
    <n v="0"/>
    <n v="6"/>
    <n v="0"/>
    <n v="0"/>
    <n v="0"/>
    <n v="37259.99999999999"/>
    <n v="0"/>
    <n v="0"/>
    <n v="6"/>
    <n v="37259.99999999999"/>
    <n v="0"/>
    <n v="0"/>
    <n v="6"/>
    <n v="0"/>
    <n v="0"/>
    <m/>
    <n v="37259.99999999999"/>
    <n v="0"/>
    <n v="0"/>
    <n v="6"/>
    <n v="37259.99999999999"/>
    <n v="0"/>
  </r>
  <r>
    <s v="Lhotse-Vestuario"/>
    <x v="4"/>
    <x v="21"/>
    <x v="53"/>
    <s v="LTW25-MTS02"/>
    <x v="566"/>
    <x v="411"/>
    <x v="0"/>
    <x v="2"/>
    <n v="1"/>
    <x v="3"/>
    <n v="5"/>
    <m/>
    <n v="0"/>
    <n v="5875"/>
    <n v="29375"/>
    <n v="6"/>
    <n v="6554.999999999999"/>
    <n v="8394.957983193277"/>
    <n v="7554.621848739496"/>
    <s v="Shenzhen"/>
    <s v="30/70"/>
    <n v="30"/>
    <n v="1"/>
    <n v="0"/>
    <s v=""/>
    <n v="0"/>
    <s v=""/>
    <n v="0"/>
    <s v=""/>
    <n v="0"/>
    <s v=""/>
    <n v="1"/>
    <n v="0.4617991938438988"/>
    <n v="0"/>
    <s v=""/>
    <n v="0"/>
    <s v=""/>
    <n v="0"/>
    <s v=""/>
    <n v="1"/>
    <n v="0.3638535031847134"/>
    <n v="6"/>
    <n v="0.3959697042393502"/>
    <n v="1"/>
    <n v="0.4617991938438988"/>
    <n v="3"/>
    <n v="0.5786113900444699"/>
    <n v="5"/>
    <n v="-0.02959164673165249"/>
    <n v="3"/>
    <n v="0.06083873629526256"/>
    <n v="3"/>
    <n v="0.09320498388500204"/>
    <n v="1"/>
    <n v="0.0640437290337036"/>
    <n v="0.3333333333333333"/>
    <n v="0"/>
    <s v=""/>
    <n v="0"/>
    <n v="1"/>
    <n v="0.2223804226918799"/>
    <n v="0.09523809523809523"/>
    <n v="1"/>
    <n v="0.2223804226918799"/>
    <n v="0.5"/>
    <n v="0"/>
    <s v=""/>
    <n v="0"/>
    <m/>
    <m/>
    <m/>
    <m/>
    <m/>
    <m/>
    <m/>
    <m/>
    <m/>
    <m/>
    <m/>
    <m/>
    <n v="5"/>
    <n v="13"/>
    <n v="2"/>
    <n v="0"/>
    <n v="0"/>
    <n v="0"/>
    <n v="55812.5"/>
    <n v="80729.99999999999"/>
    <n v="11750"/>
    <n v="0"/>
    <n v="5"/>
    <n v="29375"/>
    <n v="14109.1730809971"/>
    <n v="2"/>
    <n v="13"/>
    <n v="4.5"/>
    <n v="0"/>
    <n v="0"/>
    <n v="0"/>
    <n v="49937.5"/>
    <n v="80729.99999999999"/>
    <n v="26437.5"/>
    <n v="0"/>
    <n v="5"/>
    <n v="29375"/>
    <n v="31745.63943224349"/>
    <n v="3"/>
    <n v="10"/>
    <n v="3"/>
    <n v="0"/>
    <n v="0"/>
    <n v="54550"/>
    <n v="58750"/>
    <n v="17625"/>
    <n v="0"/>
    <n v="5"/>
    <n v="29375"/>
    <n v="25184.87394957983"/>
    <n v="3"/>
    <n v="8"/>
    <n v="1"/>
    <n v="0"/>
    <n v="0"/>
    <n v="49679.99999999999"/>
    <n v="5875"/>
    <n v="0"/>
    <n v="0"/>
    <n v="5"/>
    <n v="29375"/>
    <n v="8394.957983193277"/>
    <n v="5"/>
    <n v="5"/>
    <n v="5"/>
    <m/>
    <n v="0"/>
    <n v="0"/>
    <n v="29375"/>
    <n v="31050"/>
    <n v="0"/>
    <n v="0"/>
    <n v="5"/>
    <n v="29375"/>
    <n v="41974.78991596639"/>
    <n v="10.5"/>
    <n v="6"/>
    <n v="1"/>
    <m/>
    <n v="0"/>
    <n v="0"/>
    <n v="35250"/>
    <n v="6209.999999999999"/>
    <n v="0"/>
    <n v="0"/>
    <n v="6"/>
    <n v="29375"/>
    <n v="8394.957983193277"/>
    <n v="2"/>
    <n v="6"/>
    <n v="1"/>
    <n v="0"/>
    <n v="0"/>
    <n v="0"/>
    <n v="35250"/>
    <n v="6209.999999999999"/>
    <n v="0"/>
    <n v="0"/>
    <n v="6"/>
    <n v="29375"/>
    <n v="8394.957983193277"/>
    <n v="2"/>
    <n v="5"/>
    <n v="2"/>
    <n v="0"/>
    <n v="0"/>
    <n v="0"/>
    <n v="29375"/>
    <n v="12420"/>
    <n v="0"/>
    <n v="0"/>
    <n v="5"/>
    <n v="29375"/>
    <n v="16789.91596638655"/>
    <n v="2"/>
    <n v="3"/>
    <n v="2"/>
    <n v="0"/>
    <n v="0"/>
    <n v="0"/>
    <n v="18630"/>
    <n v="12420"/>
    <n v="0"/>
    <n v="0"/>
    <n v="3"/>
    <n v="18630"/>
    <n v="16789.91596638655"/>
    <n v="0"/>
    <n v="1"/>
    <n v="0"/>
    <n v="0"/>
    <n v="0"/>
    <n v="0"/>
    <m/>
    <n v="6209.999999999999"/>
    <n v="0"/>
    <n v="0"/>
    <n v="0"/>
    <n v="1"/>
    <n v="6209.999999999999"/>
    <n v="0"/>
    <n v="0"/>
    <n v="1"/>
    <n v="0"/>
    <n v="0"/>
    <n v="0"/>
    <n v="6209.999999999999"/>
    <n v="0"/>
    <n v="0"/>
    <n v="0"/>
    <n v="1"/>
    <n v="6209.999999999999"/>
    <n v="0"/>
    <n v="0"/>
    <n v="1"/>
    <n v="0"/>
    <n v="0"/>
    <n v="0"/>
    <n v="6209.999999999999"/>
    <n v="0"/>
    <n v="0"/>
    <n v="1"/>
    <n v="6209.999999999999"/>
    <n v="0"/>
    <n v="0"/>
    <n v="1"/>
    <n v="0"/>
    <n v="0"/>
    <m/>
    <n v="6209.999999999999"/>
    <n v="0"/>
    <n v="0"/>
    <n v="1"/>
    <n v="6209.999999999999"/>
    <n v="0"/>
  </r>
  <r>
    <s v="Lhotse-Vestuario"/>
    <x v="4"/>
    <x v="21"/>
    <x v="53"/>
    <s v="LTW25-MTS02"/>
    <x v="567"/>
    <x v="411"/>
    <x v="0"/>
    <x v="2"/>
    <n v="1"/>
    <x v="3"/>
    <n v="4"/>
    <m/>
    <n v="0"/>
    <n v="5875"/>
    <n v="23500"/>
    <n v="6"/>
    <n v="6554.999999999999"/>
    <n v="8394.957983193277"/>
    <n v="7554.621848739496"/>
    <s v="Shenzhen"/>
    <s v="30/70"/>
    <n v="30"/>
    <n v="1"/>
    <n v="0"/>
    <s v=""/>
    <n v="0"/>
    <s v=""/>
    <n v="0"/>
    <s v=""/>
    <n v="0"/>
    <s v=""/>
    <n v="1"/>
    <n v="0.3639021221307925"/>
    <n v="1"/>
    <n v="0.4617991938438988"/>
    <n v="0"/>
    <s v=""/>
    <n v="2"/>
    <n v="0.4617983652065201"/>
    <n v="2"/>
    <n v="0.5047209576799865"/>
    <n v="8"/>
    <n v="0.4029623231117095"/>
    <n v="1"/>
    <n v="0.4617975365665897"/>
    <n v="3"/>
    <n v="0.5786113900444699"/>
    <n v="1"/>
    <n v="0.1252233466184432"/>
    <n v="3"/>
    <n v="0.1609808627941774"/>
    <n v="2"/>
    <n v="0.1501493809367543"/>
    <n v="0"/>
    <s v=""/>
    <n v="0"/>
    <n v="0"/>
    <s v=""/>
    <n v="0"/>
    <n v="2"/>
    <n v="-0.3070967741935484"/>
    <n v="0.196078431372549"/>
    <n v="0"/>
    <s v=""/>
    <n v="0"/>
    <n v="1"/>
    <n v="0.2223804226918799"/>
    <n v="0.5"/>
    <m/>
    <m/>
    <m/>
    <m/>
    <m/>
    <m/>
    <m/>
    <m/>
    <m/>
    <m/>
    <m/>
    <m/>
    <n v="5"/>
    <n v="5"/>
    <n v="2"/>
    <n v="0"/>
    <n v="0"/>
    <n v="0"/>
    <n v="49937.5"/>
    <n v="31050"/>
    <n v="11750"/>
    <n v="0"/>
    <n v="4"/>
    <n v="23500"/>
    <n v="14109.1730809971"/>
    <n v="2"/>
    <n v="12"/>
    <n v="4.5"/>
    <n v="0"/>
    <n v="0"/>
    <n v="0"/>
    <n v="38187.5"/>
    <n v="74519.99999999999"/>
    <n v="26437.5"/>
    <n v="0"/>
    <n v="4"/>
    <n v="23500"/>
    <n v="31745.63943224349"/>
    <n v="2"/>
    <n v="9"/>
    <n v="2"/>
    <n v="0"/>
    <n v="0"/>
    <n v="42800"/>
    <n v="52875"/>
    <n v="11750"/>
    <n v="0"/>
    <n v="4"/>
    <n v="23500"/>
    <n v="16789.91596638655"/>
    <n v="3"/>
    <n v="7"/>
    <n v="0"/>
    <n v="0"/>
    <n v="0"/>
    <n v="43469.99999999999"/>
    <n v="0"/>
    <n v="0"/>
    <n v="0"/>
    <n v="4"/>
    <n v="23500"/>
    <n v="0"/>
    <n v="5"/>
    <n v="4"/>
    <n v="5"/>
    <m/>
    <n v="0"/>
    <n v="0"/>
    <n v="23500"/>
    <n v="31050"/>
    <n v="0"/>
    <n v="0"/>
    <n v="4"/>
    <n v="23500"/>
    <n v="41974.78991596639"/>
    <n v="10.2"/>
    <n v="6"/>
    <n v="2"/>
    <m/>
    <n v="0"/>
    <n v="0"/>
    <n v="35250"/>
    <n v="12420"/>
    <n v="0"/>
    <n v="0"/>
    <n v="6"/>
    <n v="23500"/>
    <n v="16789.91596638655"/>
    <n v="2"/>
    <n v="4"/>
    <n v="0"/>
    <n v="0"/>
    <n v="0"/>
    <n v="0"/>
    <n v="23500"/>
    <n v="0"/>
    <n v="0"/>
    <n v="0"/>
    <n v="4"/>
    <n v="23500"/>
    <n v="0"/>
    <n v="2"/>
    <n v="4"/>
    <n v="2"/>
    <n v="0"/>
    <n v="0"/>
    <n v="0"/>
    <n v="23500"/>
    <n v="12420"/>
    <n v="0"/>
    <n v="0"/>
    <n v="4"/>
    <n v="23500"/>
    <n v="16789.91596638655"/>
    <n v="2"/>
    <n v="2"/>
    <n v="2"/>
    <n v="0"/>
    <n v="0"/>
    <n v="0"/>
    <n v="12420"/>
    <n v="12420"/>
    <n v="0"/>
    <n v="0"/>
    <n v="2"/>
    <n v="12420"/>
    <n v="16789.91596638655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ideo"/>
    <x v="4"/>
    <x v="22"/>
    <x v="54"/>
    <s v="LHCAMACSUM"/>
    <x v="568"/>
    <x v="412"/>
    <x v="0"/>
    <x v="4"/>
    <n v="1"/>
    <x v="278"/>
    <n v="74"/>
    <m/>
    <n v="0"/>
    <n v="52241"/>
    <n v="3865834"/>
    <n v="58.3"/>
    <n v="52240"/>
    <n v="142848.7394957983"/>
    <n v="109235.2941176471"/>
    <s v="Shenzhen"/>
    <s v="30/70"/>
    <n v="30"/>
    <n v="100"/>
    <n v="3"/>
    <n v="1.37781074757113"/>
    <n v="7"/>
    <n v="1.52284508711696"/>
    <n v="7"/>
    <n v="1.51083397629826"/>
    <n v="6"/>
    <n v="1.4463139681163"/>
    <n v="12"/>
    <n v="1.54861943682452"/>
    <n v="42"/>
    <n v="1.399625236501"/>
    <n v="14"/>
    <n v="1.45705944041454"/>
    <n v="15"/>
    <n v="1.50481205438357"/>
    <n v="0"/>
    <s v=""/>
    <n v="0"/>
    <s v=""/>
    <n v="0"/>
    <s v=""/>
    <n v="0"/>
    <s v=""/>
    <n v="0"/>
    <s v=""/>
    <n v="0"/>
    <s v=""/>
    <n v="0"/>
    <s v=""/>
    <n v="2"/>
    <n v="0.525071194191375"/>
    <n v="0.4"/>
    <n v="9"/>
    <n v="0.5322306304897808"/>
    <n v="1.8"/>
    <n v="9"/>
    <n v="0.3852776284802551"/>
    <n v="0.6"/>
    <n v="7"/>
    <n v="0.4223589575448969"/>
    <n v="0.7"/>
    <n v="3"/>
    <n v="0.3813771370504601"/>
    <n v="0.25"/>
    <m/>
    <m/>
    <m/>
    <m/>
    <m/>
    <m/>
    <m/>
    <m/>
    <m/>
    <m/>
    <m/>
    <m/>
    <n v="0"/>
    <n v="0"/>
    <n v="0"/>
    <n v="0"/>
    <n v="0"/>
    <n v="0"/>
    <n v="0"/>
    <n v="0"/>
    <n v="0"/>
    <n v="0"/>
    <n v="74"/>
    <n v="3865834"/>
    <n v="0"/>
    <n v="0"/>
    <n v="1"/>
    <n v="0"/>
    <m/>
    <n v="100"/>
    <n v="0"/>
    <n v="104482"/>
    <n v="60340.49999999999"/>
    <n v="0"/>
    <n v="0"/>
    <n v="74"/>
    <n v="3865834"/>
    <n v="0"/>
    <n v="15"/>
    <n v="74"/>
    <n v="0"/>
    <n v="0"/>
    <n v="0"/>
    <n v="406184.4999999999"/>
    <n v="3865834"/>
    <n v="0"/>
    <n v="0"/>
    <n v="74"/>
    <n v="3865834"/>
    <n v="0"/>
    <n v="5"/>
    <n v="100"/>
    <n v="2"/>
    <n v="0"/>
    <n v="0"/>
    <n v="6034049.999999999"/>
    <n v="104482"/>
    <n v="0"/>
    <n v="0"/>
    <n v="74"/>
    <n v="3865834"/>
    <n v="285697.4789915967"/>
    <n v="5"/>
    <n v="83"/>
    <n v="5"/>
    <m/>
    <n v="0"/>
    <n v="0"/>
    <n v="4336003"/>
    <n v="301702.4999999999"/>
    <n v="0"/>
    <n v="0"/>
    <n v="74"/>
    <n v="3865834"/>
    <n v="714243.6974789917"/>
    <n v="15"/>
    <n v="83"/>
    <n v="9"/>
    <m/>
    <n v="0"/>
    <n v="0"/>
    <n v="4336003"/>
    <n v="543064.4999999999"/>
    <n v="0"/>
    <n v="0"/>
    <n v="83"/>
    <n v="3865834"/>
    <n v="1285638.655462185"/>
    <n v="10"/>
    <n v="81"/>
    <n v="7"/>
    <n v="0"/>
    <n v="0"/>
    <n v="0"/>
    <n v="4231521"/>
    <n v="422383.4999999999"/>
    <n v="0"/>
    <n v="0"/>
    <n v="81"/>
    <n v="3865834"/>
    <n v="999941.1764705883"/>
    <n v="12"/>
    <n v="74"/>
    <n v="12"/>
    <n v="50"/>
    <n v="50"/>
    <n v="0"/>
    <n v="3865834"/>
    <n v="724085.9999999999"/>
    <n v="3017025"/>
    <n v="0"/>
    <n v="74"/>
    <n v="3865834"/>
    <n v="1714184.87394958"/>
    <n v="12"/>
    <n v="62"/>
    <n v="12"/>
    <n v="0"/>
    <n v="0"/>
    <n v="50"/>
    <n v="3741111"/>
    <n v="724085.9999999999"/>
    <n v="0"/>
    <n v="3017025"/>
    <n v="112"/>
    <n v="6758135.999999999"/>
    <n v="1714184.87394958"/>
    <n v="20"/>
    <n v="100"/>
    <n v="20"/>
    <n v="0"/>
    <n v="0"/>
    <n v="0"/>
    <m/>
    <n v="6034049.999999999"/>
    <n v="1206810"/>
    <n v="0"/>
    <n v="0"/>
    <n v="100"/>
    <n v="6034049.999999999"/>
    <n v="2184705.882352941"/>
    <n v="15"/>
    <n v="80"/>
    <n v="15"/>
    <n v="0"/>
    <n v="0"/>
    <n v="4827239.999999999"/>
    <n v="905107.4999999999"/>
    <n v="0"/>
    <n v="0"/>
    <n v="80"/>
    <n v="4827239.999999999"/>
    <n v="1720455.882352941"/>
    <n v="30"/>
    <n v="65"/>
    <n v="30"/>
    <m/>
    <n v="0"/>
    <n v="3922132.5"/>
    <n v="1810215"/>
    <n v="0"/>
    <n v="65"/>
    <n v="3922132.5"/>
    <n v="4285462.18487395"/>
    <n v="9"/>
    <n v="35"/>
    <n v="9"/>
    <n v="0"/>
    <m/>
    <n v="2111917.5"/>
    <n v="470169"/>
    <n v="0"/>
    <n v="35"/>
    <n v="2111917.5"/>
    <n v="1285638.655462185"/>
  </r>
  <r>
    <s v="Lhotse-Video"/>
    <x v="4"/>
    <x v="22"/>
    <x v="54"/>
    <s v="LHCAMACXPL"/>
    <x v="569"/>
    <x v="413"/>
    <x v="0"/>
    <x v="1"/>
    <n v="1"/>
    <x v="279"/>
    <n v="371"/>
    <m/>
    <n v="0"/>
    <n v="24541"/>
    <n v="9104711"/>
    <n v="21.75"/>
    <n v="23761.875"/>
    <n v="50411.76470588236"/>
    <n v="42008.40336134454"/>
    <s v="Shenzhen"/>
    <s v="30/70"/>
    <n v="50"/>
    <n v="500"/>
    <n v="7"/>
    <n v="0.5848449110851753"/>
    <n v="21"/>
    <n v="0.5925253950322443"/>
    <n v="27"/>
    <n v="0.5701051028279437"/>
    <n v="31"/>
    <n v="0.5980966541010646"/>
    <n v="23"/>
    <n v="0.6160942178685059"/>
    <n v="86"/>
    <n v="0.5268258716640422"/>
    <n v="48"/>
    <n v="0.582921395438514"/>
    <n v="36"/>
    <n v="0.6065133880803877"/>
    <n v="14"/>
    <n v="0.6522703180475682"/>
    <n v="42"/>
    <n v="0.5813282507500815"/>
    <n v="50"/>
    <n v="0.5156662243533038"/>
    <n v="214"/>
    <n v="0.5066994936327929"/>
    <n v="4"/>
    <n v="0.6891738258409048"/>
    <n v="21"/>
    <n v="0.4867287277005131"/>
    <n v="34"/>
    <n v="0.4580164021204566"/>
    <n v="65"/>
    <n v="0.4921096382615398"/>
    <n v="1.857142857142857"/>
    <n v="52"/>
    <n v="0.5899600821736836"/>
    <n v="1.733333333333333"/>
    <n v="85"/>
    <n v="0.2673036059158"/>
    <n v="1.0625"/>
    <n v="61"/>
    <n v="0.4761033383580018"/>
    <n v="0.8714285714285714"/>
    <n v="23"/>
    <n v="0.4466087974502359"/>
    <n v="0.2875"/>
    <m/>
    <m/>
    <m/>
    <m/>
    <m/>
    <m/>
    <m/>
    <m/>
    <m/>
    <m/>
    <m/>
    <m/>
    <n v="50"/>
    <n v="43"/>
    <n v="43"/>
    <n v="0"/>
    <n v="0"/>
    <n v="0"/>
    <n v="2662698.5"/>
    <n v="967983.75"/>
    <n v="1055263"/>
    <n v="0"/>
    <n v="371"/>
    <n v="9104711"/>
    <n v="1821601.581809195"/>
    <n v="0"/>
    <n v="25"/>
    <n v="31.5"/>
    <n v="0"/>
    <n v="0"/>
    <n v="0"/>
    <n v="3202600.5"/>
    <n v="562781.25"/>
    <n v="773041.5"/>
    <n v="0"/>
    <n v="371"/>
    <n v="9104711"/>
    <n v="1334429.065743945"/>
    <n v="35"/>
    <n v="188"/>
    <n v="34"/>
    <n v="0"/>
    <n v="0"/>
    <n v="3104896.5"/>
    <n v="4613708"/>
    <n v="834394"/>
    <n v="0"/>
    <n v="371"/>
    <n v="9104711"/>
    <n v="1714000"/>
    <n v="35"/>
    <n v="165"/>
    <n v="65"/>
    <n v="500"/>
    <n v="0"/>
    <n v="3714356.25"/>
    <n v="1595165"/>
    <n v="11255625"/>
    <n v="0"/>
    <n v="371"/>
    <n v="9104711"/>
    <n v="3276764.705882353"/>
    <n v="30"/>
    <n v="423"/>
    <n v="30"/>
    <m/>
    <n v="0"/>
    <n v="0"/>
    <n v="10380843"/>
    <n v="675337.5"/>
    <n v="0"/>
    <n v="0"/>
    <n v="371"/>
    <n v="9104711"/>
    <n v="1512352.941176471"/>
    <n v="80"/>
    <n v="456"/>
    <n v="85"/>
    <m/>
    <n v="500"/>
    <n v="0"/>
    <n v="11190696"/>
    <n v="1913456.25"/>
    <n v="0"/>
    <n v="0"/>
    <n v="456"/>
    <n v="9104711"/>
    <n v="4285000"/>
    <n v="70"/>
    <n v="432"/>
    <n v="61"/>
    <n v="0"/>
    <n v="0"/>
    <n v="0"/>
    <n v="10601712"/>
    <n v="1373186.25"/>
    <n v="0"/>
    <n v="0"/>
    <n v="432"/>
    <n v="9104711"/>
    <n v="3075117.647058824"/>
    <n v="80"/>
    <n v="371"/>
    <n v="80"/>
    <n v="0"/>
    <n v="0"/>
    <n v="0"/>
    <n v="9104711"/>
    <n v="1800900"/>
    <n v="0"/>
    <n v="0"/>
    <n v="371"/>
    <n v="9104711"/>
    <n v="4032941.176470588"/>
    <n v="40"/>
    <n v="291"/>
    <n v="40"/>
    <n v="0"/>
    <n v="0"/>
    <n v="0"/>
    <n v="6550773.75"/>
    <n v="900450"/>
    <n v="0"/>
    <n v="0"/>
    <n v="291"/>
    <n v="6550773.75"/>
    <n v="2016470.588235294"/>
    <n v="120"/>
    <n v="251"/>
    <n v="120"/>
    <n v="0"/>
    <n v="0"/>
    <n v="0"/>
    <m/>
    <n v="5650323.75"/>
    <n v="2701350"/>
    <n v="0"/>
    <n v="0"/>
    <n v="251"/>
    <n v="5650323.75"/>
    <n v="5041008.403361345"/>
    <n v="70"/>
    <n v="131"/>
    <n v="70"/>
    <n v="0"/>
    <n v="0"/>
    <n v="2948973.75"/>
    <n v="1575787.5"/>
    <n v="0"/>
    <n v="0"/>
    <n v="131"/>
    <n v="2948973.75"/>
    <n v="3087617.647058824"/>
    <n v="250"/>
    <n v="61"/>
    <n v="250"/>
    <n v="500"/>
    <n v="500"/>
    <n v="1373186.25"/>
    <n v="5627812.5"/>
    <n v="11255625"/>
    <n v="561"/>
    <n v="12628811.25"/>
    <n v="12602941.17647059"/>
    <n v="42"/>
    <n v="311"/>
    <n v="42"/>
    <n v="0"/>
    <m/>
    <n v="7000998.75"/>
    <n v="1030722"/>
    <n v="0"/>
    <n v="311"/>
    <n v="7000998.75"/>
    <n v="2117294.117647059"/>
  </r>
  <r>
    <s v="Purito-Belleza"/>
    <x v="5"/>
    <x v="23"/>
    <x v="55"/>
    <n v="8809563100316"/>
    <x v="570"/>
    <x v="414"/>
    <x v="0"/>
    <x v="4"/>
    <n v="1"/>
    <x v="50"/>
    <n v="316"/>
    <m/>
    <n v="0"/>
    <n v="9210"/>
    <n v="2910360"/>
    <n v="8.51"/>
    <n v="7829.2"/>
    <n v="19737.47899159664"/>
    <n v="16776.85714285714"/>
    <s v="Seul"/>
    <s v="100/0"/>
    <n v="15"/>
    <n v="5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16"/>
    <n v="0"/>
    <m/>
    <n v="0"/>
    <n v="0"/>
    <n v="2910360"/>
    <n v="0"/>
    <n v="0"/>
    <n v="0"/>
    <n v="316"/>
    <n v="2910360"/>
    <n v="0"/>
    <n v="66"/>
    <n v="316"/>
    <n v="0"/>
    <n v="0"/>
    <n v="0"/>
    <n v="0"/>
    <n v="2910360"/>
    <n v="0"/>
    <n v="0"/>
    <n v="0"/>
    <n v="316"/>
    <n v="2910360"/>
    <n v="0"/>
    <n v="72"/>
    <n v="316"/>
    <n v="72"/>
    <n v="0"/>
    <n v="0"/>
    <n v="0"/>
    <n v="2910360"/>
    <n v="634165.2"/>
    <n v="0"/>
    <n v="0"/>
    <n v="316"/>
    <n v="2910360"/>
    <n v="1421098.487394958"/>
    <n v="50"/>
    <n v="244"/>
    <n v="50"/>
    <n v="0"/>
    <n v="0"/>
    <n v="0"/>
    <n v="2149115.399999999"/>
    <n v="440392.4999999999"/>
    <n v="0"/>
    <n v="0"/>
    <n v="244"/>
    <n v="2149115.399999999"/>
    <n v="986873.9495798319"/>
    <n v="220"/>
    <n v="194"/>
    <n v="194"/>
    <n v="0"/>
    <n v="0"/>
    <n v="0"/>
    <m/>
    <n v="1708722.9"/>
    <n v="1708722.9"/>
    <n v="0"/>
    <n v="0"/>
    <n v="194"/>
    <n v="1708722.9"/>
    <n v="3254710.285714285"/>
    <n v="79"/>
    <n v="0"/>
    <n v="79"/>
    <n v="0"/>
    <n v="0"/>
    <n v="0"/>
    <n v="695820.1499999999"/>
    <n v="0"/>
    <n v="0"/>
    <n v="0"/>
    <n v="0"/>
    <n v="1391640.3"/>
    <n v="264"/>
    <n v="0"/>
    <n v="264"/>
    <n v="0"/>
    <n v="0"/>
    <n v="0"/>
    <n v="2325272.399999999"/>
    <n v="0"/>
    <n v="0"/>
    <n v="0"/>
    <n v="5210694.453781513"/>
    <n v="47.4"/>
    <n v="0"/>
    <n v="47.4"/>
    <n v="0"/>
    <m/>
    <n v="0"/>
    <n v="436554"/>
    <n v="0"/>
    <n v="0"/>
    <n v="0"/>
    <n v="935556.5042016807"/>
  </r>
  <r>
    <s v="Purito-Belleza"/>
    <x v="5"/>
    <x v="23"/>
    <x v="55"/>
    <n v="8809563100347"/>
    <x v="571"/>
    <x v="415"/>
    <x v="0"/>
    <x v="4"/>
    <n v="1"/>
    <x v="50"/>
    <n v="68"/>
    <m/>
    <n v="0"/>
    <n v="9611"/>
    <n v="653548"/>
    <n v="8.880000000000001"/>
    <n v="8169.6"/>
    <n v="20595.63025210084"/>
    <n v="17506.28571428572"/>
    <s v="Seul"/>
    <s v="100/0"/>
    <n v="15"/>
    <n v="5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8"/>
    <n v="0"/>
    <m/>
    <n v="0"/>
    <n v="0"/>
    <n v="653548"/>
    <n v="0"/>
    <n v="0"/>
    <n v="0"/>
    <n v="68"/>
    <n v="653548"/>
    <n v="0"/>
    <n v="66"/>
    <n v="68"/>
    <n v="0"/>
    <n v="0"/>
    <n v="0"/>
    <n v="0"/>
    <n v="653548"/>
    <n v="0"/>
    <n v="0"/>
    <n v="0"/>
    <n v="68"/>
    <n v="653548"/>
    <n v="0"/>
    <n v="72"/>
    <n v="68"/>
    <n v="72"/>
    <n v="0"/>
    <n v="0"/>
    <n v="0"/>
    <n v="653548"/>
    <n v="661737.6000000001"/>
    <n v="0"/>
    <n v="0"/>
    <n v="68"/>
    <n v="653548"/>
    <n v="1482885.378151261"/>
    <n v="50"/>
    <n v="0"/>
    <n v="50"/>
    <n v="0"/>
    <n v="0"/>
    <n v="0"/>
    <n v="0"/>
    <n v="459540.0000000001"/>
    <n v="0"/>
    <n v="0"/>
    <n v="0"/>
    <n v="0"/>
    <n v="1029781.512605042"/>
    <n v="220"/>
    <n v="0"/>
    <n v="0"/>
    <n v="0"/>
    <n v="0"/>
    <n v="0"/>
    <m/>
    <n v="0"/>
    <n v="0"/>
    <n v="0"/>
    <n v="0"/>
    <n v="0"/>
    <n v="0"/>
    <n v="0"/>
    <n v="79"/>
    <n v="0"/>
    <n v="79"/>
    <n v="0"/>
    <n v="0"/>
    <n v="0"/>
    <n v="726073.2000000001"/>
    <n v="0"/>
    <n v="0"/>
    <n v="0"/>
    <n v="0"/>
    <n v="1452146.4"/>
    <n v="264"/>
    <n v="0"/>
    <n v="264"/>
    <n v="0"/>
    <n v="0"/>
    <n v="0"/>
    <n v="2426371.2"/>
    <n v="0"/>
    <n v="0"/>
    <n v="0"/>
    <n v="5437246.386554623"/>
    <n v="47.4"/>
    <n v="0"/>
    <n v="47.4"/>
    <n v="0"/>
    <m/>
    <n v="0"/>
    <n v="455561.4"/>
    <n v="0"/>
    <n v="0"/>
    <n v="0"/>
    <n v="976232.87394958"/>
  </r>
  <r>
    <s v="Purito-Belleza"/>
    <x v="5"/>
    <x v="23"/>
    <x v="55"/>
    <n v="8809563100828"/>
    <x v="572"/>
    <x v="416"/>
    <x v="0"/>
    <x v="4"/>
    <n v="1"/>
    <x v="50"/>
    <n v="76"/>
    <m/>
    <n v="0"/>
    <n v="6883"/>
    <n v="523108"/>
    <n v="6.36"/>
    <n v="5851.200000000001"/>
    <n v="14750.9243697479"/>
    <n v="12538.28571428572"/>
    <s v="Seul"/>
    <s v="100/0"/>
    <n v="15"/>
    <n v="5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6"/>
    <n v="0"/>
    <m/>
    <n v="0"/>
    <n v="0"/>
    <n v="523108"/>
    <n v="0"/>
    <n v="0"/>
    <n v="0"/>
    <n v="76"/>
    <n v="523108"/>
    <n v="0"/>
    <n v="66"/>
    <n v="76"/>
    <n v="0"/>
    <n v="0"/>
    <n v="0"/>
    <n v="0"/>
    <n v="523108"/>
    <n v="0"/>
    <n v="0"/>
    <n v="0"/>
    <n v="76"/>
    <n v="523108"/>
    <n v="0"/>
    <n v="72"/>
    <n v="76"/>
    <n v="72"/>
    <n v="0"/>
    <n v="0"/>
    <n v="0"/>
    <n v="523108"/>
    <n v="473947.2"/>
    <n v="0"/>
    <n v="0"/>
    <n v="76"/>
    <n v="523108"/>
    <n v="1062066.554621849"/>
    <n v="50"/>
    <n v="4"/>
    <n v="50"/>
    <n v="0"/>
    <n v="0"/>
    <n v="0"/>
    <n v="26330.4"/>
    <n v="329130"/>
    <n v="0"/>
    <n v="0"/>
    <n v="4"/>
    <n v="26330.4"/>
    <n v="737546.2184873951"/>
    <n v="220"/>
    <n v="0"/>
    <n v="0"/>
    <n v="0"/>
    <n v="0"/>
    <n v="0"/>
    <m/>
    <n v="0"/>
    <n v="0"/>
    <n v="0"/>
    <n v="0"/>
    <n v="0"/>
    <n v="0"/>
    <n v="0"/>
    <n v="79"/>
    <n v="0"/>
    <n v="79"/>
    <n v="0"/>
    <n v="0"/>
    <n v="0"/>
    <n v="520025.4"/>
    <n v="0"/>
    <n v="0"/>
    <n v="0"/>
    <n v="0"/>
    <n v="1040050.8"/>
    <n v="264"/>
    <n v="0"/>
    <n v="264"/>
    <n v="0"/>
    <n v="0"/>
    <n v="0"/>
    <n v="1737806.4"/>
    <n v="0"/>
    <n v="0"/>
    <n v="0"/>
    <n v="3894244.033613446"/>
    <n v="47.4"/>
    <n v="0"/>
    <n v="47.4"/>
    <n v="0"/>
    <m/>
    <n v="0"/>
    <n v="326254.2"/>
    <n v="0"/>
    <n v="0"/>
    <n v="0"/>
    <n v="699193.8151260505"/>
  </r>
  <r>
    <s v="Purito-Belleza"/>
    <x v="5"/>
    <x v="23"/>
    <x v="55"/>
    <n v="8809563101054"/>
    <x v="573"/>
    <x v="417"/>
    <x v="0"/>
    <x v="4"/>
    <n v="1"/>
    <x v="50"/>
    <n v="379"/>
    <m/>
    <n v="0"/>
    <n v="7814"/>
    <n v="2961506"/>
    <n v="7.22"/>
    <n v="6642.4"/>
    <n v="16745.54621848739"/>
    <n v="14233.71428571428"/>
    <s v="Seul"/>
    <s v="100/0"/>
    <n v="15"/>
    <n v="5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9"/>
    <n v="0"/>
    <m/>
    <n v="0"/>
    <n v="0"/>
    <n v="2961506"/>
    <n v="0"/>
    <n v="0"/>
    <n v="0"/>
    <n v="379"/>
    <n v="2961506"/>
    <n v="0"/>
    <n v="66"/>
    <n v="379"/>
    <n v="0"/>
    <n v="0"/>
    <n v="0"/>
    <n v="0"/>
    <n v="2961506"/>
    <n v="0"/>
    <n v="0"/>
    <n v="0"/>
    <n v="379"/>
    <n v="2961506"/>
    <n v="0"/>
    <n v="72"/>
    <n v="379"/>
    <n v="72"/>
    <n v="0"/>
    <n v="0"/>
    <n v="0"/>
    <n v="2961506"/>
    <n v="538034.4"/>
    <n v="0"/>
    <n v="0"/>
    <n v="379"/>
    <n v="2961506"/>
    <n v="1205679.327731092"/>
    <n v="50"/>
    <n v="307"/>
    <n v="50"/>
    <n v="0"/>
    <n v="0"/>
    <n v="0"/>
    <n v="2294118.9"/>
    <n v="373635"/>
    <n v="0"/>
    <n v="0"/>
    <n v="307"/>
    <n v="2294118.9"/>
    <n v="837277.3109243697"/>
    <n v="220"/>
    <n v="257"/>
    <n v="220"/>
    <n v="0"/>
    <n v="0"/>
    <n v="0"/>
    <m/>
    <n v="1920483.9"/>
    <n v="1643994"/>
    <n v="0"/>
    <n v="0"/>
    <n v="257"/>
    <n v="1920483.9"/>
    <n v="3131417.142857143"/>
    <n v="79"/>
    <n v="37"/>
    <n v="79"/>
    <n v="0"/>
    <n v="0"/>
    <n v="276489.9"/>
    <n v="590343.2999999999"/>
    <n v="0"/>
    <n v="0"/>
    <n v="37"/>
    <n v="276489.9"/>
    <n v="1180686.6"/>
    <n v="264"/>
    <n v="0"/>
    <n v="264"/>
    <n v="0"/>
    <n v="0"/>
    <n v="0"/>
    <n v="1972792.8"/>
    <n v="0"/>
    <n v="0"/>
    <n v="0"/>
    <n v="4420824.201680672"/>
    <n v="47.4"/>
    <n v="0"/>
    <n v="47.4"/>
    <n v="0"/>
    <m/>
    <n v="0"/>
    <n v="370383.6"/>
    <n v="0"/>
    <n v="0"/>
    <n v="0"/>
    <n v="793738.8907563025"/>
  </r>
  <r>
    <m/>
    <x v="5"/>
    <x v="23"/>
    <x v="55"/>
    <n v="8809563102471"/>
    <x v="574"/>
    <x v="418"/>
    <x v="0"/>
    <x v="4"/>
    <n v="1"/>
    <x v="50"/>
    <n v="69"/>
    <m/>
    <n v="0"/>
    <n v="8409"/>
    <n v="580221"/>
    <n v="7.77"/>
    <n v="7148.4"/>
    <n v="18021.17647058823"/>
    <n v="15318"/>
    <s v="Seul"/>
    <s v="100/0"/>
    <n v="15"/>
    <n v="5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9"/>
    <n v="0"/>
    <m/>
    <n v="0"/>
    <n v="0"/>
    <n v="580221"/>
    <n v="0"/>
    <n v="0"/>
    <n v="0"/>
    <n v="69"/>
    <n v="580221"/>
    <n v="0"/>
    <n v="66"/>
    <n v="69"/>
    <n v="0"/>
    <n v="0"/>
    <n v="0"/>
    <n v="0"/>
    <n v="580221"/>
    <n v="0"/>
    <n v="0"/>
    <n v="0"/>
    <n v="69"/>
    <n v="580221"/>
    <n v="0"/>
    <n v="72"/>
    <n v="69"/>
    <n v="72"/>
    <n v="0"/>
    <n v="0"/>
    <n v="0"/>
    <n v="580221"/>
    <n v="579020.4"/>
    <n v="0"/>
    <n v="0"/>
    <n v="69"/>
    <n v="580221"/>
    <n v="1297524.705882353"/>
    <n v="50"/>
    <n v="0"/>
    <n v="50"/>
    <n v="0"/>
    <n v="0"/>
    <n v="0"/>
    <n v="0"/>
    <n v="402097.5"/>
    <n v="0"/>
    <n v="0"/>
    <n v="0"/>
    <n v="0"/>
    <n v="901058.8235294117"/>
    <n v="220"/>
    <n v="0"/>
    <n v="0"/>
    <n v="0"/>
    <n v="0"/>
    <n v="0"/>
    <m/>
    <n v="0"/>
    <n v="0"/>
    <n v="0"/>
    <n v="0"/>
    <n v="0"/>
    <n v="0"/>
    <n v="0"/>
    <n v="79"/>
    <n v="0"/>
    <n v="79"/>
    <n v="0"/>
    <n v="0"/>
    <n v="0"/>
    <n v="635314.0499999999"/>
    <n v="0"/>
    <n v="0"/>
    <n v="0"/>
    <n v="0"/>
    <n v="1270628.1"/>
    <n v="264"/>
    <n v="0"/>
    <n v="264"/>
    <n v="0"/>
    <n v="0"/>
    <n v="0"/>
    <n v="2123074.8"/>
    <n v="0"/>
    <n v="0"/>
    <n v="0"/>
    <n v="4757590.588235294"/>
    <n v="47.4"/>
    <n v="0"/>
    <n v="47.4"/>
    <n v="0"/>
    <m/>
    <n v="0"/>
    <n v="398586.6"/>
    <n v="0"/>
    <n v="0"/>
    <n v="0"/>
    <n v="854203.7647058823"/>
  </r>
  <r>
    <s v="Purito-Belleza"/>
    <x v="5"/>
    <x v="23"/>
    <x v="55"/>
    <n v="8809563103430"/>
    <x v="575"/>
    <x v="419"/>
    <x v="0"/>
    <x v="4"/>
    <n v="1"/>
    <x v="50"/>
    <n v="360"/>
    <m/>
    <n v="0"/>
    <n v="9210"/>
    <n v="3315600"/>
    <n v="8.51"/>
    <n v="7829.2"/>
    <n v="19737.47899159664"/>
    <n v="16776.85714285714"/>
    <s v="Seul"/>
    <s v="100/0"/>
    <n v="15"/>
    <n v="5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"/>
    <n v="0"/>
    <m/>
    <n v="0"/>
    <n v="0"/>
    <n v="3315600"/>
    <n v="0"/>
    <n v="0"/>
    <n v="0"/>
    <n v="360"/>
    <n v="3315600"/>
    <n v="0"/>
    <n v="66"/>
    <n v="360"/>
    <n v="0"/>
    <n v="0"/>
    <n v="0"/>
    <n v="0"/>
    <n v="3315600"/>
    <n v="0"/>
    <n v="0"/>
    <n v="0"/>
    <n v="360"/>
    <n v="3315600"/>
    <n v="0"/>
    <n v="72"/>
    <n v="360"/>
    <n v="72"/>
    <n v="0"/>
    <n v="0"/>
    <n v="0"/>
    <n v="3315600"/>
    <n v="634165.2"/>
    <n v="0"/>
    <n v="0"/>
    <n v="360"/>
    <n v="3315600"/>
    <n v="1421098.487394958"/>
    <n v="50"/>
    <n v="288"/>
    <n v="50"/>
    <n v="0"/>
    <n v="0"/>
    <n v="0"/>
    <n v="2536660.8"/>
    <n v="440392.4999999999"/>
    <n v="0"/>
    <n v="0"/>
    <n v="288"/>
    <n v="2536660.8"/>
    <n v="986873.9495798319"/>
    <n v="220"/>
    <n v="238"/>
    <n v="220"/>
    <n v="0"/>
    <n v="0"/>
    <n v="0"/>
    <m/>
    <n v="2096268.3"/>
    <n v="1937727"/>
    <n v="0"/>
    <n v="0"/>
    <n v="238"/>
    <n v="2096268.3"/>
    <n v="3690908.571428571"/>
    <n v="79"/>
    <n v="18"/>
    <n v="79"/>
    <n v="0"/>
    <n v="0"/>
    <n v="158541.3"/>
    <n v="695820.1499999999"/>
    <n v="0"/>
    <n v="0"/>
    <n v="18"/>
    <n v="158541.3"/>
    <n v="1391640.3"/>
    <n v="264"/>
    <n v="0"/>
    <n v="264"/>
    <n v="0"/>
    <n v="0"/>
    <n v="0"/>
    <n v="2325272.399999999"/>
    <n v="0"/>
    <n v="0"/>
    <n v="0"/>
    <n v="5210694.453781513"/>
    <n v="47.4"/>
    <n v="0"/>
    <n v="47.4"/>
    <n v="0"/>
    <m/>
    <n v="0"/>
    <n v="436554"/>
    <n v="0"/>
    <n v="0"/>
    <n v="0"/>
    <n v="935556.5042016807"/>
  </r>
  <r>
    <m/>
    <x v="6"/>
    <x v="24"/>
    <x v="56"/>
    <s v="SIMDECCHA"/>
    <x v="576"/>
    <x v="420"/>
    <x v="0"/>
    <x v="5"/>
    <n v="1.2"/>
    <x v="280"/>
    <n v="94"/>
    <m/>
    <n v="0"/>
    <n v="6175"/>
    <n v="580450"/>
    <n v="6"/>
    <n v="6554.999999999999"/>
    <n v="14277.31092436975"/>
    <n v="10915.96638655462"/>
    <s v="Shenzhen"/>
    <s v="30/70"/>
    <n v="30"/>
    <n v="100"/>
    <n v="2"/>
    <n v="0.6195680952380953"/>
    <n v="0"/>
    <s v=""/>
    <n v="2"/>
    <n v="0.5471305481548665"/>
    <n v="14"/>
    <n v="0.4376742220189198"/>
    <n v="0"/>
    <s v=""/>
    <n v="6"/>
    <n v="0.4662420233708957"/>
    <n v="1"/>
    <n v="1"/>
    <n v="7"/>
    <n v="0.6281838782976157"/>
    <n v="4"/>
    <n v="0.5990932437557965"/>
    <n v="7"/>
    <n v="0.5029803285366597"/>
    <n v="6"/>
    <n v="0.5586272318380364"/>
    <n v="19"/>
    <n v="0.5526772658288145"/>
    <n v="1"/>
    <n v="0.5674861378568339"/>
    <n v="7"/>
    <n v="0.4545689147044391"/>
    <n v="8"/>
    <n v="0.3960019788188578"/>
    <n v="4"/>
    <n v="0.4776615366980282"/>
    <n v="0.2"/>
    <n v="5"/>
    <n v="0.6609024374486622"/>
    <n v="1.666666666666667"/>
    <n v="9"/>
    <n v="0.4309209048977362"/>
    <n v="1.8"/>
    <n v="6"/>
    <n v="0.5670795243659358"/>
    <n v="1.5"/>
    <n v="1"/>
    <n v="0.4343179368745188"/>
    <n v="0.1428571428571428"/>
    <m/>
    <m/>
    <m/>
    <m/>
    <m/>
    <m/>
    <m/>
    <m/>
    <m/>
    <m/>
    <m/>
    <m/>
    <n v="12"/>
    <n v="81"/>
    <n v="6"/>
    <n v="50"/>
    <n v="50"/>
    <n v="0"/>
    <n v="151287.5"/>
    <n v="503009.9999999999"/>
    <n v="37050"/>
    <n v="0"/>
    <n v="94"/>
    <n v="580450"/>
    <n v="71986.44163547773"/>
    <n v="5"/>
    <n v="135"/>
    <n v="10.5"/>
    <n v="0"/>
    <n v="0"/>
    <n v="0"/>
    <n v="138937.5"/>
    <n v="838349.9999999999"/>
    <n v="64837.5"/>
    <n v="0"/>
    <n v="94"/>
    <n v="580450"/>
    <n v="125976.272862086"/>
    <n v="15"/>
    <n v="127"/>
    <n v="8"/>
    <n v="0"/>
    <n v="0"/>
    <n v="96456"/>
    <n v="784225"/>
    <n v="49400"/>
    <n v="0"/>
    <n v="94"/>
    <n v="580450"/>
    <n v="114218.487394958"/>
    <n v="20"/>
    <n v="119"/>
    <n v="4"/>
    <n v="0"/>
    <n v="0"/>
    <n v="738989.9999999999"/>
    <n v="24700"/>
    <n v="0"/>
    <n v="0"/>
    <n v="94"/>
    <n v="580450"/>
    <n v="57109.243697479"/>
    <n v="3"/>
    <n v="99"/>
    <n v="3.6"/>
    <m/>
    <n v="0"/>
    <n v="0"/>
    <n v="611325"/>
    <n v="22355.99999999999"/>
    <n v="0"/>
    <n v="0"/>
    <n v="94"/>
    <n v="580450"/>
    <n v="51398.31932773109"/>
    <n v="5"/>
    <n v="103"/>
    <n v="9"/>
    <m/>
    <n v="0"/>
    <n v="0"/>
    <n v="636025"/>
    <n v="55889.99999999999"/>
    <n v="0"/>
    <n v="0"/>
    <n v="103"/>
    <n v="580450"/>
    <n v="128495.7983193277"/>
    <n v="4"/>
    <n v="100"/>
    <n v="6"/>
    <n v="0"/>
    <n v="0"/>
    <n v="0"/>
    <n v="617500"/>
    <n v="37259.99999999999"/>
    <n v="0"/>
    <n v="0"/>
    <n v="100"/>
    <n v="580450"/>
    <n v="85663.8655462185"/>
    <n v="7"/>
    <n v="94"/>
    <n v="8.4"/>
    <n v="0"/>
    <n v="0"/>
    <n v="0"/>
    <n v="580450"/>
    <n v="52163.99999999999"/>
    <n v="0"/>
    <n v="0"/>
    <n v="94"/>
    <n v="580450"/>
    <n v="119929.4117647059"/>
    <n v="4"/>
    <n v="85.59999999999999"/>
    <n v="4.8"/>
    <n v="0"/>
    <n v="0"/>
    <n v="0"/>
    <n v="531575.9999999999"/>
    <n v="29807.99999999999"/>
    <n v="0"/>
    <n v="0"/>
    <n v="85.59999999999999"/>
    <n v="531575.9999999999"/>
    <n v="68531.0924369748"/>
    <n v="10"/>
    <n v="80.8"/>
    <n v="12"/>
    <n v="0"/>
    <n v="0"/>
    <n v="0"/>
    <m/>
    <n v="501767.9999999999"/>
    <n v="74519.99999999999"/>
    <n v="0"/>
    <n v="0"/>
    <n v="80.8"/>
    <n v="501767.9999999999"/>
    <n v="130991.5966386555"/>
    <n v="15"/>
    <n v="68.8"/>
    <n v="18"/>
    <n v="0"/>
    <n v="0"/>
    <n v="427247.9999999999"/>
    <n v="111780"/>
    <n v="0"/>
    <n v="0"/>
    <n v="68.8"/>
    <n v="427247.9999999999"/>
    <n v="206311.7647058824"/>
    <n v="20"/>
    <n v="50.8"/>
    <n v="24"/>
    <n v="0"/>
    <n v="0"/>
    <n v="315467.9999999999"/>
    <n v="149040"/>
    <n v="0"/>
    <n v="50.8"/>
    <n v="315467.9999999999"/>
    <n v="342655.462184874"/>
    <n v="9"/>
    <n v="26.8"/>
    <n v="10.8"/>
    <n v="0"/>
    <m/>
    <n v="166428"/>
    <n v="66690"/>
    <n v="0"/>
    <n v="26.8"/>
    <n v="166428"/>
    <n v="154194.9579831933"/>
  </r>
  <r>
    <m/>
    <x v="6"/>
    <x v="24"/>
    <x v="56"/>
    <s v="SIMDECROU"/>
    <x v="577"/>
    <x v="421"/>
    <x v="0"/>
    <x v="5"/>
    <n v="1"/>
    <x v="281"/>
    <n v="9"/>
    <m/>
    <n v="0"/>
    <n v="5603"/>
    <n v="50427"/>
    <n v="3.86"/>
    <n v="4217.049999999999"/>
    <n v="16798.31932773109"/>
    <n v="16798.31932773109"/>
    <s v="Shenzhen"/>
    <s v="30/70"/>
    <n v="30"/>
    <n v="100"/>
    <n v="4"/>
    <n v="0.6664460054768424"/>
    <n v="9"/>
    <n v="0.5867789909230213"/>
    <n v="9"/>
    <n v="0.631790760333837"/>
    <n v="24"/>
    <n v="0.5595445216887054"/>
    <n v="13"/>
    <n v="0.629377503295896"/>
    <n v="27"/>
    <n v="0.5259509145812876"/>
    <n v="4"/>
    <n v="0.5685011317140412"/>
    <n v="3"/>
    <n v="0.4867130817149139"/>
    <n v="1"/>
    <n v="0.7331895238095237"/>
    <n v="0"/>
    <s v=""/>
    <n v="0"/>
    <s v=""/>
    <n v="0"/>
    <s v=""/>
    <n v="6"/>
    <n v="0.4491341939126121"/>
    <n v="8"/>
    <n v="0.5724316395029249"/>
    <n v="10"/>
    <n v="0.5530408236100998"/>
    <n v="3"/>
    <n v="0.4017197244274024"/>
    <n v="0.12"/>
    <n v="4"/>
    <n v="0.6664357178589294"/>
    <n v="0.3333333333333333"/>
    <n v="4"/>
    <n v="0.5101632870864461"/>
    <n v="0.2666666666666667"/>
    <n v="2"/>
    <n v="0.7331904761904762"/>
    <n v="0.2857142857142857"/>
    <n v="0"/>
    <s v=""/>
    <n v="0"/>
    <m/>
    <m/>
    <m/>
    <m/>
    <m/>
    <m/>
    <m/>
    <m/>
    <m/>
    <m/>
    <m/>
    <m/>
    <n v="15"/>
    <n v="47"/>
    <n v="6"/>
    <n v="50"/>
    <n v="50"/>
    <n v="0"/>
    <n v="156884"/>
    <n v="187769.7"/>
    <n v="33618"/>
    <n v="0"/>
    <n v="9"/>
    <n v="50427"/>
    <n v="84697.40837511476"/>
    <n v="5"/>
    <n v="41"/>
    <n v="12"/>
    <n v="0"/>
    <n v="0"/>
    <n v="0"/>
    <n v="140075"/>
    <n v="163799.1"/>
    <n v="67236"/>
    <n v="0"/>
    <n v="9"/>
    <n v="50427"/>
    <n v="169394.8167502295"/>
    <n v="20"/>
    <n v="33"/>
    <n v="10"/>
    <n v="0"/>
    <n v="0"/>
    <n v="120780.2"/>
    <n v="184899"/>
    <n v="56030"/>
    <n v="0"/>
    <n v="9"/>
    <n v="50427"/>
    <n v="167983.1932773109"/>
    <n v="25"/>
    <n v="22"/>
    <n v="3"/>
    <n v="100"/>
    <n v="0"/>
    <n v="87892.2"/>
    <n v="16809"/>
    <n v="399510"/>
    <n v="0"/>
    <n v="9"/>
    <n v="50427"/>
    <n v="50394.95798319328"/>
    <n v="12"/>
    <n v="13"/>
    <n v="12"/>
    <m/>
    <n v="0"/>
    <n v="0"/>
    <n v="72839"/>
    <n v="47941.2"/>
    <n v="0"/>
    <n v="0"/>
    <n v="9"/>
    <n v="50427"/>
    <n v="201579.8319327731"/>
    <n v="15"/>
    <n v="13"/>
    <n v="4"/>
    <m/>
    <n v="0"/>
    <n v="0"/>
    <n v="72839"/>
    <n v="15980.4"/>
    <n v="0"/>
    <n v="0"/>
    <n v="13"/>
    <n v="50427"/>
    <n v="67193.27731092437"/>
    <n v="7"/>
    <n v="11"/>
    <n v="2"/>
    <n v="0"/>
    <n v="0"/>
    <n v="0"/>
    <n v="61633"/>
    <n v="7990.2"/>
    <n v="0"/>
    <n v="0"/>
    <n v="11"/>
    <n v="50427"/>
    <n v="33596.63865546219"/>
    <n v="8"/>
    <n v="9"/>
    <n v="8"/>
    <n v="0"/>
    <n v="0"/>
    <n v="0"/>
    <n v="50427"/>
    <n v="31960.8"/>
    <n v="0"/>
    <n v="0"/>
    <n v="9"/>
    <n v="50427"/>
    <n v="134386.5546218487"/>
    <n v="6"/>
    <n v="1"/>
    <n v="6"/>
    <n v="100"/>
    <n v="100"/>
    <n v="0"/>
    <n v="3995.1"/>
    <n v="23970.6"/>
    <n v="399510"/>
    <n v="0"/>
    <n v="1"/>
    <n v="3995.1"/>
    <n v="100789.9159663866"/>
    <n v="20"/>
    <n v="100"/>
    <n v="20"/>
    <n v="0"/>
    <n v="0"/>
    <n v="0"/>
    <n v="100"/>
    <n v="399510"/>
    <n v="79902"/>
    <n v="0"/>
    <n v="399510"/>
    <n v="100"/>
    <n v="799020"/>
    <n v="335966.3865546219"/>
    <n v="20"/>
    <n v="80"/>
    <n v="20"/>
    <n v="0"/>
    <n v="0"/>
    <n v="319608"/>
    <n v="79902"/>
    <n v="0"/>
    <n v="0"/>
    <n v="80"/>
    <n v="319608"/>
    <n v="352764.705882353"/>
    <n v="100"/>
    <n v="60"/>
    <n v="100"/>
    <n v="0"/>
    <n v="0"/>
    <n v="239706"/>
    <n v="399510"/>
    <n v="0"/>
    <n v="60"/>
    <n v="239706"/>
    <n v="1679831.932773109"/>
    <n v="12"/>
    <n v="0"/>
    <n v="12"/>
    <n v="0"/>
    <m/>
    <n v="0"/>
    <n v="67236"/>
    <n v="0"/>
    <n v="0"/>
    <n v="0"/>
    <n v="201579.8319327731"/>
  </r>
  <r>
    <s v="Simplit-Cristalería y Bar"/>
    <x v="6"/>
    <x v="24"/>
    <x v="56"/>
    <s v="SIMDESSOM"/>
    <x v="578"/>
    <x v="422"/>
    <x v="0"/>
    <x v="5"/>
    <n v="0.7"/>
    <x v="282"/>
    <n v="40"/>
    <m/>
    <n v="0"/>
    <n v="2306"/>
    <n v="92240"/>
    <n v="2.32"/>
    <n v="2534.6"/>
    <n v="8394.957983193277"/>
    <n v="8394.957983193277"/>
    <s v="Shenzhen"/>
    <s v="30/70"/>
    <n v="30"/>
    <n v="200"/>
    <n v="5"/>
    <n v="0.6754357391475668"/>
    <n v="8"/>
    <n v="0.668329212694875"/>
    <n v="6"/>
    <n v="0.7283143529229155"/>
    <n v="11"/>
    <n v="0.7018659030489929"/>
    <n v="13"/>
    <n v="0.6623725430353409"/>
    <n v="33"/>
    <n v="0.6585272663183217"/>
    <n v="18"/>
    <n v="0.6560909696725915"/>
    <n v="22"/>
    <n v="0.6851654638816809"/>
    <n v="12"/>
    <n v="0.6901670339654901"/>
    <n v="25"/>
    <n v="0.6633307069088924"/>
    <n v="25"/>
    <n v="0.7285857948774314"/>
    <n v="13"/>
    <n v="0.7515610093569096"/>
    <n v="5"/>
    <n v="0.6530547143514034"/>
    <n v="13"/>
    <n v="0.5533935485709314"/>
    <n v="15"/>
    <n v="0.6184688291200531"/>
    <n v="9"/>
    <n v="0.5872829259770602"/>
    <n v="0.6"/>
    <n v="20"/>
    <n v="0.7046137742114298"/>
    <n v="1.666666666666667"/>
    <n v="14"/>
    <n v="0.6076275876820652"/>
    <n v="0.4666666666666667"/>
    <n v="21"/>
    <n v="0.7119970214594847"/>
    <n v="1.3125"/>
    <n v="2"/>
    <n v="0.7108651211801896"/>
    <n v="0.09090909090909091"/>
    <m/>
    <m/>
    <m/>
    <m/>
    <m/>
    <m/>
    <m/>
    <m/>
    <m/>
    <m/>
    <m/>
    <m/>
    <n v="15"/>
    <n v="6"/>
    <n v="15"/>
    <n v="50"/>
    <n v="50"/>
    <n v="0"/>
    <n v="114147"/>
    <n v="14407.2"/>
    <n v="34590"/>
    <n v="0"/>
    <n v="40"/>
    <n v="92240"/>
    <n v="105818.7981074783"/>
    <n v="15"/>
    <n v="46"/>
    <n v="19.5"/>
    <n v="0"/>
    <n v="0"/>
    <n v="0"/>
    <n v="100311"/>
    <n v="110455.2"/>
    <n v="44967"/>
    <n v="0"/>
    <n v="40"/>
    <n v="92240"/>
    <n v="137564.4375397218"/>
    <n v="15"/>
    <n v="31"/>
    <n v="15"/>
    <n v="0"/>
    <n v="0"/>
    <n v="75514.07999999999"/>
    <n v="71486"/>
    <n v="34590"/>
    <n v="0"/>
    <n v="40"/>
    <n v="92240"/>
    <n v="125924.3697478992"/>
    <n v="15"/>
    <n v="118"/>
    <n v="9"/>
    <n v="100"/>
    <n v="0"/>
    <n v="283341.6"/>
    <n v="20754"/>
    <n v="240120"/>
    <n v="0"/>
    <n v="40"/>
    <n v="92240"/>
    <n v="75554.62184873949"/>
    <n v="12"/>
    <n v="60"/>
    <n v="8.399999999999999"/>
    <m/>
    <n v="0"/>
    <n v="0"/>
    <n v="138360"/>
    <n v="20170.07999999999"/>
    <n v="0"/>
    <n v="0"/>
    <n v="40"/>
    <n v="92240"/>
    <n v="70517.64705882351"/>
    <n v="30"/>
    <n v="54"/>
    <n v="14"/>
    <m/>
    <n v="0"/>
    <n v="0"/>
    <n v="124524"/>
    <n v="33616.8"/>
    <n v="0"/>
    <n v="0"/>
    <n v="54"/>
    <n v="92240"/>
    <n v="117529.4117647059"/>
    <n v="16"/>
    <n v="61"/>
    <n v="21"/>
    <n v="0"/>
    <n v="0"/>
    <n v="0"/>
    <n v="140666"/>
    <n v="50425.2"/>
    <n v="0"/>
    <n v="0"/>
    <n v="61"/>
    <n v="92240"/>
    <n v="176294.1176470588"/>
    <n v="22"/>
    <n v="40"/>
    <n v="15.4"/>
    <n v="0"/>
    <n v="0"/>
    <n v="0"/>
    <n v="92240"/>
    <n v="36978.48"/>
    <n v="0"/>
    <n v="0"/>
    <n v="40"/>
    <n v="92240"/>
    <n v="129282.3529411764"/>
    <n v="20"/>
    <n v="24.6"/>
    <n v="14"/>
    <n v="100"/>
    <n v="100"/>
    <n v="300"/>
    <n v="59069.52"/>
    <n v="33616.8"/>
    <n v="240120"/>
    <n v="720360"/>
    <n v="324.6"/>
    <n v="779429.52"/>
    <n v="117529.4117647059"/>
    <n v="25"/>
    <n v="310.6"/>
    <n v="17.5"/>
    <n v="0"/>
    <n v="0"/>
    <n v="0"/>
    <n v="0"/>
    <n v="745812.72"/>
    <n v="42021"/>
    <n v="0"/>
    <n v="0"/>
    <n v="310.6"/>
    <n v="745812.72"/>
    <n v="146911.7647058823"/>
    <n v="25"/>
    <n v="293.1"/>
    <n v="17.5"/>
    <n v="0"/>
    <n v="0"/>
    <n v="703791.72"/>
    <n v="42021"/>
    <n v="0"/>
    <n v="0"/>
    <n v="293.1"/>
    <n v="703791.72"/>
    <n v="154257.3529411765"/>
    <n v="30"/>
    <n v="275.6"/>
    <n v="21"/>
    <n v="0"/>
    <n v="0"/>
    <n v="661770.72"/>
    <n v="50425.2"/>
    <n v="0"/>
    <n v="275.6"/>
    <n v="661770.72"/>
    <n v="176294.1176470588"/>
    <n v="15"/>
    <n v="254.6"/>
    <n v="10.5"/>
    <n v="0"/>
    <m/>
    <n v="611345.52"/>
    <n v="24213"/>
    <n v="0"/>
    <n v="254.6"/>
    <n v="611345.52"/>
    <n v="88147.05882352941"/>
  </r>
  <r>
    <s v="Simplit-Cristalería y Bar"/>
    <x v="6"/>
    <x v="24"/>
    <x v="56"/>
    <s v="SIMHIECHAR"/>
    <x v="579"/>
    <x v="423"/>
    <x v="0"/>
    <x v="3"/>
    <n v="1"/>
    <x v="283"/>
    <n v="8"/>
    <m/>
    <n v="0"/>
    <n v="7339"/>
    <n v="58712"/>
    <n v="7.09"/>
    <n v="7745.825"/>
    <n v="14277.31092436975"/>
    <n v="22680.67226890757"/>
    <s v="Shenzhen"/>
    <s v="30/70"/>
    <n v="30"/>
    <n v="300"/>
    <n v="8"/>
    <n v="0.5282515948874476"/>
    <n v="12"/>
    <n v="0.5475667772507854"/>
    <n v="33"/>
    <n v="0.5106851412029698"/>
    <n v="59"/>
    <n v="0.5143167773161778"/>
    <n v="43"/>
    <n v="0.5410224423841913"/>
    <n v="63"/>
    <n v="0.4949347646706038"/>
    <n v="31"/>
    <n v="0.5319757289432525"/>
    <n v="44"/>
    <n v="0.5268768217064689"/>
    <n v="17"/>
    <n v="0.5729683782387787"/>
    <n v="75"/>
    <n v="0.4785079322589943"/>
    <n v="97"/>
    <n v="0.5344549134779236"/>
    <n v="93"/>
    <n v="0.4973614654012233"/>
    <n v="62"/>
    <n v="0.3781695798676151"/>
    <n v="59"/>
    <n v="0.3896638551435649"/>
    <n v="186"/>
    <n v="0.375229242553023"/>
    <n v="94"/>
    <n v="0.39656145649811"/>
    <n v="0.9399999999999999"/>
    <n v="24"/>
    <n v="0.5380009634825806"/>
    <n v="0.4"/>
    <n v="-1"/>
    <n v="2.667072164948454"/>
    <n v="-0.0125"/>
    <n v="4"/>
    <n v="0.3703546559680114"/>
    <n v="0.08888888888888889"/>
    <n v="0"/>
    <s v=""/>
    <n v="0"/>
    <m/>
    <m/>
    <m/>
    <m/>
    <m/>
    <m/>
    <m/>
    <m/>
    <m/>
    <m/>
    <m/>
    <m/>
    <n v="70"/>
    <n v="428"/>
    <n v="70"/>
    <n v="0"/>
    <n v="0"/>
    <n v="0"/>
    <n v="2528285.5"/>
    <n v="3140728.2"/>
    <n v="513730"/>
    <n v="0"/>
    <n v="8"/>
    <n v="58712"/>
    <n v="839841.8190805735"/>
    <n v="50"/>
    <n v="366"/>
    <n v="88.5"/>
    <n v="0"/>
    <n v="0"/>
    <n v="0"/>
    <n v="2704421.5"/>
    <n v="2685762.9"/>
    <n v="649501.5"/>
    <n v="0"/>
    <n v="8"/>
    <n v="58712"/>
    <n v="1061800.014123297"/>
    <n v="60"/>
    <n v="299"/>
    <n v="186"/>
    <n v="0"/>
    <n v="0"/>
    <n v="2495209"/>
    <n v="2194361"/>
    <n v="1365054"/>
    <n v="0"/>
    <n v="8"/>
    <n v="58712"/>
    <n v="2655579.831932773"/>
    <n v="100"/>
    <n v="106"/>
    <n v="94"/>
    <n v="0"/>
    <n v="0"/>
    <n v="777843.8999999999"/>
    <n v="689866"/>
    <n v="0"/>
    <n v="0"/>
    <n v="8"/>
    <n v="58712"/>
    <n v="1342067.226890757"/>
    <n v="60"/>
    <n v="32"/>
    <n v="60"/>
    <m/>
    <n v="0"/>
    <n v="0"/>
    <n v="234848"/>
    <n v="440289"/>
    <n v="0"/>
    <n v="0"/>
    <n v="8"/>
    <n v="58712"/>
    <n v="856638.6554621849"/>
    <n v="80"/>
    <n v="7"/>
    <n v="-1"/>
    <m/>
    <n v="0"/>
    <n v="0"/>
    <n v="51373"/>
    <n v="-7338.15"/>
    <n v="0"/>
    <n v="0"/>
    <n v="7"/>
    <n v="58712"/>
    <n v="-14277.31092436975"/>
    <n v="45"/>
    <n v="12"/>
    <n v="4"/>
    <n v="0"/>
    <n v="0"/>
    <n v="0"/>
    <n v="88068"/>
    <n v="29352.6"/>
    <n v="0"/>
    <n v="0"/>
    <n v="12"/>
    <n v="58712"/>
    <n v="57109.243697479"/>
    <n v="44"/>
    <n v="8"/>
    <n v="44"/>
    <n v="0"/>
    <n v="0"/>
    <n v="0"/>
    <n v="58712"/>
    <n v="322878.6"/>
    <n v="0"/>
    <n v="0"/>
    <n v="8"/>
    <n v="58712"/>
    <n v="628201.680672269"/>
    <n v="40"/>
    <n v="0"/>
    <n v="40"/>
    <n v="504"/>
    <n v="504"/>
    <n v="0"/>
    <n v="0"/>
    <n v="293526"/>
    <n v="3698427.6"/>
    <n v="0"/>
    <n v="0"/>
    <n v="0"/>
    <n v="571092.4369747899"/>
    <n v="60"/>
    <n v="504"/>
    <n v="60"/>
    <n v="0"/>
    <n v="0"/>
    <n v="0"/>
    <n v="504"/>
    <n v="3698427.6"/>
    <n v="440289"/>
    <n v="0"/>
    <n v="3698427.6"/>
    <n v="504"/>
    <n v="7396855.199999999"/>
    <n v="1360840.336134454"/>
    <n v="50"/>
    <n v="444"/>
    <n v="50"/>
    <n v="0"/>
    <n v="0"/>
    <n v="3258138.6"/>
    <n v="366907.5"/>
    <n v="0"/>
    <n v="0"/>
    <n v="444"/>
    <n v="3258138.6"/>
    <n v="1190735.294117647"/>
    <n v="100"/>
    <n v="394"/>
    <n v="100"/>
    <n v="0"/>
    <n v="0"/>
    <n v="2891231.1"/>
    <n v="733815"/>
    <n v="0"/>
    <n v="394"/>
    <n v="2891231.1"/>
    <n v="1427731.092436975"/>
    <n v="30"/>
    <n v="294"/>
    <n v="30"/>
    <n v="0"/>
    <m/>
    <n v="2157416.1"/>
    <n v="220170"/>
    <n v="0"/>
    <n v="294"/>
    <n v="2157416.1"/>
    <n v="428319.3277310925"/>
  </r>
  <r>
    <s v="Simplit-Cristalería y Bar"/>
    <x v="6"/>
    <x v="24"/>
    <x v="56"/>
    <s v="SIMJARVID"/>
    <x v="580"/>
    <x v="424"/>
    <x v="0"/>
    <x v="4"/>
    <n v="1"/>
    <x v="50"/>
    <n v="0"/>
    <m/>
    <n v="0"/>
    <n v="3680"/>
    <n v="0"/>
    <n v="4"/>
    <n v="3680"/>
    <n v="9277.310924369749"/>
    <n v="7885.714285714286"/>
    <s v="Shenzhen"/>
    <s v="30/70"/>
    <n v="45"/>
    <n v="3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n v="300"/>
    <n v="300"/>
    <n v="300"/>
    <n v="0"/>
    <n v="0"/>
    <n v="0"/>
    <n v="1242000"/>
    <n v="1242000"/>
    <n v="300"/>
    <n v="1242000"/>
    <n v="0"/>
    <n v="35"/>
    <n v="300"/>
    <n v="35"/>
    <n v="0"/>
    <n v="0"/>
    <n v="1242000"/>
    <n v="144900"/>
    <n v="0"/>
    <n v="0"/>
    <n v="300"/>
    <n v="1242000"/>
    <n v="289800"/>
    <n v="60"/>
    <n v="265"/>
    <n v="60"/>
    <n v="0"/>
    <n v="0"/>
    <n v="1097100"/>
    <n v="248400"/>
    <n v="0"/>
    <n v="265"/>
    <n v="1097100"/>
    <n v="556638.6554621849"/>
    <n v="21"/>
    <n v="205"/>
    <n v="21"/>
    <n v="0"/>
    <m/>
    <n v="848700"/>
    <n v="77280"/>
    <n v="0"/>
    <n v="205"/>
    <n v="848700"/>
    <n v="194823.5294117647"/>
  </r>
  <r>
    <s v="Simplit-Cristalería y Bar"/>
    <x v="6"/>
    <x v="24"/>
    <x v="57"/>
    <n v="66800506435054"/>
    <x v="581"/>
    <x v="425"/>
    <x v="0"/>
    <x v="0"/>
    <n v="1.5"/>
    <x v="284"/>
    <n v="94"/>
    <m/>
    <n v="0"/>
    <n v="643"/>
    <n v="60442"/>
    <n v="0.62"/>
    <n v="677.3499999999999"/>
    <n v="3352.941176470588"/>
    <n v="3352.941176470588"/>
    <s v="Shenzhen"/>
    <s v="30/70"/>
    <n v="30"/>
    <n v="100"/>
    <n v="121"/>
    <n v="0.8423075053864471"/>
    <n v="79"/>
    <n v="0.8097072510153841"/>
    <n v="46"/>
    <n v="0.7963842962399186"/>
    <n v="52"/>
    <n v="0.8207571571458694"/>
    <n v="82"/>
    <n v="0.8075257208668827"/>
    <n v="81"/>
    <n v="0.8052279095187637"/>
    <n v="53"/>
    <n v="0.8078733065782117"/>
    <n v="27"/>
    <n v="0.871013403190973"/>
    <n v="40"/>
    <n v="0.8806486555301117"/>
    <n v="69"/>
    <n v="0.829095010951141"/>
    <n v="36"/>
    <n v="0.8632547170046648"/>
    <n v="66"/>
    <n v="0.8511869113417553"/>
    <n v="81"/>
    <n v="0.5135810684944063"/>
    <n v="88"/>
    <n v="0.5085254148815315"/>
    <n v="108"/>
    <n v="0.5250057259667562"/>
    <n v="92"/>
    <n v="0.5167711608289981"/>
    <n v="1.533333333333333"/>
    <n v="65"/>
    <n v="0.8020093279626881"/>
    <n v="0.8125"/>
    <n v="88"/>
    <n v="0.4794448873408919"/>
    <n v="1.035294117647059"/>
    <n v="22"/>
    <s v=""/>
    <n v="0.3235294117647059"/>
    <n v="0"/>
    <s v=""/>
    <n v="0"/>
    <m/>
    <m/>
    <m/>
    <m/>
    <m/>
    <m/>
    <m/>
    <m/>
    <m/>
    <m/>
    <m/>
    <m/>
    <n v="130"/>
    <n v="496"/>
    <n v="120"/>
    <n v="0"/>
    <n v="0"/>
    <n v="0"/>
    <n v="231480"/>
    <n v="318283.2"/>
    <n v="77160"/>
    <n v="0"/>
    <n v="94"/>
    <n v="60442"/>
    <n v="338111.7152743451"/>
    <n v="100"/>
    <n v="389"/>
    <n v="132"/>
    <n v="200"/>
    <n v="0"/>
    <n v="0"/>
    <n v="213476"/>
    <n v="249621.3"/>
    <n v="84876"/>
    <n v="0"/>
    <n v="94"/>
    <n v="60442"/>
    <n v="371922.8868017796"/>
    <n v="50"/>
    <n v="304"/>
    <n v="108"/>
    <n v="0"/>
    <n v="0"/>
    <n v="205604"/>
    <n v="195472"/>
    <n v="69444"/>
    <n v="0"/>
    <n v="94"/>
    <n v="60442"/>
    <n v="362117.6470588236"/>
    <n v="60"/>
    <n v="218"/>
    <n v="92"/>
    <n v="0"/>
    <n v="0"/>
    <n v="139890.6"/>
    <n v="59156"/>
    <n v="0"/>
    <n v="0"/>
    <n v="94"/>
    <n v="60442"/>
    <n v="308470.5882352941"/>
    <n v="80"/>
    <n v="159"/>
    <n v="120"/>
    <m/>
    <n v="0"/>
    <n v="0"/>
    <n v="102237"/>
    <n v="77003.99999999999"/>
    <n v="0"/>
    <n v="0"/>
    <n v="94"/>
    <n v="60442"/>
    <n v="402352.9411764706"/>
    <n v="85"/>
    <n v="182"/>
    <n v="88"/>
    <m/>
    <n v="200"/>
    <n v="0"/>
    <n v="117026"/>
    <n v="56469.59999999999"/>
    <n v="0"/>
    <n v="0"/>
    <n v="182"/>
    <n v="60442"/>
    <n v="295058.8235294117"/>
    <n v="68"/>
    <n v="116"/>
    <n v="22"/>
    <n v="0"/>
    <n v="0"/>
    <n v="0"/>
    <n v="74588"/>
    <n v="14117.4"/>
    <n v="0"/>
    <n v="0"/>
    <n v="116"/>
    <n v="60442"/>
    <n v="73764.70588235294"/>
    <n v="91"/>
    <n v="94"/>
    <n v="136.5"/>
    <n v="0"/>
    <n v="0"/>
    <n v="0"/>
    <n v="60442"/>
    <n v="87592.04999999999"/>
    <n v="0"/>
    <n v="0"/>
    <n v="94"/>
    <n v="60442"/>
    <n v="457676.4705882353"/>
    <n v="56"/>
    <n v="0"/>
    <n v="84"/>
    <n v="0"/>
    <n v="0"/>
    <n v="0"/>
    <n v="0"/>
    <n v="53902.8"/>
    <n v="0"/>
    <n v="0"/>
    <n v="0"/>
    <n v="0"/>
    <n v="281647.0588235294"/>
    <n v="70"/>
    <n v="0"/>
    <n v="0"/>
    <n v="350"/>
    <n v="350"/>
    <n v="350"/>
    <n v="0"/>
    <n v="0"/>
    <n v="0"/>
    <n v="224595"/>
    <n v="224595"/>
    <n v="350"/>
    <n v="224595"/>
    <n v="0"/>
    <n v="60"/>
    <n v="350"/>
    <n v="90"/>
    <n v="0"/>
    <n v="0"/>
    <n v="224595"/>
    <n v="57752.99999999999"/>
    <n v="0"/>
    <n v="0"/>
    <n v="350"/>
    <n v="224595"/>
    <n v="316852.9411764706"/>
    <n v="85"/>
    <n v="260"/>
    <n v="127.5"/>
    <n v="0"/>
    <n v="0"/>
    <n v="166842"/>
    <n v="81816.74999999999"/>
    <n v="0"/>
    <n v="260"/>
    <n v="166842"/>
    <n v="427500"/>
    <n v="36"/>
    <n v="132.5"/>
    <n v="54"/>
    <n v="0"/>
    <m/>
    <n v="85025.24999999999"/>
    <n v="34722"/>
    <n v="0"/>
    <n v="132.5"/>
    <n v="85025.24999999999"/>
    <n v="181058.8235294118"/>
  </r>
  <r>
    <s v="Simplit-Cristalería y Bar"/>
    <x v="6"/>
    <x v="24"/>
    <x v="57"/>
    <n v="66800507665930"/>
    <x v="582"/>
    <x v="426"/>
    <x v="0"/>
    <x v="3"/>
    <n v="1"/>
    <x v="285"/>
    <n v="528"/>
    <m/>
    <n v="0"/>
    <n v="1568"/>
    <n v="827904"/>
    <n v="1.52"/>
    <n v="1660.6"/>
    <n v="3352.941176470588"/>
    <n v="3352.941176470588"/>
    <s v="Shenzhen"/>
    <s v="30/70"/>
    <n v="30"/>
    <n v="100"/>
    <n v="245"/>
    <n v="0.6145086209719723"/>
    <n v="60"/>
    <n v="0.9796462947253946"/>
    <n v="45"/>
    <n v="0.5697129535209057"/>
    <n v="97"/>
    <n v="0.5857158327347692"/>
    <n v="63"/>
    <n v="0.4688375126345649"/>
    <n v="97"/>
    <n v="0.5574793808731391"/>
    <n v="20"/>
    <n v="0.6514404736059748"/>
    <n v="37"/>
    <n v="0.6434407898606691"/>
    <n v="24"/>
    <n v="0.6264982509273809"/>
    <n v="58"/>
    <n v="0.5847999682840255"/>
    <n v="49"/>
    <n v="0.6406024923682222"/>
    <n v="75"/>
    <n v="0.6291769302278013"/>
    <n v="71"/>
    <n v="0.4162378379916194"/>
    <n v="107"/>
    <n v="0.3652110149898186"/>
    <n v="132"/>
    <n v="0.2774520645960343"/>
    <n v="99"/>
    <n v="0.3692910731844107"/>
    <n v="0.99"/>
    <n v="71"/>
    <n v="0.5220652713151772"/>
    <n v="1.014285714285714"/>
    <n v="94"/>
    <n v="0.331959987407524"/>
    <n v="0.9399999999999999"/>
    <n v="16"/>
    <s v=""/>
    <n v="0.32"/>
    <n v="0"/>
    <s v=""/>
    <n v="0"/>
    <m/>
    <m/>
    <m/>
    <m/>
    <m/>
    <m/>
    <m/>
    <m/>
    <m/>
    <m/>
    <m/>
    <m/>
    <n v="240"/>
    <n v="494"/>
    <n v="80"/>
    <n v="450"/>
    <n v="450"/>
    <n v="0"/>
    <n v="584080"/>
    <n v="777160.7999999999"/>
    <n v="125440"/>
    <n v="0"/>
    <n v="528"/>
    <n v="827904"/>
    <n v="225407.8101828967"/>
    <n v="80"/>
    <n v="846"/>
    <n v="160.5"/>
    <n v="300"/>
    <n v="0"/>
    <n v="0"/>
    <n v="613872"/>
    <n v="1330927.2"/>
    <n v="251664"/>
    <n v="0"/>
    <n v="528"/>
    <n v="827904"/>
    <n v="452224.4191794365"/>
    <n v="150"/>
    <n v="726"/>
    <n v="132"/>
    <n v="0"/>
    <n v="0"/>
    <n v="472332"/>
    <n v="1138368"/>
    <n v="206976"/>
    <n v="0"/>
    <n v="528"/>
    <n v="827904"/>
    <n v="442588.2352941177"/>
    <n v="100"/>
    <n v="596"/>
    <n v="99"/>
    <n v="0"/>
    <n v="0"/>
    <n v="937627.1999999998"/>
    <n v="155232"/>
    <n v="0"/>
    <n v="0"/>
    <n v="528"/>
    <n v="827904"/>
    <n v="331941.1764705883"/>
    <n v="70"/>
    <n v="599"/>
    <n v="70"/>
    <m/>
    <n v="0"/>
    <n v="0"/>
    <n v="939232"/>
    <n v="110124"/>
    <n v="0"/>
    <n v="0"/>
    <n v="528"/>
    <n v="827904"/>
    <n v="234705.8823529412"/>
    <n v="100"/>
    <n v="622"/>
    <n v="94"/>
    <m/>
    <n v="0"/>
    <n v="0"/>
    <n v="975296"/>
    <n v="147880.8"/>
    <n v="0"/>
    <n v="0"/>
    <n v="622"/>
    <n v="827904"/>
    <n v="315176.4705882353"/>
    <n v="50"/>
    <n v="544"/>
    <n v="16"/>
    <n v="0"/>
    <n v="0"/>
    <n v="0"/>
    <n v="852992"/>
    <n v="25171.2"/>
    <n v="0"/>
    <n v="0"/>
    <n v="544"/>
    <n v="827904"/>
    <n v="53647.05882352941"/>
    <n v="50"/>
    <n v="528"/>
    <n v="50"/>
    <n v="0"/>
    <n v="0"/>
    <n v="0"/>
    <n v="827904"/>
    <n v="78659.99999999999"/>
    <n v="0"/>
    <n v="0"/>
    <n v="528"/>
    <n v="827904"/>
    <n v="167647.0588235294"/>
    <n v="50"/>
    <n v="478"/>
    <n v="50"/>
    <n v="0"/>
    <n v="0"/>
    <n v="0"/>
    <n v="751989.5999999999"/>
    <n v="78659.99999999999"/>
    <n v="0"/>
    <n v="0"/>
    <n v="478"/>
    <n v="751989.5999999999"/>
    <n v="167647.0588235294"/>
    <n v="100"/>
    <n v="428"/>
    <n v="100"/>
    <n v="0"/>
    <n v="0"/>
    <n v="0"/>
    <m/>
    <n v="673329.6"/>
    <n v="157320"/>
    <n v="0"/>
    <n v="0"/>
    <n v="428"/>
    <n v="673329.6"/>
    <n v="335294.1176470589"/>
    <n v="50"/>
    <n v="328"/>
    <n v="50"/>
    <n v="0"/>
    <n v="0"/>
    <n v="516009.5999999999"/>
    <n v="78659.99999999999"/>
    <n v="0"/>
    <n v="0"/>
    <n v="328"/>
    <n v="516009.5999999999"/>
    <n v="176029.4117647059"/>
    <n v="100"/>
    <n v="278"/>
    <n v="100"/>
    <n v="0"/>
    <n v="0"/>
    <n v="437349.6"/>
    <n v="157320"/>
    <n v="0"/>
    <n v="278"/>
    <n v="437349.6"/>
    <n v="335294.1176470589"/>
    <n v="30"/>
    <n v="178"/>
    <n v="30"/>
    <n v="0"/>
    <m/>
    <n v="280029.6"/>
    <n v="47040"/>
    <n v="0"/>
    <n v="178"/>
    <n v="280029.6"/>
    <n v="100588.2352941177"/>
  </r>
  <r>
    <s v="Simplit-Cristalería y Bar"/>
    <x v="6"/>
    <x v="24"/>
    <x v="57"/>
    <n v="66800509015029"/>
    <x v="583"/>
    <x v="427"/>
    <x v="0"/>
    <x v="0"/>
    <n v="1"/>
    <x v="286"/>
    <n v="220"/>
    <m/>
    <n v="0"/>
    <n v="1479"/>
    <n v="325380"/>
    <n v="1.42"/>
    <n v="1551.35"/>
    <n v="3352.941176470588"/>
    <n v="3352.941176470588"/>
    <s v="Shenzhen"/>
    <s v="30/70"/>
    <n v="30"/>
    <n v="100"/>
    <n v="190"/>
    <n v="0.5987344462727426"/>
    <n v="89"/>
    <n v="0.72030722530293"/>
    <n v="107"/>
    <n v="0.5526804662765038"/>
    <n v="92"/>
    <n v="0.5972165059951885"/>
    <n v="70"/>
    <n v="0.5587243984530001"/>
    <n v="112"/>
    <n v="0.5971303225955275"/>
    <n v="43"/>
    <n v="0.6475062873283131"/>
    <n v="28"/>
    <n v="0.5762678410347876"/>
    <n v="3"/>
    <n v="0.796094927433461"/>
    <n v="70"/>
    <n v="0.5859586907633512"/>
    <n v="47"/>
    <n v="0.7496710304212463"/>
    <n v="68"/>
    <n v="0.6927030217852317"/>
    <n v="79"/>
    <n v="0.5607513769798955"/>
    <n v="84"/>
    <n v="0.49978277650938"/>
    <n v="118"/>
    <n v="0.5044883941365168"/>
    <n v="125"/>
    <n v="0.4469021650856491"/>
    <n v="1.041666666666667"/>
    <n v="88"/>
    <n v="0.547542866215072"/>
    <n v="1.257142857142857"/>
    <n v="109"/>
    <n v="0.3687118726746041"/>
    <n v="0.9083333333333333"/>
    <n v="34"/>
    <s v=""/>
    <n v="0.4594594594594595"/>
    <n v="0"/>
    <s v=""/>
    <n v="0"/>
    <m/>
    <m/>
    <m/>
    <m/>
    <m/>
    <m/>
    <m/>
    <m/>
    <m/>
    <m/>
    <m/>
    <m/>
    <n v="200"/>
    <n v="474"/>
    <n v="80"/>
    <n v="300"/>
    <n v="300"/>
    <n v="0"/>
    <n v="479196"/>
    <n v="696637.7999999999"/>
    <n v="118320"/>
    <n v="0"/>
    <n v="220"/>
    <n v="325380"/>
    <n v="225407.8101828967"/>
    <n v="100"/>
    <n v="661"/>
    <n v="126"/>
    <n v="200"/>
    <n v="0"/>
    <n v="0"/>
    <n v="545751"/>
    <n v="971471.6999999998"/>
    <n v="186354"/>
    <n v="0"/>
    <n v="220"/>
    <n v="325380"/>
    <n v="355017.3010380623"/>
    <n v="110"/>
    <n v="583"/>
    <n v="118"/>
    <n v="0"/>
    <n v="0"/>
    <n v="462276"/>
    <n v="862257"/>
    <n v="174522"/>
    <n v="0"/>
    <n v="220"/>
    <n v="325380"/>
    <n v="395647.0588235294"/>
    <n v="120"/>
    <n v="440"/>
    <n v="125"/>
    <n v="0"/>
    <n v="0"/>
    <n v="646667.9999999999"/>
    <n v="184875"/>
    <n v="0"/>
    <n v="0"/>
    <n v="220"/>
    <n v="325380"/>
    <n v="419117.6470588236"/>
    <n v="70"/>
    <n v="308"/>
    <n v="70"/>
    <m/>
    <n v="0"/>
    <n v="0"/>
    <n v="455532"/>
    <n v="102879"/>
    <n v="0"/>
    <n v="0"/>
    <n v="220"/>
    <n v="325380"/>
    <n v="234705.8823529412"/>
    <n v="120"/>
    <n v="329"/>
    <n v="109"/>
    <m/>
    <n v="200"/>
    <n v="0"/>
    <n v="486591"/>
    <n v="160197.3"/>
    <n v="0"/>
    <n v="0"/>
    <n v="329"/>
    <n v="325380"/>
    <n v="365470.5882352941"/>
    <n v="74"/>
    <n v="254"/>
    <n v="34"/>
    <n v="0"/>
    <n v="0"/>
    <n v="0"/>
    <n v="375666"/>
    <n v="49969.8"/>
    <n v="0"/>
    <n v="0"/>
    <n v="254"/>
    <n v="325380"/>
    <n v="114000"/>
    <n v="60"/>
    <n v="220"/>
    <n v="60"/>
    <n v="0"/>
    <n v="0"/>
    <n v="0"/>
    <n v="325380"/>
    <n v="88181.99999999999"/>
    <n v="0"/>
    <n v="0"/>
    <n v="220"/>
    <n v="325380"/>
    <n v="201176.4705882353"/>
    <n v="57"/>
    <n v="160"/>
    <n v="57"/>
    <n v="0"/>
    <n v="0"/>
    <n v="0"/>
    <n v="235152"/>
    <n v="83772.89999999999"/>
    <n v="0"/>
    <n v="0"/>
    <n v="160"/>
    <n v="235152"/>
    <n v="191117.6470588235"/>
    <n v="50"/>
    <n v="103"/>
    <n v="50"/>
    <n v="0"/>
    <n v="0"/>
    <n v="0"/>
    <m/>
    <n v="151379.1"/>
    <n v="73484.99999999999"/>
    <n v="0"/>
    <n v="0"/>
    <n v="103"/>
    <n v="151379.1"/>
    <n v="167647.0588235294"/>
    <n v="50"/>
    <n v="53"/>
    <n v="50"/>
    <n v="0"/>
    <n v="0"/>
    <n v="77894.09999999999"/>
    <n v="73484.99999999999"/>
    <n v="0"/>
    <n v="0"/>
    <n v="53"/>
    <n v="77894.09999999999"/>
    <n v="176029.4117647059"/>
    <n v="80"/>
    <n v="3"/>
    <n v="80"/>
    <n v="0"/>
    <n v="0"/>
    <n v="4409.099999999999"/>
    <n v="117576"/>
    <n v="0"/>
    <n v="3"/>
    <n v="4409.099999999999"/>
    <n v="268235.294117647"/>
    <n v="30"/>
    <n v="0"/>
    <n v="30"/>
    <n v="0"/>
    <m/>
    <n v="0"/>
    <n v="44370"/>
    <n v="0"/>
    <n v="0"/>
    <n v="0"/>
    <n v="100588.2352941177"/>
  </r>
  <r>
    <s v="Simplit-Cristalería y Bar"/>
    <x v="6"/>
    <x v="24"/>
    <x v="57"/>
    <n v="66800510263382"/>
    <x v="584"/>
    <x v="428"/>
    <x v="0"/>
    <x v="3"/>
    <n v="1.1"/>
    <x v="287"/>
    <n v="1751"/>
    <m/>
    <n v="0"/>
    <n v="1271"/>
    <n v="2225521"/>
    <n v="1.12"/>
    <n v="1223.6"/>
    <n v="3352.941176470588"/>
    <n v="3352.941176470588"/>
    <s v="Shenzhen"/>
    <s v="30/70"/>
    <n v="30"/>
    <n v="300"/>
    <n v="418"/>
    <n v="0.6597387527261004"/>
    <n v="351"/>
    <n v="0.7903031088525543"/>
    <n v="258"/>
    <n v="0.6819281099087612"/>
    <n v="174"/>
    <n v="0.6597937985712682"/>
    <n v="120"/>
    <n v="0.6349680133473323"/>
    <n v="68"/>
    <n v="0.6306698685569219"/>
    <n v="13"/>
    <n v="0.6339146952167156"/>
    <n v="41"/>
    <n v="0.7004899806160091"/>
    <n v="12"/>
    <n v="0.8147015943650199"/>
    <n v="51"/>
    <n v="0.6981525381443195"/>
    <n v="36"/>
    <n v="0.8219206410291069"/>
    <n v="53"/>
    <n v="0.7591903036941292"/>
    <n v="137"/>
    <n v="0.6111225928843971"/>
    <n v="79"/>
    <n v="0.5658574891060657"/>
    <n v="194"/>
    <n v="0.4571174606503137"/>
    <n v="121"/>
    <n v="0.5777647053236271"/>
    <n v="1.21"/>
    <n v="96"/>
    <n v="0.6097881533937466"/>
    <n v="0.96"/>
    <n v="143"/>
    <n v="0.5440497717388265"/>
    <n v="0.9533333333333334"/>
    <n v="11"/>
    <s v=""/>
    <n v="0.130952380952381"/>
    <n v="0"/>
    <s v=""/>
    <n v="0"/>
    <m/>
    <m/>
    <m/>
    <m/>
    <m/>
    <m/>
    <m/>
    <m/>
    <m/>
    <m/>
    <m/>
    <m/>
    <n v="400"/>
    <n v="1480"/>
    <n v="150"/>
    <n v="550"/>
    <n v="550"/>
    <n v="0"/>
    <n v="587837.5"/>
    <n v="1715616"/>
    <n v="190650"/>
    <n v="0"/>
    <n v="1751"/>
    <n v="2225521"/>
    <n v="422639.6440929314"/>
    <n v="351"/>
    <n v="1873"/>
    <n v="118.5"/>
    <n v="650"/>
    <n v="0"/>
    <n v="0"/>
    <n v="550978.5"/>
    <n v="2171181.6"/>
    <n v="150613.5"/>
    <n v="0"/>
    <n v="1751"/>
    <n v="2225521"/>
    <n v="333885.3188334157"/>
    <n v="250"/>
    <n v="1799"/>
    <n v="194"/>
    <n v="0"/>
    <n v="0"/>
    <n v="527877"/>
    <n v="2286529"/>
    <n v="246574"/>
    <n v="0"/>
    <n v="1751"/>
    <n v="2225521"/>
    <n v="650470.5882352941"/>
    <n v="100"/>
    <n v="1568"/>
    <n v="121"/>
    <n v="0"/>
    <n v="0"/>
    <n v="1817625.6"/>
    <n v="153791"/>
    <n v="0"/>
    <n v="0"/>
    <n v="1751"/>
    <n v="2225521"/>
    <n v="405705.8823529412"/>
    <n v="100"/>
    <n v="1847"/>
    <n v="110"/>
    <m/>
    <n v="0"/>
    <n v="0"/>
    <n v="2347537"/>
    <n v="127512"/>
    <n v="0"/>
    <n v="0"/>
    <n v="1751"/>
    <n v="2225521"/>
    <n v="368823.5294117648"/>
    <n v="150"/>
    <n v="1894"/>
    <n v="143"/>
    <m/>
    <n v="0"/>
    <n v="0"/>
    <n v="2407274"/>
    <n v="165765.6"/>
    <n v="0"/>
    <n v="0"/>
    <n v="1894"/>
    <n v="2225521"/>
    <n v="479470.5882352941"/>
    <n v="84"/>
    <n v="1762"/>
    <n v="11"/>
    <n v="0"/>
    <n v="0"/>
    <n v="0"/>
    <n v="2239502"/>
    <n v="12751.2"/>
    <n v="0"/>
    <n v="0"/>
    <n v="1762"/>
    <n v="2225521"/>
    <n v="36882.35294117647"/>
    <n v="80"/>
    <n v="1751"/>
    <n v="88"/>
    <n v="0"/>
    <n v="0"/>
    <n v="0"/>
    <n v="2225521"/>
    <n v="102009.6"/>
    <n v="0"/>
    <n v="0"/>
    <n v="1751"/>
    <n v="2225521"/>
    <n v="295058.8235294117"/>
    <n v="68"/>
    <n v="1663"/>
    <n v="74.80000000000001"/>
    <n v="0"/>
    <n v="0"/>
    <n v="0"/>
    <n v="1927749.6"/>
    <n v="86708.16000000002"/>
    <n v="0"/>
    <n v="0"/>
    <n v="1663"/>
    <n v="1927749.6"/>
    <n v="250800"/>
    <n v="80"/>
    <n v="1588.2"/>
    <n v="88"/>
    <n v="0"/>
    <n v="0"/>
    <n v="0"/>
    <m/>
    <n v="1841041.44"/>
    <n v="102009.6"/>
    <n v="0"/>
    <n v="0"/>
    <n v="1588.2"/>
    <n v="1841041.44"/>
    <n v="295058.8235294117"/>
    <n v="60"/>
    <n v="1500.2"/>
    <n v="66"/>
    <n v="0"/>
    <n v="0"/>
    <n v="1739031.84"/>
    <n v="76507.2"/>
    <n v="0"/>
    <n v="0"/>
    <n v="1500.2"/>
    <n v="1739031.84"/>
    <n v="232358.8235294118"/>
    <n v="100"/>
    <n v="1434.2"/>
    <n v="110"/>
    <n v="0"/>
    <n v="0"/>
    <n v="1662524.64"/>
    <n v="127512"/>
    <n v="0"/>
    <n v="1434.2"/>
    <n v="1662524.64"/>
    <n v="368823.5294117648"/>
    <n v="36"/>
    <n v="1324.2"/>
    <n v="39.6"/>
    <n v="0"/>
    <m/>
    <n v="1535012.64"/>
    <n v="50331.6"/>
    <n v="0"/>
    <n v="1324.2"/>
    <n v="1535012.64"/>
    <n v="132776.4705882353"/>
  </r>
  <r>
    <s v="Simplit-Cristalería y Bar"/>
    <x v="6"/>
    <x v="24"/>
    <x v="58"/>
    <s v="SIMTAZMANGCO"/>
    <x v="585"/>
    <x v="429"/>
    <x v="0"/>
    <x v="4"/>
    <n v="1"/>
    <x v="50"/>
    <n v="0"/>
    <m/>
    <n v="0"/>
    <n v="9090.749999999998"/>
    <n v="0"/>
    <n v="8.5"/>
    <n v="9090.749999999998"/>
    <n v="22917.85714285714"/>
    <n v="19480.17857142857"/>
    <s v="Shenzhen"/>
    <s v="30/70"/>
    <n v="45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n v="300"/>
    <n v="300"/>
    <n v="300"/>
    <n v="0"/>
    <n v="0"/>
    <n v="0"/>
    <n v="2639250"/>
    <n v="2639250"/>
    <n v="300"/>
    <n v="2639250"/>
    <n v="0"/>
    <n v="40"/>
    <n v="300"/>
    <n v="40"/>
    <n v="0"/>
    <n v="0"/>
    <n v="2639250"/>
    <n v="351900"/>
    <n v="0"/>
    <n v="0"/>
    <n v="300"/>
    <n v="2639250"/>
    <n v="818167.4999999998"/>
    <n v="60"/>
    <n v="260"/>
    <n v="60"/>
    <n v="0"/>
    <n v="0"/>
    <n v="2287350"/>
    <n v="527850"/>
    <n v="0"/>
    <n v="260"/>
    <n v="2287350"/>
    <n v="1375071.428571428"/>
    <n v="24"/>
    <n v="200"/>
    <n v="24"/>
    <n v="0"/>
    <m/>
    <n v="1759500"/>
    <n v="218177.9999999999"/>
    <n v="0"/>
    <n v="200"/>
    <n v="1759500"/>
    <n v="550028.5714285714"/>
  </r>
  <r>
    <s v="Simplit-Cristalería y Bar"/>
    <x v="6"/>
    <x v="24"/>
    <x v="59"/>
    <n v="1650298908518"/>
    <x v="586"/>
    <x v="430"/>
    <x v="0"/>
    <x v="0"/>
    <n v="0.6"/>
    <x v="288"/>
    <n v="578"/>
    <m/>
    <n v="0"/>
    <n v="4826"/>
    <n v="2789428"/>
    <n v="5.25"/>
    <n v="5735.625"/>
    <n v="10915.96638655462"/>
    <n v="8394.957983193277"/>
    <s v="Shenzhen"/>
    <s v="30/70"/>
    <n v="30"/>
    <n v="200"/>
    <n v="272"/>
    <n v="0.4498511568319223"/>
    <n v="183"/>
    <n v="0.539458838486397"/>
    <n v="138"/>
    <n v="0.6448345845411324"/>
    <n v="175"/>
    <n v="0.5560393918558993"/>
    <n v="129"/>
    <n v="0.4612251822369056"/>
    <n v="445"/>
    <n v="0.497543353577906"/>
    <n v="347"/>
    <n v="0.500690854816825"/>
    <n v="381"/>
    <n v="0.4146388924315448"/>
    <n v="325"/>
    <n v="0.5571287716338836"/>
    <n v="208"/>
    <n v="0.4566180894212515"/>
    <n v="91"/>
    <n v="0.5226793066253846"/>
    <n v="74"/>
    <n v="0.5410600370504972"/>
    <n v="23"/>
    <n v="0.4473533688178423"/>
    <n v="94"/>
    <n v="0.4152187392908638"/>
    <n v="136"/>
    <n v="0.3948899797648963"/>
    <n v="39"/>
    <n v="0.3861577610309193"/>
    <n v="0.2166666666666667"/>
    <n v="120"/>
    <n v="0.5279464049494271"/>
    <n v="0.9230769230769231"/>
    <n v="113"/>
    <n v="0.5499064421845254"/>
    <n v="0.2511111111111111"/>
    <n v="0"/>
    <s v=""/>
    <n v="0"/>
    <n v="0"/>
    <s v=""/>
    <n v="0"/>
    <m/>
    <m/>
    <m/>
    <m/>
    <m/>
    <m/>
    <m/>
    <m/>
    <m/>
    <m/>
    <m/>
    <m/>
    <n v="250"/>
    <n v="46"/>
    <n v="50"/>
    <n v="300"/>
    <n v="300"/>
    <n v="0"/>
    <n v="1578102"/>
    <n v="249952.5"/>
    <n v="241300"/>
    <n v="0"/>
    <n v="578"/>
    <n v="2789428"/>
    <n v="458654.0498552363"/>
    <n v="180"/>
    <n v="316"/>
    <n v="141"/>
    <n v="500"/>
    <n v="400"/>
    <n v="0"/>
    <n v="1525016"/>
    <n v="1717065"/>
    <n v="680466"/>
    <n v="0"/>
    <n v="578"/>
    <n v="2789428"/>
    <n v="1293404.420591766"/>
    <n v="150"/>
    <n v="286"/>
    <n v="136"/>
    <n v="0"/>
    <n v="0"/>
    <n v="1268382.5"/>
    <n v="1380236"/>
    <n v="656336"/>
    <n v="0"/>
    <n v="578"/>
    <n v="2789428"/>
    <n v="1484571.428571429"/>
    <n v="180"/>
    <n v="590"/>
    <n v="39"/>
    <n v="0"/>
    <n v="0"/>
    <n v="3205912.5"/>
    <n v="188214"/>
    <n v="0"/>
    <n v="0"/>
    <n v="578"/>
    <n v="2789428"/>
    <n v="425722.6890756303"/>
    <n v="130"/>
    <n v="698"/>
    <n v="78"/>
    <m/>
    <n v="0"/>
    <n v="0"/>
    <n v="3368548"/>
    <n v="423832.5"/>
    <n v="0"/>
    <n v="0"/>
    <n v="578"/>
    <n v="2789428"/>
    <n v="851445.3781512605"/>
    <n v="450"/>
    <n v="691"/>
    <n v="113"/>
    <m/>
    <n v="0"/>
    <n v="0"/>
    <n v="3334766"/>
    <n v="614013.75"/>
    <n v="0"/>
    <n v="0"/>
    <n v="691"/>
    <n v="2789428"/>
    <n v="1233504.201680672"/>
    <n v="300"/>
    <n v="578"/>
    <n v="0"/>
    <n v="350"/>
    <n v="350"/>
    <n v="0"/>
    <n v="2789428"/>
    <n v="0"/>
    <n v="1838418.75"/>
    <n v="0"/>
    <n v="578"/>
    <n v="2789428"/>
    <n v="0"/>
    <n v="250"/>
    <n v="578"/>
    <n v="150"/>
    <n v="600"/>
    <n v="600"/>
    <n v="0"/>
    <n v="2789428"/>
    <n v="815062.5"/>
    <n v="3260250"/>
    <n v="0"/>
    <n v="578"/>
    <n v="2789428"/>
    <n v="1637394.957983193"/>
    <n v="350"/>
    <n v="428"/>
    <n v="210"/>
    <n v="0"/>
    <n v="0"/>
    <n v="601"/>
    <n v="2325645"/>
    <n v="1141087.5"/>
    <n v="0"/>
    <n v="3265683.75"/>
    <n v="1029"/>
    <n v="5591328.75"/>
    <n v="2292352.941176471"/>
    <n v="350"/>
    <n v="819"/>
    <n v="210"/>
    <n v="0"/>
    <n v="0"/>
    <n v="0"/>
    <m/>
    <n v="4450241.25"/>
    <n v="1141087.5"/>
    <n v="0"/>
    <n v="0"/>
    <n v="819"/>
    <n v="4450241.25"/>
    <n v="1762941.176470588"/>
    <n v="150"/>
    <n v="609"/>
    <n v="90"/>
    <n v="0"/>
    <n v="0"/>
    <n v="3309153.75"/>
    <n v="489037.5"/>
    <n v="0"/>
    <n v="0"/>
    <n v="609"/>
    <n v="3309153.75"/>
    <n v="793323.5294117647"/>
    <n v="250"/>
    <n v="519"/>
    <n v="150"/>
    <n v="0"/>
    <n v="0"/>
    <n v="2820116.25"/>
    <n v="815062.5"/>
    <n v="0"/>
    <n v="519"/>
    <n v="2820116.25"/>
    <n v="1637394.957983193"/>
    <n v="90"/>
    <n v="369"/>
    <n v="54"/>
    <n v="0"/>
    <m/>
    <n v="2005053.75"/>
    <n v="260604"/>
    <n v="0"/>
    <n v="369"/>
    <n v="2005053.75"/>
    <n v="589462.1848739496"/>
  </r>
  <r>
    <s v="Simplit-Cristalería y Bar"/>
    <x v="6"/>
    <x v="24"/>
    <x v="59"/>
    <n v="1654207352499"/>
    <x v="587"/>
    <x v="431"/>
    <x v="0"/>
    <x v="0"/>
    <n v="1"/>
    <x v="289"/>
    <n v="307"/>
    <m/>
    <n v="0"/>
    <n v="3550"/>
    <n v="1089850"/>
    <n v="2.9"/>
    <n v="3168.25"/>
    <n v="6714.285714285715"/>
    <n v="5873.949579831933"/>
    <s v="Shenzhen"/>
    <s v="30/70"/>
    <n v="30"/>
    <n v="100"/>
    <n v="3"/>
    <s v=""/>
    <n v="2"/>
    <s v=""/>
    <n v="43"/>
    <n v="0.5346795125701904"/>
    <n v="8"/>
    <n v="0.6526554570555523"/>
    <n v="14"/>
    <n v="0.5553594408417653"/>
    <n v="22"/>
    <n v="0.6123810571302872"/>
    <n v="15"/>
    <n v="0.6536752051230739"/>
    <n v="18"/>
    <n v="0.4876471604085458"/>
    <n v="10"/>
    <n v="0.5506781970990038"/>
    <n v="20"/>
    <n v="0.5603072226181702"/>
    <n v="19"/>
    <n v="0.6079611226795328"/>
    <n v="40"/>
    <n v="0.4829471103438191"/>
    <n v="24"/>
    <n v="0.2234963562829986"/>
    <n v="9"/>
    <n v="0.3953643348788693"/>
    <n v="18"/>
    <n v="0.4158185668322788"/>
    <n v="23"/>
    <n v="0.2446808510638298"/>
    <n v="0.92"/>
    <n v="11"/>
    <n v="0.449781387214408"/>
    <n v="0.7333333333333333"/>
    <n v="20"/>
    <n v="0.496465645670699"/>
    <n v="0.8"/>
    <n v="8"/>
    <s v=""/>
    <n v="0.4"/>
    <n v="0"/>
    <s v=""/>
    <n v="0"/>
    <m/>
    <m/>
    <m/>
    <m/>
    <m/>
    <m/>
    <m/>
    <m/>
    <m/>
    <m/>
    <m/>
    <m/>
    <n v="30"/>
    <n v="427"/>
    <n v="30"/>
    <n v="0"/>
    <n v="0"/>
    <n v="0"/>
    <n v="218325"/>
    <n v="1281640.5"/>
    <n v="106500"/>
    <n v="0"/>
    <n v="307"/>
    <n v="1089850"/>
    <n v="169267.7070828332"/>
    <n v="30"/>
    <n v="400"/>
    <n v="13.5"/>
    <n v="0"/>
    <n v="0"/>
    <n v="0"/>
    <n v="193475"/>
    <n v="1200600"/>
    <n v="47925"/>
    <n v="0"/>
    <n v="307"/>
    <n v="1089850"/>
    <n v="76170.46818727492"/>
    <n v="40"/>
    <n v="397"/>
    <n v="18"/>
    <n v="0"/>
    <n v="0"/>
    <n v="190572.5"/>
    <n v="1409350"/>
    <n v="63900"/>
    <n v="0"/>
    <n v="307"/>
    <n v="1089850"/>
    <n v="120857.1428571429"/>
    <n v="25"/>
    <n v="372"/>
    <n v="23"/>
    <n v="0"/>
    <n v="0"/>
    <n v="1116558"/>
    <n v="81650"/>
    <n v="0"/>
    <n v="0"/>
    <n v="307"/>
    <n v="1089850"/>
    <n v="154428.5714285714"/>
    <n v="15"/>
    <n v="318"/>
    <n v="15"/>
    <m/>
    <n v="0"/>
    <n v="0"/>
    <n v="1128900"/>
    <n v="45022.49999999999"/>
    <n v="0"/>
    <n v="0"/>
    <n v="307"/>
    <n v="1089850"/>
    <n v="100714.2857142857"/>
    <n v="25"/>
    <n v="327"/>
    <n v="20"/>
    <m/>
    <n v="0"/>
    <n v="0"/>
    <n v="1160850"/>
    <n v="60029.99999999999"/>
    <n v="0"/>
    <n v="0"/>
    <n v="327"/>
    <n v="1089850"/>
    <n v="134285.7142857143"/>
    <n v="20"/>
    <n v="315"/>
    <n v="8"/>
    <n v="0"/>
    <n v="0"/>
    <n v="0"/>
    <n v="1118250"/>
    <n v="24012"/>
    <n v="0"/>
    <n v="0"/>
    <n v="315"/>
    <n v="1089850"/>
    <n v="53714.28571428572"/>
    <n v="20"/>
    <n v="307"/>
    <n v="20"/>
    <n v="0"/>
    <n v="0"/>
    <n v="0"/>
    <n v="1089850"/>
    <n v="60029.99999999999"/>
    <n v="0"/>
    <n v="0"/>
    <n v="307"/>
    <n v="1089850"/>
    <n v="134285.7142857143"/>
    <n v="20"/>
    <n v="287"/>
    <n v="20"/>
    <n v="0"/>
    <n v="0"/>
    <n v="0"/>
    <n v="861430.4999999999"/>
    <n v="60029.99999999999"/>
    <n v="0"/>
    <n v="0"/>
    <n v="287"/>
    <n v="861430.4999999999"/>
    <n v="134285.7142857143"/>
    <n v="35"/>
    <n v="267"/>
    <n v="35"/>
    <n v="0"/>
    <n v="0"/>
    <n v="0"/>
    <m/>
    <n v="801400.4999999999"/>
    <n v="105052.5"/>
    <n v="0"/>
    <n v="0"/>
    <n v="267"/>
    <n v="801400.4999999999"/>
    <n v="205588.2352941177"/>
    <n v="35"/>
    <n v="232"/>
    <n v="35"/>
    <n v="0"/>
    <n v="0"/>
    <n v="696347.9999999999"/>
    <n v="105052.5"/>
    <n v="0"/>
    <n v="0"/>
    <n v="232"/>
    <n v="696347.9999999999"/>
    <n v="215867.6470588236"/>
    <n v="40"/>
    <n v="197"/>
    <n v="40"/>
    <n v="0"/>
    <n v="0"/>
    <n v="591295.4999999999"/>
    <n v="120060"/>
    <n v="0"/>
    <n v="197"/>
    <n v="591295.4999999999"/>
    <n v="268571.4285714286"/>
    <n v="21"/>
    <n v="157"/>
    <n v="21"/>
    <n v="0"/>
    <m/>
    <n v="471235.4999999999"/>
    <n v="74550"/>
    <n v="0"/>
    <n v="157"/>
    <n v="471235.4999999999"/>
    <n v="141000"/>
  </r>
  <r>
    <m/>
    <x v="6"/>
    <x v="24"/>
    <x v="59"/>
    <n v="1654207372101"/>
    <x v="588"/>
    <x v="432"/>
    <x v="0"/>
    <x v="0"/>
    <n v="1"/>
    <x v="290"/>
    <n v="16"/>
    <m/>
    <n v="0"/>
    <n v="2648"/>
    <n v="42368"/>
    <n v="1.4"/>
    <n v="1529.5"/>
    <n v="5873.949579831933"/>
    <n v="5453.781512605042"/>
    <s v="Shenzhen"/>
    <s v="30/70"/>
    <n v="30"/>
    <n v="50"/>
    <n v="54"/>
    <n v="0.771960683081811"/>
    <n v="21"/>
    <n v="0.824662629015279"/>
    <n v="60"/>
    <n v="0.7255204695582772"/>
    <n v="87"/>
    <n v="0.6939803094782208"/>
    <n v="83"/>
    <n v="0.6922260621339573"/>
    <n v="128"/>
    <n v="0.6933616032055934"/>
    <n v="146"/>
    <n v="0.7401522128310716"/>
    <n v="48"/>
    <n v="0.7484424004095415"/>
    <n v="36"/>
    <n v="0.754654280155254"/>
    <n v="99"/>
    <n v="0.7123668037709971"/>
    <n v="54"/>
    <n v="0.7647066165105912"/>
    <n v="48"/>
    <n v="0.6414829811320177"/>
    <n v="76"/>
    <n v="0.5789559159078098"/>
    <n v="63"/>
    <n v="0.4155774097721546"/>
    <n v="122"/>
    <n v="0.4812216949763722"/>
    <n v="69"/>
    <n v="0.4563749304617185"/>
    <n v="0.7666666666666667"/>
    <n v="43"/>
    <n v="0.5255138920262028"/>
    <n v="0.4777777777777778"/>
    <n v="39"/>
    <s v=""/>
    <n v="0.3"/>
    <n v="43"/>
    <s v=""/>
    <n v="0.2866666666666667"/>
    <n v="0"/>
    <s v=""/>
    <n v="0"/>
    <m/>
    <m/>
    <m/>
    <m/>
    <m/>
    <m/>
    <m/>
    <m/>
    <m/>
    <m/>
    <m/>
    <m/>
    <n v="60"/>
    <n v="277"/>
    <n v="90"/>
    <n v="200"/>
    <n v="200"/>
    <n v="0"/>
    <n v="811612"/>
    <n v="401373"/>
    <n v="238320"/>
    <n v="0"/>
    <n v="16"/>
    <n v="42368"/>
    <n v="444248.2875503143"/>
    <n v="70"/>
    <n v="474"/>
    <n v="94.5"/>
    <n v="0"/>
    <n v="0"/>
    <n v="0"/>
    <n v="756004"/>
    <n v="686826"/>
    <n v="250236"/>
    <n v="0"/>
    <n v="16"/>
    <n v="42368"/>
    <n v="466460.70192783"/>
    <n v="100"/>
    <n v="464"/>
    <n v="122"/>
    <n v="0"/>
    <n v="0"/>
    <n v="636178"/>
    <n v="1228672"/>
    <n v="323056"/>
    <n v="0"/>
    <n v="16"/>
    <n v="42368"/>
    <n v="716621.8487394959"/>
    <n v="90"/>
    <n v="109"/>
    <n v="69"/>
    <n v="100"/>
    <n v="0"/>
    <n v="157941"/>
    <n v="182712"/>
    <n v="144900"/>
    <n v="0"/>
    <n v="16"/>
    <n v="42368"/>
    <n v="405302.5210084034"/>
    <n v="90"/>
    <n v="59"/>
    <n v="90"/>
    <m/>
    <n v="0"/>
    <n v="0"/>
    <n v="156232"/>
    <n v="130410"/>
    <n v="0"/>
    <n v="0"/>
    <n v="16"/>
    <n v="42368"/>
    <n v="528655.462184874"/>
    <n v="130"/>
    <n v="55"/>
    <n v="39"/>
    <m/>
    <n v="0"/>
    <n v="0"/>
    <n v="145640"/>
    <n v="56511"/>
    <n v="0"/>
    <n v="0"/>
    <n v="55"/>
    <n v="42368"/>
    <n v="229084.0336134454"/>
    <n v="150"/>
    <n v="59"/>
    <n v="43"/>
    <n v="200"/>
    <n v="200"/>
    <n v="0"/>
    <n v="156232"/>
    <n v="62307"/>
    <n v="280139.9999999999"/>
    <n v="0"/>
    <n v="59"/>
    <n v="42368"/>
    <n v="252579.8319327731"/>
    <n v="48"/>
    <n v="16"/>
    <n v="48"/>
    <n v="0"/>
    <n v="0"/>
    <n v="0"/>
    <n v="42368"/>
    <n v="69552"/>
    <n v="0"/>
    <n v="0"/>
    <n v="16"/>
    <n v="42368"/>
    <n v="281949.5798319328"/>
    <n v="40"/>
    <n v="0"/>
    <n v="40"/>
    <n v="0"/>
    <n v="0"/>
    <n v="0"/>
    <n v="0"/>
    <n v="57960"/>
    <n v="0"/>
    <n v="0"/>
    <n v="0"/>
    <n v="0"/>
    <n v="234957.9831932773"/>
    <n v="100"/>
    <n v="0"/>
    <n v="0"/>
    <n v="0"/>
    <n v="0"/>
    <n v="0"/>
    <m/>
    <n v="0"/>
    <n v="0"/>
    <n v="0"/>
    <n v="0"/>
    <n v="0"/>
    <n v="0"/>
    <n v="0"/>
    <n v="60"/>
    <n v="0"/>
    <n v="60"/>
    <n v="0"/>
    <n v="0"/>
    <n v="0"/>
    <n v="86940"/>
    <n v="0"/>
    <n v="0"/>
    <n v="0"/>
    <n v="0"/>
    <n v="343588.2352941177"/>
    <n v="0"/>
    <n v="0"/>
    <n v="0"/>
    <n v="0"/>
    <n v="0"/>
    <n v="0"/>
    <n v="0"/>
    <n v="0"/>
    <n v="0"/>
    <n v="0"/>
    <n v="0"/>
    <n v="36"/>
    <n v="0"/>
    <n v="36"/>
    <n v="0"/>
    <m/>
    <n v="0"/>
    <n v="95328"/>
    <n v="0"/>
    <n v="0"/>
    <n v="0"/>
    <n v="211462.1848739496"/>
  </r>
  <r>
    <s v="Simplit-Cristalería y Bar"/>
    <x v="6"/>
    <x v="24"/>
    <x v="59"/>
    <n v="1660857914743"/>
    <x v="589"/>
    <x v="433"/>
    <x v="0"/>
    <x v="0"/>
    <n v="1.1"/>
    <x v="291"/>
    <n v="20"/>
    <m/>
    <n v="0"/>
    <n v="1252"/>
    <n v="25040"/>
    <n v="1"/>
    <n v="1092.5"/>
    <n v="5873.949579831933"/>
    <n v="5453.781512605042"/>
    <s v="Shenzhen"/>
    <s v="30/70"/>
    <n v="30"/>
    <n v="100"/>
    <n v="7"/>
    <n v="0.5152426540982399"/>
    <n v="0"/>
    <s v=""/>
    <n v="43"/>
    <n v="0.7752002401380794"/>
    <n v="106"/>
    <n v="0.7553642732498462"/>
    <n v="40"/>
    <n v="0.7956486945902285"/>
    <n v="97"/>
    <n v="0.8225629562362473"/>
    <n v="53"/>
    <n v="0.7984354805795524"/>
    <n v="52"/>
    <n v="0.8068663613035116"/>
    <n v="77"/>
    <n v="0.7387919749139953"/>
    <n v="152"/>
    <n v="0.7702433619955162"/>
    <n v="46"/>
    <n v="0.4407769516363011"/>
    <n v="30"/>
    <n v="0.7373883599960742"/>
    <n v="13"/>
    <n v="0.7422033161386767"/>
    <n v="154"/>
    <n v="0.7559267354208001"/>
    <n v="104"/>
    <n v="0.6990889569149608"/>
    <n v="164"/>
    <n v="0.7519438029753857"/>
    <n v="1.171428571428571"/>
    <n v="40"/>
    <n v="0.7518912732474964"/>
    <n v="0.4444444444444444"/>
    <n v="4"/>
    <s v=""/>
    <n v="0.02666666666666667"/>
    <n v="103"/>
    <s v=""/>
    <n v="0.8583333333333333"/>
    <n v="0"/>
    <s v=""/>
    <n v="0"/>
    <m/>
    <m/>
    <m/>
    <m/>
    <m/>
    <m/>
    <m/>
    <m/>
    <m/>
    <m/>
    <m/>
    <m/>
    <n v="60"/>
    <n v="13"/>
    <n v="40"/>
    <n v="200"/>
    <n v="200"/>
    <n v="0"/>
    <n v="469500"/>
    <n v="13455"/>
    <n v="50080"/>
    <n v="0"/>
    <n v="20"/>
    <n v="25040"/>
    <n v="197443.6833556952"/>
    <n v="50"/>
    <n v="182"/>
    <n v="231"/>
    <n v="150"/>
    <n v="100"/>
    <n v="0"/>
    <n v="624748"/>
    <n v="188370"/>
    <n v="289212"/>
    <n v="0"/>
    <n v="20"/>
    <n v="25040"/>
    <n v="1140237.27137914"/>
    <n v="80"/>
    <n v="124"/>
    <n v="104"/>
    <n v="0"/>
    <n v="0"/>
    <n v="438001"/>
    <n v="155248"/>
    <n v="130208"/>
    <n v="0"/>
    <n v="20"/>
    <n v="25040"/>
    <n v="610890.7563025211"/>
    <n v="140"/>
    <n v="224"/>
    <n v="164"/>
    <n v="150"/>
    <n v="0"/>
    <n v="231840"/>
    <n v="205328"/>
    <n v="155250"/>
    <n v="0"/>
    <n v="20"/>
    <n v="25040"/>
    <n v="963327.7310924371"/>
    <n v="90"/>
    <n v="60"/>
    <n v="99.00000000000001"/>
    <m/>
    <n v="0"/>
    <n v="0"/>
    <n v="75120"/>
    <n v="102465"/>
    <n v="0"/>
    <n v="0"/>
    <n v="20"/>
    <n v="25040"/>
    <n v="581521.0084033614"/>
    <n v="150"/>
    <n v="24"/>
    <n v="4"/>
    <m/>
    <n v="0"/>
    <n v="0"/>
    <n v="30048"/>
    <n v="4140"/>
    <n v="0"/>
    <n v="0"/>
    <n v="24"/>
    <n v="25040"/>
    <n v="23495.79831932773"/>
    <n v="120"/>
    <n v="123"/>
    <n v="103"/>
    <n v="100"/>
    <n v="100"/>
    <n v="0"/>
    <n v="153996"/>
    <n v="106605"/>
    <n v="100050"/>
    <n v="0"/>
    <n v="123"/>
    <n v="25040"/>
    <n v="605016.8067226891"/>
    <n v="65"/>
    <n v="20"/>
    <n v="71.5"/>
    <n v="300"/>
    <n v="300"/>
    <n v="0"/>
    <n v="25040"/>
    <n v="74002.5"/>
    <n v="310500"/>
    <n v="0"/>
    <n v="20"/>
    <n v="25040"/>
    <n v="419987.3949579832"/>
    <n v="80"/>
    <n v="0"/>
    <n v="88"/>
    <n v="0"/>
    <n v="0"/>
    <n v="301"/>
    <n v="0"/>
    <n v="91080"/>
    <n v="0"/>
    <n v="311535"/>
    <n v="301"/>
    <n v="311535"/>
    <n v="516907.5630252101"/>
    <n v="140"/>
    <n v="213"/>
    <n v="154"/>
    <n v="300"/>
    <n v="300"/>
    <n v="300"/>
    <n v="0"/>
    <n v="220455"/>
    <n v="159390"/>
    <n v="310500"/>
    <n v="310500"/>
    <n v="513"/>
    <n v="530955"/>
    <n v="839882.3529411764"/>
    <n v="100"/>
    <n v="359"/>
    <n v="110"/>
    <n v="0"/>
    <n v="0"/>
    <n v="371565"/>
    <n v="113850"/>
    <n v="0"/>
    <n v="0"/>
    <n v="359"/>
    <n v="371565"/>
    <n v="629911.7647058824"/>
    <n v="150"/>
    <n v="249"/>
    <n v="165"/>
    <n v="0"/>
    <n v="0"/>
    <n v="257715"/>
    <n v="170775"/>
    <n v="0"/>
    <n v="249"/>
    <n v="257715"/>
    <n v="969201.680672269"/>
    <n v="60"/>
    <n v="84"/>
    <n v="66"/>
    <n v="0"/>
    <m/>
    <n v="86940"/>
    <n v="82632"/>
    <n v="0"/>
    <n v="84"/>
    <n v="86940"/>
    <n v="387680.6722689076"/>
  </r>
  <r>
    <m/>
    <x v="6"/>
    <x v="24"/>
    <x v="59"/>
    <n v="67933854599885"/>
    <x v="590"/>
    <x v="434"/>
    <x v="0"/>
    <x v="5"/>
    <n v="1.2"/>
    <x v="292"/>
    <n v="111"/>
    <m/>
    <n v="0"/>
    <n v="6109"/>
    <n v="678099"/>
    <n v="5.3"/>
    <n v="5790.25"/>
    <n v="10915.96638655462"/>
    <n v="8394.957983193277"/>
    <s v="Shenzhen"/>
    <s v="30/70"/>
    <n v="30"/>
    <n v="100"/>
    <n v="0"/>
    <n v="0.5086925458442486"/>
    <n v="0"/>
    <s v=""/>
    <n v="2"/>
    <s v=""/>
    <n v="4"/>
    <n v="0.4406600671595854"/>
    <n v="3"/>
    <n v="0.5733849932292524"/>
    <n v="43"/>
    <n v="0.6163605296881673"/>
    <n v="12"/>
    <n v="0.5545532689481525"/>
    <n v="16"/>
    <s v=""/>
    <n v="11"/>
    <n v="0.402620572343406"/>
    <n v="32"/>
    <n v="0.389503644320072"/>
    <n v="45"/>
    <n v="0.4584108939538183"/>
    <n v="111"/>
    <n v="0.5225557349155796"/>
    <n v="40"/>
    <n v="0.6703286335607024"/>
    <n v="25"/>
    <n v="0.4208889508090328"/>
    <n v="24"/>
    <n v="0.347348737304575"/>
    <n v="29"/>
    <n v="0.4019416501583996"/>
    <n v="1.16"/>
    <n v="38"/>
    <n v="0.3734002976995019"/>
    <n v="0.95"/>
    <n v="79"/>
    <n v="0.3110911809773478"/>
    <n v="1.58"/>
    <n v="32"/>
    <s v=""/>
    <n v="0.9142857142857143"/>
    <n v="0"/>
    <s v=""/>
    <n v="0"/>
    <m/>
    <m/>
    <m/>
    <m/>
    <m/>
    <m/>
    <m/>
    <m/>
    <m/>
    <m/>
    <m/>
    <m/>
    <n v="50"/>
    <n v="397"/>
    <n v="40"/>
    <n v="0"/>
    <n v="0"/>
    <n v="0"/>
    <n v="620063.5"/>
    <n v="2177743.5"/>
    <n v="244360"/>
    <n v="0"/>
    <n v="111"/>
    <n v="678099"/>
    <n v="366923.239884189"/>
    <n v="50"/>
    <n v="365"/>
    <n v="37.5"/>
    <n v="0"/>
    <n v="0"/>
    <n v="0"/>
    <n v="552864.5"/>
    <n v="2002207.5"/>
    <n v="229087.5"/>
    <n v="0"/>
    <n v="111"/>
    <n v="678099"/>
    <n v="343990.5373914272"/>
    <n v="50"/>
    <n v="362"/>
    <n v="24"/>
    <n v="0"/>
    <n v="0"/>
    <n v="587081"/>
    <n v="2211458"/>
    <n v="146616"/>
    <n v="0"/>
    <n v="111"/>
    <n v="678099"/>
    <n v="261983.1932773109"/>
    <n v="25"/>
    <n v="316"/>
    <n v="29"/>
    <n v="0"/>
    <n v="0"/>
    <n v="1733418"/>
    <n v="177161"/>
    <n v="0"/>
    <n v="0"/>
    <n v="111"/>
    <n v="678099"/>
    <n v="316563.025210084"/>
    <n v="40"/>
    <n v="149"/>
    <n v="48"/>
    <m/>
    <n v="0"/>
    <n v="0"/>
    <n v="910241"/>
    <n v="263304"/>
    <n v="0"/>
    <n v="0"/>
    <n v="111"/>
    <n v="678099"/>
    <n v="523966.3865546219"/>
    <n v="50"/>
    <n v="190"/>
    <n v="79"/>
    <m/>
    <n v="0"/>
    <n v="0"/>
    <n v="1160710"/>
    <n v="433354.5"/>
    <n v="0"/>
    <n v="0"/>
    <n v="190"/>
    <n v="678099"/>
    <n v="862361.3445378152"/>
    <n v="35"/>
    <n v="143"/>
    <n v="32"/>
    <n v="0"/>
    <n v="0"/>
    <n v="0"/>
    <n v="873587"/>
    <n v="175536"/>
    <n v="0"/>
    <n v="0"/>
    <n v="143"/>
    <n v="678099"/>
    <n v="349310.9243697479"/>
    <n v="30"/>
    <n v="111"/>
    <n v="36"/>
    <n v="0"/>
    <n v="0"/>
    <n v="0"/>
    <n v="678099"/>
    <n v="197478"/>
    <n v="0"/>
    <n v="0"/>
    <n v="111"/>
    <n v="678099"/>
    <n v="392974.7899159664"/>
    <n v="30"/>
    <n v="75"/>
    <n v="36"/>
    <n v="0"/>
    <n v="0"/>
    <n v="0"/>
    <n v="411412.5"/>
    <n v="197478"/>
    <n v="0"/>
    <n v="0"/>
    <n v="75"/>
    <n v="411412.5"/>
    <n v="392974.7899159664"/>
    <n v="55"/>
    <n v="39"/>
    <n v="39"/>
    <n v="0"/>
    <n v="0"/>
    <n v="0"/>
    <m/>
    <n v="213934.5"/>
    <n v="213934.5"/>
    <n v="0"/>
    <n v="0"/>
    <n v="39"/>
    <n v="213934.5"/>
    <n v="327403.36134453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6"/>
    <x v="24"/>
    <x v="59"/>
    <n v="67933856404072"/>
    <x v="591"/>
    <x v="435"/>
    <x v="0"/>
    <x v="1"/>
    <n v="1"/>
    <x v="293"/>
    <n v="12"/>
    <m/>
    <n v="0"/>
    <n v="2325"/>
    <n v="27900"/>
    <n v="3.15"/>
    <n v="3441.375"/>
    <n v="8394.957983193277"/>
    <n v="7554.621848739496"/>
    <s v="Shenzhen"/>
    <s v="30/70"/>
    <n v="30"/>
    <n v="100"/>
    <n v="66"/>
    <n v="0.6935855382927451"/>
    <n v="68"/>
    <n v="0.6805483819399006"/>
    <n v="50"/>
    <n v="0.7234328687259161"/>
    <n v="75"/>
    <n v="0.7251198551733686"/>
    <n v="8"/>
    <n v="0.761643868993836"/>
    <n v="113"/>
    <n v="0.7447661371601441"/>
    <n v="76"/>
    <n v="0.7676404039295913"/>
    <n v="68"/>
    <n v="0.7828739877449803"/>
    <n v="55"/>
    <n v="0.7728928402068238"/>
    <n v="89"/>
    <n v="0.730495121979388"/>
    <n v="96"/>
    <n v="0.7158384910072085"/>
    <n v="107"/>
    <n v="0.7518880353585837"/>
    <n v="95"/>
    <n v="0.6546359870744061"/>
    <n v="111"/>
    <n v="0.6046690510400868"/>
    <n v="137"/>
    <n v="0.582225033251819"/>
    <n v="104"/>
    <n v="0.6172962441126152"/>
    <n v="1.04"/>
    <n v="112"/>
    <n v="0.7196098479048265"/>
    <n v="0.896"/>
    <n v="155"/>
    <n v="0.5970952533623027"/>
    <n v="0.6888888888888889"/>
    <n v="0"/>
    <s v=""/>
    <n v="0"/>
    <n v="0"/>
    <s v=""/>
    <n v="0"/>
    <m/>
    <m/>
    <m/>
    <m/>
    <m/>
    <m/>
    <m/>
    <m/>
    <m/>
    <m/>
    <m/>
    <m/>
    <n v="80"/>
    <n v="227"/>
    <n v="120"/>
    <n v="200"/>
    <n v="200"/>
    <n v="0"/>
    <n v="984637.5"/>
    <n v="740076.7499999999"/>
    <n v="279000"/>
    <n v="0"/>
    <n v="12"/>
    <n v="27900"/>
    <n v="846550.3848598263"/>
    <n v="100"/>
    <n v="328"/>
    <n v="166.5"/>
    <n v="200"/>
    <n v="100"/>
    <n v="0"/>
    <n v="947437.5"/>
    <n v="1069362"/>
    <n v="387112.5"/>
    <n v="0"/>
    <n v="12"/>
    <n v="27900"/>
    <n v="1174588.658993009"/>
    <n v="120"/>
    <n v="205"/>
    <n v="137"/>
    <n v="0"/>
    <n v="0"/>
    <n v="967856.25"/>
    <n v="476625"/>
    <n v="318525"/>
    <n v="0"/>
    <n v="12"/>
    <n v="27900"/>
    <n v="1150109.243697479"/>
    <n v="100"/>
    <n v="279"/>
    <n v="104"/>
    <n v="0"/>
    <n v="0"/>
    <n v="909609.7499999999"/>
    <n v="241800"/>
    <n v="0"/>
    <n v="0"/>
    <n v="12"/>
    <n v="27900"/>
    <n v="873075.6302521008"/>
    <n v="125"/>
    <n v="124"/>
    <n v="125"/>
    <m/>
    <n v="0"/>
    <n v="0"/>
    <n v="288300"/>
    <n v="407531.2499999999"/>
    <n v="0"/>
    <n v="0"/>
    <n v="12"/>
    <n v="27900"/>
    <n v="1049369.74789916"/>
    <n v="225"/>
    <n v="167"/>
    <n v="155"/>
    <m/>
    <n v="0"/>
    <n v="0"/>
    <n v="388275"/>
    <n v="505338.7499999999"/>
    <n v="0"/>
    <n v="0"/>
    <n v="167"/>
    <n v="27900"/>
    <n v="1301218.487394958"/>
    <n v="113"/>
    <n v="12"/>
    <n v="0"/>
    <n v="200"/>
    <n v="200"/>
    <n v="0"/>
    <n v="27900"/>
    <n v="0"/>
    <n v="630315"/>
    <n v="0"/>
    <n v="12"/>
    <n v="27900"/>
    <n v="0"/>
    <n v="88"/>
    <n v="12"/>
    <n v="88"/>
    <n v="150"/>
    <n v="150"/>
    <n v="0"/>
    <n v="27900"/>
    <n v="286901.9999999999"/>
    <n v="489037.4999999999"/>
    <n v="0"/>
    <n v="12"/>
    <n v="27900"/>
    <n v="738756.3025210084"/>
    <n v="81"/>
    <n v="0"/>
    <n v="81"/>
    <n v="300"/>
    <n v="300"/>
    <n v="454"/>
    <n v="0"/>
    <n v="264080.2499999999"/>
    <n v="978074.9999999999"/>
    <n v="1480153.5"/>
    <n v="454"/>
    <n v="1480153.5"/>
    <n v="679991.5966386554"/>
    <n v="120"/>
    <n v="373"/>
    <n v="120"/>
    <n v="0"/>
    <n v="0"/>
    <n v="0"/>
    <n v="0"/>
    <n v="1216073.25"/>
    <n v="391229.9999999999"/>
    <n v="0"/>
    <n v="0"/>
    <n v="373"/>
    <n v="1216073.25"/>
    <n v="906554.6218487396"/>
    <n v="80"/>
    <n v="253"/>
    <n v="80"/>
    <n v="0"/>
    <n v="0"/>
    <n v="824843.2499999999"/>
    <n v="260820"/>
    <n v="0"/>
    <n v="0"/>
    <n v="253"/>
    <n v="824843.2499999999"/>
    <n v="634588.2352941177"/>
    <n v="120"/>
    <n v="173"/>
    <n v="120"/>
    <n v="0"/>
    <n v="0"/>
    <n v="564023.2499999999"/>
    <n v="391229.9999999999"/>
    <n v="0"/>
    <n v="173"/>
    <n v="564023.2499999999"/>
    <n v="1007394.957983193"/>
    <n v="48"/>
    <n v="53"/>
    <n v="48"/>
    <n v="0"/>
    <m/>
    <n v="172793.25"/>
    <n v="111600"/>
    <n v="0"/>
    <n v="53"/>
    <n v="172793.25"/>
    <n v="402957.9831932773"/>
  </r>
  <r>
    <m/>
    <x v="6"/>
    <x v="24"/>
    <x v="59"/>
    <n v="67933857637909"/>
    <x v="592"/>
    <x v="436"/>
    <x v="0"/>
    <x v="1"/>
    <n v="1"/>
    <x v="294"/>
    <n v="24"/>
    <m/>
    <n v="0"/>
    <n v="3169"/>
    <n v="76056"/>
    <n v="3.7"/>
    <n v="4042.25"/>
    <n v="12596.63865546219"/>
    <n v="11756.3025210084"/>
    <s v="Shenzhen"/>
    <s v="30/70"/>
    <n v="30"/>
    <n v="100"/>
    <n v="121"/>
    <n v="0.7793434168149909"/>
    <n v="90"/>
    <n v="0.764986830380483"/>
    <n v="94"/>
    <n v="0.7566434689957331"/>
    <n v="147"/>
    <n v="0.7676841423564666"/>
    <n v="71"/>
    <n v="0.7781812337034345"/>
    <n v="232"/>
    <n v="0.7522022497180886"/>
    <n v="61"/>
    <n v="0.7803560512996714"/>
    <n v="19"/>
    <n v="0.806787292992451"/>
    <n v="101"/>
    <n v="0.7878532280341114"/>
    <n v="196"/>
    <n v="0.7251442463926845"/>
    <n v="177"/>
    <n v="0.8065035031662777"/>
    <n v="209"/>
    <n v="0.768945063920348"/>
    <n v="217"/>
    <n v="0.6405523554765733"/>
    <n v="175"/>
    <n v="0.6094102403980097"/>
    <n v="156"/>
    <n v="0.5839481770620188"/>
    <n v="119"/>
    <n v="0.5560975514118327"/>
    <n v="0.7933333333333333"/>
    <n v="171"/>
    <n v="0.7344983284649763"/>
    <n v="1.315384615384615"/>
    <n v="264"/>
    <n v="0.6253152170988837"/>
    <n v="1.147826086956522"/>
    <n v="0"/>
    <s v=""/>
    <n v="0"/>
    <n v="0"/>
    <s v=""/>
    <n v="0"/>
    <m/>
    <m/>
    <m/>
    <m/>
    <m/>
    <m/>
    <m/>
    <m/>
    <m/>
    <m/>
    <m/>
    <m/>
    <n v="120"/>
    <n v="411"/>
    <n v="250"/>
    <n v="200"/>
    <n v="200"/>
    <n v="0"/>
    <n v="2118476.5"/>
    <n v="1573924.5"/>
    <n v="792250"/>
    <n v="0"/>
    <n v="24"/>
    <n v="76056"/>
    <n v="2646352.658710544"/>
    <n v="180"/>
    <n v="345"/>
    <n v="262.5"/>
    <n v="350"/>
    <n v="100"/>
    <n v="0"/>
    <n v="1703337.5"/>
    <n v="1321177.5"/>
    <n v="831862.5"/>
    <n v="0"/>
    <n v="24"/>
    <n v="76056"/>
    <n v="2778670.291646071"/>
    <n v="183"/>
    <n v="102"/>
    <n v="156"/>
    <n v="0"/>
    <n v="0"/>
    <n v="1369310"/>
    <n v="323238"/>
    <n v="494364"/>
    <n v="0"/>
    <n v="24"/>
    <n v="76056"/>
    <n v="1965075.630252101"/>
    <n v="150"/>
    <n v="301"/>
    <n v="119"/>
    <n v="0"/>
    <n v="0"/>
    <n v="1152679.5"/>
    <n v="377111"/>
    <n v="0"/>
    <n v="0"/>
    <n v="24"/>
    <n v="76056"/>
    <n v="1499000"/>
    <n v="130"/>
    <n v="195"/>
    <n v="130"/>
    <m/>
    <n v="0"/>
    <n v="0"/>
    <n v="617955"/>
    <n v="497834.9999999999"/>
    <n v="0"/>
    <n v="0"/>
    <n v="24"/>
    <n v="76056"/>
    <n v="1637563.025210084"/>
    <n v="230"/>
    <n v="288"/>
    <n v="264"/>
    <m/>
    <n v="0"/>
    <n v="0"/>
    <n v="912672"/>
    <n v="1010988"/>
    <n v="0"/>
    <n v="0"/>
    <n v="288"/>
    <n v="76056"/>
    <n v="3325512.605042017"/>
    <n v="120"/>
    <n v="24"/>
    <n v="0"/>
    <n v="300"/>
    <n v="300"/>
    <n v="0"/>
    <n v="76056"/>
    <n v="0"/>
    <n v="1110555"/>
    <n v="0"/>
    <n v="24"/>
    <n v="76056"/>
    <n v="0"/>
    <n v="81"/>
    <n v="24"/>
    <n v="81"/>
    <n v="200"/>
    <n v="200"/>
    <n v="0"/>
    <n v="76056"/>
    <n v="310189.4999999999"/>
    <n v="765899.9999999999"/>
    <n v="0"/>
    <n v="24"/>
    <n v="76056"/>
    <n v="1020327.731092437"/>
    <n v="100"/>
    <n v="0"/>
    <n v="100"/>
    <n v="300"/>
    <n v="300"/>
    <n v="503"/>
    <n v="0"/>
    <n v="382949.9999999999"/>
    <n v="1148850"/>
    <n v="1926238.5"/>
    <n v="503"/>
    <n v="1926238.5"/>
    <n v="1259663.865546219"/>
    <n v="200"/>
    <n v="403"/>
    <n v="200"/>
    <n v="0"/>
    <n v="0"/>
    <n v="0"/>
    <n v="0"/>
    <n v="1543288.5"/>
    <n v="765899.9999999999"/>
    <n v="0"/>
    <n v="0"/>
    <n v="403"/>
    <n v="1543288.5"/>
    <n v="2351260.504201681"/>
    <n v="150"/>
    <n v="203"/>
    <n v="150"/>
    <n v="300"/>
    <n v="300"/>
    <n v="777388.4999999999"/>
    <n v="574424.9999999999"/>
    <n v="1148850"/>
    <n v="1148850"/>
    <n v="503"/>
    <n v="1926238.5"/>
    <n v="1851617.647058824"/>
    <n v="180"/>
    <n v="353"/>
    <n v="180"/>
    <n v="0"/>
    <n v="0"/>
    <n v="1351813.5"/>
    <n v="689309.9999999999"/>
    <n v="0"/>
    <n v="353"/>
    <n v="1351813.5"/>
    <n v="2267394.957983193"/>
    <n v="90"/>
    <n v="173"/>
    <n v="90"/>
    <n v="0"/>
    <m/>
    <n v="662503.4999999999"/>
    <n v="285210"/>
    <n v="0"/>
    <n v="173"/>
    <n v="662503.4999999999"/>
    <n v="1133697.478991597"/>
  </r>
  <r>
    <s v="Simplit-Cristalería y Bar"/>
    <x v="6"/>
    <x v="24"/>
    <x v="59"/>
    <n v="67933859111971"/>
    <x v="593"/>
    <x v="437"/>
    <x v="0"/>
    <x v="0"/>
    <n v="1"/>
    <x v="295"/>
    <n v="66"/>
    <m/>
    <n v="0"/>
    <n v="3772"/>
    <n v="248952"/>
    <n v="3.6"/>
    <n v="3932.999999999999"/>
    <n v="9235.294117647059"/>
    <n v="8394.957983193277"/>
    <s v="Shenzhen"/>
    <s v="30/70"/>
    <n v="30"/>
    <n v="100"/>
    <n v="170"/>
    <n v="0.5581573037966696"/>
    <n v="44"/>
    <n v="0.5336598338093717"/>
    <n v="75"/>
    <n v="0.5052057203914999"/>
    <n v="43"/>
    <n v="0.5513279194957795"/>
    <n v="36"/>
    <n v="0.5669298099105354"/>
    <n v="103"/>
    <n v="0.5326810105352402"/>
    <n v="48"/>
    <n v="0.5853942024137192"/>
    <n v="30"/>
    <n v="0.5935495336691935"/>
    <n v="32"/>
    <n v="0.6173512421042692"/>
    <n v="68"/>
    <n v="0.5657319064702894"/>
    <n v="46"/>
    <n v="0.592952329467211"/>
    <n v="58"/>
    <n v="0.6203504755956716"/>
    <n v="43"/>
    <n v="0.4051871443305256"/>
    <n v="28"/>
    <n v="0.4321172696879506"/>
    <n v="53"/>
    <n v="0.4494746676781861"/>
    <n v="56"/>
    <n v="0.4413651770686844"/>
    <n v="1.12"/>
    <n v="68"/>
    <n v="0.6005864222464732"/>
    <n v="1.7"/>
    <n v="38"/>
    <n v="0.4314017650586924"/>
    <n v="0.4086021505376344"/>
    <n v="4"/>
    <s v=""/>
    <n v="0.08888888888888889"/>
    <n v="0"/>
    <s v=""/>
    <n v="0"/>
    <m/>
    <m/>
    <m/>
    <m/>
    <m/>
    <m/>
    <m/>
    <m/>
    <m/>
    <m/>
    <m/>
    <m/>
    <n v="100"/>
    <n v="148"/>
    <n v="30"/>
    <n v="200"/>
    <n v="200"/>
    <n v="0"/>
    <n v="471500"/>
    <n v="551447.9999999999"/>
    <n v="113160"/>
    <n v="0"/>
    <n v="66"/>
    <n v="248952"/>
    <n v="232822.5407810183"/>
    <n v="60"/>
    <n v="319"/>
    <n v="42"/>
    <n v="100"/>
    <n v="100"/>
    <n v="0"/>
    <n v="569572"/>
    <n v="1188594"/>
    <n v="158424"/>
    <n v="0"/>
    <n v="66"/>
    <n v="248952"/>
    <n v="325951.5570934257"/>
    <n v="80"/>
    <n v="288"/>
    <n v="53"/>
    <n v="0"/>
    <n v="0"/>
    <n v="560188"/>
    <n v="1086336"/>
    <n v="199916"/>
    <n v="0"/>
    <n v="66"/>
    <n v="248952"/>
    <n v="489470.5882352942"/>
    <n v="50"/>
    <n v="338"/>
    <n v="56"/>
    <n v="0"/>
    <n v="0"/>
    <n v="1259388"/>
    <n v="211232"/>
    <n v="0"/>
    <n v="0"/>
    <n v="66"/>
    <n v="248952"/>
    <n v="517176.4705882353"/>
    <n v="40"/>
    <n v="134"/>
    <n v="40"/>
    <m/>
    <n v="0"/>
    <n v="0"/>
    <n v="505448"/>
    <n v="149040"/>
    <n v="0"/>
    <n v="0"/>
    <n v="66"/>
    <n v="248952"/>
    <n v="369411.7647058824"/>
    <n v="93"/>
    <n v="104"/>
    <n v="38"/>
    <m/>
    <n v="0"/>
    <n v="0"/>
    <n v="392288"/>
    <n v="141588"/>
    <n v="0"/>
    <n v="0"/>
    <n v="104"/>
    <n v="248952"/>
    <n v="350941.1764705883"/>
    <n v="45"/>
    <n v="70"/>
    <n v="4"/>
    <n v="0"/>
    <n v="0"/>
    <n v="0"/>
    <n v="264040"/>
    <n v="14904"/>
    <n v="0"/>
    <n v="0"/>
    <n v="70"/>
    <n v="248952"/>
    <n v="36941.17647058824"/>
    <n v="30"/>
    <n v="66"/>
    <n v="30"/>
    <n v="0"/>
    <n v="0"/>
    <n v="0"/>
    <n v="248952"/>
    <n v="111780"/>
    <n v="0"/>
    <n v="0"/>
    <n v="66"/>
    <n v="248952"/>
    <n v="277058.8235294118"/>
    <n v="40"/>
    <n v="36"/>
    <n v="40"/>
    <n v="100"/>
    <n v="100"/>
    <n v="104"/>
    <n v="134136"/>
    <n v="149040"/>
    <n v="372599.9999999999"/>
    <n v="387503.9999999999"/>
    <n v="140"/>
    <n v="521639.9999999999"/>
    <n v="369411.7647058824"/>
    <n v="70"/>
    <n v="100"/>
    <n v="70"/>
    <n v="0"/>
    <n v="0"/>
    <n v="0"/>
    <n v="0"/>
    <n v="372599.9999999999"/>
    <n v="260819.9999999999"/>
    <n v="0"/>
    <n v="0"/>
    <n v="100"/>
    <n v="372599.9999999999"/>
    <n v="587647.0588235294"/>
    <n v="40"/>
    <n v="30"/>
    <n v="40"/>
    <n v="150"/>
    <n v="150"/>
    <n v="111780"/>
    <n v="149040"/>
    <n v="558899.9999999999"/>
    <n v="558899.9999999999"/>
    <n v="180"/>
    <n v="670679.9999999999"/>
    <n v="352588.2352941177"/>
    <n v="50"/>
    <n v="140"/>
    <n v="50"/>
    <n v="0"/>
    <n v="0"/>
    <n v="521639.9999999999"/>
    <n v="186299.9999999999"/>
    <n v="0"/>
    <n v="140"/>
    <n v="521639.9999999999"/>
    <n v="461764.705882353"/>
    <n v="24"/>
    <n v="90"/>
    <n v="24"/>
    <n v="0"/>
    <m/>
    <n v="335339.9999999999"/>
    <n v="90528"/>
    <n v="0"/>
    <n v="90"/>
    <n v="335339.9999999999"/>
    <n v="221647.0588235294"/>
  </r>
  <r>
    <m/>
    <x v="6"/>
    <x v="24"/>
    <x v="59"/>
    <n v="67933860407346"/>
    <x v="594"/>
    <x v="438"/>
    <x v="0"/>
    <x v="0"/>
    <n v="0.9"/>
    <x v="296"/>
    <n v="320"/>
    <m/>
    <n v="0"/>
    <n v="3071"/>
    <n v="982720"/>
    <n v="2.4"/>
    <n v="2622"/>
    <n v="6714.285714285715"/>
    <n v="5873.949579831933"/>
    <s v="Shenzhen"/>
    <s v="30/70"/>
    <n v="30"/>
    <n v="100"/>
    <n v="37"/>
    <n v="0.6663326734829171"/>
    <n v="91"/>
    <n v="0.6541357472899636"/>
    <n v="47"/>
    <n v="0.6457581244869376"/>
    <n v="23"/>
    <n v="0.5656451796899848"/>
    <n v="11"/>
    <n v="0.5345724722311955"/>
    <n v="49"/>
    <n v="0.530058824257419"/>
    <n v="42"/>
    <n v="0.5643151916332269"/>
    <n v="39"/>
    <n v="0.5357572974953521"/>
    <n v="51"/>
    <n v="0.5417565351530244"/>
    <n v="27"/>
    <n v="0.554252837869887"/>
    <n v="13"/>
    <n v="0.6254390382762548"/>
    <n v="10"/>
    <n v="0.6071644082176458"/>
    <n v="26"/>
    <n v="0.5881842664901671"/>
    <n v="16"/>
    <n v="0.5794735117960472"/>
    <n v="34"/>
    <n v="0.5958954435612227"/>
    <n v="25"/>
    <n v="0.6106564987039337"/>
    <n v="0.625"/>
    <n v="22"/>
    <n v="0.550154903409218"/>
    <n v="0.88"/>
    <n v="34"/>
    <n v="0.5559492743008208"/>
    <n v="0.6181818181818182"/>
    <n v="3"/>
    <s v=""/>
    <n v="0.06666666666666667"/>
    <n v="0"/>
    <s v=""/>
    <n v="0"/>
    <m/>
    <m/>
    <m/>
    <m/>
    <m/>
    <m/>
    <m/>
    <m/>
    <m/>
    <m/>
    <m/>
    <m/>
    <n v="50"/>
    <n v="241"/>
    <n v="20"/>
    <n v="150"/>
    <n v="150"/>
    <n v="0"/>
    <n v="239538"/>
    <n v="598644"/>
    <n v="61420"/>
    <n v="0"/>
    <n v="320"/>
    <n v="982720"/>
    <n v="112845.1380552221"/>
    <n v="40"/>
    <n v="366"/>
    <n v="24"/>
    <n v="100"/>
    <n v="100"/>
    <n v="0"/>
    <n v="254893"/>
    <n v="909144"/>
    <n v="73704"/>
    <n v="0"/>
    <n v="320"/>
    <n v="982720"/>
    <n v="135414.1656662665"/>
    <n v="50"/>
    <n v="456"/>
    <n v="34"/>
    <n v="0"/>
    <n v="0"/>
    <n v="237079"/>
    <n v="1400376"/>
    <n v="104414"/>
    <n v="0"/>
    <n v="320"/>
    <n v="982720"/>
    <n v="228285.7142857143"/>
    <n v="40"/>
    <n v="420"/>
    <n v="25"/>
    <n v="0"/>
    <n v="0"/>
    <n v="1043280"/>
    <n v="76775"/>
    <n v="0"/>
    <n v="0"/>
    <n v="320"/>
    <n v="982720"/>
    <n v="167857.1428571429"/>
    <n v="25"/>
    <n v="342"/>
    <n v="22.5"/>
    <m/>
    <n v="0"/>
    <n v="0"/>
    <n v="1050282"/>
    <n v="55890"/>
    <n v="0"/>
    <n v="0"/>
    <n v="320"/>
    <n v="982720"/>
    <n v="151071.4285714286"/>
    <n v="55"/>
    <n v="354"/>
    <n v="34"/>
    <m/>
    <n v="0"/>
    <n v="0"/>
    <n v="1087134"/>
    <n v="84456"/>
    <n v="0"/>
    <n v="0"/>
    <n v="354"/>
    <n v="982720"/>
    <n v="228285.7142857143"/>
    <n v="45"/>
    <n v="323"/>
    <n v="3"/>
    <n v="0"/>
    <n v="0"/>
    <n v="0"/>
    <n v="991933"/>
    <n v="7452"/>
    <n v="0"/>
    <n v="0"/>
    <n v="323"/>
    <n v="982720"/>
    <n v="20142.85714285714"/>
    <n v="39"/>
    <n v="320"/>
    <n v="35.1"/>
    <n v="0"/>
    <n v="0"/>
    <n v="0"/>
    <n v="982720"/>
    <n v="87188.40000000001"/>
    <n v="0"/>
    <n v="0"/>
    <n v="320"/>
    <n v="982720"/>
    <n v="235671.4285714286"/>
    <n v="50"/>
    <n v="284.9"/>
    <n v="45"/>
    <n v="0"/>
    <n v="0"/>
    <n v="0"/>
    <n v="707691.6"/>
    <n v="111780"/>
    <n v="0"/>
    <n v="0"/>
    <n v="284.9"/>
    <n v="707691.6"/>
    <n v="302142.8571428572"/>
    <n v="45"/>
    <n v="239.9"/>
    <n v="40.5"/>
    <n v="0"/>
    <n v="0"/>
    <n v="0"/>
    <m/>
    <n v="595911.6"/>
    <n v="100602"/>
    <n v="0"/>
    <n v="0"/>
    <n v="239.9"/>
    <n v="595911.6"/>
    <n v="237894.9579831933"/>
    <n v="40"/>
    <n v="199.4"/>
    <n v="36"/>
    <n v="0"/>
    <n v="0"/>
    <n v="495309.5999999999"/>
    <n v="89424"/>
    <n v="0"/>
    <n v="0"/>
    <n v="199.4"/>
    <n v="495309.5999999999"/>
    <n v="222035.2941176471"/>
    <n v="45"/>
    <n v="163.4"/>
    <n v="40.5"/>
    <n v="0"/>
    <n v="0"/>
    <n v="405885.5999999999"/>
    <n v="100602"/>
    <n v="0"/>
    <n v="163.4"/>
    <n v="405885.5999999999"/>
    <n v="271928.5714285714"/>
    <n v="24"/>
    <n v="122.9"/>
    <n v="21.6"/>
    <n v="0"/>
    <m/>
    <n v="305283.5999999999"/>
    <n v="66333.60000000001"/>
    <n v="0"/>
    <n v="122.9"/>
    <n v="305283.5999999999"/>
    <n v="145028.5714285714"/>
  </r>
  <r>
    <s v="Simplit-Cristalería y Bar"/>
    <x v="6"/>
    <x v="24"/>
    <x v="59"/>
    <n v="67933861722733"/>
    <x v="595"/>
    <x v="439"/>
    <x v="0"/>
    <x v="2"/>
    <n v="0.7"/>
    <x v="3"/>
    <n v="112"/>
    <m/>
    <n v="0"/>
    <n v="3566"/>
    <n v="399392"/>
    <n v="2.7"/>
    <n v="2949.75"/>
    <n v="6714.285714285715"/>
    <n v="5873.949579831933"/>
    <s v="Shenzhen"/>
    <s v="30/70"/>
    <n v="30"/>
    <n v="100"/>
    <n v="15"/>
    <n v="0.6460698501062609"/>
    <n v="16"/>
    <n v="0.5791545354118079"/>
    <n v="84"/>
    <n v="0.6122854334332329"/>
    <n v="14"/>
    <n v="0.4460959944207603"/>
    <n v="42"/>
    <n v="0.5034374338237519"/>
    <n v="29"/>
    <n v="0.5503796610747262"/>
    <n v="9"/>
    <n v="0.5757138445845991"/>
    <n v="10"/>
    <n v="0.590611445198836"/>
    <n v="24"/>
    <n v="0.5416217781375759"/>
    <n v="43"/>
    <n v="0.5104948245672424"/>
    <n v="23"/>
    <n v="0.5208674436569639"/>
    <n v="36"/>
    <n v="0.4294115440229683"/>
    <n v="14"/>
    <n v="0.5305340004235984"/>
    <n v="12"/>
    <n v="0.459579747194358"/>
    <n v="14"/>
    <n v="0.3842715875600083"/>
    <n v="11"/>
    <n v="0.4134013058308446"/>
    <n v="0.44"/>
    <n v="7"/>
    <n v="0.3238905830412817"/>
    <n v="0.175"/>
    <n v="13"/>
    <n v="0.3761458283528568"/>
    <n v="0.4333333333333333"/>
    <n v="0"/>
    <s v=""/>
    <n v="0"/>
    <n v="0"/>
    <s v=""/>
    <n v="0"/>
    <m/>
    <m/>
    <m/>
    <m/>
    <m/>
    <m/>
    <m/>
    <m/>
    <m/>
    <m/>
    <m/>
    <m/>
    <n v="20"/>
    <n v="199"/>
    <n v="20"/>
    <n v="0"/>
    <n v="0"/>
    <n v="0"/>
    <n v="185432"/>
    <n v="556105.5"/>
    <n v="71320"/>
    <n v="0"/>
    <n v="112"/>
    <n v="399392"/>
    <n v="112845.1380552221"/>
    <n v="20"/>
    <n v="189"/>
    <n v="18"/>
    <n v="0"/>
    <n v="0"/>
    <n v="0"/>
    <n v="153338"/>
    <n v="528160.5"/>
    <n v="64188"/>
    <n v="0"/>
    <n v="112"/>
    <n v="399392"/>
    <n v="101560.6242496999"/>
    <n v="40"/>
    <n v="177"/>
    <n v="14"/>
    <n v="0"/>
    <n v="0"/>
    <n v="167396"/>
    <n v="631182"/>
    <n v="49924"/>
    <n v="0"/>
    <n v="112"/>
    <n v="399392"/>
    <n v="94000"/>
    <n v="25"/>
    <n v="163"/>
    <n v="11"/>
    <n v="0"/>
    <n v="0"/>
    <n v="455503.5"/>
    <n v="39226"/>
    <n v="0"/>
    <n v="0"/>
    <n v="112"/>
    <n v="399392"/>
    <n v="73857.14285714286"/>
    <n v="40"/>
    <n v="119"/>
    <n v="28"/>
    <m/>
    <n v="0"/>
    <n v="0"/>
    <n v="424354"/>
    <n v="78246"/>
    <n v="0"/>
    <n v="0"/>
    <n v="112"/>
    <n v="399392"/>
    <n v="188000"/>
    <n v="30"/>
    <n v="125"/>
    <n v="13"/>
    <m/>
    <n v="0"/>
    <n v="0"/>
    <n v="445750"/>
    <n v="36328.5"/>
    <n v="0"/>
    <n v="0"/>
    <n v="125"/>
    <n v="399392"/>
    <n v="87285.71428571429"/>
    <n v="20"/>
    <n v="112"/>
    <n v="0"/>
    <n v="0"/>
    <n v="0"/>
    <n v="0"/>
    <n v="399392"/>
    <n v="0"/>
    <n v="0"/>
    <n v="0"/>
    <n v="112"/>
    <n v="399392"/>
    <n v="0"/>
    <n v="24"/>
    <n v="112"/>
    <n v="16.8"/>
    <n v="0"/>
    <n v="0"/>
    <n v="0"/>
    <n v="399392"/>
    <n v="46947.59999999999"/>
    <n v="0"/>
    <n v="0"/>
    <n v="112"/>
    <n v="399392"/>
    <n v="112800"/>
    <n v="24"/>
    <n v="95.2"/>
    <n v="16.8"/>
    <n v="0"/>
    <n v="0"/>
    <n v="0"/>
    <n v="266036.4"/>
    <n v="46947.59999999999"/>
    <n v="0"/>
    <n v="0"/>
    <n v="95.2"/>
    <n v="266036.4"/>
    <n v="112800"/>
    <n v="45"/>
    <n v="78.40000000000001"/>
    <n v="31.5"/>
    <n v="0"/>
    <n v="0"/>
    <n v="0"/>
    <m/>
    <n v="219088.8"/>
    <n v="88026.74999999999"/>
    <n v="0"/>
    <n v="0"/>
    <n v="78.40000000000001"/>
    <n v="219088.8"/>
    <n v="185029.4117647059"/>
    <n v="30"/>
    <n v="46.90000000000001"/>
    <n v="21"/>
    <n v="0"/>
    <n v="0"/>
    <n v="131062.05"/>
    <n v="58684.5"/>
    <n v="0"/>
    <n v="0"/>
    <n v="46.90000000000001"/>
    <n v="131062.05"/>
    <n v="129520.5882352941"/>
    <n v="40"/>
    <n v="25.90000000000001"/>
    <n v="28"/>
    <n v="0"/>
    <n v="0"/>
    <n v="72377.55000000002"/>
    <n v="78246"/>
    <n v="0"/>
    <n v="25.90000000000001"/>
    <n v="72377.55000000002"/>
    <n v="188000"/>
    <n v="18"/>
    <n v="0"/>
    <n v="12.6"/>
    <n v="0"/>
    <m/>
    <n v="0"/>
    <n v="44931.6"/>
    <n v="0"/>
    <n v="0"/>
    <n v="0"/>
    <n v="84600"/>
  </r>
  <r>
    <m/>
    <x v="6"/>
    <x v="24"/>
    <x v="59"/>
    <n v="67933863068841"/>
    <x v="596"/>
    <x v="440"/>
    <x v="0"/>
    <x v="3"/>
    <n v="1"/>
    <x v="297"/>
    <n v="103"/>
    <m/>
    <n v="0"/>
    <n v="4302"/>
    <n v="443106"/>
    <n v="3.95"/>
    <n v="4315.375"/>
    <n v="9235.294117647059"/>
    <n v="8394.957983193277"/>
    <s v="Shenzhen"/>
    <s v="30/70"/>
    <n v="30"/>
    <n v="100"/>
    <n v="97"/>
    <n v="0.4856001070502316"/>
    <n v="40"/>
    <n v="0.4748868520959663"/>
    <n v="58"/>
    <n v="0.4757688063771248"/>
    <n v="33"/>
    <n v="0.5167893367044799"/>
    <n v="29"/>
    <n v="0.5781143697534645"/>
    <n v="74"/>
    <n v="0.5212394663270368"/>
    <n v="39"/>
    <n v="0.5246671625849938"/>
    <n v="18"/>
    <n v="0.5555941305560296"/>
    <n v="30"/>
    <n v="0.5533248390285046"/>
    <n v="63"/>
    <n v="0.5021993783965355"/>
    <n v="49"/>
    <n v="0.5037626449879065"/>
    <n v="69"/>
    <n v="0.5044413213793713"/>
    <n v="37"/>
    <n v="0.3870451541726238"/>
    <n v="32"/>
    <n v="0.3823765783006849"/>
    <n v="29"/>
    <n v="0.3937264314959573"/>
    <n v="57"/>
    <n v="0.466104668399774"/>
    <n v="0.95"/>
    <n v="24"/>
    <n v="0.5043249207284111"/>
    <n v="0.6"/>
    <n v="34"/>
    <n v="0.4113579432909008"/>
    <n v="0.425"/>
    <n v="0"/>
    <s v=""/>
    <n v="0"/>
    <n v="0"/>
    <s v=""/>
    <n v="0"/>
    <m/>
    <m/>
    <m/>
    <m/>
    <m/>
    <m/>
    <m/>
    <m/>
    <m/>
    <m/>
    <m/>
    <m/>
    <n v="65"/>
    <n v="77"/>
    <n v="20"/>
    <n v="120"/>
    <n v="120"/>
    <n v="0"/>
    <n v="417294"/>
    <n v="314795.2499999999"/>
    <n v="86040"/>
    <n v="0"/>
    <n v="103"/>
    <n v="443106"/>
    <n v="155215.0271873455"/>
    <n v="40"/>
    <n v="159"/>
    <n v="48"/>
    <n v="0"/>
    <n v="0"/>
    <n v="0"/>
    <n v="576468"/>
    <n v="650031.7499999999"/>
    <n v="206496"/>
    <n v="0"/>
    <n v="103"/>
    <n v="443106"/>
    <n v="372516.0652496293"/>
    <n v="60"/>
    <n v="128"/>
    <n v="29"/>
    <n v="0"/>
    <n v="0"/>
    <n v="533502"/>
    <n v="550656"/>
    <n v="124758"/>
    <n v="0"/>
    <n v="103"/>
    <n v="443106"/>
    <n v="267823.5294117647"/>
    <n v="60"/>
    <n v="250"/>
    <n v="57"/>
    <n v="150"/>
    <n v="0"/>
    <n v="1022062.5"/>
    <n v="245214"/>
    <n v="613237.4999999999"/>
    <n v="0"/>
    <n v="103"/>
    <n v="443106"/>
    <n v="526411.7647058824"/>
    <n v="40"/>
    <n v="127"/>
    <n v="40"/>
    <m/>
    <n v="0"/>
    <n v="0"/>
    <n v="546354"/>
    <n v="163530"/>
    <n v="0"/>
    <n v="0"/>
    <n v="103"/>
    <n v="443106"/>
    <n v="369411.7647058824"/>
    <n v="80"/>
    <n v="137"/>
    <n v="34"/>
    <m/>
    <n v="0"/>
    <n v="0"/>
    <n v="589374"/>
    <n v="139000.5"/>
    <n v="0"/>
    <n v="0"/>
    <n v="137"/>
    <n v="443106"/>
    <n v="314000"/>
    <n v="40"/>
    <n v="103"/>
    <n v="0"/>
    <n v="0"/>
    <n v="0"/>
    <n v="0"/>
    <n v="443106"/>
    <n v="0"/>
    <n v="0"/>
    <n v="0"/>
    <n v="103"/>
    <n v="443106"/>
    <n v="0"/>
    <n v="34"/>
    <n v="103"/>
    <n v="34"/>
    <n v="0"/>
    <n v="0"/>
    <n v="0"/>
    <n v="443106"/>
    <n v="139000.5"/>
    <n v="0"/>
    <n v="0"/>
    <n v="103"/>
    <n v="443106"/>
    <n v="314000"/>
    <n v="30"/>
    <n v="69"/>
    <n v="30"/>
    <n v="200"/>
    <n v="200"/>
    <n v="200"/>
    <n v="282089.2499999999"/>
    <n v="122647.5"/>
    <n v="817649.9999999999"/>
    <n v="817649.9999999999"/>
    <n v="269"/>
    <n v="1099739.25"/>
    <n v="277058.8235294118"/>
    <n v="65"/>
    <n v="239"/>
    <n v="65"/>
    <n v="0"/>
    <n v="0"/>
    <n v="0"/>
    <n v="0"/>
    <n v="977091.7499999999"/>
    <n v="265736.2499999999"/>
    <n v="0"/>
    <n v="0"/>
    <n v="239"/>
    <n v="977091.7499999999"/>
    <n v="545672.2689075629"/>
    <n v="40"/>
    <n v="174"/>
    <n v="40"/>
    <n v="0"/>
    <n v="0"/>
    <n v="711355.4999999999"/>
    <n v="163530"/>
    <n v="0"/>
    <n v="0"/>
    <n v="174"/>
    <n v="711355.4999999999"/>
    <n v="352588.2352941177"/>
    <n v="65"/>
    <n v="134"/>
    <n v="65"/>
    <n v="0"/>
    <n v="0"/>
    <n v="547825.4999999999"/>
    <n v="265736.2499999999"/>
    <n v="0"/>
    <n v="134"/>
    <n v="547825.4999999999"/>
    <n v="600294.1176470589"/>
    <n v="24"/>
    <n v="69"/>
    <n v="24"/>
    <n v="0"/>
    <m/>
    <n v="282089.2499999999"/>
    <n v="103248"/>
    <n v="0"/>
    <n v="69"/>
    <n v="282089.2499999999"/>
    <n v="221647.0588235294"/>
  </r>
  <r>
    <m/>
    <x v="6"/>
    <x v="24"/>
    <x v="59"/>
    <s v="SIMCOPESPMON"/>
    <x v="597"/>
    <x v="441"/>
    <x v="0"/>
    <x v="3"/>
    <n v="1"/>
    <x v="298"/>
    <n v="274"/>
    <m/>
    <n v="0"/>
    <n v="6366"/>
    <n v="1744284"/>
    <n v="5.66"/>
    <n v="6183.549999999999"/>
    <n v="15117.64705882353"/>
    <n v="10915.96638655462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2"/>
    <n v="0.5221863964378934"/>
    <n v="37"/>
    <n v="0.5819291529402825"/>
    <n v="25"/>
    <n v="0.4196225236811554"/>
    <n v="33"/>
    <n v="0.4236735009422484"/>
    <n v="42"/>
    <n v="0.452388054979028"/>
    <n v="36"/>
    <n v="0.4717383174562797"/>
    <n v="0.72"/>
    <n v="38"/>
    <n v="0.5444834279726775"/>
    <n v="1.266666666666667"/>
    <n v="44"/>
    <n v="0.358022331385092"/>
    <n v="0.8"/>
    <n v="36"/>
    <n v="0.4818684661570266"/>
    <n v="0.72"/>
    <n v="14"/>
    <n v="0.3864622717890102"/>
    <n v="0.358974358974359"/>
    <m/>
    <m/>
    <m/>
    <m/>
    <m/>
    <m/>
    <m/>
    <m/>
    <m/>
    <m/>
    <m/>
    <m/>
    <n v="40"/>
    <n v="242"/>
    <n v="30"/>
    <n v="300"/>
    <n v="200"/>
    <n v="0"/>
    <n v="773469"/>
    <n v="1417660.2"/>
    <n v="190980"/>
    <n v="0"/>
    <n v="274"/>
    <n v="1744284"/>
    <n v="381117.1527434504"/>
    <n v="30"/>
    <n v="522"/>
    <n v="49.5"/>
    <n v="0"/>
    <n v="0"/>
    <n v="0"/>
    <n v="811665"/>
    <n v="3057928.2"/>
    <n v="315117"/>
    <n v="0"/>
    <n v="274"/>
    <n v="1744284"/>
    <n v="628843.3020266931"/>
    <n v="50"/>
    <n v="459"/>
    <n v="42"/>
    <n v="0"/>
    <n v="0"/>
    <n v="672291"/>
    <n v="2921994"/>
    <n v="267372"/>
    <n v="0"/>
    <n v="274"/>
    <n v="1744284"/>
    <n v="634941.1764705882"/>
    <n v="50"/>
    <n v="446"/>
    <n v="36"/>
    <n v="0"/>
    <n v="0"/>
    <n v="2612712.6"/>
    <n v="229176"/>
    <n v="0"/>
    <n v="0"/>
    <n v="274"/>
    <n v="1744284"/>
    <n v="544235.2941176471"/>
    <n v="30"/>
    <n v="312"/>
    <n v="30"/>
    <m/>
    <n v="0"/>
    <n v="0"/>
    <n v="1986192"/>
    <n v="175743"/>
    <n v="0"/>
    <n v="0"/>
    <n v="274"/>
    <n v="1744284"/>
    <n v="453529.4117647059"/>
    <n v="55"/>
    <n v="318"/>
    <n v="44"/>
    <m/>
    <n v="0"/>
    <n v="0"/>
    <n v="2024388"/>
    <n v="257756.4"/>
    <n v="0"/>
    <n v="0"/>
    <n v="318"/>
    <n v="1744284"/>
    <n v="665176.4705882353"/>
    <n v="50"/>
    <n v="310"/>
    <n v="36"/>
    <n v="0"/>
    <n v="0"/>
    <n v="0"/>
    <n v="1973460"/>
    <n v="210891.6"/>
    <n v="0"/>
    <n v="0"/>
    <n v="310"/>
    <n v="1744284"/>
    <n v="544235.2941176471"/>
    <n v="39"/>
    <n v="274"/>
    <n v="39"/>
    <n v="0"/>
    <n v="0"/>
    <n v="0"/>
    <n v="1744284"/>
    <n v="228465.9"/>
    <n v="0"/>
    <n v="0"/>
    <n v="274"/>
    <n v="1744284"/>
    <n v="589588.2352941177"/>
    <n v="41"/>
    <n v="235"/>
    <n v="41"/>
    <n v="0"/>
    <n v="0"/>
    <n v="0"/>
    <n v="1376653.5"/>
    <n v="240182.1"/>
    <n v="0"/>
    <n v="0"/>
    <n v="235"/>
    <n v="1376653.5"/>
    <n v="619823.5294117647"/>
    <n v="60"/>
    <n v="194"/>
    <n v="60"/>
    <n v="0"/>
    <n v="0"/>
    <n v="0"/>
    <m/>
    <n v="1136471.4"/>
    <n v="351485.9999999999"/>
    <n v="0"/>
    <n v="0"/>
    <n v="194"/>
    <n v="1136471.4"/>
    <n v="654957.9831932774"/>
    <n v="40"/>
    <n v="134"/>
    <n v="40"/>
    <n v="0"/>
    <n v="0"/>
    <n v="784985.3999999999"/>
    <n v="234324"/>
    <n v="0"/>
    <n v="0"/>
    <n v="134"/>
    <n v="784985.3999999999"/>
    <n v="458470.5882352942"/>
    <n v="100"/>
    <n v="94"/>
    <n v="100"/>
    <n v="0"/>
    <n v="0"/>
    <n v="550661.3999999999"/>
    <n v="585810"/>
    <n v="0"/>
    <n v="94"/>
    <n v="550661.3999999999"/>
    <n v="1511764.705882353"/>
    <n v="24"/>
    <n v="0"/>
    <n v="24"/>
    <n v="0"/>
    <m/>
    <n v="0"/>
    <n v="152784"/>
    <n v="0"/>
    <n v="0"/>
    <n v="0"/>
    <n v="362823.5294117647"/>
  </r>
  <r>
    <s v="Simplit-Cristalería y Bar"/>
    <x v="6"/>
    <x v="24"/>
    <x v="59"/>
    <s v="SIMCOPGINLDN"/>
    <x v="598"/>
    <x v="442"/>
    <x v="0"/>
    <x v="3"/>
    <n v="1"/>
    <x v="299"/>
    <n v="282"/>
    <m/>
    <n v="0"/>
    <n v="8307"/>
    <n v="2342574"/>
    <n v="6.45"/>
    <n v="7046.624999999999"/>
    <n v="19319.32773109244"/>
    <n v="18478.99159663866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2"/>
    <n v="0.6026597772224811"/>
    <n v="55"/>
    <n v="0.5987009560793666"/>
    <n v="51"/>
    <n v="0.391359053974153"/>
    <n v="38"/>
    <n v="0.4099204444109543"/>
    <n v="49"/>
    <n v="0.3971963716066529"/>
    <n v="47"/>
    <n v="0.3991892536938842"/>
    <n v="0.8545454545454545"/>
    <n v="22"/>
    <n v="0.5868205546426798"/>
    <n v="0.5945945945945946"/>
    <n v="8"/>
    <n v="0.2745496007831554"/>
    <n v="0.1194029850746269"/>
    <n v="20"/>
    <n v="0.5427904332275976"/>
    <n v="0.3333333333333333"/>
    <n v="10"/>
    <n v="0.552497824013707"/>
    <n v="0.2127659574468085"/>
    <m/>
    <m/>
    <m/>
    <m/>
    <m/>
    <m/>
    <m/>
    <m/>
    <m/>
    <m/>
    <m/>
    <m/>
    <n v="30"/>
    <n v="228"/>
    <n v="30"/>
    <n v="0"/>
    <n v="0"/>
    <n v="0"/>
    <n v="1129752"/>
    <n v="1522071"/>
    <n v="249210"/>
    <n v="0"/>
    <n v="282"/>
    <n v="2342574"/>
    <n v="487041.875573759"/>
    <n v="25"/>
    <n v="175"/>
    <n v="57"/>
    <n v="0"/>
    <n v="0"/>
    <n v="0"/>
    <n v="1270971"/>
    <n v="1168256.25"/>
    <n v="473499"/>
    <n v="0"/>
    <n v="282"/>
    <n v="2342574"/>
    <n v="925379.5635901421"/>
    <n v="52.5"/>
    <n v="124"/>
    <n v="49"/>
    <n v="0"/>
    <n v="0"/>
    <n v="1044474.75"/>
    <n v="1030068"/>
    <n v="407043"/>
    <n v="0"/>
    <n v="282"/>
    <n v="2342574"/>
    <n v="946647.0588235295"/>
    <n v="55"/>
    <n v="85"/>
    <n v="47"/>
    <n v="0"/>
    <n v="0"/>
    <n v="567438.7499999999"/>
    <n v="390429"/>
    <n v="0"/>
    <n v="0"/>
    <n v="282"/>
    <n v="2342574"/>
    <n v="908008.4033613446"/>
    <n v="37"/>
    <n v="304"/>
    <n v="37"/>
    <m/>
    <n v="0"/>
    <n v="0"/>
    <n v="2525328"/>
    <n v="247002.75"/>
    <n v="0"/>
    <n v="0"/>
    <n v="282"/>
    <n v="2342574"/>
    <n v="714815.1260504202"/>
    <n v="67"/>
    <n v="290"/>
    <n v="8"/>
    <m/>
    <n v="0"/>
    <n v="0"/>
    <n v="2409030"/>
    <n v="53405.99999999999"/>
    <n v="0"/>
    <n v="0"/>
    <n v="290"/>
    <n v="2342574"/>
    <n v="154554.6218487395"/>
    <n v="60"/>
    <n v="302"/>
    <n v="20"/>
    <n v="300"/>
    <n v="300"/>
    <n v="0"/>
    <n v="2508714"/>
    <n v="133515"/>
    <n v="1935967.5"/>
    <n v="0"/>
    <n v="302"/>
    <n v="2342574"/>
    <n v="386386.5546218487"/>
    <n v="47"/>
    <n v="282"/>
    <n v="47"/>
    <n v="0"/>
    <n v="0"/>
    <n v="0"/>
    <n v="2342574"/>
    <n v="313760.2499999999"/>
    <n v="0"/>
    <n v="0"/>
    <n v="282"/>
    <n v="2342574"/>
    <n v="908008.4033613446"/>
    <n v="50"/>
    <n v="235"/>
    <n v="50"/>
    <n v="0"/>
    <n v="0"/>
    <n v="0"/>
    <n v="1568801.25"/>
    <n v="333787.4999999999"/>
    <n v="0"/>
    <n v="0"/>
    <n v="235"/>
    <n v="1568801.25"/>
    <n v="965966.386554622"/>
    <n v="60"/>
    <n v="185"/>
    <n v="60"/>
    <n v="0"/>
    <n v="0"/>
    <n v="0"/>
    <m/>
    <n v="1235013.75"/>
    <n v="400544.9999999999"/>
    <n v="0"/>
    <n v="0"/>
    <n v="185"/>
    <n v="1235013.75"/>
    <n v="1108739.49579832"/>
    <n v="50"/>
    <n v="125"/>
    <n v="50"/>
    <n v="0"/>
    <n v="0"/>
    <n v="834468.7499999999"/>
    <n v="333787.4999999999"/>
    <n v="0"/>
    <n v="0"/>
    <n v="125"/>
    <n v="834468.7499999999"/>
    <n v="970147.0588235296"/>
    <n v="80"/>
    <n v="75"/>
    <n v="80"/>
    <n v="0"/>
    <n v="0"/>
    <n v="500681.2499999999"/>
    <n v="534059.9999999999"/>
    <n v="0"/>
    <n v="75"/>
    <n v="500681.2499999999"/>
    <n v="1545546.218487395"/>
    <n v="30"/>
    <n v="0"/>
    <n v="30"/>
    <n v="0"/>
    <m/>
    <n v="0"/>
    <n v="249210"/>
    <n v="0"/>
    <n v="0"/>
    <n v="0"/>
    <n v="579579.8319327731"/>
  </r>
  <r>
    <m/>
    <x v="6"/>
    <x v="24"/>
    <x v="59"/>
    <s v="SIMCOPGINOND"/>
    <x v="599"/>
    <x v="443"/>
    <x v="0"/>
    <x v="4"/>
    <n v="1"/>
    <x v="50"/>
    <n v="0"/>
    <m/>
    <n v="0"/>
    <n v="7672.8"/>
    <n v="0"/>
    <n v="8.34"/>
    <n v="7672.8"/>
    <n v="19343.19327731093"/>
    <n v="16441.71428571429"/>
    <s v="Shenzhen"/>
    <s v="30/70"/>
    <n v="45"/>
    <n v="3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n v="300"/>
    <n v="300"/>
    <n v="300"/>
    <n v="0"/>
    <n v="0"/>
    <n v="0"/>
    <n v="2589570"/>
    <n v="2589570"/>
    <n v="300"/>
    <n v="2589570"/>
    <n v="0"/>
    <n v="50"/>
    <n v="300"/>
    <n v="50"/>
    <n v="0"/>
    <n v="0"/>
    <n v="2589570"/>
    <n v="431595"/>
    <n v="0"/>
    <n v="0"/>
    <n v="300"/>
    <n v="2589570"/>
    <n v="863190.0000000001"/>
    <n v="100"/>
    <n v="250"/>
    <n v="100"/>
    <n v="0"/>
    <n v="0"/>
    <n v="2157975"/>
    <n v="863190"/>
    <n v="0"/>
    <n v="250"/>
    <n v="2157975"/>
    <n v="1934319.327731092"/>
    <n v="30"/>
    <n v="150"/>
    <n v="30"/>
    <n v="0"/>
    <m/>
    <n v="1294785"/>
    <n v="230184"/>
    <n v="0"/>
    <n v="150"/>
    <n v="1294785"/>
    <n v="580295.7983193278"/>
  </r>
  <r>
    <m/>
    <x v="6"/>
    <x v="24"/>
    <x v="59"/>
    <s v="SIMCOPVINALSA"/>
    <x v="600"/>
    <x v="444"/>
    <x v="0"/>
    <x v="0"/>
    <n v="0.8"/>
    <x v="300"/>
    <n v="455"/>
    <m/>
    <n v="0"/>
    <n v="6983"/>
    <n v="3177265"/>
    <n v="6.12"/>
    <n v="6686.099999999999"/>
    <n v="16798.31932773109"/>
    <n v="10915.96638655462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6238807471746202"/>
    <n v="23"/>
    <n v="0.5915237911547353"/>
    <n v="10"/>
    <n v="0.3148579045314096"/>
    <n v="10"/>
    <n v="0.450785247470724"/>
    <n v="7"/>
    <n v="0.4235154265355139"/>
    <n v="15"/>
    <n v="0.5374468579776779"/>
    <n v="0.375"/>
    <n v="14"/>
    <n v="0.572551005786718"/>
    <n v="0.5600000000000001"/>
    <n v="31"/>
    <n v="0.327337259408948"/>
    <n v="1.55"/>
    <n v="23"/>
    <n v="0.4670204594534117"/>
    <n v="0.92"/>
    <n v="6"/>
    <n v="0.4349110334717305"/>
    <n v="0.3"/>
    <m/>
    <m/>
    <m/>
    <m/>
    <m/>
    <m/>
    <m/>
    <m/>
    <m/>
    <m/>
    <m/>
    <m/>
    <n v="30"/>
    <n v="269"/>
    <n v="10"/>
    <n v="300"/>
    <n v="200"/>
    <n v="0"/>
    <n v="223456"/>
    <n v="1703899.8"/>
    <n v="69830"/>
    <n v="0"/>
    <n v="455"/>
    <n v="3177265"/>
    <n v="141162.3472918579"/>
    <n v="30"/>
    <n v="565"/>
    <n v="15"/>
    <n v="0"/>
    <n v="0"/>
    <n v="0"/>
    <n v="258371"/>
    <n v="3578823"/>
    <n v="104745"/>
    <n v="0"/>
    <n v="455"/>
    <n v="3177265"/>
    <n v="211743.5209377869"/>
    <n v="40"/>
    <n v="552"/>
    <n v="7"/>
    <n v="0"/>
    <n v="0"/>
    <n v="280310"/>
    <n v="3854616"/>
    <n v="48881"/>
    <n v="0"/>
    <n v="455"/>
    <n v="3177265"/>
    <n v="117588.2352941177"/>
    <n v="40"/>
    <n v="546"/>
    <n v="15"/>
    <n v="0"/>
    <n v="0"/>
    <n v="3458473.2"/>
    <n v="104745"/>
    <n v="0"/>
    <n v="0"/>
    <n v="455"/>
    <n v="3177265"/>
    <n v="251974.7899159664"/>
    <n v="25"/>
    <n v="469"/>
    <n v="20"/>
    <m/>
    <n v="0"/>
    <n v="0"/>
    <n v="3275027"/>
    <n v="126684"/>
    <n v="0"/>
    <n v="0"/>
    <n v="455"/>
    <n v="3177265"/>
    <n v="335966.3865546219"/>
    <n v="20"/>
    <n v="486"/>
    <n v="31"/>
    <m/>
    <n v="0"/>
    <n v="0"/>
    <n v="3393738"/>
    <n v="196360.2"/>
    <n v="0"/>
    <n v="0"/>
    <n v="486"/>
    <n v="3177265"/>
    <n v="520747.8991596639"/>
    <n v="25"/>
    <n v="478"/>
    <n v="23"/>
    <n v="0"/>
    <n v="0"/>
    <n v="0"/>
    <n v="3337874"/>
    <n v="145686.6"/>
    <n v="0"/>
    <n v="0"/>
    <n v="478"/>
    <n v="3177265"/>
    <n v="386361.3445378151"/>
    <n v="20"/>
    <n v="455"/>
    <n v="16"/>
    <n v="0"/>
    <n v="0"/>
    <n v="0"/>
    <n v="3177265"/>
    <n v="101347.2"/>
    <n v="0"/>
    <n v="0"/>
    <n v="455"/>
    <n v="3177265"/>
    <n v="268773.1092436975"/>
    <n v="15"/>
    <n v="439"/>
    <n v="12"/>
    <n v="0"/>
    <n v="0"/>
    <n v="0"/>
    <n v="2780713.8"/>
    <n v="76010.39999999999"/>
    <n v="0"/>
    <n v="0"/>
    <n v="439"/>
    <n v="2780713.8"/>
    <n v="201579.8319327731"/>
    <n v="30"/>
    <n v="427"/>
    <n v="24"/>
    <n v="0"/>
    <n v="0"/>
    <n v="0"/>
    <m/>
    <n v="2704703.4"/>
    <n v="152020.8"/>
    <n v="0"/>
    <n v="0"/>
    <n v="427"/>
    <n v="2704703.4"/>
    <n v="261983.1932773109"/>
    <n v="30"/>
    <n v="403"/>
    <n v="24"/>
    <n v="0"/>
    <n v="0"/>
    <n v="2552682.6"/>
    <n v="152020.8"/>
    <n v="0"/>
    <n v="0"/>
    <n v="403"/>
    <n v="2552682.6"/>
    <n v="275082.3529411765"/>
    <n v="30"/>
    <n v="379"/>
    <n v="24"/>
    <n v="0"/>
    <n v="0"/>
    <n v="2400661.8"/>
    <n v="152020.8"/>
    <n v="0"/>
    <n v="379"/>
    <n v="2400661.8"/>
    <n v="403159.6638655462"/>
    <n v="18"/>
    <n v="355"/>
    <n v="14.4"/>
    <n v="0"/>
    <m/>
    <n v="2248641"/>
    <n v="100555.2"/>
    <n v="0"/>
    <n v="355"/>
    <n v="2248641"/>
    <n v="241895.7983193277"/>
  </r>
  <r>
    <s v="Simplit-Cristalería y Bar"/>
    <x v="6"/>
    <x v="24"/>
    <x v="59"/>
    <s v="SIMCOPVINOND"/>
    <x v="601"/>
    <x v="445"/>
    <x v="0"/>
    <x v="4"/>
    <n v="1"/>
    <x v="50"/>
    <n v="0"/>
    <m/>
    <n v="0"/>
    <n v="6844.8"/>
    <n v="0"/>
    <n v="7.44"/>
    <n v="6844.8"/>
    <n v="17255.79831932773"/>
    <n v="14667.42857142857"/>
    <s v="Shenzhen"/>
    <s v="30/70"/>
    <n v="45"/>
    <n v="3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"/>
    <n v="0"/>
    <n v="0"/>
    <n v="300"/>
    <n v="300"/>
    <n v="300"/>
    <n v="0"/>
    <n v="0"/>
    <n v="0"/>
    <n v="2310120"/>
    <n v="2310120"/>
    <n v="300"/>
    <n v="2310120"/>
    <n v="0"/>
    <n v="40"/>
    <n v="300"/>
    <n v="40"/>
    <n v="0"/>
    <n v="0"/>
    <n v="2310120"/>
    <n v="308016"/>
    <n v="0"/>
    <n v="0"/>
    <n v="300"/>
    <n v="2310120"/>
    <n v="616032.0000000001"/>
    <n v="80"/>
    <n v="260"/>
    <n v="80"/>
    <n v="0"/>
    <n v="0"/>
    <n v="2002104"/>
    <n v="616032"/>
    <n v="0"/>
    <n v="260"/>
    <n v="2002104"/>
    <n v="1380463.865546219"/>
    <n v="24"/>
    <n v="180"/>
    <n v="24"/>
    <n v="0"/>
    <m/>
    <n v="1386072"/>
    <n v="164275.2"/>
    <n v="0"/>
    <n v="180"/>
    <n v="1386072"/>
    <n v="414139.1596638656"/>
  </r>
  <r>
    <s v="Simplit-Cristalería y Bar"/>
    <x v="6"/>
    <x v="24"/>
    <x v="59"/>
    <s v="SIMCOPVINPIAM"/>
    <x v="602"/>
    <x v="446"/>
    <x v="0"/>
    <x v="3"/>
    <n v="1.2"/>
    <x v="301"/>
    <n v="75"/>
    <m/>
    <n v="0"/>
    <n v="7188"/>
    <n v="539100"/>
    <n v="6.28"/>
    <n v="6860.9"/>
    <n v="16798.31932773109"/>
    <n v="15117.64705882353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4"/>
    <n v="0.5845465165606135"/>
    <n v="52"/>
    <n v="0.6093081088731104"/>
    <n v="35"/>
    <n v="0.3254998547294103"/>
    <n v="33"/>
    <n v="0.3230362474268062"/>
    <n v="53"/>
    <n v="0.393585033961539"/>
    <n v="57"/>
    <n v="0.4050616521486401"/>
    <n v="0.95"/>
    <n v="59"/>
    <n v="0.5409571099418471"/>
    <n v="1.84375"/>
    <n v="99"/>
    <n v="0.4352137001140718"/>
    <n v="1.706896551724138"/>
    <n v="83"/>
    <n v="0.543858771274532"/>
    <n v="1.596153846153846"/>
    <n v="15"/>
    <n v="0.5614861341007404"/>
    <n v="0.3658536585365854"/>
    <m/>
    <m/>
    <m/>
    <m/>
    <m/>
    <m/>
    <m/>
    <m/>
    <m/>
    <m/>
    <m/>
    <m/>
    <n v="50"/>
    <n v="219"/>
    <n v="20"/>
    <n v="300"/>
    <n v="200"/>
    <n v="0"/>
    <n v="880530"/>
    <n v="1423456.2"/>
    <n v="143760"/>
    <n v="0"/>
    <n v="75"/>
    <n v="539100"/>
    <n v="282324.6945837159"/>
    <n v="40"/>
    <n v="473"/>
    <n v="49.5"/>
    <n v="0"/>
    <n v="0"/>
    <n v="0"/>
    <n v="1146486"/>
    <n v="3074405.399999999"/>
    <n v="355806"/>
    <n v="0"/>
    <n v="75"/>
    <n v="539100"/>
    <n v="698753.6190946967"/>
    <n v="60"/>
    <n v="414"/>
    <n v="53"/>
    <n v="0"/>
    <n v="0"/>
    <n v="1040272.32"/>
    <n v="2975832"/>
    <n v="380964"/>
    <n v="0"/>
    <n v="75"/>
    <n v="539100"/>
    <n v="890310.924369748"/>
    <n v="60"/>
    <n v="388"/>
    <n v="57"/>
    <n v="0"/>
    <n v="0"/>
    <n v="2521922.4"/>
    <n v="409716"/>
    <n v="0"/>
    <n v="0"/>
    <n v="75"/>
    <n v="539100"/>
    <n v="957504.2016806724"/>
    <n v="32"/>
    <n v="134"/>
    <n v="38.4"/>
    <m/>
    <n v="0"/>
    <n v="0"/>
    <n v="963192"/>
    <n v="249592.3199999999"/>
    <n v="0"/>
    <n v="0"/>
    <n v="75"/>
    <n v="539100"/>
    <n v="645055.462184874"/>
    <n v="58"/>
    <n v="174"/>
    <n v="99"/>
    <m/>
    <n v="0"/>
    <n v="0"/>
    <n v="1250712"/>
    <n v="643480.2"/>
    <n v="0"/>
    <n v="0"/>
    <n v="174"/>
    <n v="539100"/>
    <n v="1663033.613445378"/>
    <n v="52"/>
    <n v="158"/>
    <n v="83"/>
    <n v="0"/>
    <n v="0"/>
    <n v="0"/>
    <n v="1135704"/>
    <n v="539483.3999999999"/>
    <n v="0"/>
    <n v="0"/>
    <n v="158"/>
    <n v="539100"/>
    <n v="1394260.504201681"/>
    <n v="41"/>
    <n v="75"/>
    <n v="49.2"/>
    <n v="0"/>
    <n v="0"/>
    <n v="0"/>
    <n v="539100"/>
    <n v="319790.1599999999"/>
    <n v="0"/>
    <n v="0"/>
    <n v="75"/>
    <n v="539100"/>
    <n v="826477.3109243697"/>
    <n v="44"/>
    <n v="25.8"/>
    <n v="52.8"/>
    <n v="0"/>
    <n v="0"/>
    <n v="0"/>
    <n v="167694.84"/>
    <n v="343189.4399999999"/>
    <n v="0"/>
    <n v="0"/>
    <n v="25.8"/>
    <n v="167694.84"/>
    <n v="886951.2605042016"/>
    <n v="60"/>
    <n v="0"/>
    <n v="0"/>
    <n v="300"/>
    <n v="300"/>
    <n v="300"/>
    <n v="0"/>
    <n v="0"/>
    <n v="0"/>
    <n v="1949940"/>
    <n v="1949940"/>
    <n v="300"/>
    <n v="1949940"/>
    <n v="0"/>
    <n v="50"/>
    <n v="300"/>
    <n v="60"/>
    <n v="0"/>
    <n v="0"/>
    <n v="1949940"/>
    <n v="389987.9999999999"/>
    <n v="0"/>
    <n v="0"/>
    <n v="300"/>
    <n v="1949940"/>
    <n v="952411.7647058824"/>
    <n v="80"/>
    <n v="240"/>
    <n v="96"/>
    <n v="0"/>
    <n v="0"/>
    <n v="1559952"/>
    <n v="623980.7999999999"/>
    <n v="0"/>
    <n v="240"/>
    <n v="1559952"/>
    <n v="1612638.655462185"/>
    <n v="30"/>
    <n v="144"/>
    <n v="36"/>
    <n v="0"/>
    <m/>
    <n v="935971.2"/>
    <n v="258768"/>
    <n v="0"/>
    <n v="144"/>
    <n v="935971.2"/>
    <n v="604739.4957983193"/>
  </r>
  <r>
    <m/>
    <x v="6"/>
    <x v="24"/>
    <x v="59"/>
    <s v="SIMVASCORGINE"/>
    <x v="603"/>
    <x v="447"/>
    <x v="0"/>
    <x v="3"/>
    <n v="1"/>
    <x v="302"/>
    <n v="231"/>
    <m/>
    <n v="0"/>
    <n v="3147"/>
    <n v="726957"/>
    <n v="2.46"/>
    <n v="2687.55"/>
    <n v="8394.957983193277"/>
    <n v="7134.453781512605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5"/>
    <n v="0.6352271605750568"/>
    <n v="18"/>
    <n v="0.5942969350294545"/>
    <n v="25"/>
    <n v="0.6283144144257237"/>
    <n v="22"/>
    <n v="0.3535726707274958"/>
    <n v="74"/>
    <n v="0.4095957718802066"/>
    <n v="47"/>
    <n v="0.4177684610734314"/>
    <n v="0.7833333333333333"/>
    <n v="45"/>
    <n v="0.6246531269556962"/>
    <n v="1.125"/>
    <n v="54"/>
    <n v="0.460963643170429"/>
    <n v="0.72"/>
    <n v="51"/>
    <n v="0.5961938924163711"/>
    <n v="1.133333333333333"/>
    <n v="11"/>
    <n v="0.5941554938328907"/>
    <n v="0.275"/>
    <m/>
    <m/>
    <m/>
    <m/>
    <m/>
    <m/>
    <m/>
    <m/>
    <m/>
    <m/>
    <m/>
    <m/>
    <n v="50"/>
    <n v="273"/>
    <n v="35"/>
    <n v="300"/>
    <n v="200"/>
    <n v="0"/>
    <n v="446874"/>
    <n v="695085.2999999999"/>
    <n v="110145"/>
    <n v="0"/>
    <n v="231"/>
    <n v="726957"/>
    <n v="246910.5289174494"/>
    <n v="40"/>
    <n v="552"/>
    <n v="33"/>
    <n v="0"/>
    <n v="0"/>
    <n v="0"/>
    <n v="484638"/>
    <n v="1405447.2"/>
    <n v="103851"/>
    <n v="0"/>
    <n v="231"/>
    <n v="726957"/>
    <n v="232801.3558364522"/>
    <n v="60"/>
    <n v="498"/>
    <n v="74"/>
    <n v="0"/>
    <n v="0"/>
    <n v="482631"/>
    <n v="1567206"/>
    <n v="232878"/>
    <n v="0"/>
    <n v="231"/>
    <n v="726957"/>
    <n v="621226.8907563025"/>
    <n v="60"/>
    <n v="448"/>
    <n v="47"/>
    <n v="0"/>
    <n v="0"/>
    <n v="1140652.8"/>
    <n v="147909"/>
    <n v="0"/>
    <n v="0"/>
    <n v="231"/>
    <n v="726957"/>
    <n v="394563.025210084"/>
    <n v="40"/>
    <n v="276"/>
    <n v="40"/>
    <m/>
    <n v="0"/>
    <n v="0"/>
    <n v="868572"/>
    <n v="101844"/>
    <n v="0"/>
    <n v="0"/>
    <n v="231"/>
    <n v="726957"/>
    <n v="335798.3193277311"/>
    <n v="75"/>
    <n v="285"/>
    <n v="54"/>
    <m/>
    <n v="0"/>
    <n v="0"/>
    <n v="896895"/>
    <n v="137489.4"/>
    <n v="0"/>
    <n v="0"/>
    <n v="285"/>
    <n v="726957"/>
    <n v="453327.7310924369"/>
    <n v="45"/>
    <n v="282"/>
    <n v="51"/>
    <n v="0"/>
    <n v="0"/>
    <n v="0"/>
    <n v="887454"/>
    <n v="129851.1"/>
    <n v="0"/>
    <n v="0"/>
    <n v="282"/>
    <n v="726957"/>
    <n v="428142.8571428571"/>
    <n v="40"/>
    <n v="231"/>
    <n v="40"/>
    <n v="0"/>
    <n v="0"/>
    <n v="0"/>
    <n v="726957"/>
    <n v="101844"/>
    <n v="0"/>
    <n v="0"/>
    <n v="231"/>
    <n v="726957"/>
    <n v="335798.3193277311"/>
    <n v="45"/>
    <n v="191"/>
    <n v="45"/>
    <n v="0"/>
    <n v="0"/>
    <n v="0"/>
    <n v="486305.1"/>
    <n v="114574.5"/>
    <n v="0"/>
    <n v="0"/>
    <n v="191"/>
    <n v="486305.1"/>
    <n v="377773.1092436975"/>
    <n v="100"/>
    <n v="146"/>
    <n v="100"/>
    <n v="0"/>
    <n v="0"/>
    <n v="0"/>
    <m/>
    <n v="371730.6"/>
    <n v="254610"/>
    <n v="0"/>
    <n v="0"/>
    <n v="146"/>
    <n v="371730.6"/>
    <n v="713445.3781512605"/>
    <n v="60"/>
    <n v="46"/>
    <n v="60"/>
    <n v="300"/>
    <n v="300"/>
    <n v="117120.6"/>
    <n v="152766"/>
    <n v="763830"/>
    <n v="763830"/>
    <n v="346"/>
    <n v="880950.6"/>
    <n v="449470.5882352941"/>
    <n v="130"/>
    <n v="286"/>
    <n v="130"/>
    <n v="0"/>
    <n v="0"/>
    <n v="728184.6"/>
    <n v="330993"/>
    <n v="0"/>
    <n v="286"/>
    <n v="728184.6"/>
    <n v="1091344.537815126"/>
    <n v="36"/>
    <n v="156"/>
    <n v="36"/>
    <n v="0"/>
    <m/>
    <n v="397191.6"/>
    <n v="113292"/>
    <n v="0"/>
    <n v="156"/>
    <n v="397191.6"/>
    <n v="302218.487394958"/>
  </r>
  <r>
    <s v="Simplit-Cristalería y Bar"/>
    <x v="6"/>
    <x v="24"/>
    <x v="59"/>
    <s v="SIMVASHAM-335"/>
    <x v="604"/>
    <x v="448"/>
    <x v="0"/>
    <x v="4"/>
    <n v="1"/>
    <x v="50"/>
    <n v="0"/>
    <m/>
    <n v="0"/>
    <n v="5667.2"/>
    <n v="0"/>
    <n v="6.16"/>
    <n v="5667.2"/>
    <n v="14287.05882352941"/>
    <n v="12144"/>
    <s v="Shenzhen"/>
    <s v="30/70"/>
    <n v="45"/>
    <n v="3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n v="300"/>
    <n v="300"/>
    <n v="300"/>
    <n v="0"/>
    <n v="0"/>
    <n v="0"/>
    <n v="1912680"/>
    <n v="1912680"/>
    <n v="300"/>
    <n v="1912680"/>
    <n v="0"/>
    <n v="40"/>
    <n v="300"/>
    <n v="40"/>
    <n v="0"/>
    <n v="0"/>
    <n v="1912680"/>
    <n v="255024"/>
    <n v="0"/>
    <n v="0"/>
    <n v="300"/>
    <n v="1912680"/>
    <n v="510047.9999999999"/>
    <n v="60"/>
    <n v="260"/>
    <n v="60"/>
    <n v="0"/>
    <n v="0"/>
    <n v="1657656"/>
    <n v="382535.9999999999"/>
    <n v="0"/>
    <n v="260"/>
    <n v="1657656"/>
    <n v="857223.5294117647"/>
    <n v="24"/>
    <n v="200"/>
    <n v="24"/>
    <n v="0"/>
    <m/>
    <n v="1275120"/>
    <n v="136012.8"/>
    <n v="0"/>
    <n v="200"/>
    <n v="1275120"/>
    <n v="342889.4117647058"/>
  </r>
  <r>
    <m/>
    <x v="6"/>
    <x v="24"/>
    <x v="59"/>
    <s v="SIMVASHAM-510"/>
    <x v="605"/>
    <x v="449"/>
    <x v="0"/>
    <x v="4"/>
    <n v="1"/>
    <x v="50"/>
    <n v="0"/>
    <m/>
    <n v="0"/>
    <n v="5906.4"/>
    <n v="0"/>
    <n v="6.42"/>
    <n v="5906.4"/>
    <n v="14890.08403361344"/>
    <n v="12656.57142857143"/>
    <s v="Shenzhen"/>
    <s v="30/70"/>
    <n v="45"/>
    <n v="3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n v="300"/>
    <n v="300"/>
    <n v="300"/>
    <n v="0"/>
    <n v="0"/>
    <n v="0"/>
    <n v="1993410"/>
    <n v="1993410"/>
    <n v="300"/>
    <n v="1993410"/>
    <n v="0"/>
    <n v="40"/>
    <n v="300"/>
    <n v="40"/>
    <n v="0"/>
    <n v="0"/>
    <n v="1993410"/>
    <n v="265788"/>
    <n v="0"/>
    <n v="0"/>
    <n v="300"/>
    <n v="1993410"/>
    <n v="531576"/>
    <n v="60"/>
    <n v="260"/>
    <n v="60"/>
    <n v="0"/>
    <n v="0"/>
    <n v="1727622"/>
    <n v="398682"/>
    <n v="0"/>
    <n v="260"/>
    <n v="1727622"/>
    <n v="893405.0420168067"/>
    <n v="24"/>
    <n v="200"/>
    <n v="24"/>
    <n v="0"/>
    <m/>
    <n v="1328940"/>
    <n v="141753.6"/>
    <n v="0"/>
    <n v="200"/>
    <n v="1328940"/>
    <n v="357362.0168067227"/>
  </r>
  <r>
    <s v="Simplit-Cristalería y Bar"/>
    <x v="6"/>
    <x v="24"/>
    <x v="59"/>
    <s v="SIMVASLARGINE"/>
    <x v="606"/>
    <x v="450"/>
    <x v="0"/>
    <x v="1"/>
    <n v="1"/>
    <x v="303"/>
    <n v="279"/>
    <m/>
    <n v="0"/>
    <n v="3756"/>
    <n v="1047924"/>
    <n v="3.19"/>
    <n v="3485.075"/>
    <n v="10915.96638655462"/>
    <n v="10075.63025210084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8"/>
    <n v="0.6608068081298487"/>
    <n v="42"/>
    <n v="0.6395239870902162"/>
    <n v="93"/>
    <n v="0.5618109808012246"/>
    <n v="89"/>
    <n v="0.3842343963244397"/>
    <n v="116"/>
    <n v="0.4027526402346892"/>
    <n v="106"/>
    <n v="0.4393875634708952"/>
    <n v="1.06"/>
    <n v="73"/>
    <n v="0.653175611982082"/>
    <n v="0.9125"/>
    <n v="9"/>
    <n v="0.4173904928250968"/>
    <n v="0.06"/>
    <n v="38"/>
    <n v="0.6497686321250788"/>
    <n v="0.5428571428571428"/>
    <n v="19"/>
    <n v="0.6409650462086709"/>
    <n v="0.3166666666666667"/>
    <m/>
    <m/>
    <m/>
    <m/>
    <m/>
    <m/>
    <m/>
    <m/>
    <m/>
    <m/>
    <m/>
    <m/>
    <n v="50"/>
    <n v="215"/>
    <n v="120"/>
    <n v="300"/>
    <n v="200"/>
    <n v="0"/>
    <n v="1387842"/>
    <n v="709854.7499999999"/>
    <n v="450720"/>
    <n v="0"/>
    <n v="279"/>
    <n v="1047924"/>
    <n v="1100769.719652567"/>
    <n v="90"/>
    <n v="410"/>
    <n v="133.5"/>
    <n v="0"/>
    <n v="0"/>
    <n v="0"/>
    <n v="1335258"/>
    <n v="1353676.5"/>
    <n v="501426"/>
    <n v="0"/>
    <n v="279"/>
    <n v="1047924"/>
    <n v="1224606.313113481"/>
    <n v="120"/>
    <n v="246"/>
    <n v="116"/>
    <n v="0"/>
    <n v="0"/>
    <n v="1097964"/>
    <n v="923976"/>
    <n v="435696"/>
    <n v="0"/>
    <n v="279"/>
    <n v="1047924"/>
    <n v="1266252.100840336"/>
    <n v="100"/>
    <n v="198"/>
    <n v="106"/>
    <n v="0"/>
    <n v="0"/>
    <n v="653726.7"/>
    <n v="398136"/>
    <n v="0"/>
    <n v="0"/>
    <n v="279"/>
    <n v="1047924"/>
    <n v="1157092.43697479"/>
    <n v="80"/>
    <n v="352"/>
    <n v="80"/>
    <m/>
    <n v="0"/>
    <n v="0"/>
    <n v="1322112"/>
    <n v="264132"/>
    <n v="0"/>
    <n v="0"/>
    <n v="279"/>
    <n v="1047924"/>
    <n v="873277.3109243698"/>
    <n v="150"/>
    <n v="288"/>
    <n v="9"/>
    <m/>
    <n v="0"/>
    <n v="0"/>
    <n v="1081728"/>
    <n v="29714.85"/>
    <n v="0"/>
    <n v="0"/>
    <n v="288"/>
    <n v="1047924"/>
    <n v="98243.6974789916"/>
    <n v="70"/>
    <n v="317"/>
    <n v="38"/>
    <n v="300"/>
    <n v="300"/>
    <n v="0"/>
    <n v="1190652"/>
    <n v="125462.7"/>
    <n v="957478.4999999998"/>
    <n v="0"/>
    <n v="317"/>
    <n v="1047924"/>
    <n v="414806.7226890757"/>
    <n v="60"/>
    <n v="279"/>
    <n v="60"/>
    <n v="0"/>
    <n v="0"/>
    <n v="0"/>
    <n v="1047924"/>
    <n v="198099"/>
    <n v="0"/>
    <n v="0"/>
    <n v="279"/>
    <n v="1047924"/>
    <n v="654957.9831932774"/>
    <n v="80"/>
    <n v="219"/>
    <n v="80"/>
    <n v="300"/>
    <n v="300"/>
    <n v="0"/>
    <n v="723061.35"/>
    <n v="264132"/>
    <n v="990494.9999999999"/>
    <n v="0"/>
    <n v="219"/>
    <n v="723061.35"/>
    <n v="873277.3109243698"/>
    <n v="120"/>
    <n v="439"/>
    <n v="120"/>
    <n v="0"/>
    <n v="0"/>
    <n v="0"/>
    <n v="300"/>
    <n v="1449424.35"/>
    <n v="396197.9999999999"/>
    <n v="0"/>
    <n v="990494.9999999999"/>
    <n v="439"/>
    <n v="2439919.35"/>
    <n v="1209075.630252101"/>
    <n v="80"/>
    <n v="319"/>
    <n v="80"/>
    <n v="0"/>
    <n v="0"/>
    <n v="1053226.35"/>
    <n v="264132"/>
    <n v="0"/>
    <n v="0"/>
    <n v="319"/>
    <n v="1053226.35"/>
    <n v="846352.9411764706"/>
    <n v="150"/>
    <n v="239"/>
    <n v="150"/>
    <n v="0"/>
    <n v="0"/>
    <n v="789094.3499999999"/>
    <n v="495247.4999999999"/>
    <n v="0"/>
    <n v="239"/>
    <n v="789094.3499999999"/>
    <n v="1637394.957983193"/>
    <n v="48"/>
    <n v="89"/>
    <n v="48"/>
    <n v="0"/>
    <m/>
    <n v="293846.85"/>
    <n v="180288"/>
    <n v="0"/>
    <n v="89"/>
    <n v="293846.85"/>
    <n v="523966.3865546219"/>
  </r>
  <r>
    <m/>
    <x v="6"/>
    <x v="24"/>
    <x v="59"/>
    <s v="SIMVASOND-332"/>
    <x v="607"/>
    <x v="451"/>
    <x v="0"/>
    <x v="4"/>
    <n v="1"/>
    <x v="50"/>
    <n v="0"/>
    <m/>
    <n v="0"/>
    <n v="5575.2"/>
    <n v="0"/>
    <n v="6.06"/>
    <n v="5575.2"/>
    <n v="14055.12605042017"/>
    <n v="11946.85714285714"/>
    <s v="Shenzhen"/>
    <s v="30/70"/>
    <n v="45"/>
    <n v="3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n v="300"/>
    <n v="300"/>
    <n v="300"/>
    <n v="0"/>
    <n v="0"/>
    <n v="0"/>
    <n v="1881630"/>
    <n v="1881630"/>
    <n v="300"/>
    <n v="1881630"/>
    <n v="0"/>
    <n v="40"/>
    <n v="300"/>
    <n v="40"/>
    <n v="0"/>
    <n v="0"/>
    <n v="1881630"/>
    <n v="250884"/>
    <n v="0"/>
    <n v="0"/>
    <n v="300"/>
    <n v="1881630"/>
    <n v="501768"/>
    <n v="60"/>
    <n v="260"/>
    <n v="60"/>
    <n v="0"/>
    <n v="0"/>
    <n v="1630746"/>
    <n v="376325.9999999999"/>
    <n v="0"/>
    <n v="260"/>
    <n v="1630746"/>
    <n v="843307.5630252101"/>
    <n v="24"/>
    <n v="200"/>
    <n v="24"/>
    <n v="0"/>
    <m/>
    <n v="1254420"/>
    <n v="133804.8"/>
    <n v="0"/>
    <n v="200"/>
    <n v="1254420"/>
    <n v="337323.025210084"/>
  </r>
  <r>
    <s v="Simplit-Cristalería y Bar"/>
    <x v="6"/>
    <x v="24"/>
    <x v="59"/>
    <s v="SMVABOR4"/>
    <x v="608"/>
    <x v="452"/>
    <x v="0"/>
    <x v="0"/>
    <n v="1"/>
    <x v="304"/>
    <n v="468"/>
    <m/>
    <m/>
    <n v="3360"/>
    <n v="1572480"/>
    <n v="2.2"/>
    <m/>
    <n v="0"/>
    <n v="0"/>
    <s v="Shenzhen"/>
    <m/>
    <n v="30"/>
    <n v="50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n v="0"/>
    <n v="40"/>
    <n v="309"/>
    <n v="0"/>
    <m/>
    <n v="0"/>
    <m/>
    <m/>
    <m/>
    <m/>
    <n v="468"/>
    <n v="1572480"/>
    <n v="0"/>
    <n v="40"/>
    <n v="468"/>
    <n v="40"/>
    <m/>
    <m/>
    <n v="0"/>
    <n v="1572480"/>
    <n v="91080"/>
    <n v="0"/>
    <m/>
    <n v="468"/>
    <n v="1572480"/>
    <n v="0"/>
    <n v="40"/>
    <n v="468"/>
    <n v="0"/>
    <m/>
    <m/>
    <n v="0"/>
    <n v="1572480"/>
    <n v="0"/>
    <m/>
    <n v="0"/>
    <n v="468"/>
    <n v="1572480"/>
    <n v="0"/>
    <n v="40"/>
    <n v="468"/>
    <n v="0"/>
    <n v="0"/>
    <n v="0"/>
    <n v="0"/>
    <n v="1572480"/>
    <n v="0"/>
    <n v="0"/>
    <n v="0"/>
    <n v="468"/>
    <n v="1572480"/>
    <m/>
    <n v="40"/>
    <n v="468"/>
    <n v="40"/>
    <m/>
    <m/>
    <n v="0"/>
    <n v="1572480"/>
    <n v="91080"/>
    <m/>
    <n v="0"/>
    <n v="468"/>
    <n v="1572480"/>
    <m/>
    <n v="40"/>
    <n v="428"/>
    <n v="40"/>
    <n v="100"/>
    <n v="100"/>
    <n v="0"/>
    <m/>
    <n v="91080"/>
    <n v="227700"/>
    <n v="0"/>
    <n v="428"/>
    <m/>
    <m/>
    <n v="40"/>
    <n v="488"/>
    <n v="40"/>
    <n v="0"/>
    <n v="0"/>
    <n v="0"/>
    <n v="100"/>
    <n v="1111176"/>
    <n v="91080"/>
    <n v="0"/>
    <n v="227700"/>
    <n v="488"/>
    <n v="1338876"/>
    <n v="0"/>
    <n v="40"/>
    <n v="448"/>
    <n v="40"/>
    <n v="0"/>
    <n v="0"/>
    <n v="1020096"/>
    <n v="91080"/>
    <n v="0"/>
    <n v="0"/>
    <n v="448"/>
    <n v="1020096"/>
    <n v="0"/>
    <n v="40"/>
    <m/>
    <n v="40"/>
    <n v="0"/>
    <n v="0"/>
    <n v="0"/>
    <n v="91080"/>
    <n v="0"/>
    <n v="0"/>
    <n v="0"/>
    <n v="0"/>
    <n v="24"/>
    <m/>
    <n v="24"/>
    <n v="0"/>
    <m/>
    <n v="0"/>
    <n v="80640"/>
    <n v="0"/>
    <n v="0"/>
    <n v="0"/>
    <n v="0"/>
  </r>
  <r>
    <m/>
    <x v="6"/>
    <x v="25"/>
    <x v="60"/>
    <n v="1660859171584"/>
    <x v="609"/>
    <x v="453"/>
    <x v="0"/>
    <x v="1"/>
    <n v="1"/>
    <x v="305"/>
    <n v="11"/>
    <m/>
    <n v="0"/>
    <n v="13148"/>
    <n v="144628"/>
    <n v="14.35"/>
    <n v="15677.375"/>
    <n v="27722.68907563025"/>
    <n v="29403.36134453782"/>
    <s v="Shenzhen"/>
    <s v="20/80 Credit"/>
    <n v="30"/>
    <n v="200"/>
    <n v="234"/>
    <n v="0.477327845736466"/>
    <n v="179"/>
    <n v="0.499135577255696"/>
    <n v="258"/>
    <n v="0.481931110924215"/>
    <n v="118"/>
    <n v="0.5259204996304373"/>
    <n v="15"/>
    <n v="0.5083452257782557"/>
    <n v="157"/>
    <n v="0.4716674957761429"/>
    <n v="366"/>
    <n v="0.4823869424046419"/>
    <n v="201"/>
    <n v="0.5171709493681382"/>
    <n v="133"/>
    <n v="0.5403921630961404"/>
    <n v="282"/>
    <n v="0.4238109525337688"/>
    <n v="115"/>
    <n v="0.4334144351644337"/>
    <n v="207"/>
    <n v="0.4542372873051678"/>
    <n v="103"/>
    <n v="0.3023103198367176"/>
    <n v="109"/>
    <n v="0.3091133963494128"/>
    <n v="342"/>
    <n v="0.3224363620070211"/>
    <n v="313"/>
    <n v="0.3757725447833463"/>
    <n v="1.252"/>
    <n v="321"/>
    <n v="0.5454477455064274"/>
    <n v="1.07"/>
    <n v="344"/>
    <n v="0.3268804933322401"/>
    <n v="1.146666666666667"/>
    <n v="0"/>
    <s v=""/>
    <n v="0"/>
    <n v="0"/>
    <s v=""/>
    <n v="0"/>
    <m/>
    <m/>
    <m/>
    <m/>
    <m/>
    <m/>
    <m/>
    <m/>
    <m/>
    <m/>
    <m/>
    <m/>
    <n v="250"/>
    <n v="779"/>
    <n v="90"/>
    <n v="0"/>
    <n v="0"/>
    <n v="0"/>
    <n v="7829634"/>
    <n v="11569902.75"/>
    <n v="1183320"/>
    <n v="0"/>
    <n v="11"/>
    <n v="144628"/>
    <n v="2096673.963703129"/>
    <n v="150"/>
    <n v="684"/>
    <n v="163.5"/>
    <n v="500"/>
    <n v="150"/>
    <n v="0"/>
    <n v="10761638"/>
    <n v="10158939"/>
    <n v="2149698"/>
    <n v="0"/>
    <n v="11"/>
    <n v="144628"/>
    <n v="3808957.70072735"/>
    <n v="220"/>
    <n v="558"/>
    <n v="342"/>
    <n v="0"/>
    <n v="0"/>
    <n v="13067615"/>
    <n v="7336584"/>
    <n v="4496616"/>
    <n v="0"/>
    <n v="11"/>
    <n v="144628"/>
    <n v="9481159.663865546"/>
    <n v="250"/>
    <n v="1076"/>
    <n v="313"/>
    <n v="400"/>
    <n v="0"/>
    <n v="15981021"/>
    <n v="4115324"/>
    <n v="5940900.000000001"/>
    <n v="0"/>
    <n v="11"/>
    <n v="144628"/>
    <n v="8677201.680672269"/>
    <n v="300"/>
    <n v="332"/>
    <n v="300"/>
    <m/>
    <n v="408"/>
    <n v="0"/>
    <n v="4365136"/>
    <n v="4455675.000000001"/>
    <n v="0"/>
    <n v="0"/>
    <n v="11"/>
    <n v="144628"/>
    <n v="8316806.722689075"/>
    <n v="300"/>
    <n v="355"/>
    <n v="344"/>
    <m/>
    <n v="0"/>
    <n v="0"/>
    <n v="4667540"/>
    <n v="5109174.000000001"/>
    <n v="0"/>
    <n v="0"/>
    <n v="355"/>
    <n v="144628"/>
    <n v="9536605.042016806"/>
    <n v="115"/>
    <n v="11"/>
    <n v="0"/>
    <n v="0"/>
    <n v="0"/>
    <n v="0"/>
    <n v="144628"/>
    <n v="0"/>
    <n v="0"/>
    <n v="0"/>
    <n v="11"/>
    <n v="144628"/>
    <n v="0"/>
    <n v="200"/>
    <n v="11"/>
    <n v="200"/>
    <n v="200"/>
    <n v="200"/>
    <n v="0"/>
    <n v="144628"/>
    <n v="2970450"/>
    <n v="2970450"/>
    <n v="0"/>
    <n v="11"/>
    <n v="144628"/>
    <n v="5544537.81512605"/>
    <n v="200"/>
    <n v="0"/>
    <n v="200"/>
    <n v="400"/>
    <n v="400"/>
    <n v="612"/>
    <n v="0"/>
    <n v="2970450"/>
    <n v="5940900.000000001"/>
    <n v="9089577.000000002"/>
    <n v="612"/>
    <n v="9089577.000000002"/>
    <n v="5544537.81512605"/>
    <n v="280"/>
    <n v="412"/>
    <n v="280"/>
    <n v="400"/>
    <n v="400"/>
    <n v="400"/>
    <n v="0"/>
    <n v="6119127.000000001"/>
    <n v="4158630"/>
    <n v="5940900.000000001"/>
    <n v="5940900.000000001"/>
    <n v="812"/>
    <n v="12060027"/>
    <n v="8232941.176470589"/>
    <n v="200"/>
    <n v="532"/>
    <n v="200"/>
    <n v="200"/>
    <n v="200"/>
    <n v="7901397.000000001"/>
    <n v="2970450"/>
    <n v="2970450"/>
    <n v="2970450"/>
    <n v="732"/>
    <n v="10871847"/>
    <n v="6174705.882352943"/>
    <n v="205"/>
    <n v="532"/>
    <n v="205"/>
    <n v="200"/>
    <n v="200"/>
    <n v="7901397.000000001"/>
    <n v="3044711.25"/>
    <n v="2970450"/>
    <n v="732"/>
    <n v="10871847"/>
    <n v="5683151.260504202"/>
    <n v="120"/>
    <n v="527"/>
    <n v="120"/>
    <n v="0"/>
    <m/>
    <n v="7827135.750000001"/>
    <n v="1577760"/>
    <n v="0"/>
    <n v="527"/>
    <n v="7827135.750000001"/>
    <n v="3326722.68907563"/>
  </r>
  <r>
    <m/>
    <x v="6"/>
    <x v="25"/>
    <x v="60"/>
    <n v="68432930518995"/>
    <x v="610"/>
    <x v="454"/>
    <x v="0"/>
    <x v="1"/>
    <n v="1"/>
    <x v="306"/>
    <n v="291"/>
    <m/>
    <n v="0"/>
    <n v="13772"/>
    <n v="4007652"/>
    <n v="14.35"/>
    <n v="15677.375"/>
    <n v="27722.68907563025"/>
    <n v="25201.68067226891"/>
    <s v="Shenzhen"/>
    <s v="20/80 Credit"/>
    <n v="30"/>
    <n v="200"/>
    <n v="54"/>
    <n v="0.4595461407252416"/>
    <n v="62"/>
    <n v="0.4594146280861039"/>
    <n v="121"/>
    <n v="0.4372606507323566"/>
    <n v="124"/>
    <n v="0.4696017656783642"/>
    <n v="187"/>
    <n v="0.5024589251008843"/>
    <n v="169"/>
    <n v="0.4165737017573793"/>
    <n v="73"/>
    <n v="0.4881287355523753"/>
    <n v="103"/>
    <n v="0.5184234998508076"/>
    <n v="54"/>
    <n v="0.5191444654265686"/>
    <n v="110"/>
    <n v="0.4354537014059752"/>
    <n v="50"/>
    <n v="0.3810161175931036"/>
    <n v="96"/>
    <n v="0.4248087681341492"/>
    <n v="54"/>
    <n v="0.2865569238195347"/>
    <n v="34"/>
    <n v="0.2594692471788336"/>
    <n v="110"/>
    <n v="0.2422472477257142"/>
    <n v="85"/>
    <n v="0.3338048817832758"/>
    <n v="0.85"/>
    <n v="87"/>
    <n v="0.5069632702960704"/>
    <n v="0.725"/>
    <n v="347"/>
    <n v="0.2862560150069346"/>
    <n v="0.9914285714285714"/>
    <n v="0"/>
    <s v=""/>
    <n v="0"/>
    <n v="0"/>
    <s v=""/>
    <n v="0"/>
    <m/>
    <m/>
    <m/>
    <m/>
    <m/>
    <m/>
    <m/>
    <m/>
    <m/>
    <m/>
    <m/>
    <m/>
    <n v="80"/>
    <n v="408"/>
    <n v="40"/>
    <n v="0"/>
    <n v="0"/>
    <n v="0"/>
    <n v="2768172"/>
    <n v="6059718.000000001"/>
    <n v="550880"/>
    <n v="0"/>
    <n v="291"/>
    <n v="4007652"/>
    <n v="931855.0949791681"/>
    <n v="60"/>
    <n v="368"/>
    <n v="51"/>
    <n v="100"/>
    <n v="100"/>
    <n v="0"/>
    <n v="3387912"/>
    <n v="5465628.000000001"/>
    <n v="702372"/>
    <n v="0"/>
    <n v="291"/>
    <n v="4007652"/>
    <n v="1188115.246098439"/>
    <n v="130"/>
    <n v="320"/>
    <n v="110"/>
    <n v="0"/>
    <n v="0"/>
    <n v="4467810"/>
    <n v="4407040"/>
    <n v="1514920"/>
    <n v="0"/>
    <n v="291"/>
    <n v="4007652"/>
    <n v="3049495.798319328"/>
    <n v="100"/>
    <n v="982"/>
    <n v="85"/>
    <n v="650"/>
    <n v="0"/>
    <n v="14584909.5"/>
    <n v="1170620"/>
    <n v="9653962.500000002"/>
    <n v="0"/>
    <n v="291"/>
    <n v="4007652"/>
    <n v="2356428.571428571"/>
    <n v="120"/>
    <n v="378"/>
    <n v="120"/>
    <m/>
    <n v="648"/>
    <n v="0"/>
    <n v="5205816"/>
    <n v="1782270"/>
    <n v="0"/>
    <n v="0"/>
    <n v="291"/>
    <n v="4007652"/>
    <n v="3326722.68907563"/>
    <n v="350"/>
    <n v="638"/>
    <n v="347"/>
    <m/>
    <n v="0"/>
    <n v="0"/>
    <n v="8786536"/>
    <n v="5153730.750000001"/>
    <n v="0"/>
    <n v="0"/>
    <n v="638"/>
    <n v="4007652"/>
    <n v="9619773.109243698"/>
    <n v="250"/>
    <n v="291"/>
    <n v="0"/>
    <n v="0"/>
    <n v="0"/>
    <n v="0"/>
    <n v="4007652"/>
    <n v="0"/>
    <n v="0"/>
    <n v="0"/>
    <n v="291"/>
    <n v="4007652"/>
    <n v="0"/>
    <n v="100"/>
    <n v="291"/>
    <n v="100"/>
    <n v="0"/>
    <n v="0"/>
    <n v="0"/>
    <n v="4007652"/>
    <n v="1485225"/>
    <n v="0"/>
    <n v="0"/>
    <n v="291"/>
    <n v="4007652"/>
    <n v="2772268.907563025"/>
    <n v="100"/>
    <n v="191"/>
    <n v="100"/>
    <n v="200"/>
    <n v="200"/>
    <n v="204"/>
    <n v="2836779.75"/>
    <n v="1485225"/>
    <n v="2970450"/>
    <n v="3029859"/>
    <n v="395"/>
    <n v="5866638.750000001"/>
    <n v="2772268.907563025"/>
    <n v="150"/>
    <n v="295"/>
    <n v="150"/>
    <n v="150"/>
    <n v="150"/>
    <n v="150"/>
    <n v="0"/>
    <n v="4381413.750000001"/>
    <n v="2227837.5"/>
    <n v="2227837.5"/>
    <n v="2227837.5"/>
    <n v="445"/>
    <n v="6609251.250000002"/>
    <n v="3780252.100840336"/>
    <n v="150"/>
    <n v="295"/>
    <n v="150"/>
    <n v="200"/>
    <n v="200"/>
    <n v="4381413.750000001"/>
    <n v="2227837.5"/>
    <n v="2970450"/>
    <n v="2970450"/>
    <n v="495"/>
    <n v="7351863.750000002"/>
    <n v="3969264.705882353"/>
    <n v="150"/>
    <n v="345"/>
    <n v="150"/>
    <n v="300"/>
    <n v="300"/>
    <n v="5124026.250000001"/>
    <n v="2227837.5"/>
    <n v="4455675.000000001"/>
    <n v="645"/>
    <n v="9579701.250000002"/>
    <n v="4158403.361344538"/>
    <n v="90"/>
    <n v="495"/>
    <n v="90"/>
    <n v="0"/>
    <m/>
    <n v="7351863.750000001"/>
    <n v="1239480"/>
    <n v="0"/>
    <n v="495"/>
    <n v="7351863.750000001"/>
    <n v="2495042.016806723"/>
  </r>
  <r>
    <m/>
    <x v="6"/>
    <x v="26"/>
    <x v="61"/>
    <n v="1628018206370"/>
    <x v="611"/>
    <x v="455"/>
    <x v="0"/>
    <x v="0"/>
    <n v="0.8"/>
    <x v="307"/>
    <n v="9"/>
    <m/>
    <n v="0"/>
    <n v="4486"/>
    <n v="40374"/>
    <n v="3.6"/>
    <n v="3933"/>
    <n v="12596.63865546219"/>
    <n v="12596.63865546219"/>
    <s v="Shenzhen"/>
    <s v="30/70"/>
    <n v="30"/>
    <n v="300"/>
    <n v="6"/>
    <n v="0.722608826146119"/>
    <n v="5"/>
    <n v="0.6993150407147798"/>
    <n v="17"/>
    <n v="0.7332694173334642"/>
    <n v="17"/>
    <n v="0.6689765591225738"/>
    <n v="13"/>
    <n v="0.6438217661072861"/>
    <n v="81"/>
    <n v="0.5949036175980105"/>
    <n v="15"/>
    <n v="0.7044441067159067"/>
    <n v="32"/>
    <n v="0.6712040055329125"/>
    <n v="32"/>
    <n v="0.6613425607718589"/>
    <n v="47"/>
    <n v="0.6275187132617963"/>
    <n v="36"/>
    <n v="0.6368519931400659"/>
    <n v="21"/>
    <n v="0.6897026102938921"/>
    <n v="11"/>
    <n v="0.5822166426194265"/>
    <n v="87"/>
    <n v="0.5934981416220289"/>
    <n v="36"/>
    <n v="0.5459767807433697"/>
    <n v="12"/>
    <n v="0.5602259394132251"/>
    <n v="0.6"/>
    <n v="178"/>
    <n v="0.3948389191997921"/>
    <n v="8.9"/>
    <n v="-1"/>
    <n v="0.8652131425053862"/>
    <n v="-0.0125"/>
    <n v="0"/>
    <s v=""/>
    <n v="0"/>
    <n v="0"/>
    <s v=""/>
    <n v="0"/>
    <m/>
    <m/>
    <m/>
    <m/>
    <m/>
    <m/>
    <m/>
    <m/>
    <m/>
    <m/>
    <m/>
    <m/>
    <n v="35"/>
    <n v="238"/>
    <n v="35"/>
    <n v="100"/>
    <n v="100"/>
    <n v="0"/>
    <n v="903929"/>
    <n v="886787.9999999999"/>
    <n v="157010"/>
    <n v="0"/>
    <n v="9"/>
    <n v="40374"/>
    <n v="370489.3722194761"/>
    <n v="25"/>
    <n v="326"/>
    <n v="130.5"/>
    <n v="0"/>
    <n v="0"/>
    <n v="0"/>
    <n v="800751"/>
    <n v="1214676"/>
    <n v="585423"/>
    <n v="0"/>
    <n v="9"/>
    <n v="40374"/>
    <n v="1381396.087846904"/>
    <n v="60"/>
    <n v="234"/>
    <n v="36"/>
    <n v="0"/>
    <n v="0"/>
    <n v="274944"/>
    <n v="1049724"/>
    <n v="161496"/>
    <n v="0"/>
    <n v="9"/>
    <n v="40374"/>
    <n v="453478.9915966387"/>
    <n v="20"/>
    <n v="202"/>
    <n v="12"/>
    <n v="0"/>
    <n v="0"/>
    <n v="752651.9999999999"/>
    <n v="53832"/>
    <n v="0"/>
    <n v="0"/>
    <n v="9"/>
    <n v="40374"/>
    <n v="151159.6638655462"/>
    <n v="20"/>
    <n v="187"/>
    <n v="16"/>
    <m/>
    <n v="0"/>
    <n v="0"/>
    <n v="838882"/>
    <n v="59615.99999999999"/>
    <n v="0"/>
    <n v="0"/>
    <n v="9"/>
    <n v="40374"/>
    <n v="201546.218487395"/>
    <n v="80"/>
    <n v="8"/>
    <n v="-1"/>
    <m/>
    <n v="0"/>
    <n v="0"/>
    <n v="35888"/>
    <n v="-3726"/>
    <n v="0"/>
    <n v="0"/>
    <n v="8"/>
    <n v="40374"/>
    <n v="-12596.63865546219"/>
    <n v="80"/>
    <n v="9"/>
    <n v="0"/>
    <n v="0"/>
    <n v="0"/>
    <n v="0"/>
    <n v="40374"/>
    <n v="0"/>
    <n v="0"/>
    <n v="0"/>
    <n v="9"/>
    <n v="40374"/>
    <n v="0"/>
    <n v="41"/>
    <n v="9"/>
    <n v="32.8"/>
    <n v="150"/>
    <n v="150"/>
    <n v="0"/>
    <n v="40374"/>
    <n v="122212.8"/>
    <n v="558899.9999999999"/>
    <n v="0"/>
    <n v="9"/>
    <n v="40374"/>
    <n v="413169.7478991597"/>
    <n v="35"/>
    <n v="0"/>
    <n v="28"/>
    <n v="100"/>
    <n v="100"/>
    <n v="150"/>
    <n v="0"/>
    <n v="104328"/>
    <n v="372599.9999999999"/>
    <n v="558899.9999999999"/>
    <n v="150"/>
    <n v="558899.9999999999"/>
    <n v="352705.8823529412"/>
    <n v="60"/>
    <n v="122"/>
    <n v="48"/>
    <n v="0"/>
    <n v="0"/>
    <n v="0"/>
    <n v="0"/>
    <n v="454571.9999999999"/>
    <n v="178848"/>
    <n v="0"/>
    <n v="0"/>
    <n v="122"/>
    <n v="454571.9999999999"/>
    <n v="604638.6554621849"/>
    <n v="60"/>
    <n v="74"/>
    <n v="48"/>
    <n v="0"/>
    <n v="0"/>
    <n v="275723.9999999999"/>
    <n v="178848"/>
    <n v="0"/>
    <n v="0"/>
    <n v="74"/>
    <n v="275723.9999999999"/>
    <n v="634870.5882352942"/>
    <n v="60"/>
    <n v="26"/>
    <n v="48"/>
    <n v="0"/>
    <n v="0"/>
    <n v="96875.99999999999"/>
    <n v="178848"/>
    <n v="0"/>
    <n v="26"/>
    <n v="96875.99999999999"/>
    <n v="604638.6554621849"/>
    <n v="36"/>
    <n v="0"/>
    <n v="28.8"/>
    <n v="0"/>
    <m/>
    <n v="0"/>
    <n v="129196.8"/>
    <n v="0"/>
    <n v="0"/>
    <n v="0"/>
    <n v="362783.193277311"/>
  </r>
  <r>
    <m/>
    <x v="6"/>
    <x v="27"/>
    <x v="62"/>
    <n v="1634845754276"/>
    <x v="612"/>
    <x v="456"/>
    <x v="0"/>
    <x v="2"/>
    <n v="1"/>
    <x v="3"/>
    <n v="83"/>
    <m/>
    <n v="0"/>
    <n v="42716"/>
    <n v="3545428"/>
    <n v="41"/>
    <n v="44792.5"/>
    <n v="71420.1680672269"/>
    <n v="63016.80672268908"/>
    <s v="Ningbo"/>
    <s v="20/80 Credit"/>
    <n v="45"/>
    <n v="600"/>
    <n v="83"/>
    <n v="0.5034209773693789"/>
    <n v="69"/>
    <n v="0.3330567900286575"/>
    <n v="142"/>
    <n v="0.4493418830808831"/>
    <n v="70"/>
    <n v="0.4744101966815404"/>
    <n v="228"/>
    <n v="0.3667777837651842"/>
    <n v="106"/>
    <n v="0.4604705744607533"/>
    <n v="65"/>
    <n v="0.4771454700528401"/>
    <n v="54"/>
    <n v="0.4790077653175487"/>
    <n v="53"/>
    <n v="0.4965862541055934"/>
    <n v="122"/>
    <n v="0.4263270257082477"/>
    <n v="108"/>
    <n v="0.3610683353596503"/>
    <n v="62"/>
    <n v="0.404983201440392"/>
    <n v="70"/>
    <n v="0.2925583983984442"/>
    <n v="59"/>
    <n v="0.3031129714065667"/>
    <n v="99"/>
    <n v="0.3070231426223191"/>
    <n v="79"/>
    <n v="0.3598502470220239"/>
    <n v="1.128571428571429"/>
    <n v="86"/>
    <n v="0.2142192219839062"/>
    <n v="1.075"/>
    <n v="184"/>
    <n v="0.2794202413085558"/>
    <n v="1.936842105263158"/>
    <n v="28"/>
    <s v=""/>
    <n v="0.4666666666666667"/>
    <n v="0"/>
    <s v=""/>
    <n v="0"/>
    <m/>
    <m/>
    <m/>
    <m/>
    <m/>
    <m/>
    <m/>
    <m/>
    <m/>
    <m/>
    <m/>
    <m/>
    <n v="60"/>
    <n v="404"/>
    <n v="80"/>
    <n v="0"/>
    <n v="0"/>
    <n v="0"/>
    <n v="11426530"/>
    <n v="17143740"/>
    <n v="3417280"/>
    <n v="0"/>
    <n v="83"/>
    <n v="3545428"/>
    <n v="4801355.836452229"/>
    <n v="70"/>
    <n v="329"/>
    <n v="88.5"/>
    <n v="0"/>
    <n v="0"/>
    <n v="0"/>
    <n v="11383814"/>
    <n v="13961115"/>
    <n v="3780366"/>
    <n v="0"/>
    <n v="83"/>
    <n v="3545428"/>
    <n v="5311499.894075278"/>
    <n v="100"/>
    <n v="182"/>
    <n v="99"/>
    <n v="0"/>
    <n v="0"/>
    <n v="10998248"/>
    <n v="7774312"/>
    <n v="4228884"/>
    <n v="0"/>
    <n v="83"/>
    <n v="3545428"/>
    <n v="7070596.638655463"/>
    <n v="70"/>
    <n v="153"/>
    <n v="79"/>
    <n v="0"/>
    <n v="0"/>
    <n v="6492555"/>
    <n v="3374564"/>
    <n v="0"/>
    <n v="0"/>
    <n v="83"/>
    <n v="3545428"/>
    <n v="5642193.277310925"/>
    <n v="80"/>
    <n v="169"/>
    <n v="80"/>
    <m/>
    <n v="0"/>
    <n v="0"/>
    <n v="7219004"/>
    <n v="3394800"/>
    <n v="0"/>
    <n v="0"/>
    <n v="83"/>
    <n v="3545428"/>
    <n v="5713613.445378152"/>
    <n v="95"/>
    <n v="267"/>
    <n v="184"/>
    <m/>
    <n v="272"/>
    <n v="0"/>
    <n v="11405172"/>
    <n v="7808040"/>
    <n v="0"/>
    <n v="0"/>
    <n v="267"/>
    <n v="3545428"/>
    <n v="13141310.92436975"/>
    <n v="60"/>
    <n v="111"/>
    <n v="28"/>
    <n v="0"/>
    <n v="0"/>
    <n v="0"/>
    <n v="4741476"/>
    <n v="1188180"/>
    <n v="0"/>
    <n v="0"/>
    <n v="111"/>
    <n v="3545428"/>
    <n v="1999764.705882353"/>
    <n v="50"/>
    <n v="83"/>
    <n v="50"/>
    <n v="0"/>
    <n v="0"/>
    <n v="0"/>
    <n v="3545428"/>
    <n v="2121750"/>
    <n v="0"/>
    <n v="0"/>
    <n v="83"/>
    <n v="3545428"/>
    <n v="3571008.403361345"/>
    <n v="31"/>
    <n v="33"/>
    <n v="31"/>
    <n v="0"/>
    <n v="0"/>
    <n v="0"/>
    <n v="1400355"/>
    <n v="1315485"/>
    <n v="0"/>
    <n v="0"/>
    <n v="33"/>
    <n v="1400355"/>
    <n v="2214025.210084034"/>
    <n v="0"/>
    <n v="2"/>
    <n v="0"/>
    <n v="0"/>
    <n v="0"/>
    <n v="0"/>
    <m/>
    <n v="84870"/>
    <n v="0"/>
    <n v="0"/>
    <n v="0"/>
    <n v="2"/>
    <n v="84870"/>
    <n v="0"/>
    <n v="0"/>
    <n v="2"/>
    <n v="0"/>
    <n v="0"/>
    <n v="0"/>
    <n v="84870"/>
    <n v="0"/>
    <n v="0"/>
    <n v="0"/>
    <n v="2"/>
    <n v="84870"/>
    <n v="0"/>
    <n v="0"/>
    <n v="2"/>
    <n v="0"/>
    <n v="0"/>
    <n v="0"/>
    <n v="84870"/>
    <n v="0"/>
    <n v="0"/>
    <n v="2"/>
    <n v="84870"/>
    <n v="0"/>
    <n v="0"/>
    <n v="2"/>
    <n v="0"/>
    <n v="0"/>
    <m/>
    <n v="84870"/>
    <n v="0"/>
    <n v="0"/>
    <n v="2"/>
    <n v="84870"/>
    <n v="0"/>
  </r>
  <r>
    <m/>
    <x v="6"/>
    <x v="27"/>
    <x v="62"/>
    <n v="1635956574926"/>
    <x v="613"/>
    <x v="457"/>
    <x v="0"/>
    <x v="1"/>
    <n v="1"/>
    <x v="308"/>
    <n v="328"/>
    <m/>
    <n v="0"/>
    <n v="25392"/>
    <n v="8328576"/>
    <n v="24.95"/>
    <n v="27257.875"/>
    <n v="63016.80672268908"/>
    <n v="50411.76470588236"/>
    <s v="Ningbo"/>
    <s v="20/80 Credit"/>
    <n v="45"/>
    <n v="600"/>
    <n v="152"/>
    <n v="0.5266806141955216"/>
    <n v="84"/>
    <n v="0.5657797124618512"/>
    <n v="82"/>
    <n v="0.551337306443324"/>
    <n v="66"/>
    <n v="0.5611014636910304"/>
    <n v="78"/>
    <n v="0.5378628735646519"/>
    <n v="395"/>
    <n v="0.5689028570785306"/>
    <n v="218"/>
    <n v="0.5584280717526876"/>
    <n v="95"/>
    <n v="0.5627570029787372"/>
    <n v="25"/>
    <n v="0.6386239852476961"/>
    <n v="19"/>
    <n v="0.6193312718459785"/>
    <n v="68"/>
    <n v="0.5991824099074103"/>
    <n v="56"/>
    <n v="0.6101993376416878"/>
    <n v="57"/>
    <n v="0.5325461550622886"/>
    <n v="63"/>
    <n v="0.5396208534026468"/>
    <n v="122"/>
    <n v="0.4645645751106036"/>
    <n v="96"/>
    <n v="0.5059121912725596"/>
    <n v="1.066666666666667"/>
    <n v="82"/>
    <n v="0.4769860575691575"/>
    <n v="1.171428571428571"/>
    <n v="211"/>
    <n v="0.4864164038603449"/>
    <n v="1.055"/>
    <n v="13"/>
    <s v=""/>
    <n v="0.1529411764705882"/>
    <n v="0"/>
    <s v=""/>
    <n v="0"/>
    <m/>
    <m/>
    <m/>
    <m/>
    <m/>
    <m/>
    <m/>
    <m/>
    <m/>
    <m/>
    <m/>
    <m/>
    <n v="120"/>
    <n v="492"/>
    <n v="60"/>
    <n v="600"/>
    <n v="400"/>
    <n v="0"/>
    <n v="7020888"/>
    <n v="12705039"/>
    <n v="1523520"/>
    <n v="0"/>
    <n v="328"/>
    <n v="8328576"/>
    <n v="3177317.986017937"/>
    <n v="80"/>
    <n v="905"/>
    <n v="94.5"/>
    <n v="0"/>
    <n v="0"/>
    <n v="0"/>
    <n v="7935000"/>
    <n v="23370041.25"/>
    <n v="2399544"/>
    <n v="0"/>
    <n v="328"/>
    <n v="8328576"/>
    <n v="5004275.827978251"/>
    <n v="130"/>
    <n v="836"/>
    <n v="122"/>
    <n v="0"/>
    <n v="0"/>
    <n v="7343083.5"/>
    <n v="21227712"/>
    <n v="3097824"/>
    <n v="0"/>
    <n v="328"/>
    <n v="8328576"/>
    <n v="7688050.420168067"/>
    <n v="90"/>
    <n v="689"/>
    <n v="96"/>
    <n v="0"/>
    <n v="0"/>
    <n v="17792219.25"/>
    <n v="2437632"/>
    <n v="0"/>
    <n v="0"/>
    <n v="328"/>
    <n v="8328576"/>
    <n v="6049613.445378152"/>
    <n v="70"/>
    <n v="410"/>
    <n v="70"/>
    <n v="0"/>
    <n v="0"/>
    <n v="0"/>
    <n v="10410720"/>
    <n v="1807627.5"/>
    <n v="0"/>
    <n v="0"/>
    <n v="328"/>
    <n v="8328576"/>
    <n v="4411176.470588235"/>
    <n v="200"/>
    <n v="539"/>
    <n v="211"/>
    <m/>
    <n v="0"/>
    <n v="0"/>
    <n v="13686288"/>
    <n v="5448705.749999999"/>
    <n v="0"/>
    <n v="0"/>
    <n v="539"/>
    <n v="8328576"/>
    <n v="13296546.21848739"/>
    <n v="85"/>
    <n v="341"/>
    <n v="13"/>
    <n v="0"/>
    <n v="142"/>
    <n v="0"/>
    <n v="8658672"/>
    <n v="335702.2499999999"/>
    <n v="0"/>
    <n v="0"/>
    <n v="341"/>
    <n v="8328576"/>
    <n v="819218.487394958"/>
    <n v="85"/>
    <n v="328"/>
    <n v="85"/>
    <n v="0"/>
    <n v="0"/>
    <n v="0"/>
    <n v="8328576"/>
    <n v="2194976.25"/>
    <n v="0"/>
    <n v="0"/>
    <n v="328"/>
    <n v="8328576"/>
    <n v="5356428.571428572"/>
    <n v="55"/>
    <n v="243"/>
    <n v="55"/>
    <n v="0"/>
    <n v="0"/>
    <n v="0"/>
    <n v="6275049.749999999"/>
    <n v="1420278.75"/>
    <n v="0"/>
    <n v="0"/>
    <n v="243"/>
    <n v="6275049.749999999"/>
    <n v="3465924.369747899"/>
    <n v="100"/>
    <n v="188"/>
    <n v="100"/>
    <n v="0"/>
    <n v="0"/>
    <n v="0"/>
    <m/>
    <n v="4854770.999999999"/>
    <n v="2582325"/>
    <n v="0"/>
    <n v="0"/>
    <n v="188"/>
    <n v="4854770.999999999"/>
    <n v="5041176.470588236"/>
    <n v="80"/>
    <n v="88"/>
    <n v="80"/>
    <n v="0"/>
    <n v="0"/>
    <n v="2272446"/>
    <n v="2065860"/>
    <n v="0"/>
    <n v="0"/>
    <n v="88"/>
    <n v="2272446"/>
    <n v="4234588.235294118"/>
    <n v="100"/>
    <n v="8"/>
    <n v="100"/>
    <n v="600"/>
    <n v="300"/>
    <n v="206586"/>
    <n v="2582325"/>
    <n v="7746974.999999999"/>
    <n v="308"/>
    <n v="7953560.999999999"/>
    <n v="6301680.672268908"/>
    <n v="48"/>
    <n v="208"/>
    <n v="48"/>
    <n v="0"/>
    <n v="300"/>
    <n v="5371235.999999999"/>
    <n v="1218816"/>
    <n v="7746974.999999999"/>
    <n v="508"/>
    <n v="13118211"/>
    <n v="3024806.722689076"/>
  </r>
  <r>
    <m/>
    <x v="6"/>
    <x v="27"/>
    <x v="62"/>
    <s v="SIMBATORG-BK"/>
    <x v="614"/>
    <x v="458"/>
    <x v="0"/>
    <x v="2"/>
    <n v="1"/>
    <x v="3"/>
    <n v="54"/>
    <m/>
    <n v="0"/>
    <n v="17902"/>
    <n v="966708"/>
    <n v="15.98"/>
    <n v="17458.15"/>
    <n v="36126.05042016807"/>
    <n v="33605.04201680672"/>
    <s v="Ningbo"/>
    <s v="20/80 Credit"/>
    <n v="45"/>
    <n v="600"/>
    <n v="32"/>
    <n v="0.6410863963229406"/>
    <n v="26"/>
    <n v="0.628109828690662"/>
    <n v="8"/>
    <n v="0.5793153112084544"/>
    <n v="123"/>
    <n v="0.6537153906684543"/>
    <n v="22"/>
    <n v="0.6519971613330442"/>
    <n v="230"/>
    <n v="0.6078978697385938"/>
    <n v="54"/>
    <n v="0.5280937701271777"/>
    <n v="54"/>
    <n v="0.5253580617201232"/>
    <n v="46"/>
    <n v="0.5105301892292915"/>
    <n v="67"/>
    <n v="0.4418170789839213"/>
    <n v="40"/>
    <n v="0.4953691064447105"/>
    <n v="38"/>
    <n v="0.5086249703490555"/>
    <n v="61"/>
    <n v="0.4218633250992754"/>
    <n v="71"/>
    <n v="0.4494606152210464"/>
    <n v="87"/>
    <n v="0.4405718973823461"/>
    <n v="68"/>
    <n v="0.4293696907215272"/>
    <n v="1.133333333333333"/>
    <n v="65"/>
    <n v="0.482752348420459"/>
    <n v="1.3"/>
    <n v="103"/>
    <n v="0.4016726711427159"/>
    <n v="0.6866666666666666"/>
    <n v="38"/>
    <n v="0.4955444575143846"/>
    <n v="0.76"/>
    <n v="6"/>
    <n v="0.4582869461486788"/>
    <n v="0.1428571428571428"/>
    <m/>
    <m/>
    <m/>
    <m/>
    <m/>
    <m/>
    <m/>
    <m/>
    <m/>
    <m/>
    <m/>
    <m/>
    <n v="35"/>
    <n v="363"/>
    <n v="60"/>
    <m/>
    <n v="200"/>
    <n v="0"/>
    <n v="4538157"/>
    <n v="6003765.899999999"/>
    <n v="1074120"/>
    <n v="0"/>
    <n v="54"/>
    <n v="966708"/>
    <n v="1821481.533789987"/>
    <n v="50"/>
    <n v="507"/>
    <n v="106.5"/>
    <n v="0"/>
    <n v="0"/>
    <n v="0"/>
    <n v="4681373"/>
    <n v="8385425.1"/>
    <n v="1906563"/>
    <n v="0"/>
    <n v="54"/>
    <n v="966708"/>
    <n v="3233129.722477227"/>
    <n v="70"/>
    <n v="141"/>
    <n v="87"/>
    <n v="0"/>
    <n v="0"/>
    <n v="3601775"/>
    <n v="2524182"/>
    <n v="1557474"/>
    <n v="0"/>
    <n v="54"/>
    <n v="966708"/>
    <n v="3142966.386554622"/>
    <n v="60"/>
    <n v="354"/>
    <n v="68"/>
    <n v="0"/>
    <n v="0"/>
    <n v="5854912.2"/>
    <n v="1217336"/>
    <n v="0"/>
    <n v="0"/>
    <n v="54"/>
    <n v="966708"/>
    <n v="2456571.428571429"/>
    <n v="50"/>
    <n v="119"/>
    <n v="50"/>
    <m/>
    <n v="0"/>
    <n v="0"/>
    <n v="2130338"/>
    <n v="826965"/>
    <n v="0"/>
    <n v="0"/>
    <n v="54"/>
    <n v="966708"/>
    <n v="1806302.521008403"/>
    <n v="150"/>
    <n v="157"/>
    <n v="103"/>
    <m/>
    <n v="0"/>
    <n v="0"/>
    <n v="2810614"/>
    <n v="1703547.9"/>
    <n v="0"/>
    <n v="0"/>
    <n v="157"/>
    <n v="966708"/>
    <n v="3720983.193277311"/>
    <n v="50"/>
    <n v="92"/>
    <n v="38"/>
    <n v="0"/>
    <n v="0"/>
    <n v="0"/>
    <n v="1646984"/>
    <n v="628493.4"/>
    <n v="0"/>
    <n v="0"/>
    <n v="92"/>
    <n v="966708"/>
    <n v="1372789.915966386"/>
    <n v="42"/>
    <n v="54"/>
    <n v="42"/>
    <n v="0"/>
    <n v="0"/>
    <n v="0"/>
    <n v="966708"/>
    <n v="694650.6"/>
    <n v="0"/>
    <n v="0"/>
    <n v="54"/>
    <n v="966708"/>
    <n v="1517294.117647059"/>
    <n v="0"/>
    <n v="12"/>
    <n v="0"/>
    <n v="0"/>
    <n v="0"/>
    <n v="0"/>
    <n v="198471.6"/>
    <n v="0"/>
    <n v="0"/>
    <n v="0"/>
    <n v="12"/>
    <n v="198471.6"/>
    <n v="0"/>
    <n v="0"/>
    <n v="12"/>
    <n v="0"/>
    <n v="0"/>
    <n v="0"/>
    <n v="0"/>
    <m/>
    <n v="198471.6"/>
    <n v="0"/>
    <n v="0"/>
    <n v="0"/>
    <n v="12"/>
    <n v="198471.6"/>
    <n v="0"/>
    <n v="0"/>
    <n v="12"/>
    <n v="0"/>
    <n v="0"/>
    <n v="0"/>
    <n v="198471.6"/>
    <n v="0"/>
    <n v="0"/>
    <n v="0"/>
    <n v="12"/>
    <n v="198471.6"/>
    <n v="0"/>
    <n v="0"/>
    <n v="12"/>
    <n v="0"/>
    <n v="0"/>
    <n v="0"/>
    <n v="198471.6"/>
    <n v="0"/>
    <n v="0"/>
    <n v="12"/>
    <n v="198471.6"/>
    <n v="0"/>
    <n v="0"/>
    <n v="12"/>
    <n v="0"/>
    <n v="0"/>
    <m/>
    <n v="198471.6"/>
    <n v="0"/>
    <n v="0"/>
    <n v="12"/>
    <n v="198471.6"/>
    <n v="0"/>
  </r>
  <r>
    <m/>
    <x v="6"/>
    <x v="27"/>
    <x v="62"/>
    <s v="SIMBATOTOUL"/>
    <x v="615"/>
    <x v="459"/>
    <x v="0"/>
    <x v="2"/>
    <n v="1"/>
    <x v="3"/>
    <n v="6"/>
    <m/>
    <n v="0"/>
    <n v="53774"/>
    <n v="322644"/>
    <n v="46.1"/>
    <n v="50364.24999999999"/>
    <n v="100831.9327731092"/>
    <n v="75621.84873949581"/>
    <s v="Ningbo"/>
    <s v="20/80 Credit"/>
    <n v="45"/>
    <n v="600"/>
    <n v="20"/>
    <n v="0.4573865581563683"/>
    <n v="15"/>
    <n v="0.5243696837554724"/>
    <n v="20"/>
    <n v="0.4788069525633361"/>
    <n v="15"/>
    <n v="0.4060351442774996"/>
    <n v="17"/>
    <n v="0.4247918683721497"/>
    <n v="70"/>
    <n v="0.2975717856360523"/>
    <n v="26"/>
    <n v="0.3361202592047749"/>
    <n v="54"/>
    <n v="0.2817806237253806"/>
    <n v="57"/>
    <n v="0.2312584011976331"/>
    <n v="264"/>
    <n v="-0.1869218051370689"/>
    <n v="17"/>
    <n v="0.4536958639210399"/>
    <n v="6"/>
    <n v="0.3928605871898379"/>
    <n v="1"/>
    <s v=""/>
    <n v="1"/>
    <s v=""/>
    <n v="2"/>
    <n v="0.1978441488185378"/>
    <n v="2"/>
    <n v="0.1978460034098887"/>
    <n v="0"/>
    <n v="2"/>
    <n v="0.4667370614217851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4"/>
    <n v="0"/>
    <n v="0"/>
    <n v="0"/>
    <n v="0"/>
    <n v="188209"/>
    <n v="190854"/>
    <n v="0"/>
    <n v="0"/>
    <n v="6"/>
    <n v="322644"/>
    <n v="0"/>
    <n v="0"/>
    <n v="6"/>
    <n v="1.5"/>
    <n v="0"/>
    <n v="0"/>
    <n v="0"/>
    <n v="295757"/>
    <n v="286280.9999999999"/>
    <n v="80661"/>
    <n v="0"/>
    <n v="6"/>
    <n v="322644"/>
    <n v="127099.0749240873"/>
    <n v="0"/>
    <n v="8"/>
    <n v="2"/>
    <n v="0"/>
    <n v="0"/>
    <n v="215096"/>
    <n v="430192"/>
    <n v="107548"/>
    <n v="0"/>
    <n v="6"/>
    <n v="322644"/>
    <n v="201663.8655462185"/>
    <n v="0"/>
    <n v="8"/>
    <n v="2"/>
    <n v="0"/>
    <n v="0"/>
    <n v="381707.9999999999"/>
    <n v="107548"/>
    <n v="0"/>
    <n v="0"/>
    <n v="6"/>
    <n v="322644"/>
    <n v="201663.8655462185"/>
    <n v="0"/>
    <n v="8"/>
    <n v="0"/>
    <m/>
    <m/>
    <n v="0"/>
    <n v="430192"/>
    <n v="0"/>
    <n v="0"/>
    <n v="0"/>
    <n v="6"/>
    <n v="322644"/>
    <n v="0"/>
    <n v="0"/>
    <n v="6"/>
    <n v="0"/>
    <m/>
    <n v="0"/>
    <n v="0"/>
    <n v="322644"/>
    <n v="0"/>
    <n v="0"/>
    <n v="0"/>
    <n v="6"/>
    <n v="322644"/>
    <n v="0"/>
    <n v="6"/>
    <n v="6"/>
    <n v="0"/>
    <n v="0"/>
    <n v="0"/>
    <n v="0"/>
    <n v="322644"/>
    <n v="0"/>
    <n v="0"/>
    <n v="0"/>
    <n v="6"/>
    <n v="322644"/>
    <n v="0"/>
    <n v="0"/>
    <n v="6"/>
    <n v="0"/>
    <n v="0"/>
    <n v="0"/>
    <n v="0"/>
    <n v="322644"/>
    <n v="0"/>
    <n v="0"/>
    <n v="0"/>
    <n v="6"/>
    <n v="322644"/>
    <n v="0"/>
    <n v="0"/>
    <n v="6"/>
    <n v="0"/>
    <n v="0"/>
    <n v="0"/>
    <n v="0"/>
    <n v="286280.9999999999"/>
    <n v="0"/>
    <n v="0"/>
    <n v="0"/>
    <n v="6"/>
    <n v="286280.9999999999"/>
    <n v="0"/>
    <n v="0"/>
    <n v="6"/>
    <n v="0"/>
    <n v="0"/>
    <n v="0"/>
    <n v="0"/>
    <m/>
    <n v="286280.9999999999"/>
    <n v="0"/>
    <n v="0"/>
    <n v="0"/>
    <n v="6"/>
    <n v="286280.9999999999"/>
    <n v="0"/>
    <n v="0"/>
    <n v="6"/>
    <n v="0"/>
    <n v="0"/>
    <n v="0"/>
    <n v="286280.9999999999"/>
    <n v="0"/>
    <n v="0"/>
    <n v="0"/>
    <n v="6"/>
    <n v="286280.9999999999"/>
    <n v="0"/>
    <n v="0"/>
    <n v="6"/>
    <n v="0"/>
    <n v="0"/>
    <n v="0"/>
    <n v="286280.9999999999"/>
    <n v="0"/>
    <n v="0"/>
    <n v="6"/>
    <n v="286280.9999999999"/>
    <n v="0"/>
    <n v="0"/>
    <n v="6"/>
    <n v="0"/>
    <n v="0"/>
    <m/>
    <n v="286280.9999999999"/>
    <n v="0"/>
    <n v="0"/>
    <n v="6"/>
    <n v="286280.9999999999"/>
    <n v="0"/>
  </r>
  <r>
    <m/>
    <x v="6"/>
    <x v="27"/>
    <x v="62"/>
    <s v="SMBATCOPBK"/>
    <x v="616"/>
    <x v="460"/>
    <x v="0"/>
    <x v="1"/>
    <n v="1.2"/>
    <x v="309"/>
    <n v="429"/>
    <n v="300"/>
    <n v="7011000"/>
    <n v="24604"/>
    <n v="10555116"/>
    <n v="24.6"/>
    <n v="26875.5"/>
    <n v="63016.80672268908"/>
    <n v="50411.76470588236"/>
    <s v="Ningbo"/>
    <s v="20/80 Credit"/>
    <n v="45"/>
    <n v="600"/>
    <n v="86"/>
    <n v="0.5545185625825237"/>
    <n v="83"/>
    <n v="0.6301458699221513"/>
    <n v="109"/>
    <n v="0.5732612150179716"/>
    <n v="118"/>
    <n v="0.5209706834830869"/>
    <n v="57"/>
    <n v="0.5573227267660773"/>
    <n v="116"/>
    <n v="0.5002047066305104"/>
    <n v="33"/>
    <n v="0.5414413464429852"/>
    <n v="53"/>
    <n v="0.5391298920765627"/>
    <n v="55"/>
    <n v="0.5961755135050528"/>
    <n v="329"/>
    <n v="0.5823142092203242"/>
    <n v="53"/>
    <n v="0.6244021202699102"/>
    <n v="26"/>
    <n v="0.5958110593038488"/>
    <n v="37"/>
    <n v="0.5448859855663256"/>
    <n v="41"/>
    <n v="0.5249255212665885"/>
    <n v="85"/>
    <n v="0.4798979477419259"/>
    <n v="44"/>
    <n v="0.4943545214272457"/>
    <n v="0.88"/>
    <n v="59"/>
    <n v="0.4822786755825739"/>
    <n v="1.18"/>
    <n v="165"/>
    <n v="0.4732473322267013"/>
    <n v="1.375"/>
    <n v="77"/>
    <n v="0.5086846359649831"/>
    <n v="1.1"/>
    <n v="26"/>
    <n v="0.4927289222552786"/>
    <n v="0.3714285714285714"/>
    <m/>
    <m/>
    <m/>
    <m/>
    <m/>
    <m/>
    <m/>
    <m/>
    <m/>
    <m/>
    <m/>
    <m/>
    <n v="90"/>
    <n v="342"/>
    <n v="50"/>
    <n v="0"/>
    <n v="0"/>
    <n v="0"/>
    <n v="4834686"/>
    <n v="8707661.999999998"/>
    <n v="1230200"/>
    <n v="0"/>
    <n v="429"/>
    <n v="10555116"/>
    <n v="2647764.988348281"/>
    <n v="70"/>
    <n v="632"/>
    <n v="61.5"/>
    <n v="0"/>
    <n v="150"/>
    <n v="0"/>
    <n v="4687062"/>
    <n v="16091352"/>
    <n v="1513146"/>
    <n v="0"/>
    <n v="429"/>
    <n v="10555116"/>
    <n v="3256750.935668385"/>
    <n v="120"/>
    <n v="543"/>
    <n v="85"/>
    <n v="0"/>
    <n v="0"/>
    <n v="4701576"/>
    <n v="13359972"/>
    <n v="2091340"/>
    <n v="0"/>
    <n v="429"/>
    <n v="10555116"/>
    <n v="5356428.571428572"/>
    <n v="50"/>
    <n v="476"/>
    <n v="44"/>
    <n v="0"/>
    <n v="0"/>
    <n v="12119436"/>
    <n v="1082576"/>
    <n v="0"/>
    <n v="0"/>
    <n v="429"/>
    <n v="10555116"/>
    <n v="2772739.49579832"/>
    <n v="50"/>
    <n v="488"/>
    <n v="60"/>
    <n v="600"/>
    <n v="0"/>
    <n v="0"/>
    <n v="12006752"/>
    <n v="1527660"/>
    <n v="15276600"/>
    <n v="0"/>
    <n v="429"/>
    <n v="10555116"/>
    <n v="3781008.403361345"/>
    <n v="120"/>
    <n v="594"/>
    <n v="165"/>
    <m/>
    <n v="300"/>
    <n v="0"/>
    <n v="14614776"/>
    <n v="4201064.999999999"/>
    <n v="0"/>
    <n v="0"/>
    <n v="594"/>
    <n v="10555116"/>
    <n v="10397773.1092437"/>
    <n v="70"/>
    <n v="506"/>
    <n v="77"/>
    <n v="0"/>
    <n v="0"/>
    <n v="0"/>
    <n v="12449624"/>
    <n v="1960497"/>
    <n v="0"/>
    <n v="0"/>
    <n v="506"/>
    <n v="10555116"/>
    <n v="4852294.117647059"/>
    <n v="70"/>
    <n v="429"/>
    <n v="84"/>
    <n v="0"/>
    <n v="0"/>
    <n v="0"/>
    <n v="10555116"/>
    <n v="2138724"/>
    <n v="0"/>
    <n v="0"/>
    <n v="429"/>
    <n v="10555116"/>
    <n v="5293411.764705882"/>
    <n v="60"/>
    <n v="345"/>
    <n v="72"/>
    <n v="0"/>
    <n v="0"/>
    <n v="0"/>
    <n v="8784044.999999998"/>
    <n v="1833192"/>
    <n v="0"/>
    <n v="0"/>
    <n v="345"/>
    <n v="8784044.999999998"/>
    <n v="4537210.084033614"/>
    <n v="120"/>
    <n v="273"/>
    <n v="144"/>
    <n v="0"/>
    <n v="0"/>
    <n v="0"/>
    <m/>
    <n v="6950852.999999999"/>
    <n v="3666384"/>
    <n v="0"/>
    <n v="0"/>
    <n v="273"/>
    <n v="6950852.999999999"/>
    <n v="7259294.117647059"/>
    <n v="65"/>
    <n v="129"/>
    <n v="78"/>
    <n v="0"/>
    <n v="300"/>
    <n v="3284469"/>
    <n v="1985958"/>
    <n v="0"/>
    <n v="6110640"/>
    <n v="429"/>
    <n v="9395109"/>
    <n v="4128723.529411765"/>
    <n v="80"/>
    <n v="351"/>
    <n v="96"/>
    <n v="0"/>
    <n v="0"/>
    <n v="8936810.999999998"/>
    <n v="2444256"/>
    <n v="0"/>
    <n v="351"/>
    <n v="8936810.999999998"/>
    <n v="6049613.445378152"/>
    <n v="39"/>
    <n v="255"/>
    <n v="46.8"/>
    <n v="0"/>
    <m/>
    <n v="6492554.999999999"/>
    <n v="1151467.2"/>
    <n v="0"/>
    <n v="255"/>
    <n v="6492554.999999999"/>
    <n v="2949186.554621849"/>
  </r>
  <r>
    <m/>
    <x v="6"/>
    <x v="27"/>
    <x v="62"/>
    <s v="SMBATLCGR"/>
    <x v="617"/>
    <x v="461"/>
    <x v="0"/>
    <x v="4"/>
    <n v="1"/>
    <x v="3"/>
    <n v="317"/>
    <m/>
    <n v="0"/>
    <n v="36199"/>
    <n v="11475083"/>
    <n v="34.7"/>
    <n v="37909.75"/>
    <n v="100831.9327731092"/>
    <n v="84025.21008403362"/>
    <s v="Ningbo"/>
    <s v="20/80 Credit"/>
    <n v="45"/>
    <n v="600"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0"/>
    <n v="44"/>
    <n v="0.526933463065649"/>
    <n v="0.9777777777777777"/>
    <n v="115"/>
    <n v="0.5197983535949211"/>
    <n v="1.4375"/>
    <n v="86"/>
    <n v="0.5859541716347073"/>
    <n v="1.075"/>
    <n v="24"/>
    <n v="0.5729268194096481"/>
    <n v="0.3"/>
    <m/>
    <m/>
    <m/>
    <m/>
    <m/>
    <m/>
    <m/>
    <m/>
    <m/>
    <m/>
    <m/>
    <m/>
    <n v="0"/>
    <n v="0"/>
    <n v="0"/>
    <n v="0"/>
    <n v="0"/>
    <n v="0"/>
    <n v="0"/>
    <n v="0"/>
    <n v="0"/>
    <n v="0"/>
    <n v="317"/>
    <n v="11475083"/>
    <n v="0"/>
    <n v="0"/>
    <n v="0"/>
    <n v="0"/>
    <n v="600"/>
    <n v="0"/>
    <n v="0"/>
    <n v="0"/>
    <n v="0"/>
    <n v="0"/>
    <n v="0"/>
    <n v="317"/>
    <n v="11475083"/>
    <n v="0"/>
    <n v="50"/>
    <n v="0"/>
    <n v="0"/>
    <n v="0"/>
    <n v="0"/>
    <n v="1616152.5"/>
    <n v="0"/>
    <n v="0"/>
    <n v="0"/>
    <n v="317"/>
    <n v="11475083"/>
    <n v="0"/>
    <n v="0"/>
    <n v="0"/>
    <n v="0"/>
    <n v="0"/>
    <n v="0"/>
    <n v="0"/>
    <n v="0"/>
    <n v="0"/>
    <n v="0"/>
    <n v="317"/>
    <n v="11475083"/>
    <n v="0"/>
    <n v="45"/>
    <n v="361"/>
    <n v="45"/>
    <n v="0"/>
    <n v="0"/>
    <n v="0"/>
    <n v="13067839"/>
    <n v="1616152.5"/>
    <n v="0"/>
    <n v="0"/>
    <n v="317"/>
    <n v="11475083"/>
    <n v="4537436.974789917"/>
    <n v="80"/>
    <n v="432"/>
    <n v="115"/>
    <m/>
    <n v="0"/>
    <n v="0"/>
    <n v="15637968"/>
    <n v="4130167.5"/>
    <n v="0"/>
    <n v="0"/>
    <n v="432"/>
    <n v="11475083"/>
    <n v="11595672.26890756"/>
    <n v="80"/>
    <n v="403"/>
    <n v="86"/>
    <n v="0"/>
    <n v="0"/>
    <n v="0"/>
    <n v="14588197"/>
    <n v="3088647"/>
    <n v="0"/>
    <n v="0"/>
    <n v="403"/>
    <n v="11475083"/>
    <n v="8671546.218487395"/>
    <n v="80"/>
    <n v="317"/>
    <n v="80"/>
    <n v="0"/>
    <n v="0"/>
    <n v="0"/>
    <n v="11475083"/>
    <n v="2873160"/>
    <n v="0"/>
    <n v="0"/>
    <n v="317"/>
    <n v="11475083"/>
    <n v="8066554.62184874"/>
    <n v="70"/>
    <n v="237"/>
    <n v="70"/>
    <n v="0"/>
    <n v="0"/>
    <n v="0"/>
    <n v="8511736.5"/>
    <n v="2514015"/>
    <n v="0"/>
    <n v="0"/>
    <n v="237"/>
    <n v="8511736.5"/>
    <n v="7058235.294117647"/>
    <n v="100"/>
    <n v="167"/>
    <n v="100"/>
    <n v="0"/>
    <n v="0"/>
    <n v="0"/>
    <m/>
    <n v="5997721.5"/>
    <n v="3591450"/>
    <n v="0"/>
    <n v="0"/>
    <n v="167"/>
    <n v="5997721.5"/>
    <n v="8402521.008403363"/>
    <n v="60"/>
    <n v="67"/>
    <n v="60"/>
    <n v="600"/>
    <n v="300"/>
    <n v="2406271.5"/>
    <n v="2154870"/>
    <n v="21548700"/>
    <n v="10774350"/>
    <n v="367"/>
    <n v="13180621.5"/>
    <n v="5293588.235294119"/>
    <n v="80"/>
    <n v="307"/>
    <n v="80"/>
    <n v="0"/>
    <n v="0"/>
    <n v="11025751.5"/>
    <n v="2873160"/>
    <n v="0"/>
    <n v="307"/>
    <n v="11025751.5"/>
    <n v="8066554.62184874"/>
    <n v="36"/>
    <n v="227"/>
    <n v="36"/>
    <n v="0"/>
    <n v="300"/>
    <n v="8152591.5"/>
    <n v="1303164"/>
    <n v="10774350"/>
    <n v="527"/>
    <n v="18926941.5"/>
    <n v="3629949.579831933"/>
  </r>
  <r>
    <m/>
    <x v="6"/>
    <x v="27"/>
    <x v="62"/>
    <s v="SMBATOXBG"/>
    <x v="618"/>
    <x v="462"/>
    <x v="0"/>
    <x v="1"/>
    <n v="1"/>
    <x v="3"/>
    <n v="0"/>
    <m/>
    <n v="0"/>
    <n v="31136.25"/>
    <n v="0"/>
    <n v="29.88"/>
    <n v="31136.25"/>
    <n v="78494.74789915966"/>
    <n v="66720.53571428571"/>
    <s v="Ningbo"/>
    <s v="20/80 Credit"/>
    <n v="45"/>
    <n v="600"/>
    <n v="0"/>
    <s v=""/>
    <n v="0"/>
    <s v=""/>
    <n v="0"/>
    <s v=""/>
    <n v="0"/>
    <s v=""/>
    <n v="0"/>
    <s v=""/>
    <n v="0"/>
    <s v=""/>
    <n v="0"/>
    <n v="0"/>
    <n v="0"/>
    <n v="0"/>
    <n v="0"/>
    <n v="0"/>
    <n v="0"/>
    <n v="0"/>
    <n v="0"/>
    <n v="0"/>
    <n v="0"/>
    <n v="0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1"/>
    <n v="0"/>
    <n v="600"/>
    <n v="600"/>
    <n v="0"/>
    <n v="0"/>
    <n v="30925.8"/>
    <n v="0"/>
    <n v="0"/>
    <n v="0"/>
    <n v="0"/>
    <n v="0"/>
    <n v="150"/>
    <n v="595"/>
    <n v="0"/>
    <n v="600"/>
    <n v="0"/>
    <n v="0"/>
    <n v="0"/>
    <n v="18400851"/>
    <n v="0"/>
    <n v="0"/>
    <n v="0"/>
    <n v="0"/>
    <n v="0"/>
    <n v="250"/>
    <n v="531"/>
    <n v="0"/>
    <n v="0"/>
    <n v="0"/>
    <n v="0"/>
    <n v="16533348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0"/>
    <n v="80"/>
    <n v="600"/>
    <n v="600"/>
    <n v="0"/>
    <n v="0"/>
    <n v="2474064"/>
    <n v="18555480"/>
    <n v="0"/>
    <n v="0"/>
    <n v="0"/>
    <n v="6279579.831932773"/>
    <n v="150"/>
    <n v="600"/>
    <n v="150"/>
    <n v="0"/>
    <n v="0"/>
    <n v="0"/>
    <n v="600"/>
    <n v="18555480"/>
    <n v="4638870"/>
    <n v="0"/>
    <n v="18555480"/>
    <n v="600"/>
    <n v="37110960"/>
    <n v="10008080.35714286"/>
    <n v="150"/>
    <n v="450"/>
    <n v="150"/>
    <n v="0"/>
    <n v="0"/>
    <n v="13916610"/>
    <n v="4638870"/>
    <n v="0"/>
    <n v="0"/>
    <n v="450"/>
    <n v="13916610"/>
    <n v="10508484.375"/>
    <n v="180"/>
    <n v="300"/>
    <n v="180"/>
    <n v="600"/>
    <n v="300"/>
    <n v="9277740"/>
    <n v="5566644"/>
    <n v="9277740"/>
    <n v="600"/>
    <n v="18555480"/>
    <n v="14129054.62184874"/>
    <n v="90"/>
    <n v="420"/>
    <n v="90"/>
    <n v="0"/>
    <n v="300"/>
    <n v="12988836"/>
    <n v="2802262.5"/>
    <n v="9277740"/>
    <n v="720"/>
    <n v="22266576"/>
    <n v="7064527.310924369"/>
  </r>
  <r>
    <m/>
    <x v="6"/>
    <x v="27"/>
    <x v="62"/>
    <s v="SMBATOXBK"/>
    <x v="619"/>
    <x v="463"/>
    <x v="0"/>
    <x v="1"/>
    <n v="1"/>
    <x v="310"/>
    <n v="23"/>
    <m/>
    <n v="0"/>
    <n v="27581"/>
    <n v="634363"/>
    <n v="29.88"/>
    <n v="31136.25"/>
    <n v="75621.84873949581"/>
    <n v="67218.48739495799"/>
    <s v="Ningbo"/>
    <s v="20/80 Credit"/>
    <n v="45"/>
    <n v="600"/>
    <n v="0"/>
    <s v=""/>
    <n v="0"/>
    <s v=""/>
    <n v="0"/>
    <s v=""/>
    <n v="0"/>
    <s v=""/>
    <n v="0"/>
    <s v=""/>
    <n v="0"/>
    <s v=""/>
    <n v="53"/>
    <n v="0.5207320946648388"/>
    <n v="166"/>
    <n v="0.5261961531183333"/>
    <n v="181"/>
    <n v="0.525820907478033"/>
    <n v="194"/>
    <n v="0.3990145711888691"/>
    <n v="-1"/>
    <n v="0.5053103335416108"/>
    <n v="0"/>
    <s v=""/>
    <n v="1"/>
    <n v="0.6517159243810826"/>
    <n v="44"/>
    <n v="0.5700194759408571"/>
    <n v="391"/>
    <n v="0.5149410096463571"/>
    <n v="247"/>
    <n v="0.527874276651098"/>
    <n v="1.235"/>
    <n v="340"/>
    <n v="0.5610279025293892"/>
    <n v="1.36"/>
    <n v="611"/>
    <n v="0.4740166861241379"/>
    <n v="1.222"/>
    <n v="101"/>
    <n v="0.5794045487459999"/>
    <n v="0.3366666666666667"/>
    <n v="1"/>
    <n v="0.6717563886572795"/>
    <n v="0.003333333333333334"/>
    <m/>
    <m/>
    <m/>
    <m/>
    <m/>
    <m/>
    <m/>
    <m/>
    <m/>
    <m/>
    <m/>
    <m/>
    <n v="0"/>
    <n v="1"/>
    <n v="0"/>
    <n v="600"/>
    <n v="600"/>
    <n v="0"/>
    <n v="12604517"/>
    <n v="30925.8"/>
    <n v="0"/>
    <n v="0"/>
    <n v="23"/>
    <n v="634363"/>
    <n v="0"/>
    <n v="150"/>
    <n v="595"/>
    <n v="66"/>
    <n v="600"/>
    <n v="0"/>
    <n v="0"/>
    <n v="19417024"/>
    <n v="18400851"/>
    <n v="1820346"/>
    <n v="0"/>
    <n v="23"/>
    <n v="634363"/>
    <n v="4194152.955299768"/>
    <n v="250"/>
    <n v="531"/>
    <n v="391"/>
    <n v="0"/>
    <n v="0"/>
    <n v="25328128"/>
    <n v="14645511"/>
    <n v="10784171"/>
    <n v="0"/>
    <n v="23"/>
    <n v="634363"/>
    <n v="29568142.85714286"/>
    <n v="200"/>
    <n v="706"/>
    <n v="247"/>
    <n v="0"/>
    <n v="0"/>
    <n v="21833614.8"/>
    <n v="6812507"/>
    <n v="0"/>
    <n v="0"/>
    <n v="23"/>
    <n v="634363"/>
    <n v="18678596.63865547"/>
    <n v="250"/>
    <n v="363"/>
    <n v="250"/>
    <n v="600"/>
    <n v="0"/>
    <n v="0"/>
    <n v="10011903"/>
    <n v="7731450"/>
    <n v="18555480"/>
    <n v="0"/>
    <n v="23"/>
    <n v="634363"/>
    <n v="18905462.18487395"/>
    <n v="500"/>
    <n v="634"/>
    <n v="611"/>
    <m/>
    <n v="600"/>
    <n v="0"/>
    <n v="17486354"/>
    <n v="18895663.8"/>
    <n v="0"/>
    <n v="0"/>
    <n v="634"/>
    <n v="634363"/>
    <n v="46204949.57983194"/>
    <n v="300"/>
    <n v="124"/>
    <n v="101"/>
    <n v="0"/>
    <n v="0"/>
    <n v="0"/>
    <n v="3420044"/>
    <n v="3123505.8"/>
    <n v="0"/>
    <n v="0"/>
    <n v="124"/>
    <n v="634363"/>
    <n v="7637806.722689076"/>
    <n v="300"/>
    <n v="23"/>
    <n v="300"/>
    <n v="600"/>
    <n v="600"/>
    <n v="0"/>
    <n v="634363"/>
    <n v="9277740"/>
    <n v="18555480"/>
    <n v="0"/>
    <n v="23"/>
    <n v="634363"/>
    <n v="22686554.62184874"/>
    <n v="250"/>
    <n v="0"/>
    <n v="250"/>
    <n v="0"/>
    <n v="0"/>
    <n v="600"/>
    <n v="0"/>
    <n v="7731450"/>
    <n v="0"/>
    <n v="18555480"/>
    <n v="600"/>
    <n v="18555480"/>
    <n v="18905462.18487395"/>
    <n v="500"/>
    <n v="350"/>
    <n v="350"/>
    <n v="600"/>
    <n v="600"/>
    <n v="600"/>
    <n v="0"/>
    <n v="10824030"/>
    <n v="10824030"/>
    <n v="18555480"/>
    <n v="18555480"/>
    <n v="950"/>
    <n v="29379510"/>
    <n v="23526470.5882353"/>
    <n v="300"/>
    <n v="600"/>
    <n v="300"/>
    <n v="600"/>
    <n v="600"/>
    <n v="18555480"/>
    <n v="9277740"/>
    <n v="18555480"/>
    <n v="18555480"/>
    <n v="1200"/>
    <n v="37110960"/>
    <n v="21173823.52941177"/>
    <n v="300"/>
    <n v="900"/>
    <n v="300"/>
    <n v="600"/>
    <n v="300"/>
    <n v="27833220"/>
    <n v="9277740"/>
    <n v="9277740"/>
    <n v="1200"/>
    <n v="37110960"/>
    <n v="22686554.62184874"/>
    <n v="180"/>
    <n v="900"/>
    <n v="180"/>
    <n v="0"/>
    <n v="300"/>
    <n v="27833220"/>
    <n v="4964580"/>
    <n v="9277740"/>
    <n v="1200"/>
    <n v="37110960"/>
    <n v="13611932.77310925"/>
  </r>
  <r>
    <s v="Simplit-Menaje de Cocina"/>
    <x v="6"/>
    <x v="27"/>
    <x v="62"/>
    <s v="SMBATPMGR"/>
    <x v="620"/>
    <x v="464"/>
    <x v="0"/>
    <x v="4"/>
    <n v="1"/>
    <x v="3"/>
    <n v="427"/>
    <m/>
    <n v="0"/>
    <n v="28031"/>
    <n v="11969237"/>
    <n v="27.3"/>
    <n v="29825.25"/>
    <n v="84025.21008403362"/>
    <n v="58815.12605042017"/>
    <s v="Ningbo"/>
    <s v="20/80 Credit"/>
    <n v="45"/>
    <n v="600"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0"/>
    <n v="54"/>
    <n v="0.469855373666046"/>
    <n v="1.2"/>
    <n v="53"/>
    <n v="0.4672646758850375"/>
    <n v="0.53"/>
    <n v="45"/>
    <n v="0.5134754905761207"/>
    <n v="0.75"/>
    <n v="15"/>
    <n v="0.5035401867544348"/>
    <n v="0.25"/>
    <m/>
    <m/>
    <m/>
    <m/>
    <m/>
    <m/>
    <m/>
    <m/>
    <m/>
    <m/>
    <m/>
    <m/>
    <n v="0"/>
    <n v="0"/>
    <n v="0"/>
    <n v="0"/>
    <n v="0"/>
    <n v="0"/>
    <n v="0"/>
    <n v="0"/>
    <n v="0"/>
    <n v="0"/>
    <n v="427"/>
    <n v="11969237"/>
    <n v="0"/>
    <n v="0"/>
    <n v="0"/>
    <n v="0"/>
    <n v="600"/>
    <n v="0"/>
    <n v="0"/>
    <n v="0"/>
    <n v="0"/>
    <n v="0"/>
    <n v="0"/>
    <n v="427"/>
    <n v="11969237"/>
    <n v="0"/>
    <n v="25"/>
    <n v="0"/>
    <n v="0"/>
    <n v="0"/>
    <n v="0"/>
    <n v="1271497.5"/>
    <n v="0"/>
    <n v="0"/>
    <n v="0"/>
    <n v="427"/>
    <n v="11969237"/>
    <n v="0"/>
    <n v="0"/>
    <n v="0"/>
    <n v="0"/>
    <n v="0"/>
    <n v="0"/>
    <n v="0"/>
    <n v="0"/>
    <n v="0"/>
    <n v="0"/>
    <n v="427"/>
    <n v="11969237"/>
    <n v="0"/>
    <n v="45"/>
    <n v="481"/>
    <n v="45"/>
    <n v="0"/>
    <n v="0"/>
    <n v="0"/>
    <n v="13482911"/>
    <n v="1271497.5"/>
    <n v="0"/>
    <n v="0"/>
    <n v="427"/>
    <n v="11969237"/>
    <n v="3781134.453781513"/>
    <n v="100"/>
    <n v="480"/>
    <n v="53"/>
    <m/>
    <n v="0"/>
    <n v="0"/>
    <n v="13454880"/>
    <n v="1497541.5"/>
    <n v="0"/>
    <n v="0"/>
    <n v="480"/>
    <n v="11969237"/>
    <n v="4453336.134453782"/>
    <n v="60"/>
    <n v="472"/>
    <n v="45"/>
    <n v="0"/>
    <n v="0"/>
    <n v="0"/>
    <n v="13230632"/>
    <n v="1271497.5"/>
    <n v="0"/>
    <n v="0"/>
    <n v="472"/>
    <n v="11969237"/>
    <n v="3781134.453781513"/>
    <n v="60"/>
    <n v="427"/>
    <n v="60"/>
    <n v="0"/>
    <n v="0"/>
    <n v="0"/>
    <n v="11969237"/>
    <n v="1695330"/>
    <n v="0"/>
    <n v="0"/>
    <n v="427"/>
    <n v="11969237"/>
    <n v="5041512.605042017"/>
    <n v="50"/>
    <n v="367"/>
    <n v="50"/>
    <n v="0"/>
    <n v="0"/>
    <n v="0"/>
    <n v="10369768.5"/>
    <n v="1412775"/>
    <n v="0"/>
    <n v="0"/>
    <n v="367"/>
    <n v="10369768.5"/>
    <n v="4201260.504201681"/>
    <n v="80"/>
    <n v="317"/>
    <n v="80"/>
    <n v="0"/>
    <n v="0"/>
    <n v="0"/>
    <m/>
    <n v="8956993.499999998"/>
    <n v="2260440"/>
    <n v="0"/>
    <n v="0"/>
    <n v="317"/>
    <n v="8956993.499999998"/>
    <n v="4705210.084033614"/>
    <n v="60"/>
    <n v="237"/>
    <n v="60"/>
    <n v="0"/>
    <n v="0"/>
    <n v="6696553.499999999"/>
    <n v="1695330"/>
    <n v="0"/>
    <n v="0"/>
    <n v="237"/>
    <n v="6696553.499999999"/>
    <n v="3705352.941176471"/>
    <n v="70"/>
    <n v="177"/>
    <n v="70"/>
    <n v="0"/>
    <n v="0"/>
    <n v="5001223.499999999"/>
    <n v="1977885"/>
    <n v="0"/>
    <n v="177"/>
    <n v="5001223.499999999"/>
    <n v="5881764.705882354"/>
    <n v="36"/>
    <n v="107"/>
    <n v="36"/>
    <n v="0"/>
    <n v="0"/>
    <n v="3023338.5"/>
    <n v="1009116"/>
    <n v="0"/>
    <n v="107"/>
    <n v="3023338.5"/>
    <n v="3024907.563025211"/>
  </r>
  <r>
    <s v="Simplit-Menaje de Cocina"/>
    <x v="6"/>
    <x v="27"/>
    <x v="62"/>
    <s v="SMBATSAV9-CR"/>
    <x v="621"/>
    <x v="465"/>
    <x v="0"/>
    <x v="1"/>
    <n v="1"/>
    <x v="311"/>
    <n v="166"/>
    <m/>
    <n v="0"/>
    <n v="30360"/>
    <n v="5039760"/>
    <n v="32.4"/>
    <n v="35287.74999999999"/>
    <n v="84025.21008403362"/>
    <n v="67218.48739495799"/>
    <s v="Ningbo"/>
    <s v="20/80 Credit"/>
    <n v="45"/>
    <n v="600"/>
    <n v="85"/>
    <n v="0.6205477174444503"/>
    <n v="91"/>
    <n v="0.6431843704475516"/>
    <n v="94"/>
    <n v="0.6387781223628674"/>
    <n v="30"/>
    <n v="0.6163518090740391"/>
    <n v="77"/>
    <n v="0.6465899098072493"/>
    <n v="494"/>
    <n v="0.5595200996196683"/>
    <n v="237"/>
    <n v="0.5588784345898788"/>
    <n v="186"/>
    <n v="0.5729914035939232"/>
    <n v="117"/>
    <n v="0.5928478511153639"/>
    <n v="281"/>
    <n v="0.5208099162357314"/>
    <n v="135"/>
    <n v="0.5829542772040172"/>
    <n v="146"/>
    <n v="0.5670607493764667"/>
    <n v="123"/>
    <n v="0.5535058333638458"/>
    <n v="130"/>
    <n v="0.577052670524941"/>
    <n v="211"/>
    <n v="0.5047627842779702"/>
    <n v="129"/>
    <n v="0.5392917459610808"/>
    <n v="0.645"/>
    <n v="257"/>
    <n v="0.5200853494719502"/>
    <n v="1.028"/>
    <n v="408"/>
    <n v="0.4652026463973938"/>
    <n v="1.02"/>
    <n v="71"/>
    <n v="0.5377123206694646"/>
    <n v="0.4176470588235294"/>
    <n v="29"/>
    <n v="0.3865086943353708"/>
    <n v="0.145"/>
    <m/>
    <m/>
    <m/>
    <m/>
    <m/>
    <m/>
    <m/>
    <m/>
    <m/>
    <m/>
    <m/>
    <m/>
    <n v="150"/>
    <n v="324"/>
    <n v="120"/>
    <n v="600"/>
    <n v="600"/>
    <n v="0"/>
    <n v="15969360"/>
    <n v="10865016"/>
    <n v="3643200"/>
    <n v="0"/>
    <n v="166"/>
    <n v="5039760"/>
    <n v="8473130.428642046"/>
    <n v="120"/>
    <n v="819"/>
    <n v="195"/>
    <n v="600"/>
    <n v="0"/>
    <n v="0"/>
    <n v="16242600"/>
    <n v="27464346"/>
    <n v="5920200"/>
    <n v="0"/>
    <n v="166"/>
    <n v="5039760"/>
    <n v="13768836.94654332"/>
    <n v="200"/>
    <n v="674"/>
    <n v="211"/>
    <n v="0"/>
    <n v="0"/>
    <n v="18705900"/>
    <n v="20462640"/>
    <n v="6405960"/>
    <n v="0"/>
    <n v="166"/>
    <n v="5039760"/>
    <n v="17729319.3277311"/>
    <n v="200"/>
    <n v="1055"/>
    <n v="129"/>
    <n v="0"/>
    <n v="0"/>
    <n v="35378370"/>
    <n v="3916440"/>
    <n v="0"/>
    <n v="0"/>
    <n v="166"/>
    <n v="5039760"/>
    <n v="10839252.10084034"/>
    <n v="250"/>
    <n v="423"/>
    <n v="250"/>
    <n v="0"/>
    <n v="0"/>
    <n v="0"/>
    <n v="12842280"/>
    <n v="8383500"/>
    <n v="0"/>
    <n v="0"/>
    <n v="166"/>
    <n v="5039760"/>
    <n v="21006302.52100841"/>
    <n v="400"/>
    <n v="574"/>
    <n v="408"/>
    <m/>
    <n v="0"/>
    <n v="0"/>
    <n v="17426640"/>
    <n v="13681872"/>
    <n v="0"/>
    <n v="0"/>
    <n v="574"/>
    <n v="5039760"/>
    <n v="34282285.71428572"/>
    <n v="170"/>
    <n v="237"/>
    <n v="71"/>
    <n v="0"/>
    <n v="0"/>
    <n v="0"/>
    <n v="7195320"/>
    <n v="2380914"/>
    <n v="0"/>
    <n v="0"/>
    <n v="237"/>
    <n v="5039760"/>
    <n v="5965789.915966387"/>
    <n v="200"/>
    <n v="166"/>
    <n v="200"/>
    <n v="600"/>
    <n v="440"/>
    <n v="0"/>
    <n v="5039760"/>
    <n v="6706800"/>
    <n v="20120400"/>
    <n v="0"/>
    <n v="166"/>
    <n v="5039760"/>
    <n v="16805042.01680673"/>
    <n v="120"/>
    <n v="0"/>
    <n v="120"/>
    <n v="0"/>
    <n v="0"/>
    <n v="540"/>
    <n v="0"/>
    <n v="4024080"/>
    <n v="0"/>
    <n v="18108360"/>
    <n v="540"/>
    <n v="18108360"/>
    <n v="10083025.21008403"/>
    <n v="250"/>
    <n v="480"/>
    <n v="250"/>
    <n v="0"/>
    <n v="0"/>
    <n v="0"/>
    <n v="60"/>
    <n v="16096320"/>
    <n v="8383500"/>
    <n v="0"/>
    <n v="2012040"/>
    <n v="480"/>
    <n v="18108360"/>
    <n v="16804621.8487395"/>
    <n v="150"/>
    <n v="230"/>
    <n v="150"/>
    <n v="600"/>
    <n v="300"/>
    <n v="7712820"/>
    <n v="5030100"/>
    <n v="20120400"/>
    <n v="10060200"/>
    <n v="530"/>
    <n v="17773020"/>
    <n v="10586911.76470588"/>
    <n v="150"/>
    <n v="380"/>
    <n v="150"/>
    <n v="0"/>
    <m/>
    <n v="12742920"/>
    <n v="5030100"/>
    <n v="0"/>
    <n v="380"/>
    <n v="12742920"/>
    <n v="12603781.51260504"/>
    <n v="90"/>
    <n v="230"/>
    <n v="90"/>
    <n v="0"/>
    <n v="300"/>
    <n v="7712820"/>
    <n v="2732400"/>
    <n v="10060200"/>
    <n v="530"/>
    <n v="17773020"/>
    <n v="7562268.907563026"/>
  </r>
  <r>
    <s v="Simplit-Menaje de Cocina"/>
    <x v="6"/>
    <x v="27"/>
    <x v="63"/>
    <s v="SIMCENVER-CR"/>
    <x v="622"/>
    <x v="466"/>
    <x v="0"/>
    <x v="3"/>
    <n v="1"/>
    <x v="312"/>
    <n v="26"/>
    <m/>
    <n v="0"/>
    <n v="3049"/>
    <n v="79274"/>
    <n v="2.77"/>
    <n v="3026.225"/>
    <n v="12596.63865546219"/>
    <n v="10915.96638655462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16"/>
    <n v="0.7502277845181047"/>
    <n v="20"/>
    <n v="0.7315961463369907"/>
    <n v="30"/>
    <n v="0.7828478113661718"/>
    <n v="9"/>
    <n v="0.7416859290996893"/>
    <n v="24"/>
    <n v="0.6583857491888676"/>
    <n v="48"/>
    <n v="0.6743860498881878"/>
    <n v="33"/>
    <n v="0.688945553866374"/>
    <n v="0.825"/>
    <n v="17"/>
    <n v="0.7403321152826075"/>
    <n v="0.4857142857142857"/>
    <n v="52"/>
    <n v="0.603517047941928"/>
    <n v="0.9454545454545454"/>
    <n v="22"/>
    <n v="0.7452267281105991"/>
    <n v="0.55"/>
    <n v="4"/>
    <n v="0.7101064658530252"/>
    <n v="0.1142857142857143"/>
    <m/>
    <m/>
    <m/>
    <m/>
    <m/>
    <m/>
    <m/>
    <m/>
    <m/>
    <m/>
    <m/>
    <m/>
    <n v="30"/>
    <n v="240"/>
    <n v="20"/>
    <n v="0"/>
    <n v="0"/>
    <n v="0"/>
    <n v="317096"/>
    <n v="688068"/>
    <n v="60980"/>
    <n v="0"/>
    <n v="26"/>
    <n v="79274"/>
    <n v="211708.2126968435"/>
    <n v="25"/>
    <n v="231"/>
    <n v="36"/>
    <n v="0"/>
    <n v="0"/>
    <n v="0"/>
    <n v="356733"/>
    <n v="662265.45"/>
    <n v="109764"/>
    <n v="0"/>
    <n v="26"/>
    <n v="79274"/>
    <n v="381074.7828543183"/>
    <n v="45"/>
    <n v="209"/>
    <n v="48"/>
    <n v="0"/>
    <n v="0"/>
    <n v="347312.25"/>
    <n v="637241"/>
    <n v="146352"/>
    <n v="0"/>
    <n v="26"/>
    <n v="79274"/>
    <n v="604638.6554621849"/>
    <n v="40"/>
    <n v="141"/>
    <n v="33"/>
    <n v="200"/>
    <n v="0"/>
    <n v="404239.95"/>
    <n v="100617"/>
    <n v="573390"/>
    <n v="0"/>
    <n v="26"/>
    <n v="79274"/>
    <n v="415689.0756302521"/>
    <n v="35"/>
    <n v="43"/>
    <n v="35"/>
    <m/>
    <n v="0"/>
    <n v="0"/>
    <n v="131107"/>
    <n v="100343.25"/>
    <n v="0"/>
    <n v="0"/>
    <n v="26"/>
    <n v="79274"/>
    <n v="440882.3529411765"/>
    <n v="55"/>
    <n v="78"/>
    <n v="52"/>
    <m/>
    <n v="0"/>
    <n v="0"/>
    <n v="237822"/>
    <n v="149081.4"/>
    <n v="0"/>
    <n v="0"/>
    <n v="78"/>
    <n v="79274"/>
    <n v="655025.2100840337"/>
    <n v="40"/>
    <n v="48"/>
    <n v="22"/>
    <n v="0"/>
    <n v="0"/>
    <n v="0"/>
    <n v="146352"/>
    <n v="63072.89999999999"/>
    <n v="0"/>
    <n v="0"/>
    <n v="48"/>
    <n v="79274"/>
    <n v="277126.0504201681"/>
    <n v="35"/>
    <n v="26"/>
    <n v="35"/>
    <n v="0"/>
    <n v="200"/>
    <n v="0"/>
    <n v="79274"/>
    <n v="100343.25"/>
    <n v="0"/>
    <n v="0"/>
    <n v="26"/>
    <n v="79274"/>
    <n v="440882.3529411765"/>
    <n v="40"/>
    <n v="0"/>
    <n v="40"/>
    <n v="0"/>
    <n v="0"/>
    <n v="205"/>
    <n v="0"/>
    <n v="114678"/>
    <n v="0"/>
    <n v="587724.75"/>
    <n v="205"/>
    <n v="587724.75"/>
    <n v="503865.5462184874"/>
    <n v="50"/>
    <n v="165"/>
    <n v="50"/>
    <n v="0"/>
    <n v="0"/>
    <n v="0"/>
    <m/>
    <n v="473046.7499999999"/>
    <n v="143347.5"/>
    <n v="0"/>
    <n v="0"/>
    <n v="165"/>
    <n v="473046.7499999999"/>
    <n v="545798.3193277312"/>
    <n v="40"/>
    <n v="115"/>
    <n v="40"/>
    <n v="0"/>
    <n v="0"/>
    <n v="329699.25"/>
    <n v="114678"/>
    <n v="0"/>
    <n v="0"/>
    <n v="115"/>
    <n v="329699.25"/>
    <n v="458470.5882352942"/>
    <n v="70"/>
    <n v="75"/>
    <n v="70"/>
    <n v="0"/>
    <n v="0"/>
    <n v="215021.25"/>
    <n v="200686.5"/>
    <n v="0"/>
    <n v="75"/>
    <n v="215021.25"/>
    <n v="881764.705882353"/>
    <n v="24"/>
    <n v="5"/>
    <n v="24"/>
    <n v="0"/>
    <m/>
    <n v="14334.75"/>
    <n v="73176"/>
    <n v="0"/>
    <n v="5"/>
    <n v="14334.75"/>
    <n v="302319.3277310925"/>
  </r>
  <r>
    <s v="Simplit-Menaje de Cocina"/>
    <x v="6"/>
    <x v="27"/>
    <x v="63"/>
    <s v="SIMCUCER-24"/>
    <x v="623"/>
    <x v="467"/>
    <x v="0"/>
    <x v="4"/>
    <n v="1"/>
    <x v="3"/>
    <n v="754"/>
    <m/>
    <n v="0"/>
    <n v="6997"/>
    <n v="5275738"/>
    <n v="7.15"/>
    <n v="7811.374999999999"/>
    <n v="18478.99159663866"/>
    <n v="14277.31092436975"/>
    <s v="Shenzhen"/>
    <s v="30/70"/>
    <n v="6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0"/>
    <s v=""/>
    <n v="0"/>
    <s v=""/>
    <n v="0"/>
    <n v="22"/>
    <n v="0.5664920505503466"/>
    <n v="0.55"/>
    <n v="119"/>
    <n v="0.2889747137414639"/>
    <n v="0.7933333333333333"/>
    <n v="75"/>
    <n v="0.5704773810335811"/>
    <n v="1.071428571428571"/>
    <n v="27"/>
    <n v="0.5591425642834019"/>
    <n v="0.3857142857142857"/>
    <m/>
    <m/>
    <m/>
    <m/>
    <m/>
    <m/>
    <m/>
    <m/>
    <m/>
    <m/>
    <m/>
    <m/>
    <n v="0"/>
    <n v="0"/>
    <n v="0"/>
    <n v="0"/>
    <n v="0"/>
    <n v="0"/>
    <n v="0"/>
    <n v="0"/>
    <n v="0"/>
    <n v="0"/>
    <n v="754"/>
    <n v="5275738"/>
    <n v="0"/>
    <n v="0"/>
    <n v="0"/>
    <n v="0"/>
    <n v="0"/>
    <n v="0"/>
    <n v="0"/>
    <n v="0"/>
    <n v="0"/>
    <n v="0"/>
    <n v="0"/>
    <n v="754"/>
    <n v="5275738"/>
    <n v="0"/>
    <n v="0"/>
    <n v="0"/>
    <n v="0"/>
    <n v="0"/>
    <n v="0"/>
    <n v="296009.9999999999"/>
    <n v="0"/>
    <n v="0"/>
    <n v="0"/>
    <n v="754"/>
    <n v="5275738"/>
    <n v="0"/>
    <n v="0"/>
    <n v="500"/>
    <n v="0"/>
    <n v="0"/>
    <n v="0"/>
    <n v="3700125"/>
    <n v="0"/>
    <n v="0"/>
    <n v="0"/>
    <n v="754"/>
    <n v="5275738"/>
    <n v="0"/>
    <n v="40"/>
    <n v="776"/>
    <n v="40"/>
    <n v="0"/>
    <n v="500"/>
    <n v="0"/>
    <n v="5429672"/>
    <n v="296009.9999999999"/>
    <n v="0"/>
    <n v="0"/>
    <n v="754"/>
    <n v="5275738"/>
    <n v="739159.6638655463"/>
    <n v="150"/>
    <n v="873"/>
    <n v="119"/>
    <m/>
    <n v="0"/>
    <n v="0"/>
    <n v="6108381"/>
    <n v="880629.7499999999"/>
    <n v="0"/>
    <n v="0"/>
    <n v="873"/>
    <n v="5275738"/>
    <n v="2199000"/>
    <n v="70"/>
    <n v="829"/>
    <n v="75"/>
    <n v="500"/>
    <n v="500"/>
    <n v="0"/>
    <n v="5800513"/>
    <n v="555018.7499999999"/>
    <n v="3576787.5"/>
    <n v="0"/>
    <n v="829"/>
    <n v="5275738"/>
    <n v="1385924.369747899"/>
    <n v="70"/>
    <n v="754"/>
    <n v="70"/>
    <n v="0"/>
    <n v="0"/>
    <n v="0"/>
    <n v="5275738"/>
    <n v="518017.4999999999"/>
    <n v="0"/>
    <n v="0"/>
    <n v="754"/>
    <n v="5275738"/>
    <n v="1293529.411764706"/>
    <n v="70"/>
    <n v="684"/>
    <n v="70"/>
    <n v="0"/>
    <n v="0"/>
    <n v="0"/>
    <n v="5061770.999999999"/>
    <n v="518017.4999999999"/>
    <n v="0"/>
    <n v="0"/>
    <n v="684"/>
    <n v="5061770.999999999"/>
    <n v="1293529.411764706"/>
    <n v="150"/>
    <n v="614"/>
    <n v="150"/>
    <n v="0"/>
    <n v="0"/>
    <n v="0"/>
    <m/>
    <n v="4543753.499999999"/>
    <n v="1110037.5"/>
    <n v="0"/>
    <n v="0"/>
    <n v="614"/>
    <n v="4543753.499999999"/>
    <n v="2141596.638655462"/>
    <n v="120"/>
    <n v="464"/>
    <n v="120"/>
    <n v="0"/>
    <n v="0"/>
    <n v="3433716"/>
    <n v="888029.9999999999"/>
    <n v="0"/>
    <n v="0"/>
    <n v="464"/>
    <n v="3433716"/>
    <n v="1798941.176470588"/>
    <n v="200"/>
    <n v="344"/>
    <n v="200"/>
    <n v="0"/>
    <n v="0"/>
    <n v="2545686"/>
    <n v="1480050"/>
    <n v="0"/>
    <n v="344"/>
    <n v="2545686"/>
    <n v="3695798.319327732"/>
    <n v="72"/>
    <n v="144"/>
    <n v="72"/>
    <n v="0"/>
    <m/>
    <n v="1065636"/>
    <n v="503784"/>
    <n v="0"/>
    <n v="144"/>
    <n v="1065636"/>
    <n v="1330487.394957983"/>
  </r>
  <r>
    <s v="Simplit-Menaje de Cocina"/>
    <x v="6"/>
    <x v="27"/>
    <x v="63"/>
    <s v="SIMCUHOL-5"/>
    <x v="624"/>
    <x v="468"/>
    <x v="0"/>
    <x v="3"/>
    <n v="0.8"/>
    <x v="313"/>
    <n v="156"/>
    <m/>
    <n v="0"/>
    <n v="20235"/>
    <n v="3156660"/>
    <n v="21.98"/>
    <n v="24013.15"/>
    <n v="50411.76470588236"/>
    <n v="42008.40336134454"/>
    <s v="Shenzhen"/>
    <s v="30/70"/>
    <n v="60"/>
    <n v="300"/>
    <n v="35"/>
    <n v="0.5004669617151666"/>
    <n v="3"/>
    <n v="0.5966833894577692"/>
    <n v="5"/>
    <n v="0.6034750612590372"/>
    <n v="22"/>
    <n v="0.493700920280932"/>
    <n v="20"/>
    <n v="0.5343574028471769"/>
    <n v="79"/>
    <n v="0.4511486934270019"/>
    <n v="42"/>
    <n v="0.4713737421885402"/>
    <n v="73"/>
    <n v="0.4504438149853616"/>
    <n v="56"/>
    <n v="0.4945808501640116"/>
    <n v="72"/>
    <n v="0.4961256684843404"/>
    <n v="26"/>
    <n v="0.568074196682598"/>
    <n v="29"/>
    <n v="0.577353842383551"/>
    <n v="27"/>
    <n v="0.3710835909778955"/>
    <n v="6"/>
    <n v="0.3377406171068161"/>
    <n v="2"/>
    <n v="0.4038807039851134"/>
    <n v="12"/>
    <n v="0.5152393127011518"/>
    <n v="0.2666666666666667"/>
    <n v="20"/>
    <n v="0.5038881291898284"/>
    <n v="0.5"/>
    <n v="68"/>
    <n v="0.455613795177102"/>
    <n v="0.7555555555555555"/>
    <n v="34"/>
    <n v="0.5395300620024321"/>
    <n v="0.5666666666666667"/>
    <n v="12"/>
    <n v="0.5145986150664399"/>
    <n v="0.16"/>
    <m/>
    <m/>
    <m/>
    <m/>
    <m/>
    <m/>
    <m/>
    <m/>
    <m/>
    <m/>
    <m/>
    <m/>
    <n v="35"/>
    <n v="38"/>
    <n v="35"/>
    <n v="0"/>
    <n v="0"/>
    <n v="0"/>
    <n v="930810"/>
    <n v="864473.4"/>
    <n v="708225"/>
    <n v="0"/>
    <n v="156"/>
    <n v="3156660"/>
    <n v="1482698.961937716"/>
    <n v="0"/>
    <n v="25"/>
    <n v="9"/>
    <n v="300"/>
    <n v="300"/>
    <n v="0"/>
    <n v="465405"/>
    <n v="568732.5"/>
    <n v="182115"/>
    <n v="0"/>
    <n v="156"/>
    <n v="3156660"/>
    <n v="381265.4473554128"/>
    <n v="30"/>
    <n v="21"/>
    <n v="2"/>
    <n v="0"/>
    <n v="0"/>
    <n v="1011267.6"/>
    <n v="424935"/>
    <n v="40470"/>
    <n v="0"/>
    <n v="156"/>
    <n v="3156660"/>
    <n v="100823.5294117647"/>
    <n v="45"/>
    <n v="293"/>
    <n v="12"/>
    <n v="0"/>
    <n v="0"/>
    <n v="6665544.899999999"/>
    <n v="242820"/>
    <n v="0"/>
    <n v="0"/>
    <n v="156"/>
    <n v="3156660"/>
    <n v="604941.1764705883"/>
    <n v="40"/>
    <n v="176"/>
    <n v="32"/>
    <m/>
    <n v="0"/>
    <n v="0"/>
    <n v="3561360"/>
    <n v="727977.6"/>
    <n v="0"/>
    <n v="0"/>
    <n v="156"/>
    <n v="3156660"/>
    <n v="1613176.470588235"/>
    <n v="90"/>
    <n v="224"/>
    <n v="68"/>
    <m/>
    <n v="0"/>
    <n v="0"/>
    <n v="4532640"/>
    <n v="1546952.4"/>
    <n v="0"/>
    <n v="0"/>
    <n v="224"/>
    <n v="3156660"/>
    <n v="3428000"/>
    <n v="60"/>
    <n v="190"/>
    <n v="34"/>
    <n v="0"/>
    <n v="0"/>
    <n v="0"/>
    <n v="3844650"/>
    <n v="773476.2"/>
    <n v="0"/>
    <n v="0"/>
    <n v="190"/>
    <n v="3156660"/>
    <n v="1714000"/>
    <n v="75"/>
    <n v="156"/>
    <n v="60"/>
    <n v="0"/>
    <n v="0"/>
    <n v="0"/>
    <n v="3156660"/>
    <n v="1364958"/>
    <n v="0"/>
    <n v="0"/>
    <n v="156"/>
    <n v="3156660"/>
    <n v="3024705.882352941"/>
    <n v="60"/>
    <n v="96"/>
    <n v="48"/>
    <n v="250"/>
    <n v="100"/>
    <n v="0"/>
    <n v="2183932.8"/>
    <n v="1091966.4"/>
    <n v="5687325"/>
    <n v="0"/>
    <n v="96"/>
    <n v="2183932.8"/>
    <n v="2419764.705882353"/>
    <n v="70"/>
    <n v="148"/>
    <n v="56"/>
    <n v="0"/>
    <n v="0"/>
    <n v="0"/>
    <n v="100"/>
    <n v="3366896.4"/>
    <n v="1273960.8"/>
    <n v="0"/>
    <n v="2274930"/>
    <n v="148"/>
    <n v="5641826.4"/>
    <n v="2352470.588235294"/>
    <n v="50"/>
    <n v="92"/>
    <n v="40"/>
    <n v="0"/>
    <n v="0"/>
    <n v="2092935.6"/>
    <n v="909972"/>
    <n v="0"/>
    <n v="0"/>
    <n v="92"/>
    <n v="2092935.6"/>
    <n v="1764352.941176471"/>
    <n v="60"/>
    <n v="52"/>
    <n v="48"/>
    <n v="0"/>
    <n v="0"/>
    <n v="1182963.6"/>
    <n v="1091966.4"/>
    <n v="0"/>
    <n v="52"/>
    <n v="1182963.6"/>
    <n v="2419764.705882353"/>
    <n v="30"/>
    <n v="4"/>
    <n v="24"/>
    <n v="0"/>
    <m/>
    <n v="90997.2"/>
    <n v="485640"/>
    <n v="0"/>
    <n v="4"/>
    <n v="90997.2"/>
    <n v="1209882.352941177"/>
  </r>
  <r>
    <s v="Simplit-Menaje de Cocina"/>
    <x v="6"/>
    <x v="27"/>
    <x v="63"/>
    <s v="SIMCUKUC-5"/>
    <x v="625"/>
    <x v="469"/>
    <x v="0"/>
    <x v="1"/>
    <n v="1"/>
    <x v="314"/>
    <n v="322"/>
    <m/>
    <n v="0"/>
    <n v="14578"/>
    <n v="4694116"/>
    <n v="14.25"/>
    <n v="15568.125"/>
    <n v="33605.04201680672"/>
    <n v="29403.36134453782"/>
    <s v="Shenzhen"/>
    <s v="30/70"/>
    <n v="60"/>
    <n v="300"/>
    <n v="12"/>
    <n v="0.6147775752055618"/>
    <n v="8"/>
    <n v="0.6230460348032169"/>
    <n v="25"/>
    <n v="0.6189333189029542"/>
    <n v="27"/>
    <n v="0.5713100105861468"/>
    <n v="31"/>
    <n v="0.6103337661222444"/>
    <n v="102"/>
    <n v="0.5124679152843801"/>
    <n v="55"/>
    <n v="0.5112231583257013"/>
    <n v="84"/>
    <n v="0.5127548320462745"/>
    <n v="63"/>
    <n v="0.5581360449608369"/>
    <n v="48"/>
    <n v="0.5551522934531286"/>
    <n v="33"/>
    <n v="0.6608817399672167"/>
    <n v="24"/>
    <n v="0.6451912195432726"/>
    <n v="26"/>
    <n v="0.4545465965760925"/>
    <n v="42"/>
    <n v="0.4304772721871293"/>
    <n v="75"/>
    <n v="0.4311306683988576"/>
    <n v="38"/>
    <n v="0.4865679892049494"/>
    <n v="0.76"/>
    <n v="48"/>
    <n v="0.5300768671880999"/>
    <n v="1.371428571428571"/>
    <n v="82"/>
    <n v="0.460583692479932"/>
    <n v="0.82"/>
    <n v="54"/>
    <n v="0.4923005364285504"/>
    <n v="0.9"/>
    <n v="21"/>
    <n v="0.4698659622884744"/>
    <n v="0.2333333333333333"/>
    <m/>
    <m/>
    <m/>
    <m/>
    <m/>
    <m/>
    <m/>
    <m/>
    <m/>
    <m/>
    <m/>
    <m/>
    <n v="40"/>
    <n v="175"/>
    <n v="40"/>
    <n v="200"/>
    <n v="100"/>
    <n v="0"/>
    <n v="2594884"/>
    <n v="2581031.25"/>
    <n v="583120"/>
    <n v="0"/>
    <n v="322"/>
    <n v="4694116"/>
    <n v="1129581.244262411"/>
    <n v="12"/>
    <n v="158"/>
    <n v="63"/>
    <n v="0"/>
    <n v="0"/>
    <n v="0"/>
    <n v="2565728"/>
    <n v="2330302.5"/>
    <n v="918414"/>
    <n v="0"/>
    <n v="322"/>
    <n v="4694116"/>
    <n v="1779090.459713297"/>
    <n v="60"/>
    <n v="111"/>
    <n v="75"/>
    <n v="0"/>
    <n v="0"/>
    <n v="2163520.25"/>
    <n v="1618158"/>
    <n v="1093350"/>
    <n v="0"/>
    <n v="322"/>
    <n v="4694116"/>
    <n v="2520378.151260504"/>
    <n v="50"/>
    <n v="319"/>
    <n v="38"/>
    <n v="0"/>
    <n v="0"/>
    <n v="4704851.249999999"/>
    <n v="553964"/>
    <n v="0"/>
    <n v="0"/>
    <n v="322"/>
    <n v="4694116"/>
    <n v="1276991.596638655"/>
    <n v="35"/>
    <n v="370"/>
    <n v="35"/>
    <m/>
    <n v="0"/>
    <n v="0"/>
    <n v="5393860"/>
    <n v="516206.2499999999"/>
    <n v="0"/>
    <n v="0"/>
    <n v="322"/>
    <n v="4694116"/>
    <n v="1176176.470588235"/>
    <n v="100"/>
    <n v="404"/>
    <n v="82"/>
    <m/>
    <n v="0"/>
    <n v="0"/>
    <n v="5889512"/>
    <n v="1209397.5"/>
    <n v="0"/>
    <n v="0"/>
    <n v="404"/>
    <n v="4694116"/>
    <n v="2755613.445378151"/>
    <n v="60"/>
    <n v="376"/>
    <n v="54"/>
    <n v="250"/>
    <n v="250"/>
    <n v="0"/>
    <n v="5481328"/>
    <n v="796432.4999999999"/>
    <n v="3564281.25"/>
    <n v="0"/>
    <n v="376"/>
    <n v="4694116"/>
    <n v="1814672.268907563"/>
    <n v="90"/>
    <n v="322"/>
    <n v="90"/>
    <n v="0"/>
    <n v="0"/>
    <n v="0"/>
    <n v="4694116"/>
    <n v="1327387.5"/>
    <n v="0"/>
    <n v="0"/>
    <n v="322"/>
    <n v="4694116"/>
    <n v="3024453.781512605"/>
    <n v="65"/>
    <n v="232"/>
    <n v="65"/>
    <n v="0"/>
    <n v="0"/>
    <n v="0"/>
    <n v="3421710"/>
    <n v="958668.7499999999"/>
    <n v="0"/>
    <n v="0"/>
    <n v="232"/>
    <n v="3421710"/>
    <n v="2184327.731092437"/>
    <n v="50"/>
    <n v="167"/>
    <n v="50"/>
    <n v="0"/>
    <n v="0"/>
    <n v="0"/>
    <m/>
    <n v="2463041.25"/>
    <n v="737437.4999999999"/>
    <n v="0"/>
    <n v="0"/>
    <n v="167"/>
    <n v="2463041.25"/>
    <n v="1470168.067226891"/>
    <n v="45"/>
    <n v="117"/>
    <n v="45"/>
    <n v="0"/>
    <n v="0"/>
    <n v="1725603.75"/>
    <n v="663693.7499999999"/>
    <n v="0"/>
    <n v="0"/>
    <n v="117"/>
    <n v="1725603.75"/>
    <n v="1389308.823529412"/>
    <n v="50"/>
    <n v="72"/>
    <n v="50"/>
    <n v="0"/>
    <n v="0"/>
    <n v="1061910"/>
    <n v="737437.4999999999"/>
    <n v="0"/>
    <n v="72"/>
    <n v="1061910"/>
    <n v="1680252.100840336"/>
    <n v="27"/>
    <n v="22"/>
    <n v="27"/>
    <n v="0"/>
    <m/>
    <n v="324472.4999999999"/>
    <n v="393606"/>
    <n v="0"/>
    <n v="22"/>
    <n v="324472.4999999999"/>
    <n v="907336.1344537814"/>
  </r>
  <r>
    <s v="Simplit-Menaje de Cocina"/>
    <x v="6"/>
    <x v="27"/>
    <x v="63"/>
    <s v="SIMCUMAR-BK"/>
    <x v="626"/>
    <x v="470"/>
    <x v="0"/>
    <x v="3"/>
    <n v="1"/>
    <x v="315"/>
    <n v="12"/>
    <m/>
    <n v="0"/>
    <n v="2637"/>
    <n v="31644"/>
    <n v="2.77"/>
    <n v="3026.225"/>
    <n v="10915.96638655462"/>
    <n v="10915.96638655462"/>
    <s v="Shenzhen"/>
    <s v="30/70"/>
    <n v="60"/>
    <n v="300"/>
    <n v="0"/>
    <s v=""/>
    <n v="0"/>
    <s v=""/>
    <n v="6"/>
    <n v="0.8148676183127798"/>
    <n v="23"/>
    <n v="0.778768165084896"/>
    <n v="24"/>
    <n v="0.7546726955795164"/>
    <n v="70"/>
    <n v="0.7363547471164167"/>
    <n v="34"/>
    <n v="0.705327175299031"/>
    <n v="99"/>
    <n v="0.7079737671726428"/>
    <n v="12"/>
    <n v="0.7656102534333502"/>
    <n v="5"/>
    <n v="0.7523952995066948"/>
    <n v="8"/>
    <n v="0.7680838879124785"/>
    <n v="27"/>
    <n v="0.7912277513689231"/>
    <n v="13"/>
    <n v="0.6913958413429351"/>
    <n v="49"/>
    <n v="0.4254149008682686"/>
    <n v="50"/>
    <n v="0.5160067227910196"/>
    <n v="96"/>
    <n v="0.3041342329048125"/>
    <n v="0.6857142857142857"/>
    <n v="17"/>
    <n v="0.7630819629896147"/>
    <n v="0.5666666666666667"/>
    <n v="17"/>
    <n v="0.7114223014278483"/>
    <n v="0.17"/>
    <n v="-1"/>
    <n v="0.7906871247498332"/>
    <n v="0"/>
    <n v="0"/>
    <s v=""/>
    <n v="0"/>
    <m/>
    <m/>
    <m/>
    <m/>
    <m/>
    <m/>
    <m/>
    <m/>
    <m/>
    <m/>
    <m/>
    <m/>
    <n v="35"/>
    <n v="93"/>
    <n v="35"/>
    <n v="150"/>
    <n v="150"/>
    <n v="0"/>
    <n v="417964.5"/>
    <n v="266626.35"/>
    <n v="92295"/>
    <n v="0"/>
    <n v="12"/>
    <n v="31644"/>
    <n v="321057.8348986654"/>
    <n v="15"/>
    <n v="83"/>
    <n v="73.5"/>
    <n v="0"/>
    <n v="0"/>
    <n v="0"/>
    <n v="578821.5"/>
    <n v="237956.85"/>
    <n v="193819.5"/>
    <n v="0"/>
    <n v="12"/>
    <n v="31644"/>
    <n v="674221.4532871973"/>
    <n v="50"/>
    <n v="153"/>
    <n v="50"/>
    <n v="0"/>
    <n v="0"/>
    <n v="471010.5"/>
    <n v="403461"/>
    <n v="131850"/>
    <n v="0"/>
    <n v="12"/>
    <n v="31644"/>
    <n v="545798.3193277312"/>
    <n v="140"/>
    <n v="145"/>
    <n v="96"/>
    <n v="0"/>
    <n v="0"/>
    <n v="415707.75"/>
    <n v="253152"/>
    <n v="0"/>
    <n v="0"/>
    <n v="12"/>
    <n v="31644"/>
    <n v="1047932.773109244"/>
    <n v="30"/>
    <n v="29"/>
    <n v="30"/>
    <m/>
    <n v="0"/>
    <n v="0"/>
    <n v="76473"/>
    <n v="86008.5"/>
    <n v="0"/>
    <n v="0"/>
    <n v="12"/>
    <n v="31644"/>
    <n v="327478.9915966387"/>
    <n v="100"/>
    <n v="29"/>
    <n v="17"/>
    <m/>
    <n v="0"/>
    <n v="0"/>
    <n v="76473"/>
    <n v="48738.14999999999"/>
    <n v="0"/>
    <n v="0"/>
    <n v="29"/>
    <n v="31644"/>
    <n v="185571.4285714286"/>
    <n v="0"/>
    <n v="11"/>
    <n v="-1"/>
    <n v="200"/>
    <n v="200"/>
    <n v="0"/>
    <n v="29007"/>
    <n v="-2866.95"/>
    <n v="554277"/>
    <n v="0"/>
    <n v="11"/>
    <n v="31644"/>
    <n v="-10915.96638655462"/>
    <n v="60"/>
    <n v="12"/>
    <n v="60"/>
    <n v="0"/>
    <n v="0"/>
    <n v="0"/>
    <n v="31644"/>
    <n v="172017"/>
    <n v="0"/>
    <n v="0"/>
    <n v="12"/>
    <n v="31644"/>
    <n v="654957.9831932774"/>
    <n v="60"/>
    <n v="0"/>
    <n v="60"/>
    <n v="500"/>
    <n v="500"/>
    <n v="204"/>
    <n v="0"/>
    <n v="172017"/>
    <n v="1433475"/>
    <n v="584857.7999999999"/>
    <n v="204"/>
    <n v="584857.7999999999"/>
    <n v="654957.9831932774"/>
    <n v="50"/>
    <n v="440"/>
    <n v="50"/>
    <n v="0"/>
    <n v="0"/>
    <n v="0"/>
    <n v="296"/>
    <n v="1261458"/>
    <n v="143347.5"/>
    <n v="0"/>
    <n v="848617.2"/>
    <n v="440"/>
    <n v="2110075.2"/>
    <n v="545798.3193277312"/>
    <n v="40"/>
    <n v="390"/>
    <n v="40"/>
    <n v="0"/>
    <n v="0"/>
    <n v="1118110.5"/>
    <n v="114678"/>
    <n v="0"/>
    <n v="0"/>
    <n v="390"/>
    <n v="1118110.5"/>
    <n v="458470.5882352942"/>
    <n v="60"/>
    <n v="350"/>
    <n v="60"/>
    <n v="0"/>
    <n v="0"/>
    <n v="1003432.5"/>
    <n v="172017"/>
    <n v="0"/>
    <n v="350"/>
    <n v="1003432.5"/>
    <n v="654957.9831932774"/>
    <n v="24"/>
    <n v="290"/>
    <n v="24"/>
    <n v="0"/>
    <m/>
    <n v="831415.5"/>
    <n v="63288"/>
    <n v="0"/>
    <n v="290"/>
    <n v="831415.5"/>
    <n v="261983.1932773109"/>
  </r>
  <r>
    <s v="Simplit-Menaje de Cocina"/>
    <x v="6"/>
    <x v="27"/>
    <x v="63"/>
    <s v="SIMCUMAR-CR"/>
    <x v="627"/>
    <x v="471"/>
    <x v="0"/>
    <x v="4"/>
    <n v="1"/>
    <x v="50"/>
    <n v="0"/>
    <m/>
    <n v="0"/>
    <n v="3026.225"/>
    <n v="0"/>
    <n v="2.77"/>
    <n v="3026.225"/>
    <n v="7629.138655462185"/>
    <n v="6484.767857142857"/>
    <s v="Shenzhen"/>
    <s v="30/70"/>
    <n v="60"/>
    <n v="3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0"/>
    <n v="0"/>
    <n v="0"/>
    <n v="0"/>
    <n v="0"/>
    <m/>
    <n v="0"/>
    <n v="0"/>
    <n v="0"/>
    <n v="0"/>
    <n v="0"/>
    <n v="0"/>
    <n v="0"/>
    <n v="40"/>
    <n v="0"/>
    <n v="40"/>
    <n v="0"/>
    <n v="0"/>
    <n v="0"/>
    <n v="114678"/>
    <n v="0"/>
    <n v="0"/>
    <n v="0"/>
    <n v="0"/>
    <n v="272360.25"/>
    <n v="50"/>
    <n v="0"/>
    <n v="50"/>
    <n v="0"/>
    <n v="0"/>
    <n v="0"/>
    <n v="143347.5"/>
    <n v="0"/>
    <n v="0"/>
    <n v="0"/>
    <n v="381456.9327731092"/>
    <n v="24"/>
    <n v="0"/>
    <n v="24"/>
    <n v="0"/>
    <m/>
    <n v="0"/>
    <n v="72629.39999999999"/>
    <n v="0"/>
    <n v="0"/>
    <n v="0"/>
    <n v="183099.3277310924"/>
  </r>
  <r>
    <m/>
    <x v="6"/>
    <x v="27"/>
    <x v="63"/>
    <s v="SIMCUMAR-WO"/>
    <x v="628"/>
    <x v="472"/>
    <x v="0"/>
    <x v="0"/>
    <n v="1"/>
    <x v="316"/>
    <n v="31"/>
    <m/>
    <n v="0"/>
    <n v="5597"/>
    <n v="173507"/>
    <n v="5.25"/>
    <n v="5735.625"/>
    <n v="10915.96638655462"/>
    <n v="12596.63865546219"/>
    <s v="Shenzhen"/>
    <s v="30/70"/>
    <n v="60"/>
    <n v="300"/>
    <n v="0"/>
    <s v=""/>
    <n v="0"/>
    <s v=""/>
    <n v="7"/>
    <n v="0.6395347218405965"/>
    <n v="9"/>
    <n v="0.6274195973266476"/>
    <n v="5"/>
    <n v="0.6546829918521639"/>
    <n v="17"/>
    <n v="0.5592976177680214"/>
    <n v="15"/>
    <n v="0.6240904715986249"/>
    <n v="9"/>
    <n v="0.5971196784960427"/>
    <n v="14"/>
    <n v="0.5485603069557088"/>
    <n v="41"/>
    <n v="0.5572589535449507"/>
    <n v="15"/>
    <n v="0.652392211507785"/>
    <n v="19"/>
    <n v="0.5839761935706153"/>
    <n v="9"/>
    <n v="0.60582010320587"/>
    <n v="19"/>
    <n v="0.3092090154777959"/>
    <n v="15"/>
    <n v="0.2609325346441403"/>
    <n v="19"/>
    <n v="0.4436116099111221"/>
    <n v="1.266666666666667"/>
    <n v="11"/>
    <n v="0.6120939539758921"/>
    <n v="0.7333333333333333"/>
    <n v="29"/>
    <n v="0.5351713414627208"/>
    <n v="1.45"/>
    <n v="7"/>
    <n v="0.5380526107203011"/>
    <n v="0.35"/>
    <n v="3"/>
    <n v="0.5455271776211053"/>
    <n v="0.125"/>
    <m/>
    <m/>
    <m/>
    <m/>
    <m/>
    <m/>
    <m/>
    <m/>
    <m/>
    <m/>
    <m/>
    <m/>
    <n v="15"/>
    <n v="144"/>
    <n v="15"/>
    <n v="0"/>
    <n v="0"/>
    <n v="0"/>
    <n v="327424.5"/>
    <n v="782460"/>
    <n v="83955"/>
    <n v="0"/>
    <n v="31"/>
    <n v="173507"/>
    <n v="137596.2149565709"/>
    <n v="10"/>
    <n v="134"/>
    <n v="28.5"/>
    <n v="0"/>
    <n v="0"/>
    <n v="0"/>
    <n v="349812.5"/>
    <n v="728122.5"/>
    <n v="159514.5"/>
    <n v="0"/>
    <n v="31"/>
    <n v="173507"/>
    <n v="261432.8084174847"/>
    <n v="40"/>
    <n v="111"/>
    <n v="15"/>
    <n v="0"/>
    <n v="0"/>
    <n v="271804.25"/>
    <n v="621267"/>
    <n v="83955"/>
    <n v="0"/>
    <n v="31"/>
    <n v="173507"/>
    <n v="163739.4957983193"/>
    <n v="15"/>
    <n v="100"/>
    <n v="19"/>
    <n v="0"/>
    <n v="0"/>
    <n v="543375"/>
    <n v="106343"/>
    <n v="0"/>
    <n v="0"/>
    <n v="31"/>
    <n v="173507"/>
    <n v="207403.3613445378"/>
    <n v="15"/>
    <n v="42"/>
    <n v="15"/>
    <m/>
    <n v="0"/>
    <n v="0"/>
    <n v="235074"/>
    <n v="81506.25"/>
    <n v="0"/>
    <n v="0"/>
    <n v="31"/>
    <n v="173507"/>
    <n v="163739.4957983193"/>
    <n v="20"/>
    <n v="60"/>
    <n v="29"/>
    <m/>
    <n v="0"/>
    <n v="0"/>
    <n v="335820"/>
    <n v="157578.75"/>
    <n v="0"/>
    <n v="0"/>
    <n v="60"/>
    <n v="173507"/>
    <n v="316563.025210084"/>
    <n v="20"/>
    <n v="38"/>
    <n v="7"/>
    <n v="100"/>
    <n v="100"/>
    <n v="0"/>
    <n v="212686"/>
    <n v="38036.25"/>
    <n v="525262.5"/>
    <n v="0"/>
    <n v="38"/>
    <n v="173507"/>
    <n v="76411.76470588236"/>
    <n v="24"/>
    <n v="31"/>
    <n v="24"/>
    <n v="0"/>
    <n v="0"/>
    <n v="0"/>
    <n v="173507"/>
    <n v="130410"/>
    <n v="0"/>
    <n v="0"/>
    <n v="31"/>
    <n v="173507"/>
    <n v="261983.1932773109"/>
    <n v="0"/>
    <n v="7"/>
    <n v="0"/>
    <n v="0"/>
    <n v="0"/>
    <n v="108"/>
    <n v="38036.25"/>
    <n v="0"/>
    <n v="0"/>
    <n v="586845"/>
    <n v="115"/>
    <n v="624881.25"/>
    <n v="0"/>
    <n v="0"/>
    <n v="115"/>
    <n v="0"/>
    <n v="0"/>
    <n v="0"/>
    <n v="0"/>
    <m/>
    <n v="624881.25"/>
    <n v="0"/>
    <n v="0"/>
    <n v="0"/>
    <n v="115"/>
    <n v="624881.25"/>
    <n v="0"/>
    <n v="0"/>
    <n v="115"/>
    <n v="0"/>
    <n v="0"/>
    <n v="0"/>
    <n v="624881.25"/>
    <n v="0"/>
    <n v="0"/>
    <n v="0"/>
    <n v="115"/>
    <n v="624881.25"/>
    <n v="0"/>
    <n v="0"/>
    <n v="115"/>
    <n v="0"/>
    <n v="0"/>
    <n v="0"/>
    <n v="624881.25"/>
    <n v="0"/>
    <n v="0"/>
    <n v="115"/>
    <n v="624881.25"/>
    <n v="0"/>
    <n v="0"/>
    <n v="115"/>
    <n v="0"/>
    <n v="0"/>
    <m/>
    <n v="624881.25"/>
    <n v="0"/>
    <n v="0"/>
    <n v="115"/>
    <n v="624881.25"/>
    <n v="0"/>
  </r>
  <r>
    <s v="Simplit-Menaje de Cocina"/>
    <x v="6"/>
    <x v="27"/>
    <x v="63"/>
    <s v="SIMCUPAR-BK"/>
    <x v="629"/>
    <x v="473"/>
    <x v="0"/>
    <x v="4"/>
    <n v="1"/>
    <x v="3"/>
    <n v="1"/>
    <m/>
    <n v="0"/>
    <n v="9700"/>
    <n v="9700"/>
    <n v="9.800000000000001"/>
    <n v="10706.5"/>
    <n v="25201.68067226891"/>
    <n v="19319.32773109244"/>
    <s v="Shenzhen"/>
    <s v="30/70"/>
    <n v="6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"/>
    <n v="0.2"/>
    <n v="10"/>
    <n v="0.5303058061152668"/>
    <n v="0"/>
    <n v="46"/>
    <n v="0.6014854560788871"/>
    <n v="1.15"/>
    <n v="123"/>
    <n v="0.360982392050633"/>
    <n v="1.025"/>
    <n v="21"/>
    <n v="0.5607045758101317"/>
    <n v="2.625"/>
    <n v="0"/>
    <s v=""/>
    <n v="0"/>
    <m/>
    <m/>
    <m/>
    <m/>
    <m/>
    <m/>
    <m/>
    <m/>
    <m/>
    <m/>
    <m/>
    <m/>
    <n v="0"/>
    <n v="0"/>
    <n v="0"/>
    <n v="0"/>
    <n v="0"/>
    <n v="0"/>
    <n v="9700"/>
    <n v="0"/>
    <n v="0"/>
    <n v="0"/>
    <n v="1"/>
    <n v="9700"/>
    <n v="0"/>
    <n v="0"/>
    <n v="0"/>
    <n v="0"/>
    <n v="0"/>
    <n v="0"/>
    <n v="0"/>
    <n v="106700"/>
    <n v="0"/>
    <n v="0"/>
    <n v="0"/>
    <n v="1"/>
    <n v="9700"/>
    <n v="0"/>
    <n v="0"/>
    <n v="0"/>
    <n v="1"/>
    <n v="0"/>
    <n v="0"/>
    <n v="512420"/>
    <n v="0"/>
    <n v="9700"/>
    <n v="0"/>
    <n v="1"/>
    <n v="9700"/>
    <n v="25201.68067226891"/>
    <n v="0"/>
    <n v="182"/>
    <n v="10"/>
    <n v="0"/>
    <n v="0"/>
    <n v="1846026"/>
    <n v="97000"/>
    <n v="0"/>
    <n v="0"/>
    <n v="1"/>
    <n v="9700"/>
    <n v="252016.8067226891"/>
    <n v="40"/>
    <n v="47"/>
    <n v="40"/>
    <n v="0"/>
    <n v="200"/>
    <n v="0"/>
    <n v="455900"/>
    <n v="405720"/>
    <n v="0"/>
    <n v="0"/>
    <n v="1"/>
    <n v="9700"/>
    <n v="1008067.226890756"/>
    <n v="120"/>
    <n v="124"/>
    <n v="123"/>
    <m/>
    <n v="0"/>
    <n v="0"/>
    <n v="1202800"/>
    <n v="1247589"/>
    <n v="0"/>
    <n v="0"/>
    <n v="124"/>
    <n v="9700"/>
    <n v="3099806.722689075"/>
    <n v="8"/>
    <n v="22"/>
    <n v="21"/>
    <n v="300"/>
    <n v="300"/>
    <n v="0"/>
    <n v="213400"/>
    <n v="213003"/>
    <n v="2941470"/>
    <n v="0"/>
    <n v="22"/>
    <n v="9700"/>
    <n v="529235.294117647"/>
    <n v="0"/>
    <n v="1"/>
    <n v="0"/>
    <n v="150"/>
    <n v="150"/>
    <n v="0"/>
    <n v="9700"/>
    <n v="0"/>
    <n v="1521450"/>
    <n v="0"/>
    <n v="1"/>
    <n v="9700"/>
    <n v="0"/>
    <n v="70"/>
    <n v="1"/>
    <n v="70"/>
    <n v="0"/>
    <n v="150"/>
    <n v="450"/>
    <n v="10143"/>
    <n v="710010"/>
    <n v="0"/>
    <n v="4564350"/>
    <n v="451"/>
    <n v="4574493"/>
    <n v="1764117.647058824"/>
    <n v="180"/>
    <n v="381"/>
    <n v="180"/>
    <n v="0"/>
    <n v="0"/>
    <n v="0"/>
    <n v="0"/>
    <n v="3864483"/>
    <n v="1825740"/>
    <n v="0"/>
    <n v="0"/>
    <n v="381"/>
    <n v="3864483"/>
    <n v="3477478.991596639"/>
    <n v="150"/>
    <n v="201"/>
    <n v="150"/>
    <n v="300"/>
    <n v="300"/>
    <n v="2038743"/>
    <n v="1521450"/>
    <n v="3042900"/>
    <n v="3042900"/>
    <n v="501"/>
    <n v="5081643"/>
    <n v="3042794.117647059"/>
    <n v="200"/>
    <n v="351"/>
    <n v="200"/>
    <n v="300"/>
    <n v="300"/>
    <n v="3560193"/>
    <n v="2028600"/>
    <n v="3042900"/>
    <n v="651"/>
    <n v="6603093"/>
    <n v="5040336.134453781"/>
    <n v="90"/>
    <n v="451"/>
    <n v="90"/>
    <n v="0"/>
    <n v="300"/>
    <n v="4574493"/>
    <n v="873000"/>
    <n v="3042900"/>
    <n v="751"/>
    <n v="7617393"/>
    <n v="2268151.260504202"/>
  </r>
  <r>
    <m/>
    <x v="6"/>
    <x v="27"/>
    <x v="63"/>
    <s v="SIMCUPGL-30"/>
    <x v="630"/>
    <x v="474"/>
    <x v="0"/>
    <x v="1"/>
    <n v="1"/>
    <x v="317"/>
    <n v="430"/>
    <m/>
    <n v="0"/>
    <n v="7130"/>
    <n v="3065900"/>
    <n v="7.39"/>
    <n v="8073.575"/>
    <n v="21000"/>
    <n v="14277.31092436975"/>
    <s v="Shenzhen"/>
    <s v="30/70"/>
    <n v="60"/>
    <n v="500"/>
    <n v="70"/>
    <n v="0.6284336318230674"/>
    <n v="27"/>
    <n v="0.6458683298050791"/>
    <n v="70"/>
    <n v="0.613494312585335"/>
    <n v="152"/>
    <n v="0.5395451883322887"/>
    <n v="121"/>
    <n v="0.6283637257720893"/>
    <n v="59"/>
    <n v="0.4759513002096881"/>
    <n v="1"/>
    <n v="0.6617061630776372"/>
    <n v="2"/>
    <n v="0.6004200501253133"/>
    <n v="39"/>
    <n v="0.6162261370840322"/>
    <n v="218"/>
    <n v="0.4967984619641476"/>
    <n v="140"/>
    <n v="0.5216344508017386"/>
    <n v="59"/>
    <n v="0.527067702506263"/>
    <n v="33"/>
    <n v="0.6210177859479397"/>
    <n v="94"/>
    <n v="0.6221588089160459"/>
    <n v="192"/>
    <n v="0.5578053628198704"/>
    <n v="86"/>
    <n v="0.4815150095954697"/>
    <n v="0.7478260869565218"/>
    <n v="62"/>
    <n v="0.6249904621561013"/>
    <n v="0.4769230769230769"/>
    <n v="332"/>
    <n v="0.4957331556461982"/>
    <n v="1.106666666666667"/>
    <n v="196"/>
    <n v="0.609321957590274"/>
    <n v="1.088888888888889"/>
    <n v="86"/>
    <n v="0.5116238249733026"/>
    <n v="0.5657894736842105"/>
    <m/>
    <m/>
    <m/>
    <m/>
    <m/>
    <m/>
    <m/>
    <m/>
    <m/>
    <m/>
    <m/>
    <m/>
    <n v="120"/>
    <n v="4"/>
    <n v="20"/>
    <n v="0"/>
    <n v="500"/>
    <n v="0"/>
    <n v="2516890"/>
    <n v="30594.6"/>
    <n v="142600"/>
    <n v="0"/>
    <n v="430"/>
    <n v="3065900"/>
    <n v="352941.1764705883"/>
    <n v="120"/>
    <n v="500"/>
    <n v="141"/>
    <n v="0"/>
    <n v="0"/>
    <n v="0"/>
    <n v="2987470"/>
    <n v="3824325"/>
    <n v="1005330"/>
    <n v="0"/>
    <n v="430"/>
    <n v="3065900"/>
    <n v="2488235.294117647"/>
    <n v="200"/>
    <n v="386"/>
    <n v="192"/>
    <n v="0"/>
    <n v="0"/>
    <n v="2976464.5"/>
    <n v="2752180"/>
    <n v="1368960"/>
    <n v="0"/>
    <n v="430"/>
    <n v="3065900"/>
    <n v="4032000"/>
    <n v="115"/>
    <n v="1155"/>
    <n v="86"/>
    <n v="500"/>
    <n v="0"/>
    <n v="8834190.75"/>
    <n v="613180"/>
    <n v="3824325"/>
    <n v="0"/>
    <n v="430"/>
    <n v="3065900"/>
    <n v="1806000"/>
    <n v="130"/>
    <n v="492"/>
    <n v="130"/>
    <n v="500"/>
    <n v="500"/>
    <n v="0"/>
    <n v="3507960"/>
    <n v="994324.5"/>
    <n v="3824325"/>
    <n v="0"/>
    <n v="430"/>
    <n v="3065900"/>
    <n v="2730000"/>
    <n v="300"/>
    <n v="762"/>
    <n v="332"/>
    <m/>
    <n v="0"/>
    <n v="0"/>
    <n v="5433060"/>
    <n v="2539351.8"/>
    <n v="0"/>
    <n v="0"/>
    <n v="762"/>
    <n v="3065900"/>
    <n v="6972000"/>
    <n v="180"/>
    <n v="626"/>
    <n v="196"/>
    <n v="0"/>
    <n v="0"/>
    <n v="0"/>
    <n v="4463380"/>
    <n v="1499135.4"/>
    <n v="0"/>
    <n v="0"/>
    <n v="626"/>
    <n v="3065900"/>
    <n v="4116000"/>
    <n v="152"/>
    <n v="430"/>
    <n v="152"/>
    <n v="0"/>
    <n v="0"/>
    <n v="0"/>
    <n v="3065900"/>
    <n v="1162594.8"/>
    <n v="0"/>
    <n v="0"/>
    <n v="430"/>
    <n v="3065900"/>
    <n v="3192000"/>
    <n v="100"/>
    <n v="278"/>
    <n v="100"/>
    <n v="500"/>
    <n v="250"/>
    <n v="0"/>
    <n v="2126324.7"/>
    <n v="764865"/>
    <n v="3824325"/>
    <n v="0"/>
    <n v="278"/>
    <n v="2126324.7"/>
    <n v="2100000"/>
    <n v="250"/>
    <n v="178"/>
    <n v="178"/>
    <n v="0"/>
    <n v="0"/>
    <n v="0"/>
    <n v="250"/>
    <n v="1361459.7"/>
    <n v="1361459.7"/>
    <n v="0"/>
    <n v="1912162.5"/>
    <n v="178"/>
    <n v="3273622.2"/>
    <n v="2541361.344537816"/>
    <n v="140"/>
    <n v="0"/>
    <n v="140"/>
    <n v="0"/>
    <n v="0"/>
    <n v="0"/>
    <n v="1070811"/>
    <n v="0"/>
    <n v="0"/>
    <n v="0"/>
    <n v="0"/>
    <n v="2098764.705882353"/>
    <n v="180"/>
    <n v="0"/>
    <n v="180"/>
    <n v="500"/>
    <n v="500"/>
    <n v="0"/>
    <n v="1376757"/>
    <n v="3824325"/>
    <n v="500"/>
    <n v="3824325"/>
    <n v="3780000"/>
    <n v="84"/>
    <n v="320"/>
    <n v="84"/>
    <n v="0"/>
    <m/>
    <n v="2447568"/>
    <n v="598920"/>
    <n v="0"/>
    <n v="320"/>
    <n v="2447568"/>
    <n v="1764000"/>
  </r>
  <r>
    <m/>
    <x v="6"/>
    <x v="27"/>
    <x v="63"/>
    <s v="SIMCUPRO-4"/>
    <x v="631"/>
    <x v="475"/>
    <x v="0"/>
    <x v="2"/>
    <n v="1"/>
    <x v="3"/>
    <n v="167"/>
    <m/>
    <n v="0"/>
    <n v="6706"/>
    <n v="1119902"/>
    <n v="6.31"/>
    <n v="6893.674999999999"/>
    <n v="14277.31092436975"/>
    <n v="12596.63865546219"/>
    <s v="Shenzhen"/>
    <s v="30/70"/>
    <n v="60"/>
    <n v="500"/>
    <n v="0"/>
    <s v=""/>
    <n v="1"/>
    <n v="0.6226662698197954"/>
    <n v="3"/>
    <n v="0.5793096582161552"/>
    <n v="11"/>
    <n v="0.5100605052879706"/>
    <n v="25"/>
    <n v="0.4949069118660224"/>
    <n v="54"/>
    <n v="0.4054895145484301"/>
    <n v="9"/>
    <n v="0.446890485243245"/>
    <n v="21"/>
    <n v="0.3594059875350467"/>
    <n v="9"/>
    <n v="0.4063075600521265"/>
    <n v="50"/>
    <n v="0.4097787676531646"/>
    <n v="25"/>
    <n v="0.4365723043133022"/>
    <n v="32"/>
    <n v="0.4720878116281022"/>
    <n v="6"/>
    <n v="0.4528063080668014"/>
    <n v="6"/>
    <n v="0.5208886560680285"/>
    <n v="16"/>
    <n v="0.4144380848529211"/>
    <n v="27"/>
    <n v="0.4159682148322458"/>
    <n v="0.9"/>
    <n v="9"/>
    <n v="0.5237331839308328"/>
    <n v="0.45"/>
    <n v="15"/>
    <n v="0.4569374066046049"/>
    <n v="0.4285714285714285"/>
    <n v="9"/>
    <n v="0.380986447075857"/>
    <n v="0.36"/>
    <n v="4"/>
    <n v="0.5008759458228204"/>
    <n v="0.16"/>
    <m/>
    <m/>
    <m/>
    <m/>
    <m/>
    <m/>
    <m/>
    <m/>
    <m/>
    <m/>
    <m/>
    <m/>
    <n v="15"/>
    <n v="256"/>
    <n v="15"/>
    <n v="0"/>
    <n v="0"/>
    <n v="0"/>
    <n v="268240"/>
    <n v="1671897.6"/>
    <n v="100590"/>
    <n v="0"/>
    <n v="167"/>
    <n v="1119902"/>
    <n v="179966.1040886943"/>
    <n v="10"/>
    <n v="250"/>
    <n v="9"/>
    <n v="0"/>
    <n v="0"/>
    <n v="0"/>
    <n v="348712"/>
    <n v="1632712.5"/>
    <n v="60354"/>
    <n v="0"/>
    <n v="167"/>
    <n v="1119902"/>
    <n v="107979.6624532166"/>
    <n v="15"/>
    <n v="249"/>
    <n v="16"/>
    <n v="0"/>
    <n v="0"/>
    <n v="418975"/>
    <n v="1669794"/>
    <n v="107296"/>
    <n v="0"/>
    <n v="167"/>
    <n v="1119902"/>
    <n v="228436.974789916"/>
    <n v="30"/>
    <n v="232"/>
    <n v="27"/>
    <n v="0"/>
    <n v="0"/>
    <n v="1515157.2"/>
    <n v="181062"/>
    <n v="0"/>
    <n v="0"/>
    <n v="167"/>
    <n v="1119902"/>
    <n v="385487.3949579832"/>
    <n v="20"/>
    <n v="176"/>
    <n v="20"/>
    <m/>
    <n v="0"/>
    <n v="0"/>
    <n v="1180256"/>
    <n v="130617"/>
    <n v="0"/>
    <n v="0"/>
    <n v="167"/>
    <n v="1119902"/>
    <n v="285546.218487395"/>
    <n v="35"/>
    <n v="182"/>
    <n v="15"/>
    <m/>
    <n v="0"/>
    <n v="0"/>
    <n v="1220492"/>
    <n v="97962.74999999999"/>
    <n v="0"/>
    <n v="0"/>
    <n v="182"/>
    <n v="1119902"/>
    <n v="214159.6638655462"/>
    <n v="25"/>
    <n v="176"/>
    <n v="9"/>
    <n v="0"/>
    <n v="0"/>
    <n v="0"/>
    <n v="1180256"/>
    <n v="58777.64999999999"/>
    <n v="0"/>
    <n v="0"/>
    <n v="176"/>
    <n v="1119902"/>
    <n v="128495.7983193277"/>
    <n v="25"/>
    <n v="167"/>
    <n v="25"/>
    <n v="0"/>
    <n v="0"/>
    <n v="0"/>
    <n v="1119902"/>
    <n v="163271.25"/>
    <n v="0"/>
    <n v="0"/>
    <n v="167"/>
    <n v="1119902"/>
    <n v="356932.7731092437"/>
    <n v="25"/>
    <n v="142"/>
    <n v="25"/>
    <n v="0"/>
    <n v="0"/>
    <n v="0"/>
    <n v="927380.7"/>
    <n v="163271.25"/>
    <n v="0"/>
    <n v="0"/>
    <n v="142"/>
    <n v="927380.7"/>
    <n v="356932.7731092437"/>
    <n v="30"/>
    <n v="117"/>
    <n v="30"/>
    <n v="0"/>
    <n v="0"/>
    <n v="0"/>
    <m/>
    <n v="764109.45"/>
    <n v="195925.5"/>
    <n v="0"/>
    <n v="0"/>
    <n v="117"/>
    <n v="764109.45"/>
    <n v="377899.1596638656"/>
    <n v="25"/>
    <n v="87"/>
    <n v="25"/>
    <n v="0"/>
    <n v="0"/>
    <n v="568183.95"/>
    <n v="163271.25"/>
    <n v="0"/>
    <n v="0"/>
    <n v="87"/>
    <n v="568183.95"/>
    <n v="330661.7647058824"/>
    <n v="30"/>
    <n v="62"/>
    <n v="30"/>
    <n v="0"/>
    <n v="0"/>
    <n v="404912.7"/>
    <n v="195925.5"/>
    <n v="0"/>
    <n v="62"/>
    <n v="404912.7"/>
    <n v="428319.3277310925"/>
    <n v="15"/>
    <n v="32"/>
    <n v="15"/>
    <n v="0"/>
    <m/>
    <n v="208987.2"/>
    <n v="100590"/>
    <n v="0"/>
    <n v="32"/>
    <n v="208987.2"/>
    <n v="214159.6638655462"/>
  </r>
  <r>
    <m/>
    <x v="6"/>
    <x v="27"/>
    <x v="63"/>
    <s v="SIMCUROM-30"/>
    <x v="632"/>
    <x v="476"/>
    <x v="0"/>
    <x v="1"/>
    <n v="1"/>
    <x v="318"/>
    <n v="347"/>
    <n v="600"/>
    <n v="4742400"/>
    <n v="8117"/>
    <n v="2816599"/>
    <n v="8.32"/>
    <n v="9089.599999999999"/>
    <n v="21000"/>
    <n v="18478.99159663866"/>
    <s v="Shenzhen"/>
    <s v="30/70"/>
    <n v="60"/>
    <n v="500"/>
    <n v="171"/>
    <n v="0.5829007385159033"/>
    <n v="125"/>
    <n v="0.6316559688244411"/>
    <n v="108"/>
    <n v="0.6294845353749642"/>
    <n v="74"/>
    <n v="0.6481075293463521"/>
    <n v="0"/>
    <s v=""/>
    <n v="1"/>
    <s v=""/>
    <n v="0"/>
    <n v="0.6432640266645504"/>
    <n v="3"/>
    <n v="0.6229622990308666"/>
    <n v="78"/>
    <n v="0.6278825644559717"/>
    <n v="426"/>
    <n v="0.5126179880084183"/>
    <n v="363"/>
    <n v="0.5232164783116786"/>
    <n v="133"/>
    <n v="0.4831833147488033"/>
    <n v="30"/>
    <n v="0.5331503219518161"/>
    <n v="1"/>
    <n v="0.3598423084077381"/>
    <n v="93"/>
    <n v="0.5593659935475347"/>
    <n v="227"/>
    <n v="0.4879685590374356"/>
    <n v="1.261111111111111"/>
    <n v="237"/>
    <n v="0.6063161044109496"/>
    <n v="1.58"/>
    <n v="328"/>
    <n v="0.4312600829709415"/>
    <n v="0.82"/>
    <n v="155"/>
    <n v="0.6361633115554366"/>
    <n v="0.6739130434782609"/>
    <n v="86"/>
    <n v="0.56139910794586"/>
    <n v="0.43"/>
    <m/>
    <m/>
    <m/>
    <m/>
    <m/>
    <m/>
    <m/>
    <m/>
    <m/>
    <m/>
    <m/>
    <m/>
    <n v="0"/>
    <n v="28"/>
    <n v="28"/>
    <n v="500"/>
    <n v="0"/>
    <n v="0"/>
    <n v="994332.5"/>
    <n v="241113.6"/>
    <n v="227276"/>
    <n v="0"/>
    <n v="347"/>
    <n v="2816599"/>
    <n v="494117.6470588236"/>
    <n v="0"/>
    <n v="2"/>
    <n v="1.5"/>
    <n v="500"/>
    <n v="500"/>
    <n v="0"/>
    <n v="2609615.5"/>
    <n v="17222.4"/>
    <n v="12175.5"/>
    <n v="0"/>
    <n v="347"/>
    <n v="2816599"/>
    <n v="26470.58823529412"/>
    <n v="300"/>
    <n v="440"/>
    <n v="93"/>
    <n v="0"/>
    <n v="0"/>
    <n v="3889120"/>
    <n v="3571480"/>
    <n v="754881"/>
    <n v="0"/>
    <n v="347"/>
    <n v="2816599"/>
    <n v="1953000"/>
    <n v="180"/>
    <n v="893"/>
    <n v="227"/>
    <n v="500"/>
    <n v="0"/>
    <n v="7689801.599999999"/>
    <n v="1842559"/>
    <n v="4305599.999999999"/>
    <n v="0"/>
    <n v="347"/>
    <n v="2816599"/>
    <n v="4767000"/>
    <n v="150"/>
    <n v="584"/>
    <n v="150"/>
    <n v="600"/>
    <n v="500"/>
    <n v="0"/>
    <n v="4740328"/>
    <n v="1291680"/>
    <n v="5166719.999999999"/>
    <n v="0"/>
    <n v="347"/>
    <n v="2816599"/>
    <n v="3150000"/>
    <n v="400"/>
    <n v="675"/>
    <n v="328"/>
    <m/>
    <n v="600"/>
    <n v="0"/>
    <n v="5478975"/>
    <n v="2824473.6"/>
    <n v="0"/>
    <n v="0"/>
    <n v="675"/>
    <n v="2816599"/>
    <n v="6888000"/>
    <n v="230"/>
    <n v="502"/>
    <n v="155"/>
    <n v="0"/>
    <n v="500"/>
    <n v="0"/>
    <n v="4074734"/>
    <n v="1334736"/>
    <n v="0"/>
    <n v="0"/>
    <n v="502"/>
    <n v="2816599"/>
    <n v="3255000"/>
    <n v="200"/>
    <n v="347"/>
    <n v="200"/>
    <n v="0"/>
    <n v="0"/>
    <n v="0"/>
    <n v="2816599"/>
    <n v="1722240"/>
    <n v="0"/>
    <n v="0"/>
    <n v="347"/>
    <n v="2816599"/>
    <n v="4200000"/>
    <n v="152"/>
    <n v="147"/>
    <n v="152"/>
    <n v="0"/>
    <n v="0"/>
    <n v="0"/>
    <n v="1265846.4"/>
    <n v="1308902.4"/>
    <n v="0"/>
    <n v="0"/>
    <n v="147"/>
    <n v="1265846.4"/>
    <n v="3192000"/>
    <n v="350"/>
    <n v="0"/>
    <n v="350"/>
    <n v="0"/>
    <n v="600"/>
    <n v="600"/>
    <n v="0"/>
    <n v="0"/>
    <n v="3013920"/>
    <n v="0"/>
    <n v="5166719.999999999"/>
    <n v="600"/>
    <n v="5166719.999999999"/>
    <n v="6467647.058823531"/>
    <n v="300"/>
    <n v="250"/>
    <n v="300"/>
    <n v="1000"/>
    <n v="500"/>
    <n v="2152800"/>
    <n v="2583360"/>
    <n v="8611199.999999998"/>
    <n v="4305599.999999999"/>
    <n v="750"/>
    <n v="6458399.999999998"/>
    <n v="5820882.352941177"/>
    <n v="350"/>
    <n v="450"/>
    <n v="350"/>
    <n v="0"/>
    <n v="500"/>
    <n v="3875040"/>
    <n v="3013920"/>
    <n v="4305599.999999999"/>
    <n v="950"/>
    <n v="8180639.999999998"/>
    <n v="7350000"/>
    <n v="180"/>
    <n v="600"/>
    <n v="180"/>
    <n v="0"/>
    <m/>
    <n v="5166719.999999999"/>
    <n v="1461060"/>
    <n v="0"/>
    <n v="600"/>
    <n v="5166719.999999999"/>
    <n v="3780000"/>
  </r>
  <r>
    <s v="Simplit-Menaje de Cocina"/>
    <x v="6"/>
    <x v="27"/>
    <x v="63"/>
    <s v="SIMCUSTA-5"/>
    <x v="633"/>
    <x v="477"/>
    <x v="0"/>
    <x v="1"/>
    <n v="1"/>
    <x v="319"/>
    <n v="270"/>
    <m/>
    <n v="0"/>
    <n v="12992"/>
    <n v="3507840"/>
    <n v="12.15"/>
    <n v="13273.875"/>
    <n v="33605.04201680672"/>
    <n v="25201.68067226891"/>
    <s v="Shenzhen"/>
    <s v="30/70"/>
    <n v="60"/>
    <n v="300"/>
    <n v="18"/>
    <n v="0.5632866737868604"/>
    <n v="14"/>
    <n v="0.5556651811423777"/>
    <n v="40"/>
    <n v="0.5819891953685591"/>
    <n v="40"/>
    <n v="0.5858560194261164"/>
    <n v="21"/>
    <n v="0.6099516678836078"/>
    <n v="140"/>
    <n v="0.4760949695362375"/>
    <n v="83"/>
    <n v="0.4837714841651755"/>
    <n v="44"/>
    <n v="0.5209891894111128"/>
    <n v="36"/>
    <n v="0.5773132729758029"/>
    <n v="60"/>
    <n v="0.5301801164836262"/>
    <n v="41"/>
    <n v="0.6088481708221413"/>
    <n v="49"/>
    <n v="0.640089289200248"/>
    <n v="55"/>
    <n v="0.4240405653541139"/>
    <n v="50"/>
    <n v="0.4632576145401529"/>
    <n v="79"/>
    <n v="0.4498748605207465"/>
    <n v="54"/>
    <n v="0.5221548810642411"/>
    <n v="1.08"/>
    <n v="53"/>
    <n v="0.5832315663783445"/>
    <n v="1.177777777777778"/>
    <n v="145"/>
    <n v="0.4409148645713616"/>
    <n v="0.9666666666666667"/>
    <n v="44"/>
    <n v="0.6428222469657663"/>
    <n v="0.4631578947368421"/>
    <n v="6"/>
    <n v="0.5971810682068955"/>
    <n v="0.1090909090909091"/>
    <m/>
    <m/>
    <m/>
    <m/>
    <m/>
    <m/>
    <m/>
    <m/>
    <m/>
    <m/>
    <m/>
    <m/>
    <n v="40"/>
    <n v="191"/>
    <n v="40"/>
    <n v="100"/>
    <n v="100"/>
    <n v="0"/>
    <n v="2520448"/>
    <n v="2401872.75"/>
    <n v="519680"/>
    <n v="0"/>
    <n v="270"/>
    <n v="3507840"/>
    <n v="1129581.244262411"/>
    <n v="40"/>
    <n v="160"/>
    <n v="75"/>
    <n v="0"/>
    <n v="0"/>
    <n v="0"/>
    <n v="2702336"/>
    <n v="2012040"/>
    <n v="974400"/>
    <n v="0"/>
    <n v="270"/>
    <n v="3507840"/>
    <n v="2117964.832992021"/>
    <n v="60"/>
    <n v="95"/>
    <n v="79"/>
    <n v="0"/>
    <n v="0"/>
    <n v="2293822.25"/>
    <n v="1234240"/>
    <n v="1026368"/>
    <n v="0"/>
    <n v="270"/>
    <n v="3507840"/>
    <n v="2654798.319327731"/>
    <n v="50"/>
    <n v="304"/>
    <n v="54"/>
    <n v="0"/>
    <n v="0"/>
    <n v="3822876"/>
    <n v="701568"/>
    <n v="0"/>
    <n v="0"/>
    <n v="270"/>
    <n v="3507840"/>
    <n v="1814672.268907563"/>
    <n v="45"/>
    <n v="323"/>
    <n v="45"/>
    <m/>
    <n v="0"/>
    <n v="0"/>
    <n v="4196416"/>
    <n v="565886.2499999999"/>
    <n v="0"/>
    <n v="0"/>
    <n v="270"/>
    <n v="3507840"/>
    <n v="1512226.890756303"/>
    <n v="150"/>
    <n v="415"/>
    <n v="145"/>
    <m/>
    <n v="0"/>
    <n v="0"/>
    <n v="5391680"/>
    <n v="1823411.25"/>
    <n v="0"/>
    <n v="0"/>
    <n v="415"/>
    <n v="3507840"/>
    <n v="4872731.092436975"/>
    <n v="95"/>
    <n v="314"/>
    <n v="44"/>
    <n v="250"/>
    <n v="250"/>
    <n v="0"/>
    <n v="4079488"/>
    <n v="553310.9999999999"/>
    <n v="3039018.75"/>
    <n v="0"/>
    <n v="314"/>
    <n v="3507840"/>
    <n v="1478621.848739496"/>
    <n v="55"/>
    <n v="270"/>
    <n v="55"/>
    <n v="0"/>
    <n v="0"/>
    <n v="0"/>
    <n v="3507840"/>
    <n v="691638.7499999999"/>
    <n v="0"/>
    <n v="0"/>
    <n v="270"/>
    <n v="3507840"/>
    <n v="1848277.31092437"/>
    <n v="45"/>
    <n v="215"/>
    <n v="45"/>
    <n v="0"/>
    <n v="0"/>
    <n v="0"/>
    <n v="2703678.75"/>
    <n v="565886.2499999999"/>
    <n v="0"/>
    <n v="0"/>
    <n v="215"/>
    <n v="2703678.75"/>
    <n v="1512226.890756303"/>
    <n v="65"/>
    <n v="170"/>
    <n v="65"/>
    <n v="0"/>
    <n v="0"/>
    <n v="0"/>
    <m/>
    <n v="2137792.5"/>
    <n v="817391.2499999999"/>
    <n v="0"/>
    <n v="0"/>
    <n v="170"/>
    <n v="2137792.5"/>
    <n v="1638109.243697479"/>
    <n v="50"/>
    <n v="105"/>
    <n v="50"/>
    <n v="0"/>
    <n v="0"/>
    <n v="1320401.25"/>
    <n v="628762.4999999999"/>
    <n v="0"/>
    <n v="0"/>
    <n v="105"/>
    <n v="1320401.25"/>
    <n v="1323088.235294118"/>
    <n v="65"/>
    <n v="55"/>
    <n v="65"/>
    <n v="250"/>
    <n v="250"/>
    <n v="691638.7499999999"/>
    <n v="817391.2499999999"/>
    <n v="3143812.5"/>
    <n v="305"/>
    <n v="3835451.25"/>
    <n v="2184327.731092437"/>
    <n v="30"/>
    <n v="240"/>
    <n v="30"/>
    <n v="0"/>
    <m/>
    <n v="3018060"/>
    <n v="389760"/>
    <n v="0"/>
    <n v="240"/>
    <n v="3018060"/>
    <n v="1008151.260504202"/>
  </r>
  <r>
    <m/>
    <x v="6"/>
    <x v="27"/>
    <x v="63"/>
    <s v="SIMCUTOL-2"/>
    <x v="634"/>
    <x v="478"/>
    <x v="0"/>
    <x v="4"/>
    <n v="1"/>
    <x v="50"/>
    <n v="0"/>
    <m/>
    <n v="0"/>
    <n v="8188"/>
    <n v="0"/>
    <n v="8.9"/>
    <n v="8188"/>
    <n v="20642.01680672269"/>
    <n v="17545.71428571429"/>
    <s v="Shenzhen"/>
    <s v="30/70"/>
    <n v="60"/>
    <n v="25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0"/>
    <n v="200"/>
    <n v="500"/>
    <n v="500"/>
    <n v="0"/>
    <n v="0"/>
    <n v="1842300"/>
    <n v="4605750"/>
    <n v="0"/>
    <n v="0"/>
    <n v="0"/>
    <n v="4128403.361344538"/>
    <n v="100"/>
    <n v="0"/>
    <n v="0"/>
    <n v="0"/>
    <n v="0"/>
    <n v="0"/>
    <n v="500"/>
    <n v="0"/>
    <n v="0"/>
    <n v="0"/>
    <n v="4605750"/>
    <n v="0"/>
    <n v="4605750"/>
    <n v="0"/>
    <n v="50"/>
    <n v="0"/>
    <n v="50"/>
    <n v="0"/>
    <n v="0"/>
    <n v="0"/>
    <n v="460575"/>
    <n v="0"/>
    <n v="0"/>
    <n v="0"/>
    <n v="0"/>
    <n v="921150.0000000001"/>
    <n v="60"/>
    <n v="0"/>
    <n v="60"/>
    <n v="0"/>
    <n v="0"/>
    <n v="0"/>
    <n v="552690"/>
    <n v="0"/>
    <n v="0"/>
    <n v="0"/>
    <n v="1238521.008403362"/>
    <n v="30"/>
    <n v="0"/>
    <n v="30"/>
    <n v="0"/>
    <m/>
    <n v="0"/>
    <n v="245640"/>
    <n v="0"/>
    <n v="0"/>
    <n v="0"/>
    <n v="619260.5042016808"/>
  </r>
  <r>
    <m/>
    <x v="6"/>
    <x v="27"/>
    <x v="63"/>
    <s v="SIMCUVER-CR"/>
    <x v="635"/>
    <x v="479"/>
    <x v="0"/>
    <x v="1"/>
    <n v="1"/>
    <x v="320"/>
    <n v="472"/>
    <m/>
    <n v="0"/>
    <n v="9570"/>
    <n v="4517040"/>
    <n v="9.800000000000001"/>
    <n v="10706.5"/>
    <n v="25201.68067226891"/>
    <n v="19319.32773109244"/>
    <s v="Shenzhen"/>
    <s v="30/70"/>
    <n v="60"/>
    <n v="500"/>
    <n v="17"/>
    <n v="0.4777311609160312"/>
    <n v="52"/>
    <n v="0.5588634650855973"/>
    <n v="76"/>
    <n v="0.5620454036035868"/>
    <n v="71"/>
    <n v="0.5970486654555974"/>
    <n v="72"/>
    <n v="0.5984962196399056"/>
    <n v="212"/>
    <n v="0.5141689309684244"/>
    <n v="81"/>
    <n v="0.5699275070782804"/>
    <n v="100"/>
    <n v="0.5749743170967289"/>
    <n v="14"/>
    <n v="0.6295067670566713"/>
    <n v="196"/>
    <n v="0.5074216078177567"/>
    <n v="160"/>
    <n v="0.6092220942716485"/>
    <n v="352"/>
    <n v="0.5162983781616968"/>
    <n v="45"/>
    <n v="0.4787347309792114"/>
    <n v="50"/>
    <n v="0.5010004325449497"/>
    <n v="194"/>
    <n v="0.4920549362815069"/>
    <n v="143"/>
    <n v="0.4750874430590444"/>
    <n v="0.89375"/>
    <n v="102"/>
    <n v="0.5988343138757007"/>
    <n v="1.275"/>
    <n v="312"/>
    <n v="0.3961224770504126"/>
    <n v="1.248"/>
    <n v="190"/>
    <n v="0.5632081666409043"/>
    <n v="1.266666666666667"/>
    <n v="38"/>
    <n v="0.5468363194354284"/>
    <n v="0.3166666666666667"/>
    <m/>
    <m/>
    <m/>
    <m/>
    <m/>
    <m/>
    <m/>
    <m/>
    <m/>
    <m/>
    <m/>
    <m/>
    <n v="0"/>
    <n v="50"/>
    <n v="50"/>
    <n v="500"/>
    <n v="0"/>
    <n v="0"/>
    <n v="3052830"/>
    <n v="507150"/>
    <n v="478500"/>
    <n v="0"/>
    <n v="472"/>
    <n v="4517040"/>
    <n v="1058894.145893652"/>
    <n v="5"/>
    <n v="40"/>
    <n v="75"/>
    <n v="0"/>
    <n v="500"/>
    <n v="0"/>
    <n v="3942840"/>
    <n v="405720"/>
    <n v="717750"/>
    <n v="0"/>
    <n v="472"/>
    <n v="4517040"/>
    <n v="1588341.218840478"/>
    <n v="220"/>
    <n v="472"/>
    <n v="194"/>
    <n v="0"/>
    <n v="0"/>
    <n v="4036530"/>
    <n v="4517040"/>
    <n v="1856580"/>
    <n v="0"/>
    <n v="472"/>
    <n v="4517040"/>
    <n v="4889126.050420168"/>
    <n v="160"/>
    <n v="243"/>
    <n v="143"/>
    <n v="500"/>
    <n v="0"/>
    <n v="2464749"/>
    <n v="1368510"/>
    <n v="5071500"/>
    <n v="0"/>
    <n v="472"/>
    <n v="4517040"/>
    <n v="3603840.336134454"/>
    <n v="80"/>
    <n v="574"/>
    <n v="80"/>
    <n v="500"/>
    <n v="0"/>
    <n v="0"/>
    <n v="5493180"/>
    <n v="811440"/>
    <n v="5071500"/>
    <n v="0"/>
    <n v="472"/>
    <n v="4517040"/>
    <n v="2016134.453781513"/>
    <n v="250"/>
    <n v="784"/>
    <n v="312"/>
    <m/>
    <n v="500"/>
    <n v="0"/>
    <n v="7502880"/>
    <n v="3164616"/>
    <n v="0"/>
    <n v="0"/>
    <n v="784"/>
    <n v="4517040"/>
    <n v="7862924.369747899"/>
    <n v="150"/>
    <n v="662"/>
    <n v="190"/>
    <n v="0"/>
    <n v="500"/>
    <n v="0"/>
    <n v="6335340"/>
    <n v="1927170"/>
    <n v="0"/>
    <n v="0"/>
    <n v="662"/>
    <n v="4517040"/>
    <n v="4788319.327731092"/>
    <n v="120"/>
    <n v="472"/>
    <n v="120"/>
    <n v="0"/>
    <n v="0"/>
    <n v="0"/>
    <n v="4517040"/>
    <n v="1217160"/>
    <n v="0"/>
    <n v="0"/>
    <n v="472"/>
    <n v="4517040"/>
    <n v="3024201.680672269"/>
    <n v="100"/>
    <n v="352"/>
    <n v="100"/>
    <n v="0"/>
    <n v="0"/>
    <n v="0"/>
    <n v="3570336"/>
    <n v="1014300"/>
    <n v="0"/>
    <n v="0"/>
    <n v="352"/>
    <n v="3570336"/>
    <n v="2520168.06722689"/>
    <n v="300"/>
    <n v="252"/>
    <n v="252"/>
    <n v="0"/>
    <n v="0"/>
    <n v="0"/>
    <m/>
    <n v="2556036"/>
    <n v="2556036"/>
    <n v="0"/>
    <n v="0"/>
    <n v="252"/>
    <n v="2556036"/>
    <n v="4868470.588235294"/>
    <n v="120"/>
    <n v="0"/>
    <n v="120"/>
    <n v="500"/>
    <n v="500"/>
    <n v="0"/>
    <n v="1217160"/>
    <n v="5071500"/>
    <n v="5071500"/>
    <n v="500"/>
    <n v="5071500"/>
    <n v="2434235.294117647"/>
    <n v="200"/>
    <n v="380"/>
    <n v="200"/>
    <n v="0"/>
    <n v="0"/>
    <n v="3854340"/>
    <n v="2028600"/>
    <n v="0"/>
    <n v="380"/>
    <n v="3854340"/>
    <n v="5040336.134453781"/>
    <n v="72"/>
    <n v="180"/>
    <n v="72"/>
    <n v="0"/>
    <m/>
    <n v="1825740"/>
    <n v="689040"/>
    <n v="0"/>
    <n v="180"/>
    <n v="1825740"/>
    <n v="1814521.008403361"/>
  </r>
  <r>
    <m/>
    <x v="6"/>
    <x v="27"/>
    <x v="63"/>
    <s v="SIMCUVER-WO"/>
    <x v="636"/>
    <x v="480"/>
    <x v="0"/>
    <x v="3"/>
    <n v="0.9"/>
    <x v="321"/>
    <n v="89"/>
    <m/>
    <n v="0"/>
    <n v="19096"/>
    <n v="1699544"/>
    <n v="19"/>
    <n v="20757.5"/>
    <n v="42008.40336134454"/>
    <n v="33605.04201680672"/>
    <s v="Shenzhen"/>
    <s v="30/70"/>
    <n v="60"/>
    <n v="500"/>
    <n v="0"/>
    <s v=""/>
    <n v="4"/>
    <n v="0.5657707129680928"/>
    <n v="24"/>
    <n v="0.5266160166615961"/>
    <n v="18"/>
    <n v="0.4935158740651672"/>
    <n v="30"/>
    <n v="0.5396275999614906"/>
    <n v="166"/>
    <n v="0.4100811131873237"/>
    <n v="67"/>
    <n v="0.4358836853768434"/>
    <n v="56"/>
    <n v="0.4242143496589195"/>
    <n v="56"/>
    <n v="0.5482705930481129"/>
    <n v="50"/>
    <n v="0.5012631932934093"/>
    <n v="10"/>
    <n v="0.5317566512943314"/>
    <n v="55"/>
    <n v="0.5177077364299044"/>
    <n v="24"/>
    <n v="0.5058429555835116"/>
    <n v="37"/>
    <n v="0.4933206344791876"/>
    <n v="27"/>
    <n v="0.4769495481795706"/>
    <n v="23"/>
    <n v="0.4657594970666793"/>
    <n v="0.6571428571428571"/>
    <n v="22"/>
    <n v="0.4901827457388108"/>
    <n v="0.6285714285714286"/>
    <n v="65"/>
    <n v="0.4135506023908367"/>
    <n v="0.7222222222222222"/>
    <n v="38"/>
    <n v="0.5136920382962272"/>
    <n v="0.5428571428571428"/>
    <n v="11"/>
    <n v="0.4394883624240804"/>
    <n v="0.1833333333333333"/>
    <m/>
    <m/>
    <m/>
    <m/>
    <m/>
    <m/>
    <m/>
    <m/>
    <m/>
    <m/>
    <m/>
    <m/>
    <n v="45"/>
    <n v="263"/>
    <n v="45"/>
    <n v="0"/>
    <n v="0"/>
    <n v="0"/>
    <n v="2434740"/>
    <n v="5171895"/>
    <n v="859320"/>
    <n v="0"/>
    <n v="89"/>
    <n v="1699544"/>
    <n v="1588553.068286138"/>
    <n v="40"/>
    <n v="240"/>
    <n v="55.5"/>
    <n v="100"/>
    <n v="100"/>
    <n v="0"/>
    <n v="2014628"/>
    <n v="4719600"/>
    <n v="1059828"/>
    <n v="0"/>
    <n v="89"/>
    <n v="1699544"/>
    <n v="1959215.450886237"/>
    <n v="60"/>
    <n v="174"/>
    <n v="27"/>
    <n v="0"/>
    <n v="0"/>
    <n v="1574247.5"/>
    <n v="3322704"/>
    <n v="515592"/>
    <n v="0"/>
    <n v="89"/>
    <n v="1699544"/>
    <n v="1134226.890756303"/>
    <n v="35"/>
    <n v="281"/>
    <n v="23"/>
    <n v="0"/>
    <n v="0"/>
    <n v="5525865"/>
    <n v="439208"/>
    <n v="0"/>
    <n v="0"/>
    <n v="89"/>
    <n v="1699544"/>
    <n v="966193.2773109245"/>
    <n v="35"/>
    <n v="111"/>
    <n v="31.5"/>
    <n v="300"/>
    <n v="0"/>
    <n v="0"/>
    <n v="2119656"/>
    <n v="619447.5"/>
    <n v="5899500"/>
    <n v="0"/>
    <n v="89"/>
    <n v="1699544"/>
    <n v="1323264.705882353"/>
    <n v="90"/>
    <n v="154"/>
    <n v="65"/>
    <m/>
    <n v="0"/>
    <n v="0"/>
    <n v="2940784"/>
    <n v="1278225"/>
    <n v="0"/>
    <n v="0"/>
    <n v="154"/>
    <n v="1699544"/>
    <n v="2730546.218487395"/>
    <n v="70"/>
    <n v="127"/>
    <n v="38"/>
    <n v="0"/>
    <n v="150"/>
    <n v="0"/>
    <n v="2425192"/>
    <n v="747270"/>
    <n v="0"/>
    <n v="0"/>
    <n v="127"/>
    <n v="1699544"/>
    <n v="1596319.327731093"/>
    <n v="60"/>
    <n v="89"/>
    <n v="54"/>
    <n v="0"/>
    <n v="0"/>
    <n v="0"/>
    <n v="1699544"/>
    <n v="1061910"/>
    <n v="0"/>
    <n v="0"/>
    <n v="89"/>
    <n v="1699544"/>
    <n v="2268453.781512605"/>
    <n v="45"/>
    <n v="35"/>
    <n v="40.5"/>
    <n v="0"/>
    <n v="0"/>
    <n v="300"/>
    <n v="688275"/>
    <n v="796432.5"/>
    <n v="0"/>
    <n v="5899500"/>
    <n v="335"/>
    <n v="6587775"/>
    <n v="1701340.336134454"/>
    <n v="60"/>
    <n v="294.5"/>
    <n v="54"/>
    <n v="0"/>
    <n v="0"/>
    <n v="0"/>
    <n v="0"/>
    <n v="5791342.5"/>
    <n v="1061910"/>
    <n v="0"/>
    <n v="0"/>
    <n v="294.5"/>
    <n v="5791342.5"/>
    <n v="1814672.268907563"/>
    <n v="50"/>
    <n v="240.5"/>
    <n v="45"/>
    <n v="0"/>
    <n v="0"/>
    <n v="4729432.5"/>
    <n v="884925"/>
    <n v="0"/>
    <n v="0"/>
    <n v="240.5"/>
    <n v="4729432.5"/>
    <n v="1587838.235294118"/>
    <n v="60"/>
    <n v="195.5"/>
    <n v="54"/>
    <n v="0"/>
    <n v="0"/>
    <n v="3844507.5"/>
    <n v="1061910"/>
    <n v="0"/>
    <n v="195.5"/>
    <n v="3844507.5"/>
    <n v="2268453.781512605"/>
    <n v="30"/>
    <n v="141.5"/>
    <n v="27"/>
    <n v="0"/>
    <m/>
    <n v="2782597.5"/>
    <n v="515592"/>
    <n v="0"/>
    <n v="141.5"/>
    <n v="2782597.5"/>
    <n v="1134226.890756303"/>
  </r>
  <r>
    <m/>
    <x v="6"/>
    <x v="27"/>
    <x v="64"/>
    <n v="1660858101318"/>
    <x v="637"/>
    <x v="481"/>
    <x v="0"/>
    <x v="3"/>
    <n v="1"/>
    <x v="322"/>
    <n v="57"/>
    <m/>
    <n v="0"/>
    <n v="2622"/>
    <n v="149454"/>
    <n v="3"/>
    <n v="3277.5"/>
    <n v="7554.621848739496"/>
    <n v="6714.285714285715"/>
    <s v="Shenzhen"/>
    <s v="30/70"/>
    <n v="30"/>
    <n v="200"/>
    <n v="43"/>
    <n v="0.6221439858056516"/>
    <n v="48"/>
    <n v="0.6550474360082451"/>
    <n v="48"/>
    <n v="0.6681407132272904"/>
    <n v="40"/>
    <n v="0.6502549000553697"/>
    <n v="64"/>
    <n v="0.6162464352564523"/>
    <n v="94"/>
    <n v="0.585768684749986"/>
    <n v="67"/>
    <n v="0.5798420336655509"/>
    <n v="54"/>
    <n v="0.6122295806483699"/>
    <n v="41"/>
    <n v="0.5772877213735201"/>
    <n v="79"/>
    <n v="0.5845199803530581"/>
    <n v="20"/>
    <n v="0.5549106782188895"/>
    <n v="1"/>
    <n v="0.7237805415894858"/>
    <n v="32"/>
    <n v="0.4079858329529213"/>
    <n v="48"/>
    <n v="0.4045661920805561"/>
    <n v="100"/>
    <n v="0.4460458541335716"/>
    <n v="101"/>
    <n v="0.445121193799309"/>
    <n v="1.442857142857143"/>
    <n v="67"/>
    <n v="0.55063779658089"/>
    <n v="1.030769230769231"/>
    <n v="14"/>
    <n v="0.3596751378906756"/>
    <n v="0.14"/>
    <n v="3"/>
    <s v=""/>
    <n v="0.04285714285714286"/>
    <n v="0"/>
    <s v=""/>
    <n v="0"/>
    <m/>
    <m/>
    <m/>
    <m/>
    <m/>
    <m/>
    <m/>
    <m/>
    <m/>
    <m/>
    <m/>
    <m/>
    <n v="46.33333333333334"/>
    <n v="157"/>
    <n v="20"/>
    <n v="150"/>
    <n v="150"/>
    <n v="0"/>
    <n v="503424"/>
    <n v="487484.9999999999"/>
    <n v="52440"/>
    <n v="0"/>
    <n v="57"/>
    <n v="149454"/>
    <n v="126968.4344325966"/>
    <n v="35"/>
    <n v="250"/>
    <n v="72"/>
    <n v="0"/>
    <n v="0"/>
    <n v="0"/>
    <n v="715806"/>
    <n v="776249.9999999999"/>
    <n v="188784"/>
    <n v="0"/>
    <n v="57"/>
    <n v="149454"/>
    <n v="457086.3639573477"/>
    <n v="70"/>
    <n v="193"/>
    <n v="100"/>
    <n v="0"/>
    <n v="0"/>
    <n v="728847"/>
    <n v="506046"/>
    <n v="262200"/>
    <n v="0"/>
    <n v="57"/>
    <n v="149454"/>
    <n v="755462.1848739496"/>
    <n v="70"/>
    <n v="185"/>
    <n v="101"/>
    <n v="100"/>
    <n v="0"/>
    <n v="574424.9999999999"/>
    <n v="264822"/>
    <n v="310499.9999999999"/>
    <n v="0"/>
    <n v="57"/>
    <n v="149454"/>
    <n v="763016.8067226891"/>
    <n v="65"/>
    <n v="124"/>
    <n v="65"/>
    <m/>
    <n v="0"/>
    <n v="0"/>
    <n v="325128"/>
    <n v="201825"/>
    <n v="0"/>
    <n v="0"/>
    <n v="57"/>
    <n v="149454"/>
    <n v="491050.4201680673"/>
    <n v="100"/>
    <n v="71"/>
    <n v="14"/>
    <m/>
    <n v="0"/>
    <n v="0"/>
    <n v="186162"/>
    <n v="43469.99999999999"/>
    <n v="0"/>
    <n v="0"/>
    <n v="71"/>
    <n v="149454"/>
    <n v="105764.705882353"/>
    <n v="70"/>
    <n v="60"/>
    <n v="3"/>
    <n v="150"/>
    <n v="150"/>
    <n v="0"/>
    <n v="157320"/>
    <n v="9314.999999999998"/>
    <n v="450224.9999999999"/>
    <n v="0"/>
    <n v="60"/>
    <n v="149454"/>
    <n v="22663.86554621849"/>
    <n v="80"/>
    <n v="57"/>
    <n v="80"/>
    <n v="170"/>
    <n v="170"/>
    <n v="0"/>
    <n v="149454"/>
    <n v="248400"/>
    <n v="527849.9999999999"/>
    <n v="0"/>
    <n v="57"/>
    <n v="149454"/>
    <n v="604369.7478991597"/>
    <n v="50"/>
    <n v="0"/>
    <n v="50"/>
    <n v="0"/>
    <n v="0"/>
    <n v="169"/>
    <n v="0"/>
    <n v="155250"/>
    <n v="0"/>
    <n v="524744.9999999999"/>
    <n v="169"/>
    <n v="524744.9999999999"/>
    <n v="377731.0924369748"/>
    <n v="80"/>
    <n v="119"/>
    <n v="80"/>
    <n v="0"/>
    <n v="0"/>
    <n v="0"/>
    <m/>
    <n v="369494.9999999999"/>
    <n v="248400"/>
    <n v="0"/>
    <n v="0"/>
    <n v="119"/>
    <n v="369494.9999999999"/>
    <n v="537142.8571428572"/>
    <n v="60"/>
    <n v="39"/>
    <n v="60"/>
    <n v="150"/>
    <n v="150"/>
    <n v="121095"/>
    <n v="186300"/>
    <n v="465749.9999999999"/>
    <n v="465749.9999999999"/>
    <n v="189"/>
    <n v="586844.9999999999"/>
    <n v="423000.0000000001"/>
    <n v="100"/>
    <n v="129"/>
    <n v="100"/>
    <n v="0"/>
    <n v="0"/>
    <n v="400544.9999999999"/>
    <n v="310499.9999999999"/>
    <n v="0"/>
    <n v="129"/>
    <n v="400544.9999999999"/>
    <n v="755462.1848739496"/>
    <n v="36"/>
    <n v="29"/>
    <n v="36"/>
    <n v="0"/>
    <m/>
    <n v="90044.99999999999"/>
    <n v="94392"/>
    <n v="0"/>
    <n v="29"/>
    <n v="90044.99999999999"/>
    <n v="271966.3865546219"/>
  </r>
  <r>
    <m/>
    <x v="6"/>
    <x v="27"/>
    <x v="64"/>
    <n v="1660858118518"/>
    <x v="638"/>
    <x v="482"/>
    <x v="0"/>
    <x v="3"/>
    <n v="0.6"/>
    <x v="323"/>
    <n v="11"/>
    <m/>
    <n v="0"/>
    <n v="2972"/>
    <n v="32692"/>
    <n v="3.45"/>
    <n v="3769.125"/>
    <n v="8394.957983193277"/>
    <n v="7554.621848739496"/>
    <s v="Shenzhen"/>
    <s v="30/70"/>
    <n v="30"/>
    <n v="200"/>
    <n v="124"/>
    <n v="0.6228254051701048"/>
    <n v="111"/>
    <n v="0.5930171433806961"/>
    <n v="145"/>
    <n v="0.6261468467678822"/>
    <n v="50"/>
    <n v="0.6298770328181044"/>
    <n v="136"/>
    <n v="0.5707256560289617"/>
    <n v="221"/>
    <n v="0.5861506534222922"/>
    <n v="137"/>
    <n v="0.5777943354471249"/>
    <n v="145"/>
    <n v="0.5595569922144022"/>
    <n v="122"/>
    <n v="0.5821518009911689"/>
    <n v="229"/>
    <n v="0.5334734581162542"/>
    <n v="163"/>
    <n v="0.5780870829783221"/>
    <n v="104"/>
    <n v="0.5576667886576021"/>
    <n v="67"/>
    <n v="0.4976375721754208"/>
    <n v="88"/>
    <n v="0.5147956789325208"/>
    <n v="61"/>
    <n v="0.4156656840146056"/>
    <n v="29"/>
    <n v="0.5727169629899733"/>
    <n v="0.2071428571428572"/>
    <n v="150"/>
    <n v="0.5624564722328176"/>
    <n v="1.071428571428571"/>
    <n v="22"/>
    <n v="0.5236792079553504"/>
    <n v="0.1"/>
    <n v="0"/>
    <s v=""/>
    <n v="0"/>
    <n v="0"/>
    <s v=""/>
    <n v="0"/>
    <m/>
    <m/>
    <m/>
    <m/>
    <m/>
    <m/>
    <m/>
    <m/>
    <m/>
    <m/>
    <m/>
    <m/>
    <n v="120"/>
    <n v="118"/>
    <n v="70"/>
    <n v="150"/>
    <n v="150"/>
    <n v="0"/>
    <n v="781636"/>
    <n v="421348.4999999999"/>
    <n v="208040"/>
    <n v="0"/>
    <n v="11"/>
    <n v="32692"/>
    <n v="493821.0578348987"/>
    <n v="90"/>
    <n v="218"/>
    <n v="132"/>
    <n v="100"/>
    <n v="100"/>
    <n v="0"/>
    <n v="659784"/>
    <n v="778423.4999999999"/>
    <n v="392304"/>
    <n v="0"/>
    <n v="11"/>
    <n v="32692"/>
    <n v="931205.4233458089"/>
    <n v="150"/>
    <n v="107"/>
    <n v="61"/>
    <n v="0"/>
    <n v="0"/>
    <n v="567423"/>
    <n v="318004"/>
    <n v="181292"/>
    <n v="0"/>
    <n v="11"/>
    <n v="32692"/>
    <n v="512092.4369747899"/>
    <n v="140"/>
    <n v="330"/>
    <n v="29"/>
    <n v="200"/>
    <n v="0"/>
    <n v="1178347.5"/>
    <n v="86188"/>
    <n v="714149.9999999999"/>
    <n v="0"/>
    <n v="11"/>
    <n v="32692"/>
    <n v="243453.781512605"/>
    <n v="140"/>
    <n v="161"/>
    <n v="84"/>
    <m/>
    <n v="0"/>
    <n v="0"/>
    <n v="478492"/>
    <n v="299942.9999999999"/>
    <n v="0"/>
    <n v="0"/>
    <n v="11"/>
    <n v="32692"/>
    <n v="705176.4705882353"/>
    <n v="220"/>
    <n v="33"/>
    <n v="22"/>
    <m/>
    <n v="0"/>
    <n v="0"/>
    <n v="98076"/>
    <n v="78556.49999999999"/>
    <n v="0"/>
    <n v="0"/>
    <n v="33"/>
    <n v="32692"/>
    <n v="184689.0756302521"/>
    <n v="130"/>
    <n v="11"/>
    <n v="0"/>
    <n v="400"/>
    <n v="400"/>
    <n v="0"/>
    <n v="32692"/>
    <n v="0"/>
    <n v="1380690"/>
    <n v="0"/>
    <n v="11"/>
    <n v="32692"/>
    <n v="0"/>
    <n v="150"/>
    <n v="11"/>
    <n v="90"/>
    <n v="225"/>
    <n v="225"/>
    <n v="0"/>
    <n v="32692"/>
    <n v="321367.4999999999"/>
    <n v="803418.7499999999"/>
    <n v="0"/>
    <n v="11"/>
    <n v="32692"/>
    <n v="755546.218487395"/>
    <n v="125"/>
    <n v="0"/>
    <n v="75"/>
    <n v="0"/>
    <n v="0"/>
    <n v="241"/>
    <n v="0"/>
    <n v="267806.2499999999"/>
    <n v="0"/>
    <n v="860550.7499999999"/>
    <n v="241"/>
    <n v="860550.7499999999"/>
    <n v="629621.8487394957"/>
    <n v="180"/>
    <n v="166"/>
    <n v="108"/>
    <n v="0"/>
    <n v="0"/>
    <n v="0"/>
    <m/>
    <n v="592744.4999999999"/>
    <n v="385640.9999999999"/>
    <n v="0"/>
    <n v="0"/>
    <n v="166"/>
    <n v="592744.4999999999"/>
    <n v="815899.1596638656"/>
    <n v="150"/>
    <n v="58"/>
    <n v="90"/>
    <n v="0"/>
    <n v="0"/>
    <n v="207103.5"/>
    <n v="321367.4999999999"/>
    <n v="0"/>
    <n v="0"/>
    <n v="58"/>
    <n v="207103.5"/>
    <n v="713911.7647058824"/>
    <n v="150"/>
    <n v="0"/>
    <n v="90"/>
    <n v="0"/>
    <n v="0"/>
    <n v="0"/>
    <n v="321367.4999999999"/>
    <n v="0"/>
    <n v="0"/>
    <n v="0"/>
    <n v="755546.218487395"/>
    <n v="90"/>
    <n v="0"/>
    <n v="54"/>
    <n v="0"/>
    <m/>
    <n v="0"/>
    <n v="160488"/>
    <n v="0"/>
    <n v="0"/>
    <n v="0"/>
    <n v="453327.7310924369"/>
  </r>
  <r>
    <m/>
    <x v="6"/>
    <x v="27"/>
    <x v="64"/>
    <s v="SIMMANCC-BK"/>
    <x v="639"/>
    <x v="483"/>
    <x v="0"/>
    <x v="3"/>
    <n v="1"/>
    <x v="324"/>
    <n v="142"/>
    <m/>
    <n v="0"/>
    <n v="3278"/>
    <n v="465476"/>
    <n v="3.45"/>
    <n v="3769.125"/>
    <n v="8394.957983193277"/>
    <n v="7554.621848739496"/>
    <s v="Shenzhen"/>
    <s v="30/70"/>
    <n v="30"/>
    <n v="200"/>
    <n v="0"/>
    <s v=""/>
    <n v="0"/>
    <s v=""/>
    <n v="2"/>
    <n v="0.6561011359472334"/>
    <n v="13"/>
    <n v="0.6373236844416742"/>
    <n v="23"/>
    <n v="0.6695100846519411"/>
    <n v="62"/>
    <n v="0.5840630805041207"/>
    <n v="65"/>
    <n v="0.551206587791241"/>
    <n v="93"/>
    <n v="0.5173899633607915"/>
    <n v="67"/>
    <n v="0.5390054311985037"/>
    <n v="110"/>
    <n v="0.5267715876810788"/>
    <n v="63"/>
    <n v="0.5548425100713685"/>
    <n v="37"/>
    <n v="0.531768329409792"/>
    <n v="28"/>
    <n v="0.4896726232418471"/>
    <n v="62"/>
    <n v="0.4684057982931974"/>
    <n v="94"/>
    <n v="0.5299021299925373"/>
    <n v="90"/>
    <n v="0.4720533656259746"/>
    <n v="1.5"/>
    <n v="14"/>
    <n v="0.4280749687902706"/>
    <n v="0.2333333333333333"/>
    <n v="41"/>
    <n v="0.4312368271189844"/>
    <n v="0.4555555555555555"/>
    <n v="61"/>
    <n v="0.5921489959754259"/>
    <n v="1.016666666666667"/>
    <n v="21"/>
    <n v="0.6076659104710993"/>
    <n v="0.2210526315789474"/>
    <m/>
    <m/>
    <m/>
    <m/>
    <m/>
    <m/>
    <m/>
    <m/>
    <m/>
    <m/>
    <m/>
    <m/>
    <n v="50"/>
    <n v="154"/>
    <n v="30"/>
    <n v="150"/>
    <n v="150"/>
    <n v="0"/>
    <n v="711326"/>
    <n v="549895.4999999999"/>
    <n v="98340"/>
    <n v="0"/>
    <n v="142"/>
    <n v="465476"/>
    <n v="211637.5962149566"/>
    <n v="40"/>
    <n v="371"/>
    <n v="93"/>
    <n v="0"/>
    <n v="0"/>
    <n v="0"/>
    <n v="908006"/>
    <n v="1324748.25"/>
    <n v="304854"/>
    <n v="0"/>
    <n v="142"/>
    <n v="465476"/>
    <n v="656076.5482663654"/>
    <n v="80"/>
    <n v="310"/>
    <n v="94"/>
    <n v="0"/>
    <n v="0"/>
    <n v="817397"/>
    <n v="1016180"/>
    <n v="308132"/>
    <n v="0"/>
    <n v="142"/>
    <n v="465476"/>
    <n v="789126.0504201681"/>
    <n v="60"/>
    <n v="219"/>
    <n v="90"/>
    <n v="0"/>
    <n v="0"/>
    <n v="781994.2499999999"/>
    <n v="295020"/>
    <n v="0"/>
    <n v="0"/>
    <n v="142"/>
    <n v="465476"/>
    <n v="755546.218487395"/>
    <n v="60"/>
    <n v="156"/>
    <n v="60"/>
    <m/>
    <n v="0"/>
    <n v="0"/>
    <n v="511368"/>
    <n v="214245"/>
    <n v="0"/>
    <n v="0"/>
    <n v="142"/>
    <n v="465476"/>
    <n v="503697.4789915966"/>
    <n v="90"/>
    <n v="183"/>
    <n v="41"/>
    <m/>
    <n v="0"/>
    <n v="0"/>
    <n v="599874"/>
    <n v="146400.75"/>
    <n v="0"/>
    <n v="0"/>
    <n v="183"/>
    <n v="465476"/>
    <n v="344193.2773109244"/>
    <n v="60"/>
    <n v="203"/>
    <n v="61"/>
    <n v="200"/>
    <n v="200"/>
    <n v="0"/>
    <n v="665434"/>
    <n v="217815.75"/>
    <n v="690345"/>
    <n v="0"/>
    <n v="203"/>
    <n v="465476"/>
    <n v="512092.4369747899"/>
    <n v="95"/>
    <n v="142"/>
    <n v="95"/>
    <n v="100"/>
    <n v="100"/>
    <n v="0"/>
    <n v="465476"/>
    <n v="339221.2499999999"/>
    <n v="357074.9999999999"/>
    <n v="0"/>
    <n v="142"/>
    <n v="465476"/>
    <n v="797521.0084033613"/>
    <n v="70"/>
    <n v="47"/>
    <n v="70"/>
    <n v="0"/>
    <n v="0"/>
    <n v="97"/>
    <n v="167825.25"/>
    <n v="249952.5"/>
    <n v="0"/>
    <n v="346362.7499999999"/>
    <n v="144"/>
    <n v="514187.9999999999"/>
    <n v="587647.0588235294"/>
    <n v="110"/>
    <n v="74"/>
    <n v="74"/>
    <n v="250"/>
    <n v="250"/>
    <n v="250"/>
    <n v="0"/>
    <n v="264235.4999999999"/>
    <n v="264235.4999999999"/>
    <n v="892687.4999999999"/>
    <n v="892687.4999999999"/>
    <n v="324"/>
    <n v="1156923"/>
    <n v="559042.0168067227"/>
    <n v="70"/>
    <n v="250"/>
    <n v="70"/>
    <n v="0"/>
    <n v="0"/>
    <n v="892687.4999999999"/>
    <n v="249952.5"/>
    <n v="0"/>
    <n v="0"/>
    <n v="250"/>
    <n v="892687.4999999999"/>
    <n v="555264.705882353"/>
    <n v="100"/>
    <n v="180"/>
    <n v="100"/>
    <n v="0"/>
    <n v="0"/>
    <n v="642734.9999999999"/>
    <n v="357074.9999999999"/>
    <n v="0"/>
    <n v="180"/>
    <n v="642734.9999999999"/>
    <n v="839495.7983193276"/>
    <n v="42"/>
    <n v="80"/>
    <n v="42"/>
    <n v="0"/>
    <m/>
    <n v="285659.9999999999"/>
    <n v="137676"/>
    <n v="0"/>
    <n v="80"/>
    <n v="285659.9999999999"/>
    <n v="352588.2352941177"/>
  </r>
  <r>
    <m/>
    <x v="6"/>
    <x v="27"/>
    <x v="65"/>
    <n v="1635956592996"/>
    <x v="640"/>
    <x v="484"/>
    <x v="0"/>
    <x v="5"/>
    <n v="0.7"/>
    <x v="325"/>
    <n v="351"/>
    <m/>
    <n v="0"/>
    <n v="7693"/>
    <n v="2700243"/>
    <n v="7.9"/>
    <n v="8630.75"/>
    <n v="18478.99159663866"/>
    <n v="16798.31932773109"/>
    <s v="Ningbo"/>
    <s v="20/80"/>
    <n v="30"/>
    <n v="600"/>
    <n v="43"/>
    <n v="0.4220481807314084"/>
    <n v="64"/>
    <n v="0.4058343838486746"/>
    <n v="122"/>
    <n v="0.5101878522603382"/>
    <n v="70"/>
    <n v="0.4750915583651225"/>
    <n v="77"/>
    <n v="0.5059339064474094"/>
    <n v="217"/>
    <n v="0.4438465000951994"/>
    <n v="96"/>
    <n v="0.4985714279484723"/>
    <n v="99"/>
    <n v="0.4820463859851635"/>
    <n v="57"/>
    <n v="0.5043812343438449"/>
    <n v="191"/>
    <n v="0.4403612697628289"/>
    <n v="66"/>
    <n v="0.5105350973424885"/>
    <n v="55"/>
    <n v="0.5040302420922819"/>
    <n v="16"/>
    <n v="0.3056020553902428"/>
    <n v="7"/>
    <n v="0.2896090306881168"/>
    <n v="1"/>
    <s v=""/>
    <n v="16"/>
    <n v="0.4190078224649235"/>
    <n v="0.32"/>
    <n v="40"/>
    <n v="0.5798449480877441"/>
    <n v="0.5714285714285714"/>
    <n v="85"/>
    <n v="0.4799511676737712"/>
    <n v="0.53125"/>
    <n v="5"/>
    <s v=""/>
    <n v="0.05"/>
    <n v="0"/>
    <s v=""/>
    <n v="0"/>
    <m/>
    <m/>
    <m/>
    <m/>
    <m/>
    <m/>
    <m/>
    <m/>
    <m/>
    <m/>
    <m/>
    <m/>
    <n v="50"/>
    <n v="33"/>
    <n v="20"/>
    <n v="0"/>
    <n v="0"/>
    <n v="0"/>
    <n v="242329.5"/>
    <n v="269824.4999999999"/>
    <n v="153860"/>
    <n v="0"/>
    <n v="351"/>
    <n v="2700243"/>
    <n v="310571.2873384649"/>
    <n v="13"/>
    <n v="26"/>
    <n v="10.5"/>
    <n v="600"/>
    <n v="300"/>
    <n v="0"/>
    <n v="211557.5"/>
    <n v="212589"/>
    <n v="80776.5"/>
    <n v="0"/>
    <n v="351"/>
    <n v="2700243"/>
    <n v="163049.9258526941"/>
    <n v="50"/>
    <n v="26"/>
    <n v="1"/>
    <n v="0"/>
    <n v="0"/>
    <n v="531429.5"/>
    <n v="200018"/>
    <n v="7693"/>
    <n v="0"/>
    <n v="351"/>
    <n v="2700243"/>
    <n v="18478.99159663866"/>
    <n v="50"/>
    <n v="599"/>
    <n v="16"/>
    <n v="0"/>
    <n v="0"/>
    <n v="4897723.499999999"/>
    <n v="123088"/>
    <n v="0"/>
    <n v="0"/>
    <n v="351"/>
    <n v="2700243"/>
    <n v="295663.8655462185"/>
    <n v="70"/>
    <n v="391"/>
    <n v="49"/>
    <m/>
    <n v="300"/>
    <n v="0"/>
    <n v="3007963"/>
    <n v="400648.4999999999"/>
    <n v="0"/>
    <n v="0"/>
    <n v="351"/>
    <n v="2700243"/>
    <n v="905470.5882352942"/>
    <n v="160"/>
    <n v="436"/>
    <n v="85"/>
    <m/>
    <n v="0"/>
    <n v="0"/>
    <n v="3354148"/>
    <n v="695002.4999999999"/>
    <n v="0"/>
    <n v="0"/>
    <n v="436"/>
    <n v="2700243"/>
    <n v="1570714.285714286"/>
    <n v="100"/>
    <n v="356"/>
    <n v="5"/>
    <n v="0"/>
    <n v="0"/>
    <n v="0"/>
    <n v="2738708"/>
    <n v="40882.49999999999"/>
    <n v="0"/>
    <n v="0"/>
    <n v="356"/>
    <n v="2700243"/>
    <n v="92394.95798319329"/>
    <n v="95"/>
    <n v="351"/>
    <n v="66.5"/>
    <n v="0"/>
    <n v="0"/>
    <n v="0"/>
    <n v="2700243"/>
    <n v="543737.2499999999"/>
    <n v="0"/>
    <n v="0"/>
    <n v="351"/>
    <n v="2700243"/>
    <n v="1228852.941176471"/>
    <n v="55"/>
    <n v="284.5"/>
    <n v="38.5"/>
    <n v="0"/>
    <n v="0"/>
    <n v="0"/>
    <n v="2326214.25"/>
    <n v="314795.2499999999"/>
    <n v="0"/>
    <n v="0"/>
    <n v="284.5"/>
    <n v="2326214.25"/>
    <n v="711441.1764705883"/>
    <n v="60"/>
    <n v="246"/>
    <n v="42"/>
    <n v="0"/>
    <n v="0"/>
    <n v="0"/>
    <m/>
    <n v="2011419"/>
    <n v="343412.9999999999"/>
    <n v="0"/>
    <n v="0"/>
    <n v="246"/>
    <n v="2011419"/>
    <n v="705529.4117647059"/>
    <n v="50"/>
    <n v="204"/>
    <n v="35"/>
    <n v="0"/>
    <n v="0"/>
    <n v="1668006"/>
    <n v="286177.4999999999"/>
    <n v="0"/>
    <n v="0"/>
    <n v="204"/>
    <n v="1668006"/>
    <n v="617338.2352941176"/>
    <n v="50"/>
    <n v="169"/>
    <n v="35"/>
    <n v="0"/>
    <n v="0"/>
    <n v="1381828.5"/>
    <n v="286177.4999999999"/>
    <n v="0"/>
    <n v="169"/>
    <n v="1381828.5"/>
    <n v="646764.705882353"/>
    <n v="30"/>
    <n v="134"/>
    <n v="21"/>
    <n v="0"/>
    <m/>
    <n v="1095651"/>
    <n v="161553"/>
    <n v="0"/>
    <n v="134"/>
    <n v="1095651"/>
    <n v="388058.8235294118"/>
  </r>
  <r>
    <m/>
    <x v="6"/>
    <x v="27"/>
    <x v="65"/>
    <n v="1635956597983"/>
    <x v="641"/>
    <x v="485"/>
    <x v="0"/>
    <x v="0"/>
    <n v="1"/>
    <x v="326"/>
    <n v="12"/>
    <m/>
    <n v="0"/>
    <n v="6273"/>
    <n v="75276"/>
    <n v="5.3"/>
    <n v="5790.25"/>
    <n v="10915.96638655462"/>
    <n v="10915.96638655462"/>
    <s v="Ningbo"/>
    <s v="20/80"/>
    <n v="45"/>
    <n v="600"/>
    <n v="84"/>
    <n v="0.4691753499440552"/>
    <n v="58"/>
    <n v="0.4259139098127999"/>
    <n v="35"/>
    <n v="0.5944026361946578"/>
    <n v="37"/>
    <n v="0.5163411045987094"/>
    <n v="70"/>
    <n v="0.5134577352126825"/>
    <n v="179"/>
    <n v="0.4944372374964883"/>
    <n v="80"/>
    <n v="0.5269715588301681"/>
    <n v="72"/>
    <n v="0.5499515649671527"/>
    <n v="50"/>
    <n v="0.4989971825413262"/>
    <n v="167"/>
    <n v="0.4510373744031394"/>
    <n v="59"/>
    <n v="0.4884371114530607"/>
    <n v="70"/>
    <n v="0.5038812494960192"/>
    <n v="57"/>
    <n v="0.1398769727191606"/>
    <n v="56"/>
    <n v="0.1289267885402764"/>
    <n v="129"/>
    <n v="0.1448744339829191"/>
    <n v="103"/>
    <n v="0.09635686782545934"/>
    <n v="1.471428571428572"/>
    <n v="49"/>
    <n v="0.4268628174010024"/>
    <n v="0.7"/>
    <n v="16"/>
    <n v="0.3765488394789072"/>
    <n v="0.08888888888888889"/>
    <n v="3"/>
    <s v=""/>
    <n v="0.2"/>
    <n v="0"/>
    <s v=""/>
    <n v="0"/>
    <m/>
    <m/>
    <m/>
    <m/>
    <m/>
    <m/>
    <m/>
    <m/>
    <m/>
    <m/>
    <m/>
    <m/>
    <n v="60"/>
    <n v="438"/>
    <n v="60"/>
    <n v="0"/>
    <n v="0"/>
    <n v="0"/>
    <n v="1712529"/>
    <n v="2402649"/>
    <n v="376380"/>
    <n v="0"/>
    <n v="12"/>
    <n v="75276"/>
    <n v="550384.8598262835"/>
    <n v="50"/>
    <n v="402"/>
    <n v="84"/>
    <n v="0"/>
    <n v="0"/>
    <n v="0"/>
    <n v="1982268"/>
    <n v="2205171"/>
    <n v="526932"/>
    <n v="0"/>
    <n v="12"/>
    <n v="75276"/>
    <n v="770538.803756797"/>
    <n v="70"/>
    <n v="141"/>
    <n v="129"/>
    <n v="0"/>
    <n v="0"/>
    <n v="1839321"/>
    <n v="884493"/>
    <n v="809217"/>
    <n v="0"/>
    <n v="12"/>
    <n v="75276"/>
    <n v="1408159.663865546"/>
    <n v="70"/>
    <n v="191"/>
    <n v="103"/>
    <n v="0"/>
    <n v="0"/>
    <n v="1047730.5"/>
    <n v="646119"/>
    <n v="0"/>
    <n v="0"/>
    <n v="12"/>
    <n v="75276"/>
    <n v="1124344.537815126"/>
    <n v="70"/>
    <n v="61"/>
    <n v="70"/>
    <m/>
    <n v="0"/>
    <n v="0"/>
    <n v="382653"/>
    <n v="383985"/>
    <n v="0"/>
    <n v="0"/>
    <n v="12"/>
    <n v="75276"/>
    <n v="764117.6470588236"/>
    <n v="180"/>
    <n v="28"/>
    <n v="16"/>
    <m/>
    <n v="0"/>
    <n v="0"/>
    <n v="175644"/>
    <n v="87768"/>
    <n v="0"/>
    <n v="0"/>
    <n v="28"/>
    <n v="75276"/>
    <n v="174655.462184874"/>
    <n v="15"/>
    <n v="15"/>
    <n v="3"/>
    <n v="0"/>
    <n v="0"/>
    <n v="0"/>
    <n v="94095"/>
    <n v="16456.5"/>
    <n v="0"/>
    <n v="0"/>
    <n v="15"/>
    <n v="75276"/>
    <n v="32747.89915966387"/>
    <n v="0"/>
    <n v="12"/>
    <n v="0"/>
    <n v="0"/>
    <n v="0"/>
    <n v="0"/>
    <n v="75276"/>
    <n v="0"/>
    <n v="0"/>
    <n v="0"/>
    <n v="12"/>
    <n v="75276"/>
    <n v="0"/>
    <n v="0"/>
    <n v="12"/>
    <n v="0"/>
    <n v="0"/>
    <n v="0"/>
    <n v="0"/>
    <n v="65826"/>
    <n v="0"/>
    <n v="0"/>
    <n v="0"/>
    <n v="12"/>
    <n v="65826"/>
    <n v="0"/>
    <n v="26"/>
    <n v="12"/>
    <n v="12"/>
    <n v="0"/>
    <n v="0"/>
    <n v="0"/>
    <m/>
    <n v="65826"/>
    <n v="65826"/>
    <n v="0"/>
    <n v="0"/>
    <n v="12"/>
    <n v="65826"/>
    <n v="130991.59663865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6"/>
    <x v="27"/>
    <x v="65"/>
    <s v="SIMO28TOUL"/>
    <x v="642"/>
    <x v="486"/>
    <x v="0"/>
    <x v="2"/>
    <n v="1.8"/>
    <x v="3"/>
    <n v="0"/>
    <m/>
    <n v="0"/>
    <n v="20545"/>
    <n v="0"/>
    <n v="17.52"/>
    <n v="19140.6"/>
    <n v="29403.36134453782"/>
    <n v="25201.68067226891"/>
    <s v="Ningbo"/>
    <s v="20/80"/>
    <n v="45"/>
    <n v="600"/>
    <n v="6"/>
    <n v="0.507656545807472"/>
    <n v="2"/>
    <n v="0.3648560917550314"/>
    <n v="4"/>
    <n v="0.4612673655725067"/>
    <n v="11"/>
    <n v="0.4236495449390246"/>
    <n v="7"/>
    <n v="0.4992505209793193"/>
    <n v="23"/>
    <n v="0.3383045635063973"/>
    <n v="25"/>
    <n v="0.3968697308473308"/>
    <n v="31"/>
    <n v="0.2410421959870562"/>
    <n v="29"/>
    <n v="0.227553480197069"/>
    <n v="214"/>
    <n v="-0.1484392368364368"/>
    <n v="28"/>
    <n v="0.3120384549103803"/>
    <n v="34"/>
    <n v="0.3133066816928772"/>
    <n v="25"/>
    <n v="0.1941846125953797"/>
    <n v="44"/>
    <n v="0.1721780112973049"/>
    <n v="51"/>
    <n v="0.1505017330723744"/>
    <n v="34"/>
    <n v="0.1422326521952286"/>
    <n v="1.7"/>
    <n v="26"/>
    <n v="0.2745814353775782"/>
    <n v="1.3"/>
    <n v="-3"/>
    <n v="-0.09011131918435289"/>
    <n v="-0.1153846153846154"/>
    <n v="0"/>
    <s v=""/>
    <n v="0"/>
    <n v="0"/>
    <s v=""/>
    <n v="0"/>
    <m/>
    <m/>
    <m/>
    <m/>
    <m/>
    <m/>
    <m/>
    <m/>
    <m/>
    <m/>
    <m/>
    <m/>
    <n v="25"/>
    <n v="182"/>
    <n v="30"/>
    <n v="0"/>
    <n v="0"/>
    <n v="0"/>
    <n v="3020115"/>
    <n v="3300242.399999999"/>
    <n v="616350"/>
    <n v="0"/>
    <n v="0"/>
    <n v="0"/>
    <n v="741261.2103664996"/>
    <n v="25"/>
    <n v="156"/>
    <n v="66"/>
    <n v="0"/>
    <n v="0"/>
    <n v="0"/>
    <n v="3102295"/>
    <n v="2828779.2"/>
    <n v="1355970"/>
    <n v="0"/>
    <n v="0"/>
    <n v="0"/>
    <n v="1630774.662806299"/>
    <n v="25"/>
    <n v="51"/>
    <n v="51"/>
    <n v="0"/>
    <n v="0"/>
    <n v="2399120.2"/>
    <n v="1047795"/>
    <n v="1047795"/>
    <n v="0"/>
    <n v="0"/>
    <n v="0"/>
    <n v="1499571.428571429"/>
    <n v="20"/>
    <n v="68"/>
    <n v="34"/>
    <n v="0"/>
    <n v="0"/>
    <n v="1233057.6"/>
    <n v="698530"/>
    <n v="0"/>
    <n v="0"/>
    <n v="0"/>
    <n v="0"/>
    <n v="999714.2857142858"/>
    <n v="20"/>
    <n v="26"/>
    <n v="36"/>
    <m/>
    <n v="0"/>
    <n v="0"/>
    <n v="534170"/>
    <n v="652795.2"/>
    <n v="0"/>
    <n v="0"/>
    <n v="0"/>
    <n v="0"/>
    <n v="1058521.008403362"/>
    <n v="26"/>
    <n v="-3"/>
    <n v="-3"/>
    <m/>
    <n v="0"/>
    <n v="0"/>
    <n v="-61635"/>
    <n v="-54399.59999999999"/>
    <n v="0"/>
    <n v="0"/>
    <n v="-3"/>
    <n v="0"/>
    <n v="-88210.084033613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6"/>
    <x v="27"/>
    <x v="66"/>
    <n v="66800469437952"/>
    <x v="643"/>
    <x v="487"/>
    <x v="0"/>
    <x v="2"/>
    <n v="1"/>
    <x v="3"/>
    <n v="14"/>
    <m/>
    <n v="0"/>
    <n v="6067"/>
    <n v="84938"/>
    <n v="6.05"/>
    <n v="6609.624999999999"/>
    <n v="16798.31932773109"/>
    <n v="12596.63865546219"/>
    <s v="Shenzhen"/>
    <s v="30/70"/>
    <n v="30"/>
    <n v="500"/>
    <n v="77"/>
    <n v="0.3017656881531904"/>
    <n v="44"/>
    <n v="0.4695738722225011"/>
    <n v="115"/>
    <n v="0.4557706722309298"/>
    <n v="68"/>
    <n v="0.4094957525141862"/>
    <n v="98"/>
    <n v="0.4521019462080873"/>
    <n v="62"/>
    <n v="0.3544701656375681"/>
    <n v="34"/>
    <n v="0.4318080258494281"/>
    <n v="13"/>
    <n v="0.4648336844734896"/>
    <n v="9"/>
    <n v="0.4333277400630493"/>
    <n v="18"/>
    <n v="0.3051387404172139"/>
    <n v="71"/>
    <n v="0.1781020606754436"/>
    <n v="0"/>
    <s v=""/>
    <n v="3"/>
    <n v="0.1652359262440214"/>
    <n v="6"/>
    <n v="0.3702572554689769"/>
    <n v="0"/>
    <s v=""/>
    <n v="1"/>
    <n v="0.4592620987594823"/>
    <n v="0"/>
    <n v="2"/>
    <n v="0.4592596911205059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28"/>
    <n v="0"/>
    <n v="0"/>
    <n v="0"/>
    <n v="0"/>
    <n v="54603"/>
    <n v="175329"/>
    <n v="0"/>
    <n v="0"/>
    <n v="14"/>
    <n v="84938"/>
    <n v="0"/>
    <n v="0"/>
    <n v="35"/>
    <n v="9"/>
    <n v="0"/>
    <n v="0"/>
    <n v="0"/>
    <n v="60670"/>
    <n v="219161.25"/>
    <n v="54603"/>
    <n v="0"/>
    <n v="14"/>
    <n v="84938"/>
    <n v="127046.1125626721"/>
    <n v="0"/>
    <n v="29"/>
    <n v="0"/>
    <n v="0"/>
    <n v="0"/>
    <n v="6067"/>
    <n v="175943"/>
    <n v="0"/>
    <n v="0"/>
    <n v="14"/>
    <n v="84938"/>
    <n v="0"/>
    <n v="0"/>
    <n v="28"/>
    <n v="1"/>
    <n v="0"/>
    <n v="0"/>
    <n v="175329"/>
    <n v="6067"/>
    <n v="0"/>
    <n v="0"/>
    <n v="14"/>
    <n v="84938"/>
    <n v="16798.31932773109"/>
    <n v="0"/>
    <n v="16"/>
    <n v="0"/>
    <m/>
    <n v="0"/>
    <n v="0"/>
    <n v="97072"/>
    <n v="0"/>
    <n v="0"/>
    <n v="0"/>
    <n v="14"/>
    <n v="84938"/>
    <n v="0"/>
    <n v="0"/>
    <n v="14"/>
    <n v="0"/>
    <m/>
    <n v="0"/>
    <n v="0"/>
    <n v="84938"/>
    <n v="0"/>
    <n v="0"/>
    <n v="0"/>
    <n v="14"/>
    <n v="84938"/>
    <n v="0"/>
    <n v="0"/>
    <n v="14"/>
    <n v="0"/>
    <n v="0"/>
    <n v="0"/>
    <n v="0"/>
    <n v="84938"/>
    <n v="0"/>
    <n v="0"/>
    <n v="0"/>
    <n v="14"/>
    <n v="84938"/>
    <n v="0"/>
    <n v="0"/>
    <n v="14"/>
    <n v="0"/>
    <n v="0"/>
    <n v="0"/>
    <n v="0"/>
    <n v="84938"/>
    <n v="0"/>
    <n v="0"/>
    <n v="0"/>
    <n v="14"/>
    <n v="84938"/>
    <n v="0"/>
    <n v="0"/>
    <n v="14"/>
    <n v="0"/>
    <n v="0"/>
    <n v="0"/>
    <n v="0"/>
    <n v="87664.49999999999"/>
    <n v="0"/>
    <n v="0"/>
    <n v="0"/>
    <n v="14"/>
    <n v="87664.49999999999"/>
    <n v="0"/>
    <n v="0"/>
    <n v="14"/>
    <n v="0"/>
    <n v="0"/>
    <n v="0"/>
    <n v="0"/>
    <m/>
    <n v="87664.49999999999"/>
    <n v="0"/>
    <n v="0"/>
    <n v="0"/>
    <n v="14"/>
    <n v="87664.49999999999"/>
    <n v="0"/>
    <n v="0"/>
    <n v="14"/>
    <n v="0"/>
    <n v="0"/>
    <n v="0"/>
    <n v="87664.49999999999"/>
    <n v="0"/>
    <n v="0"/>
    <n v="0"/>
    <n v="14"/>
    <n v="87664.49999999999"/>
    <n v="0"/>
    <n v="0"/>
    <n v="14"/>
    <n v="0"/>
    <n v="0"/>
    <n v="0"/>
    <n v="87664.49999999999"/>
    <n v="0"/>
    <n v="0"/>
    <n v="14"/>
    <n v="87664.49999999999"/>
    <n v="0"/>
    <n v="0"/>
    <n v="14"/>
    <n v="0"/>
    <n v="0"/>
    <m/>
    <n v="87664.49999999999"/>
    <n v="0"/>
    <n v="0"/>
    <n v="14"/>
    <n v="87664.49999999999"/>
    <n v="0"/>
  </r>
  <r>
    <m/>
    <x v="6"/>
    <x v="27"/>
    <x v="66"/>
    <n v="66800471275549"/>
    <x v="644"/>
    <x v="488"/>
    <x v="0"/>
    <x v="2"/>
    <n v="1"/>
    <x v="3"/>
    <n v="16"/>
    <m/>
    <n v="0"/>
    <n v="6283"/>
    <n v="100528"/>
    <n v="6.05"/>
    <n v="6609.624999999999"/>
    <n v="16798.31932773109"/>
    <n v="12596.63865546219"/>
    <s v="Shenzhen"/>
    <s v="30/70"/>
    <n v="30"/>
    <n v="500"/>
    <n v="105"/>
    <n v="0.2981095432442093"/>
    <n v="37"/>
    <n v="0.4553227722233296"/>
    <n v="73"/>
    <n v="0.3981008243190389"/>
    <n v="59"/>
    <n v="0.4540530254536226"/>
    <n v="84"/>
    <n v="0.4002706624022918"/>
    <n v="71"/>
    <n v="0.3641800793095407"/>
    <n v="43"/>
    <n v="0.3981144503057497"/>
    <n v="19"/>
    <n v="0.4531844888080167"/>
    <n v="9"/>
    <n v="0.3705825654272105"/>
    <n v="29"/>
    <n v="0.3304385772819394"/>
    <n v="61"/>
    <n v="0.1991587125137909"/>
    <n v="4"/>
    <n v="0.3054964490010225"/>
    <n v="3"/>
    <n v="0.2634116246714113"/>
    <n v="0"/>
    <s v=""/>
    <n v="1"/>
    <n v="0.4506912418071649"/>
    <n v="0"/>
    <s v=""/>
    <n v="0"/>
    <n v="1"/>
    <n v="0.4506912418071649"/>
    <n v="0.25"/>
    <n v="0"/>
    <s v=""/>
    <n v="0"/>
    <n v="0"/>
    <s v=""/>
    <n v="0"/>
    <n v="0"/>
    <s v=""/>
    <n v="0"/>
    <m/>
    <m/>
    <m/>
    <m/>
    <m/>
    <m/>
    <m/>
    <m/>
    <m/>
    <m/>
    <m/>
    <m/>
    <n v="0"/>
    <n v="29"/>
    <n v="0"/>
    <n v="0"/>
    <n v="0"/>
    <n v="0"/>
    <n v="6283"/>
    <n v="181590.75"/>
    <n v="0"/>
    <n v="0"/>
    <n v="16"/>
    <n v="100528"/>
    <n v="0"/>
    <n v="0"/>
    <n v="27"/>
    <n v="0"/>
    <n v="0"/>
    <n v="0"/>
    <n v="0"/>
    <n v="6283"/>
    <n v="169067.25"/>
    <n v="0"/>
    <n v="0"/>
    <n v="16"/>
    <n v="100528"/>
    <n v="0"/>
    <n v="0"/>
    <n v="27"/>
    <n v="1"/>
    <n v="0"/>
    <n v="0"/>
    <n v="31330"/>
    <n v="169641"/>
    <n v="6283"/>
    <n v="0"/>
    <n v="16"/>
    <n v="100528"/>
    <n v="16798.31932773109"/>
    <n v="0"/>
    <n v="25"/>
    <n v="0"/>
    <n v="0"/>
    <n v="0"/>
    <n v="156543.75"/>
    <n v="0"/>
    <n v="0"/>
    <n v="0"/>
    <n v="16"/>
    <n v="100528"/>
    <n v="0"/>
    <n v="4"/>
    <n v="17"/>
    <n v="4"/>
    <m/>
    <n v="0"/>
    <n v="0"/>
    <n v="106811"/>
    <n v="25047"/>
    <n v="0"/>
    <n v="0"/>
    <n v="16"/>
    <n v="100528"/>
    <n v="67193.27731092437"/>
    <n v="0"/>
    <n v="16"/>
    <n v="0"/>
    <m/>
    <n v="0"/>
    <n v="0"/>
    <n v="100528"/>
    <n v="0"/>
    <n v="0"/>
    <n v="0"/>
    <n v="16"/>
    <n v="100528"/>
    <n v="0"/>
    <n v="0"/>
    <n v="16"/>
    <n v="0"/>
    <n v="0"/>
    <n v="0"/>
    <n v="0"/>
    <n v="100528"/>
    <n v="0"/>
    <n v="0"/>
    <n v="0"/>
    <n v="16"/>
    <n v="100528"/>
    <n v="0"/>
    <n v="0"/>
    <n v="16"/>
    <n v="0"/>
    <n v="0"/>
    <n v="0"/>
    <n v="0"/>
    <n v="100528"/>
    <n v="0"/>
    <n v="0"/>
    <n v="0"/>
    <n v="16"/>
    <n v="100528"/>
    <n v="0"/>
    <n v="0"/>
    <n v="16"/>
    <n v="0"/>
    <n v="0"/>
    <n v="0"/>
    <n v="0"/>
    <n v="100188"/>
    <n v="0"/>
    <n v="0"/>
    <n v="0"/>
    <n v="16"/>
    <n v="100188"/>
    <n v="0"/>
    <n v="0"/>
    <n v="16"/>
    <n v="0"/>
    <n v="0"/>
    <n v="0"/>
    <n v="0"/>
    <m/>
    <n v="100188"/>
    <n v="0"/>
    <n v="0"/>
    <n v="0"/>
    <n v="16"/>
    <n v="100188"/>
    <n v="0"/>
    <n v="0"/>
    <n v="16"/>
    <n v="0"/>
    <n v="0"/>
    <n v="0"/>
    <n v="100188"/>
    <n v="0"/>
    <n v="0"/>
    <n v="0"/>
    <n v="16"/>
    <n v="100188"/>
    <n v="0"/>
    <n v="0"/>
    <n v="16"/>
    <n v="0"/>
    <n v="0"/>
    <n v="0"/>
    <n v="100188"/>
    <n v="0"/>
    <n v="0"/>
    <n v="16"/>
    <n v="100188"/>
    <n v="0"/>
    <n v="0"/>
    <n v="16"/>
    <n v="0"/>
    <n v="0"/>
    <m/>
    <n v="100188"/>
    <n v="0"/>
    <n v="0"/>
    <n v="16"/>
    <n v="100188"/>
    <n v="0"/>
  </r>
  <r>
    <m/>
    <x v="6"/>
    <x v="27"/>
    <x v="66"/>
    <n v="66800472805184"/>
    <x v="645"/>
    <x v="489"/>
    <x v="0"/>
    <x v="2"/>
    <n v="1"/>
    <x v="3"/>
    <n v="20"/>
    <m/>
    <n v="0"/>
    <n v="6113"/>
    <n v="122260"/>
    <n v="5.6"/>
    <n v="6117.999999999999"/>
    <n v="16798.31932773109"/>
    <n v="12596.63865546219"/>
    <s v="Shenzhen"/>
    <s v="30/70"/>
    <n v="30"/>
    <n v="500"/>
    <n v="48"/>
    <n v="0.2814090876121446"/>
    <n v="11"/>
    <n v="0.5975351462004481"/>
    <n v="28"/>
    <n v="0.4644875684926985"/>
    <n v="24"/>
    <n v="0.4749221991990545"/>
    <n v="23"/>
    <n v="0.4097653720951983"/>
    <n v="25"/>
    <n v="0.3880127727855605"/>
    <n v="12"/>
    <n v="0.4279962570711581"/>
    <n v="11"/>
    <n v="0.4466346425701568"/>
    <n v="6"/>
    <n v="0.4222180514072449"/>
    <n v="15"/>
    <n v="0.3613414676330947"/>
    <n v="132"/>
    <n v="0.212564662806822"/>
    <n v="5"/>
    <n v="0.2320158797959748"/>
    <n v="2"/>
    <n v="0.4399963343309677"/>
    <n v="6"/>
    <n v="0.4481950596830953"/>
    <n v="0"/>
    <s v=""/>
    <n v="1"/>
    <n v="0.4574368236677851"/>
    <n v="0"/>
    <n v="2"/>
    <n v="0.4574368236677851"/>
    <n v="0.25"/>
    <n v="0"/>
    <s v=""/>
    <n v="0"/>
    <n v="0"/>
    <s v=""/>
    <n v="0"/>
    <n v="0"/>
    <s v=""/>
    <n v="0"/>
    <m/>
    <m/>
    <m/>
    <m/>
    <m/>
    <m/>
    <m/>
    <m/>
    <m/>
    <m/>
    <m/>
    <m/>
    <n v="0"/>
    <n v="29"/>
    <n v="0"/>
    <n v="0"/>
    <n v="0"/>
    <n v="0"/>
    <n v="55017"/>
    <n v="168084"/>
    <n v="0"/>
    <n v="0"/>
    <n v="20"/>
    <n v="122260"/>
    <n v="0"/>
    <n v="0"/>
    <n v="33"/>
    <n v="9"/>
    <n v="0"/>
    <n v="0"/>
    <n v="0"/>
    <n v="61130"/>
    <n v="191268"/>
    <n v="55017"/>
    <n v="0"/>
    <n v="20"/>
    <n v="122260"/>
    <n v="127046.1125626721"/>
    <n v="0"/>
    <n v="27"/>
    <n v="0"/>
    <n v="0"/>
    <n v="0"/>
    <n v="52481"/>
    <n v="165051"/>
    <n v="0"/>
    <n v="0"/>
    <n v="20"/>
    <n v="122260"/>
    <n v="0"/>
    <n v="0"/>
    <n v="27"/>
    <n v="1"/>
    <n v="0"/>
    <n v="0"/>
    <n v="156492"/>
    <n v="6113"/>
    <n v="0"/>
    <n v="0"/>
    <n v="20"/>
    <n v="122260"/>
    <n v="16798.31932773109"/>
    <n v="8"/>
    <n v="22"/>
    <n v="8"/>
    <m/>
    <n v="0"/>
    <n v="0"/>
    <n v="134486"/>
    <n v="46368"/>
    <n v="0"/>
    <n v="0"/>
    <n v="20"/>
    <n v="122260"/>
    <n v="134386.5546218487"/>
    <n v="0"/>
    <n v="20"/>
    <n v="0"/>
    <m/>
    <n v="0"/>
    <n v="0"/>
    <n v="122260"/>
    <n v="0"/>
    <n v="0"/>
    <n v="0"/>
    <n v="20"/>
    <n v="122260"/>
    <n v="0"/>
    <n v="0"/>
    <n v="20"/>
    <n v="0"/>
    <n v="0"/>
    <n v="0"/>
    <n v="0"/>
    <n v="122260"/>
    <n v="0"/>
    <n v="0"/>
    <n v="0"/>
    <n v="20"/>
    <n v="122260"/>
    <n v="0"/>
    <n v="0"/>
    <n v="20"/>
    <n v="0"/>
    <n v="0"/>
    <n v="0"/>
    <n v="0"/>
    <n v="122260"/>
    <n v="0"/>
    <n v="0"/>
    <n v="0"/>
    <n v="20"/>
    <n v="122260"/>
    <n v="0"/>
    <n v="0"/>
    <n v="20"/>
    <n v="0"/>
    <n v="0"/>
    <n v="0"/>
    <n v="0"/>
    <n v="115920"/>
    <n v="0"/>
    <n v="0"/>
    <n v="0"/>
    <n v="20"/>
    <n v="115920"/>
    <n v="0"/>
    <n v="0"/>
    <n v="20"/>
    <n v="0"/>
    <n v="0"/>
    <n v="0"/>
    <n v="0"/>
    <m/>
    <n v="115920"/>
    <n v="0"/>
    <n v="0"/>
    <n v="0"/>
    <n v="20"/>
    <n v="115920"/>
    <n v="0"/>
    <n v="0"/>
    <n v="20"/>
    <n v="0"/>
    <n v="0"/>
    <n v="0"/>
    <n v="115920"/>
    <n v="0"/>
    <n v="0"/>
    <n v="0"/>
    <n v="20"/>
    <n v="115920"/>
    <n v="0"/>
    <n v="0"/>
    <n v="20"/>
    <n v="0"/>
    <n v="0"/>
    <n v="0"/>
    <n v="115920"/>
    <n v="0"/>
    <n v="0"/>
    <n v="20"/>
    <n v="115920"/>
    <n v="0"/>
    <n v="0"/>
    <n v="20"/>
    <n v="0"/>
    <n v="0"/>
    <m/>
    <n v="115920"/>
    <n v="0"/>
    <n v="0"/>
    <n v="20"/>
    <n v="115920"/>
    <n v="0"/>
  </r>
  <r>
    <m/>
    <x v="6"/>
    <x v="27"/>
    <x v="66"/>
    <n v="68142280732690"/>
    <x v="646"/>
    <x v="490"/>
    <x v="0"/>
    <x v="2"/>
    <n v="1"/>
    <x v="3"/>
    <n v="2"/>
    <m/>
    <n v="0"/>
    <n v="3817"/>
    <n v="7634"/>
    <n v="3.6"/>
    <n v="3933"/>
    <n v="12596.63865546219"/>
    <n v="8394.957983193277"/>
    <s v="Shenzhen"/>
    <s v="30/70"/>
    <n v="30"/>
    <n v="500"/>
    <n v="107"/>
    <n v="0.46750127292739"/>
    <n v="34"/>
    <n v="0.5156004426705219"/>
    <n v="74"/>
    <n v="0.5604325793059671"/>
    <n v="44"/>
    <n v="0.5142646701059406"/>
    <n v="21"/>
    <n v="0.4982257332026674"/>
    <n v="55"/>
    <n v="0.4895111879610904"/>
    <n v="65"/>
    <n v="0.5127765722877866"/>
    <n v="31"/>
    <n v="0.4908637206145244"/>
    <n v="37"/>
    <n v="0.4627458127620547"/>
    <n v="36"/>
    <n v="0.443702315367484"/>
    <n v="20"/>
    <n v="0.3855150485788572"/>
    <n v="1"/>
    <n v="0.7576507936507937"/>
    <n v="0"/>
    <s v=""/>
    <n v="2"/>
    <n v="0.5120294139716882"/>
    <n v="3"/>
    <n v="0.5182380952380953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24"/>
    <n v="0"/>
    <n v="0"/>
    <n v="0"/>
    <n v="0"/>
    <n v="22902"/>
    <n v="89423.99999999999"/>
    <n v="0"/>
    <n v="0"/>
    <n v="2"/>
    <n v="7634"/>
    <n v="0"/>
    <n v="0"/>
    <n v="24"/>
    <n v="3"/>
    <n v="0"/>
    <n v="0"/>
    <n v="0"/>
    <n v="22902"/>
    <n v="89423.99999999999"/>
    <n v="11451"/>
    <n v="0"/>
    <n v="2"/>
    <n v="7634"/>
    <n v="31756.23190452652"/>
    <n v="0"/>
    <n v="24"/>
    <n v="3"/>
    <n v="0"/>
    <n v="0"/>
    <n v="37533"/>
    <n v="91608"/>
    <n v="11451"/>
    <n v="0"/>
    <n v="2"/>
    <n v="7634"/>
    <n v="37789.91596638656"/>
    <n v="0"/>
    <n v="20"/>
    <n v="0"/>
    <n v="0"/>
    <n v="0"/>
    <n v="74519.99999999999"/>
    <n v="0"/>
    <n v="0"/>
    <n v="0"/>
    <n v="2"/>
    <n v="7634"/>
    <n v="0"/>
    <n v="7"/>
    <n v="2"/>
    <n v="7"/>
    <m/>
    <n v="0"/>
    <n v="0"/>
    <n v="7634"/>
    <n v="26082"/>
    <n v="0"/>
    <n v="0"/>
    <n v="2"/>
    <n v="7634"/>
    <n v="88176.4705882353"/>
    <n v="0"/>
    <n v="2"/>
    <n v="0"/>
    <m/>
    <n v="0"/>
    <n v="0"/>
    <n v="7634"/>
    <n v="0"/>
    <n v="0"/>
    <n v="0"/>
    <n v="2"/>
    <n v="7634"/>
    <n v="0"/>
    <n v="0"/>
    <n v="2"/>
    <n v="0"/>
    <n v="0"/>
    <n v="0"/>
    <n v="0"/>
    <n v="7634"/>
    <n v="0"/>
    <n v="0"/>
    <n v="0"/>
    <n v="2"/>
    <n v="7634"/>
    <n v="0"/>
    <n v="0"/>
    <n v="2"/>
    <n v="0"/>
    <n v="0"/>
    <n v="0"/>
    <n v="0"/>
    <n v="7634"/>
    <n v="0"/>
    <n v="0"/>
    <n v="0"/>
    <n v="2"/>
    <n v="7634"/>
    <n v="0"/>
    <n v="0"/>
    <n v="2"/>
    <n v="0"/>
    <n v="0"/>
    <n v="0"/>
    <n v="0"/>
    <n v="7451.999999999999"/>
    <n v="0"/>
    <n v="0"/>
    <n v="0"/>
    <n v="2"/>
    <n v="7451.999999999999"/>
    <n v="0"/>
    <n v="0"/>
    <n v="2"/>
    <n v="0"/>
    <n v="0"/>
    <n v="0"/>
    <n v="0"/>
    <m/>
    <n v="7451.999999999999"/>
    <n v="0"/>
    <n v="0"/>
    <n v="0"/>
    <n v="2"/>
    <n v="7451.999999999999"/>
    <n v="0"/>
    <n v="0"/>
    <n v="2"/>
    <n v="0"/>
    <n v="0"/>
    <n v="0"/>
    <n v="7451.999999999999"/>
    <n v="0"/>
    <n v="0"/>
    <n v="0"/>
    <n v="2"/>
    <n v="7451.999999999999"/>
    <n v="0"/>
    <n v="0"/>
    <n v="2"/>
    <n v="0"/>
    <n v="0"/>
    <n v="0"/>
    <n v="7451.999999999999"/>
    <n v="0"/>
    <n v="0"/>
    <n v="2"/>
    <n v="7451.999999999999"/>
    <n v="0"/>
    <n v="0"/>
    <n v="2"/>
    <n v="0"/>
    <n v="0"/>
    <m/>
    <n v="7451.999999999999"/>
    <n v="0"/>
    <n v="0"/>
    <n v="2"/>
    <n v="7451.999999999999"/>
    <n v="0"/>
  </r>
  <r>
    <m/>
    <x v="6"/>
    <x v="27"/>
    <x v="67"/>
    <n v="1629726091782"/>
    <x v="647"/>
    <x v="491"/>
    <x v="0"/>
    <x v="1"/>
    <n v="1.3"/>
    <x v="327"/>
    <n v="48"/>
    <m/>
    <n v="0"/>
    <n v="5356"/>
    <n v="257088"/>
    <n v="5.1"/>
    <n v="5571.75"/>
    <n v="14277.31092436975"/>
    <n v="12596.63865546219"/>
    <s v="Shenzhen"/>
    <s v="20/80"/>
    <n v="30"/>
    <n v="200"/>
    <n v="78"/>
    <n v="0.6619615197353796"/>
    <n v="66"/>
    <n v="0.6047878466642566"/>
    <n v="131"/>
    <n v="0.6711282221884288"/>
    <n v="66"/>
    <n v="0.674462209473498"/>
    <n v="169"/>
    <n v="0.557295870547147"/>
    <n v="147"/>
    <n v="0.6306481319533144"/>
    <n v="70"/>
    <n v="0.7123662435355148"/>
    <n v="65"/>
    <n v="0.6947354546310631"/>
    <n v="48"/>
    <n v="0.684291184670878"/>
    <n v="232"/>
    <n v="0.5992994902700254"/>
    <n v="95"/>
    <n v="0.6488179008205422"/>
    <n v="80"/>
    <n v="0.6597340090791824"/>
    <n v="44"/>
    <n v="0.5042396249644973"/>
    <n v="93"/>
    <n v="0.5496044574044553"/>
    <n v="138"/>
    <n v="0.5604282290382525"/>
    <n v="128"/>
    <n v="0.5972303757330933"/>
    <n v="1.28"/>
    <n v="232"/>
    <n v="0.5718711732042752"/>
    <n v="1.657142857142857"/>
    <n v="265"/>
    <n v="0.4221465375539794"/>
    <n v="1.766666666666667"/>
    <n v="35"/>
    <s v=""/>
    <n v="0.3888888888888889"/>
    <n v="0"/>
    <s v=""/>
    <n v="0"/>
    <m/>
    <m/>
    <m/>
    <m/>
    <m/>
    <m/>
    <m/>
    <m/>
    <m/>
    <m/>
    <m/>
    <m/>
    <n v="90"/>
    <n v="181"/>
    <n v="50"/>
    <n v="250"/>
    <n v="250"/>
    <n v="0"/>
    <n v="1754090"/>
    <n v="955408.5"/>
    <n v="267800"/>
    <n v="0"/>
    <n v="48"/>
    <n v="257088"/>
    <n v="599887.0136289811"/>
    <n v="80"/>
    <n v="347"/>
    <n v="139.5"/>
    <n v="100"/>
    <n v="100"/>
    <n v="0"/>
    <n v="2171858"/>
    <n v="1831639.5"/>
    <n v="747162"/>
    <n v="0"/>
    <n v="48"/>
    <n v="257088"/>
    <n v="1673684.768024857"/>
    <n v="140"/>
    <n v="186"/>
    <n v="138"/>
    <n v="0"/>
    <n v="0"/>
    <n v="2385383"/>
    <n v="996216"/>
    <n v="739128"/>
    <n v="0"/>
    <n v="48"/>
    <n v="257088"/>
    <n v="1970268.907563025"/>
    <n v="100"/>
    <n v="496"/>
    <n v="128"/>
    <n v="250"/>
    <n v="0"/>
    <n v="2618136"/>
    <n v="685568"/>
    <n v="1319625"/>
    <n v="0"/>
    <n v="48"/>
    <n v="257088"/>
    <n v="1827495.798319328"/>
    <n v="140"/>
    <n v="280"/>
    <n v="182"/>
    <n v="150"/>
    <n v="150"/>
    <n v="0"/>
    <n v="1499680"/>
    <n v="960687"/>
    <n v="791775"/>
    <n v="0"/>
    <n v="48"/>
    <n v="257088"/>
    <n v="2598470.588235294"/>
    <n v="150"/>
    <n v="313"/>
    <n v="265"/>
    <m/>
    <n v="150"/>
    <n v="0"/>
    <n v="1676428"/>
    <n v="1398802.5"/>
    <n v="0"/>
    <n v="0"/>
    <n v="313"/>
    <n v="257088"/>
    <n v="3783487.394957983"/>
    <n v="90"/>
    <n v="83"/>
    <n v="35"/>
    <n v="150"/>
    <n v="150"/>
    <n v="0"/>
    <n v="444548"/>
    <n v="184747.5"/>
    <n v="765382.4999999999"/>
    <n v="0"/>
    <n v="83"/>
    <n v="257088"/>
    <n v="499705.8823529412"/>
    <n v="80"/>
    <n v="48"/>
    <n v="104"/>
    <n v="0"/>
    <n v="0"/>
    <n v="0"/>
    <n v="257088"/>
    <n v="548964"/>
    <n v="0"/>
    <n v="0"/>
    <n v="48"/>
    <n v="257088"/>
    <n v="1484840.336134454"/>
    <n v="75"/>
    <n v="0"/>
    <n v="97.5"/>
    <n v="300"/>
    <n v="300"/>
    <n v="0"/>
    <n v="0"/>
    <n v="514653.75"/>
    <n v="1583550"/>
    <n v="0"/>
    <n v="0"/>
    <n v="0"/>
    <n v="1392037.81512605"/>
    <n v="250"/>
    <n v="300"/>
    <n v="300"/>
    <n v="300"/>
    <n v="300"/>
    <n v="300"/>
    <n v="300"/>
    <n v="1583550"/>
    <n v="1583550"/>
    <n v="1583550"/>
    <n v="3167100"/>
    <n v="600"/>
    <n v="4750650"/>
    <n v="3778991.596638656"/>
    <n v="150"/>
    <n v="300"/>
    <n v="195"/>
    <n v="300"/>
    <n v="300"/>
    <n v="1583550"/>
    <n v="1029307.5"/>
    <n v="1583550"/>
    <n v="1583550"/>
    <n v="600"/>
    <n v="3167100"/>
    <n v="2579161.764705882"/>
    <n v="200"/>
    <n v="405"/>
    <n v="260"/>
    <n v="0"/>
    <n v="0"/>
    <n v="2137792.5"/>
    <n v="1372410"/>
    <n v="0"/>
    <n v="405"/>
    <n v="2137792.5"/>
    <n v="3712100.840336135"/>
    <n v="90"/>
    <n v="145"/>
    <n v="117"/>
    <n v="0"/>
    <m/>
    <n v="765382.5"/>
    <n v="626652"/>
    <n v="0"/>
    <n v="145"/>
    <n v="765382.5"/>
    <n v="1670445.378151261"/>
  </r>
  <r>
    <m/>
    <x v="6"/>
    <x v="27"/>
    <x v="67"/>
    <n v="1629726117626"/>
    <x v="648"/>
    <x v="492"/>
    <x v="0"/>
    <x v="1"/>
    <n v="1"/>
    <x v="328"/>
    <n v="269"/>
    <m/>
    <n v="0"/>
    <n v="4814"/>
    <n v="1294966"/>
    <n v="5.1"/>
    <n v="5571.75"/>
    <n v="14277.31092436975"/>
    <n v="12596.63865546219"/>
    <s v="Shenzhen"/>
    <s v="20/80"/>
    <n v="30"/>
    <n v="200"/>
    <n v="251"/>
    <n v="0.6251714415556454"/>
    <n v="158"/>
    <n v="0.626338962767363"/>
    <n v="344"/>
    <n v="0.6825951702405216"/>
    <n v="231"/>
    <n v="0.6874678298617588"/>
    <n v="179"/>
    <n v="0.6554292693889003"/>
    <n v="343"/>
    <n v="0.6249166700939185"/>
    <n v="224"/>
    <n v="0.6987456487675209"/>
    <n v="257"/>
    <n v="0.6777814926531623"/>
    <n v="223"/>
    <n v="0.6888475986544643"/>
    <n v="372"/>
    <n v="0.5974263043526077"/>
    <n v="226"/>
    <n v="0.6524296513414997"/>
    <n v="80"/>
    <n v="0.7068825205219044"/>
    <n v="140"/>
    <n v="0.5613963912339603"/>
    <n v="115"/>
    <n v="0.5157106086010902"/>
    <n v="413"/>
    <n v="0.5764336504120064"/>
    <n v="398"/>
    <n v="0.5502683712803978"/>
    <n v="1.075675675675676"/>
    <n v="519"/>
    <n v="0.6060979164462597"/>
    <n v="2.595"/>
    <n v="916"/>
    <n v="0.4614849237810728"/>
    <n v="1.665454545454546"/>
    <n v="118"/>
    <s v=""/>
    <n v="0.3371428571428571"/>
    <n v="0"/>
    <s v=""/>
    <n v="0"/>
    <m/>
    <m/>
    <m/>
    <m/>
    <m/>
    <m/>
    <m/>
    <m/>
    <m/>
    <m/>
    <m/>
    <m/>
    <n v="350"/>
    <n v="199"/>
    <n v="199"/>
    <n v="850"/>
    <n v="850"/>
    <n v="0"/>
    <n v="3776583"/>
    <n v="1050421.5"/>
    <n v="957986"/>
    <n v="0"/>
    <n v="269"/>
    <n v="1294966"/>
    <n v="2387550.314243345"/>
    <n v="250"/>
    <n v="501"/>
    <n v="172.5"/>
    <n v="400"/>
    <n v="400"/>
    <n v="0"/>
    <n v="4734569"/>
    <n v="2644528.5"/>
    <n v="830415"/>
    <n v="0"/>
    <n v="269"/>
    <n v="1294966"/>
    <n v="2069610.197019985"/>
    <n v="450"/>
    <n v="682"/>
    <n v="413"/>
    <n v="0"/>
    <n v="0"/>
    <n v="4959854"/>
    <n v="3283148"/>
    <n v="1988182"/>
    <n v="0"/>
    <n v="269"/>
    <n v="1294966"/>
    <n v="5896529.411764706"/>
    <n v="370"/>
    <n v="1393"/>
    <n v="398"/>
    <n v="700"/>
    <n v="0"/>
    <n v="7352950.5"/>
    <n v="1915972"/>
    <n v="3694950"/>
    <n v="0"/>
    <n v="269"/>
    <n v="1294966"/>
    <n v="5682369.74789916"/>
    <n v="200"/>
    <n v="788"/>
    <n v="200"/>
    <n v="600"/>
    <n v="600"/>
    <n v="0"/>
    <n v="3793432"/>
    <n v="1055700"/>
    <n v="3167100"/>
    <n v="0"/>
    <n v="269"/>
    <n v="1294966"/>
    <n v="2855462.18487395"/>
    <n v="550"/>
    <n v="1185"/>
    <n v="916"/>
    <m/>
    <n v="600"/>
    <n v="0"/>
    <n v="5704590"/>
    <n v="4835106"/>
    <n v="0"/>
    <n v="0"/>
    <n v="1185"/>
    <n v="1294966"/>
    <n v="13078016.80672269"/>
    <n v="350"/>
    <n v="387"/>
    <n v="118"/>
    <n v="600"/>
    <n v="600"/>
    <n v="0"/>
    <n v="1863018"/>
    <n v="622863"/>
    <n v="3061530"/>
    <n v="0"/>
    <n v="387"/>
    <n v="1294966"/>
    <n v="1684722.68907563"/>
    <n v="250"/>
    <n v="269"/>
    <n v="250"/>
    <n v="0"/>
    <n v="0"/>
    <n v="0"/>
    <n v="1294966"/>
    <n v="1319625"/>
    <n v="0"/>
    <n v="0"/>
    <n v="269"/>
    <n v="1294966"/>
    <n v="3569327.731092437"/>
    <n v="250"/>
    <n v="19"/>
    <n v="250"/>
    <n v="0"/>
    <n v="0"/>
    <n v="0"/>
    <n v="100291.5"/>
    <n v="1319625"/>
    <n v="0"/>
    <n v="0"/>
    <n v="19"/>
    <n v="100291.5"/>
    <n v="3569327.731092437"/>
    <n v="650"/>
    <n v="0"/>
    <n v="0"/>
    <n v="1200"/>
    <n v="1200"/>
    <n v="1200"/>
    <n v="0"/>
    <n v="0"/>
    <n v="0"/>
    <n v="6334200"/>
    <n v="6334200"/>
    <n v="1200"/>
    <n v="6334200"/>
    <n v="0"/>
    <n v="350"/>
    <n v="1200"/>
    <n v="350"/>
    <n v="500"/>
    <n v="500"/>
    <n v="6334200"/>
    <n v="1847475"/>
    <n v="2639250"/>
    <n v="2639250"/>
    <n v="1700"/>
    <n v="8973450"/>
    <n v="4629264.705882354"/>
    <n v="350"/>
    <n v="1350"/>
    <n v="350"/>
    <n v="0"/>
    <n v="0"/>
    <n v="7125975"/>
    <n v="1847475"/>
    <n v="0"/>
    <n v="1350"/>
    <n v="7125975"/>
    <n v="4997058.823529412"/>
    <n v="210"/>
    <n v="1000"/>
    <n v="210"/>
    <n v="0"/>
    <m/>
    <n v="5278500"/>
    <n v="1010940"/>
    <n v="0"/>
    <n v="1000"/>
    <n v="5278500"/>
    <n v="2998235.294117647"/>
  </r>
  <r>
    <m/>
    <x v="6"/>
    <x v="27"/>
    <x v="67"/>
    <n v="1639488921197"/>
    <x v="649"/>
    <x v="493"/>
    <x v="0"/>
    <x v="0"/>
    <n v="1"/>
    <x v="329"/>
    <n v="312"/>
    <m/>
    <n v="0"/>
    <n v="2441"/>
    <n v="761592"/>
    <n v="2.7"/>
    <n v="2949.749999999999"/>
    <n v="8394.957983193277"/>
    <n v="6714.285714285715"/>
    <s v="Shenzhen"/>
    <s v="30/70"/>
    <n v="30"/>
    <n v="100"/>
    <n v="75"/>
    <n v="0.7340198121561872"/>
    <n v="85"/>
    <n v="0.7131694782967956"/>
    <n v="147"/>
    <n v="0.7422592716795067"/>
    <n v="106"/>
    <n v="0.6746347820608746"/>
    <n v="147"/>
    <n v="0.7015367171876828"/>
    <n v="113"/>
    <n v="0.6699471002074302"/>
    <n v="115"/>
    <n v="0.524478900138436"/>
    <n v="98"/>
    <n v="0.4768043997240474"/>
    <n v="93"/>
    <n v="0.4504940675502437"/>
    <n v="157"/>
    <n v="0.4633408345641327"/>
    <n v="-7"/>
    <n v="0.4213293223242203"/>
    <n v="1"/>
    <n v="0.5763821025802084"/>
    <n v="1"/>
    <n v="0.3722418304417154"/>
    <n v="11"/>
    <n v="0.6050929281901717"/>
    <n v="82"/>
    <n v="0.4913664767847069"/>
    <n v="91"/>
    <n v="0.5508034968859959"/>
    <n v="0.8272727272727273"/>
    <n v="90"/>
    <n v="0.5675056894598124"/>
    <n v="0.6428571428571429"/>
    <n v="116"/>
    <n v="0.5176947557696394"/>
    <n v="0.8923076923076924"/>
    <n v="0"/>
    <s v=""/>
    <n v="0"/>
    <n v="0"/>
    <s v=""/>
    <n v="0"/>
    <m/>
    <m/>
    <m/>
    <m/>
    <m/>
    <m/>
    <m/>
    <m/>
    <m/>
    <m/>
    <m/>
    <m/>
    <n v="90"/>
    <n v="37"/>
    <n v="37"/>
    <n v="300"/>
    <n v="300"/>
    <n v="0"/>
    <n v="330755.5"/>
    <n v="103396.5"/>
    <n v="90317"/>
    <n v="0"/>
    <n v="312"/>
    <n v="761592"/>
    <n v="261019.7019984464"/>
    <n v="80"/>
    <n v="357"/>
    <n v="16.5"/>
    <n v="150"/>
    <n v="150"/>
    <n v="0"/>
    <n v="462569.5"/>
    <n v="997636.4999999997"/>
    <n v="40276.5"/>
    <n v="0"/>
    <n v="312"/>
    <n v="761592"/>
    <n v="116400.6779182261"/>
    <n v="140"/>
    <n v="341"/>
    <n v="82"/>
    <n v="0"/>
    <n v="0"/>
    <n v="813522.9999999999"/>
    <n v="832381"/>
    <n v="200162"/>
    <n v="0"/>
    <n v="312"/>
    <n v="761592"/>
    <n v="688386.5546218487"/>
    <n v="110"/>
    <n v="391"/>
    <n v="91"/>
    <n v="0"/>
    <n v="0"/>
    <n v="1092649.5"/>
    <n v="222131"/>
    <n v="0"/>
    <n v="0"/>
    <n v="312"/>
    <n v="761592"/>
    <n v="763941.1764705882"/>
    <n v="140"/>
    <n v="402"/>
    <n v="140"/>
    <m/>
    <n v="0"/>
    <n v="0"/>
    <n v="981282"/>
    <n v="391229.9999999999"/>
    <n v="0"/>
    <n v="0"/>
    <n v="312"/>
    <n v="761592"/>
    <n v="1175294.117647059"/>
    <n v="130"/>
    <n v="428"/>
    <n v="116"/>
    <m/>
    <n v="0"/>
    <n v="0"/>
    <n v="1044748"/>
    <n v="324161.9999999999"/>
    <n v="0"/>
    <n v="0"/>
    <n v="428"/>
    <n v="761592"/>
    <n v="973815.1260504201"/>
    <n v="130"/>
    <n v="312"/>
    <n v="0"/>
    <n v="350"/>
    <n v="350"/>
    <n v="0"/>
    <n v="761592"/>
    <n v="0"/>
    <n v="945472.4999999998"/>
    <n v="0"/>
    <n v="312"/>
    <n v="761592"/>
    <n v="0"/>
    <n v="101"/>
    <n v="312"/>
    <n v="101"/>
    <n v="50"/>
    <n v="50"/>
    <n v="0"/>
    <n v="761592"/>
    <n v="282244.4999999999"/>
    <n v="139724.9999999999"/>
    <n v="0"/>
    <n v="312"/>
    <n v="761592"/>
    <n v="847890.756302521"/>
    <n v="100"/>
    <n v="211"/>
    <n v="100"/>
    <n v="0"/>
    <n v="0"/>
    <n v="80"/>
    <n v="589639.4999999998"/>
    <n v="279449.9999999999"/>
    <n v="0"/>
    <n v="223559.9999999999"/>
    <n v="291"/>
    <n v="813199.4999999998"/>
    <n v="839495.7983193276"/>
    <n v="120"/>
    <n v="191"/>
    <n v="120"/>
    <n v="0"/>
    <n v="0"/>
    <n v="0"/>
    <m/>
    <n v="533749.4999999999"/>
    <n v="335339.9999999999"/>
    <n v="0"/>
    <n v="0"/>
    <n v="191"/>
    <n v="533749.4999999999"/>
    <n v="805714.2857142858"/>
    <n v="85"/>
    <n v="71"/>
    <n v="85"/>
    <n v="200"/>
    <n v="200"/>
    <n v="198409.4999999999"/>
    <n v="237532.4999999999"/>
    <n v="558899.9999999998"/>
    <n v="558899.9999999998"/>
    <n v="271"/>
    <n v="757309.4999999998"/>
    <n v="599250.0000000001"/>
    <n v="120"/>
    <n v="186"/>
    <n v="120"/>
    <n v="0"/>
    <n v="0"/>
    <n v="519776.9999999998"/>
    <n v="335339.9999999999"/>
    <n v="0"/>
    <n v="186"/>
    <n v="519776.9999999998"/>
    <n v="1007394.957983193"/>
    <n v="51"/>
    <n v="66"/>
    <n v="51"/>
    <n v="0"/>
    <m/>
    <n v="184436.9999999999"/>
    <n v="124491"/>
    <n v="0"/>
    <n v="66"/>
    <n v="184436.9999999999"/>
    <n v="428142.8571428571"/>
  </r>
  <r>
    <m/>
    <x v="6"/>
    <x v="27"/>
    <x v="67"/>
    <n v="1660858025311"/>
    <x v="650"/>
    <x v="494"/>
    <x v="0"/>
    <x v="3"/>
    <n v="1"/>
    <x v="330"/>
    <n v="150"/>
    <m/>
    <n v="0"/>
    <n v="1993"/>
    <n v="298950"/>
    <n v="2.65"/>
    <n v="2895.125"/>
    <n v="8394.957983193277"/>
    <n v="6714.285714285715"/>
    <s v="Shenzhen"/>
    <s v="30/70"/>
    <n v="30"/>
    <n v="100"/>
    <n v="88"/>
    <n v="0.6707101270055117"/>
    <n v="64"/>
    <n v="0.6710091854630866"/>
    <n v="90"/>
    <n v="0.6780793807860669"/>
    <n v="67"/>
    <n v="0.6666062273903272"/>
    <n v="69"/>
    <n v="0.6644327385751631"/>
    <n v="38"/>
    <n v="0.736553359203281"/>
    <n v="101"/>
    <n v="0.7546780472051251"/>
    <n v="82"/>
    <n v="0.7715353237456165"/>
    <n v="64"/>
    <n v="0.7624158502196891"/>
    <n v="160"/>
    <n v="0.7488108541083222"/>
    <n v="92"/>
    <n v="0.7486852971415845"/>
    <n v="84"/>
    <n v="0.7346956288384247"/>
    <n v="77"/>
    <n v="0.6003973125037098"/>
    <n v="50"/>
    <n v="0.6570141611708182"/>
    <n v="93"/>
    <n v="0.6406766646182207"/>
    <n v="97"/>
    <n v="0.6215429625266395"/>
    <n v="1.385714285714286"/>
    <n v="73"/>
    <n v="0.6679848537121545"/>
    <n v="1.123076923076923"/>
    <n v="67"/>
    <n v="0.5666780419826293"/>
    <n v="0.6090909090909091"/>
    <n v="0"/>
    <s v=""/>
    <n v="0"/>
    <n v="0"/>
    <s v=""/>
    <n v="0"/>
    <m/>
    <m/>
    <m/>
    <m/>
    <m/>
    <m/>
    <m/>
    <m/>
    <m/>
    <m/>
    <m/>
    <m/>
    <n v="80.66666666666667"/>
    <n v="103"/>
    <n v="60"/>
    <n v="100"/>
    <n v="100"/>
    <n v="0"/>
    <n v="454404"/>
    <n v="282503.25"/>
    <n v="119580"/>
    <n v="0"/>
    <n v="150"/>
    <n v="298950"/>
    <n v="423275.1924299131"/>
    <n v="70"/>
    <n v="334"/>
    <n v="75"/>
    <n v="0"/>
    <n v="100"/>
    <n v="0"/>
    <n v="528145"/>
    <n v="916078.5"/>
    <n v="149475"/>
    <n v="0"/>
    <n v="150"/>
    <n v="298950"/>
    <n v="529093.9905373914"/>
    <n v="94"/>
    <n v="265"/>
    <n v="93"/>
    <n v="0"/>
    <n v="0"/>
    <n v="556948.75"/>
    <n v="528145"/>
    <n v="185349"/>
    <n v="0"/>
    <n v="150"/>
    <n v="298950"/>
    <n v="780731.0924369748"/>
    <n v="70"/>
    <n v="299"/>
    <n v="97"/>
    <n v="0"/>
    <n v="0"/>
    <n v="820082.25"/>
    <n v="193321"/>
    <n v="0"/>
    <n v="0"/>
    <n v="150"/>
    <n v="298950"/>
    <n v="814310.9243697479"/>
    <n v="65"/>
    <n v="223"/>
    <n v="65"/>
    <m/>
    <n v="0"/>
    <n v="0"/>
    <n v="444439"/>
    <n v="178278.75"/>
    <n v="0"/>
    <n v="0"/>
    <n v="150"/>
    <n v="298950"/>
    <n v="545672.2689075629"/>
    <n v="110"/>
    <n v="217"/>
    <n v="67"/>
    <m/>
    <n v="0"/>
    <n v="0"/>
    <n v="432481"/>
    <n v="183764.25"/>
    <n v="0"/>
    <n v="0"/>
    <n v="217"/>
    <n v="298950"/>
    <n v="562462.1848739495"/>
    <n v="100"/>
    <n v="150"/>
    <n v="0"/>
    <n v="200"/>
    <n v="200"/>
    <n v="0"/>
    <n v="298950"/>
    <n v="0"/>
    <n v="530265"/>
    <n v="0"/>
    <n v="150"/>
    <n v="298950"/>
    <n v="0"/>
    <n v="88"/>
    <n v="150"/>
    <n v="88"/>
    <n v="120"/>
    <n v="120"/>
    <n v="0"/>
    <n v="298950"/>
    <n v="241362"/>
    <n v="329130"/>
    <n v="0"/>
    <n v="150"/>
    <n v="298950"/>
    <n v="738756.3025210084"/>
    <n v="64"/>
    <n v="62"/>
    <n v="64"/>
    <n v="0"/>
    <n v="0"/>
    <n v="144"/>
    <n v="170050.5"/>
    <n v="175536"/>
    <n v="0"/>
    <n v="394956"/>
    <n v="206"/>
    <n v="565006.5"/>
    <n v="537277.3109243697"/>
    <n v="130"/>
    <n v="142"/>
    <n v="130"/>
    <n v="0"/>
    <n v="0"/>
    <n v="0"/>
    <m/>
    <n v="389470.5"/>
    <n v="356557.5"/>
    <n v="0"/>
    <n v="0"/>
    <n v="142"/>
    <n v="389470.5"/>
    <n v="872857.142857143"/>
    <n v="100"/>
    <n v="12"/>
    <n v="100"/>
    <n v="150"/>
    <n v="150"/>
    <n v="32913"/>
    <n v="274275"/>
    <n v="411412.5"/>
    <n v="411412.5"/>
    <n v="162"/>
    <n v="444325.5"/>
    <n v="705000.0000000001"/>
    <n v="100"/>
    <n v="62"/>
    <n v="100"/>
    <n v="0"/>
    <n v="0"/>
    <n v="170050.5"/>
    <n v="274275"/>
    <n v="0"/>
    <n v="62"/>
    <n v="170050.5"/>
    <n v="839495.7983193276"/>
    <n v="60"/>
    <n v="0"/>
    <n v="60"/>
    <n v="0"/>
    <m/>
    <n v="0"/>
    <n v="119580"/>
    <n v="0"/>
    <n v="0"/>
    <n v="0"/>
    <n v="503697.4789915966"/>
  </r>
  <r>
    <m/>
    <x v="6"/>
    <x v="27"/>
    <x v="67"/>
    <s v="SIMTABCUT-WD"/>
    <x v="651"/>
    <x v="495"/>
    <x v="0"/>
    <x v="3"/>
    <n v="1"/>
    <x v="331"/>
    <n v="154"/>
    <m/>
    <n v="0"/>
    <n v="7195"/>
    <n v="1108030"/>
    <n v="7.2"/>
    <n v="8035.200000000001"/>
    <n v="19319.32773109244"/>
    <n v="16798.31932773109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4"/>
    <n v="0.6338752362948961"/>
    <n v="12"/>
    <n v="0.5357779539596086"/>
    <n v="32"/>
    <n v="0.4560329164547544"/>
    <n v="41"/>
    <n v="0.4389177877971222"/>
    <n v="49"/>
    <n v="0.3747638221855096"/>
    <n v="58"/>
    <n v="0.4218207044863564"/>
    <n v="1.933333333333333"/>
    <n v="54"/>
    <n v="0.5682563141635754"/>
    <n v="2.16"/>
    <n v="16"/>
    <n v="0.5496755989620226"/>
    <n v="0.4"/>
    <n v="45"/>
    <n v="0.5762566835632"/>
    <n v="1.8"/>
    <n v="25"/>
    <n v="0.5795872494405911"/>
    <n v="0.8333333333333334"/>
    <m/>
    <m/>
    <m/>
    <m/>
    <m/>
    <m/>
    <m/>
    <m/>
    <m/>
    <m/>
    <m/>
    <m/>
    <n v="30"/>
    <n v="266"/>
    <n v="25"/>
    <n v="0"/>
    <n v="0"/>
    <n v="0"/>
    <n v="974922.5"/>
    <n v="1982232"/>
    <n v="179875"/>
    <n v="0"/>
    <n v="154"/>
    <n v="1108030"/>
    <n v="405868.2296447991"/>
    <n v="30"/>
    <n v="234"/>
    <n v="61.5"/>
    <n v="0"/>
    <n v="0"/>
    <n v="0"/>
    <n v="1212357.5"/>
    <n v="1743768"/>
    <n v="442492.5"/>
    <n v="0"/>
    <n v="154"/>
    <n v="1108030"/>
    <n v="998435.8449262059"/>
    <n v="48"/>
    <n v="178"/>
    <n v="49"/>
    <n v="0"/>
    <n v="0"/>
    <n v="956165"/>
    <n v="1280710"/>
    <n v="352555"/>
    <n v="0"/>
    <n v="154"/>
    <n v="1108030"/>
    <n v="946647.0588235295"/>
    <n v="30"/>
    <n v="134"/>
    <n v="58"/>
    <n v="0"/>
    <n v="0"/>
    <n v="998567.9999999999"/>
    <n v="417310"/>
    <n v="0"/>
    <n v="0"/>
    <n v="154"/>
    <n v="1108030"/>
    <n v="1120521.008403362"/>
    <n v="25"/>
    <n v="208"/>
    <n v="25"/>
    <m/>
    <n v="0"/>
    <n v="0"/>
    <n v="1496560"/>
    <n v="186300"/>
    <n v="0"/>
    <n v="0"/>
    <n v="154"/>
    <n v="1108030"/>
    <n v="482983.193277311"/>
    <n v="40"/>
    <n v="170"/>
    <n v="16"/>
    <m/>
    <n v="0"/>
    <n v="0"/>
    <n v="1223150"/>
    <n v="119232"/>
    <n v="0"/>
    <n v="0"/>
    <n v="170"/>
    <n v="1108030"/>
    <n v="309109.243697479"/>
    <n v="25"/>
    <n v="199"/>
    <n v="45"/>
    <n v="204"/>
    <n v="204"/>
    <n v="0"/>
    <n v="1431805"/>
    <n v="335339.9999999999"/>
    <n v="1469534.4"/>
    <n v="0"/>
    <n v="199"/>
    <n v="1108030"/>
    <n v="869369.7478991598"/>
    <n v="30"/>
    <n v="154"/>
    <n v="30"/>
    <n v="0"/>
    <n v="0"/>
    <n v="0"/>
    <n v="1108030"/>
    <n v="223560"/>
    <n v="0"/>
    <n v="0"/>
    <n v="154"/>
    <n v="1108030"/>
    <n v="579579.8319327731"/>
    <n v="80"/>
    <n v="124"/>
    <n v="80"/>
    <n v="0"/>
    <n v="0"/>
    <n v="0"/>
    <n v="924047.9999999999"/>
    <n v="596159.9999999999"/>
    <n v="0"/>
    <n v="0"/>
    <n v="124"/>
    <n v="924047.9999999999"/>
    <n v="1545546.218487395"/>
    <n v="60"/>
    <n v="44"/>
    <n v="44"/>
    <n v="0"/>
    <n v="0"/>
    <n v="0"/>
    <m/>
    <n v="327887.9999999999"/>
    <n v="327887.9999999999"/>
    <n v="0"/>
    <n v="0"/>
    <n v="44"/>
    <n v="327887.9999999999"/>
    <n v="739126.0504201681"/>
    <n v="40"/>
    <n v="0"/>
    <n v="40"/>
    <n v="150"/>
    <n v="150"/>
    <n v="0"/>
    <n v="298079.9999999999"/>
    <n v="1117800"/>
    <n v="1117800"/>
    <n v="150"/>
    <n v="1117800"/>
    <n v="705529.4117647059"/>
    <n v="50"/>
    <n v="110"/>
    <n v="50"/>
    <n v="0"/>
    <n v="0"/>
    <n v="819719.9999999999"/>
    <n v="372599.9999999999"/>
    <n v="0"/>
    <n v="110"/>
    <n v="819719.9999999999"/>
    <n v="965966.386554622"/>
    <n v="24"/>
    <n v="60"/>
    <n v="24"/>
    <n v="0"/>
    <m/>
    <n v="447119.9999999999"/>
    <n v="172680"/>
    <n v="0"/>
    <n v="60"/>
    <n v="447119.9999999999"/>
    <n v="463663.8655462185"/>
  </r>
  <r>
    <m/>
    <x v="6"/>
    <x v="28"/>
    <x v="68"/>
    <s v="SIMIND"/>
    <x v="652"/>
    <x v="496"/>
    <x v="0"/>
    <x v="4"/>
    <n v="1"/>
    <x v="50"/>
    <n v="0"/>
    <m/>
    <n v="0"/>
    <n v="5888"/>
    <n v="0"/>
    <n v="6.4"/>
    <n v="5888"/>
    <n v="14843.6974789916"/>
    <n v="12617.14285714286"/>
    <s v="Shenzhen"/>
    <s v="30/70"/>
    <n v="45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00"/>
    <n v="100"/>
    <n v="100"/>
    <n v="0"/>
    <n v="0"/>
    <n v="0"/>
    <n v="662399.9999999999"/>
    <n v="662399.9999999999"/>
    <n v="100"/>
    <n v="662399.9999999999"/>
    <n v="0"/>
    <n v="20"/>
    <n v="100"/>
    <n v="20"/>
    <n v="0"/>
    <n v="0"/>
    <n v="662399.9999999999"/>
    <n v="132480"/>
    <n v="0"/>
    <n v="0"/>
    <n v="100"/>
    <n v="662399.9999999999"/>
    <n v="264960"/>
    <n v="30"/>
    <n v="80"/>
    <n v="30"/>
    <n v="0"/>
    <n v="0"/>
    <n v="529919.9999999999"/>
    <n v="198720"/>
    <n v="0"/>
    <n v="80"/>
    <n v="529919.9999999999"/>
    <n v="445310.9243697479"/>
    <n v="12"/>
    <n v="50"/>
    <n v="12"/>
    <n v="0"/>
    <m/>
    <n v="331199.9999999999"/>
    <n v="70656"/>
    <n v="0"/>
    <n v="50"/>
    <n v="331199.9999999999"/>
    <n v="178124.3697478992"/>
  </r>
  <r>
    <m/>
    <x v="6"/>
    <x v="28"/>
    <x v="68"/>
    <s v="SIMIND"/>
    <x v="653"/>
    <x v="497"/>
    <x v="0"/>
    <x v="4"/>
    <n v="1"/>
    <x v="50"/>
    <n v="0"/>
    <m/>
    <n v="0"/>
    <n v="5888"/>
    <n v="0"/>
    <n v="6.4"/>
    <n v="5888"/>
    <n v="14843.6974789916"/>
    <n v="12617.14285714286"/>
    <s v="Shenzhen"/>
    <s v="30/70"/>
    <n v="45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00"/>
    <n v="100"/>
    <n v="100"/>
    <n v="0"/>
    <n v="0"/>
    <n v="0"/>
    <n v="662399.9999999999"/>
    <n v="662399.9999999999"/>
    <n v="100"/>
    <n v="662399.9999999999"/>
    <n v="0"/>
    <n v="20"/>
    <n v="100"/>
    <n v="20"/>
    <n v="0"/>
    <n v="0"/>
    <n v="662399.9999999999"/>
    <n v="132480"/>
    <n v="0"/>
    <n v="0"/>
    <n v="100"/>
    <n v="662399.9999999999"/>
    <n v="264960"/>
    <n v="30"/>
    <n v="80"/>
    <n v="30"/>
    <n v="0"/>
    <n v="0"/>
    <n v="529919.9999999999"/>
    <n v="198720"/>
    <n v="0"/>
    <n v="80"/>
    <n v="529919.9999999999"/>
    <n v="445310.9243697479"/>
    <n v="12"/>
    <n v="50"/>
    <n v="12"/>
    <n v="0"/>
    <m/>
    <n v="331199.9999999999"/>
    <n v="70656"/>
    <n v="0"/>
    <n v="50"/>
    <n v="331199.9999999999"/>
    <n v="178124.3697478992"/>
  </r>
  <r>
    <m/>
    <x v="6"/>
    <x v="28"/>
    <x v="68"/>
    <s v="SIMMAN"/>
    <x v="654"/>
    <x v="498"/>
    <x v="0"/>
    <x v="4"/>
    <n v="1"/>
    <x v="50"/>
    <n v="0"/>
    <m/>
    <n v="0"/>
    <n v="8096.000000000001"/>
    <n v="0"/>
    <n v="8.800000000000001"/>
    <n v="8096.000000000001"/>
    <n v="20410.08403361345"/>
    <n v="17348.57142857143"/>
    <s v="Shenzhen"/>
    <s v="30/70"/>
    <n v="45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00"/>
    <n v="100"/>
    <n v="100"/>
    <n v="0"/>
    <n v="0"/>
    <n v="0"/>
    <n v="910800"/>
    <n v="910800"/>
    <n v="100"/>
    <n v="910800"/>
    <n v="0"/>
    <n v="15"/>
    <n v="100"/>
    <n v="15"/>
    <n v="0"/>
    <n v="0"/>
    <n v="910800"/>
    <n v="136620"/>
    <n v="0"/>
    <n v="0"/>
    <n v="100"/>
    <n v="910800"/>
    <n v="273240.0000000001"/>
    <n v="30"/>
    <n v="85"/>
    <n v="30"/>
    <n v="0"/>
    <n v="0"/>
    <n v="774180"/>
    <n v="273240"/>
    <n v="0"/>
    <n v="85"/>
    <n v="774180"/>
    <n v="612302.5210084035"/>
    <n v="9"/>
    <n v="55"/>
    <n v="9"/>
    <n v="0"/>
    <m/>
    <n v="500940"/>
    <n v="72864.00000000001"/>
    <n v="0"/>
    <n v="55"/>
    <n v="500940"/>
    <n v="183690.756302521"/>
  </r>
  <r>
    <m/>
    <x v="6"/>
    <x v="28"/>
    <x v="68"/>
    <s v="SIMMAN"/>
    <x v="655"/>
    <x v="499"/>
    <x v="0"/>
    <x v="4"/>
    <n v="1"/>
    <x v="50"/>
    <n v="0"/>
    <m/>
    <n v="0"/>
    <n v="7084"/>
    <n v="0"/>
    <n v="7.7"/>
    <n v="7084"/>
    <n v="17858.82352941177"/>
    <n v="15180"/>
    <s v="Shenzhen"/>
    <s v="30/70"/>
    <n v="45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00"/>
    <n v="100"/>
    <n v="100"/>
    <n v="0"/>
    <n v="0"/>
    <n v="0"/>
    <n v="796949.9999999999"/>
    <n v="796949.9999999999"/>
    <n v="100"/>
    <n v="796949.9999999999"/>
    <n v="0"/>
    <n v="15"/>
    <n v="100"/>
    <n v="15"/>
    <n v="0"/>
    <n v="0"/>
    <n v="796949.9999999999"/>
    <n v="119542.5"/>
    <n v="0"/>
    <n v="0"/>
    <n v="100"/>
    <n v="796949.9999999999"/>
    <n v="239085"/>
    <n v="30"/>
    <n v="85"/>
    <n v="30"/>
    <n v="0"/>
    <n v="0"/>
    <n v="677407.4999999999"/>
    <n v="239085"/>
    <n v="0"/>
    <n v="85"/>
    <n v="677407.4999999999"/>
    <n v="535764.705882353"/>
    <n v="9"/>
    <n v="55"/>
    <n v="9"/>
    <n v="0"/>
    <m/>
    <n v="438322.4999999999"/>
    <n v="63756"/>
    <n v="0"/>
    <n v="55"/>
    <n v="438322.4999999999"/>
    <n v="160729.4117647059"/>
  </r>
  <r>
    <m/>
    <x v="6"/>
    <x v="28"/>
    <x v="68"/>
    <s v="SIMMAN"/>
    <x v="656"/>
    <x v="498"/>
    <x v="0"/>
    <x v="4"/>
    <n v="1"/>
    <x v="50"/>
    <n v="0"/>
    <m/>
    <n v="0"/>
    <n v="8096.000000000001"/>
    <n v="0"/>
    <n v="8.800000000000001"/>
    <n v="8096.000000000001"/>
    <n v="20410.08403361345"/>
    <n v="17348.57142857143"/>
    <s v="Shenzhen"/>
    <s v="30/70"/>
    <n v="45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00"/>
    <n v="100"/>
    <n v="100"/>
    <n v="0"/>
    <n v="0"/>
    <n v="0"/>
    <n v="910800"/>
    <n v="910800"/>
    <n v="100"/>
    <n v="910800"/>
    <n v="0"/>
    <n v="15"/>
    <n v="100"/>
    <n v="15"/>
    <n v="0"/>
    <n v="0"/>
    <n v="910800"/>
    <n v="136620"/>
    <n v="0"/>
    <n v="0"/>
    <n v="100"/>
    <n v="910800"/>
    <n v="273240.0000000001"/>
    <n v="30"/>
    <n v="85"/>
    <n v="30"/>
    <n v="0"/>
    <n v="0"/>
    <n v="774180"/>
    <n v="273240"/>
    <n v="0"/>
    <n v="85"/>
    <n v="774180"/>
    <n v="612302.5210084035"/>
    <n v="9"/>
    <n v="55"/>
    <n v="9"/>
    <n v="0"/>
    <m/>
    <n v="500940"/>
    <n v="72864.00000000001"/>
    <n v="0"/>
    <n v="55"/>
    <n v="500940"/>
    <n v="183690.756302521"/>
  </r>
  <r>
    <m/>
    <x v="6"/>
    <x v="28"/>
    <x v="68"/>
    <s v="SIMMAN"/>
    <x v="657"/>
    <x v="500"/>
    <x v="0"/>
    <x v="4"/>
    <n v="1"/>
    <x v="50"/>
    <n v="0"/>
    <m/>
    <n v="0"/>
    <n v="7084"/>
    <n v="0"/>
    <n v="7.7"/>
    <n v="7084"/>
    <n v="17858.82352941177"/>
    <n v="15180"/>
    <s v="Shenzhen"/>
    <s v="30/70"/>
    <n v="45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00"/>
    <n v="100"/>
    <n v="100"/>
    <n v="0"/>
    <n v="0"/>
    <n v="0"/>
    <n v="796949.9999999999"/>
    <n v="796949.9999999999"/>
    <n v="100"/>
    <n v="796949.9999999999"/>
    <n v="0"/>
    <n v="15"/>
    <n v="100"/>
    <n v="15"/>
    <n v="0"/>
    <n v="0"/>
    <n v="796949.9999999999"/>
    <n v="119542.5"/>
    <n v="0"/>
    <n v="0"/>
    <n v="100"/>
    <n v="796949.9999999999"/>
    <n v="239085"/>
    <n v="30"/>
    <n v="85"/>
    <n v="30"/>
    <n v="0"/>
    <n v="0"/>
    <n v="677407.4999999999"/>
    <n v="239085"/>
    <n v="0"/>
    <n v="85"/>
    <n v="677407.4999999999"/>
    <n v="535764.705882353"/>
    <n v="9"/>
    <n v="55"/>
    <n v="9"/>
    <n v="0"/>
    <m/>
    <n v="438322.4999999999"/>
    <n v="63756"/>
    <n v="0"/>
    <n v="55"/>
    <n v="438322.4999999999"/>
    <n v="160729.4117647059"/>
  </r>
  <r>
    <m/>
    <x v="6"/>
    <x v="28"/>
    <x v="68"/>
    <s v="SIMMAN"/>
    <x v="658"/>
    <x v="501"/>
    <x v="0"/>
    <x v="4"/>
    <n v="1"/>
    <x v="50"/>
    <n v="0"/>
    <m/>
    <n v="0"/>
    <n v="8096.000000000001"/>
    <n v="0"/>
    <n v="8.800000000000001"/>
    <n v="8096.000000000001"/>
    <n v="20410.08403361345"/>
    <n v="17348.57142857143"/>
    <s v="Shenzhen"/>
    <s v="30/70"/>
    <n v="45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00"/>
    <n v="100"/>
    <n v="100"/>
    <n v="0"/>
    <n v="0"/>
    <n v="0"/>
    <n v="910800"/>
    <n v="910800"/>
    <n v="100"/>
    <n v="910800"/>
    <n v="0"/>
    <n v="15"/>
    <n v="100"/>
    <n v="15"/>
    <n v="0"/>
    <n v="0"/>
    <n v="910800"/>
    <n v="136620"/>
    <n v="0"/>
    <n v="0"/>
    <n v="100"/>
    <n v="910800"/>
    <n v="273240.0000000001"/>
    <n v="30"/>
    <n v="85"/>
    <n v="30"/>
    <n v="0"/>
    <n v="0"/>
    <n v="774180"/>
    <n v="273240"/>
    <n v="0"/>
    <n v="85"/>
    <n v="774180"/>
    <n v="612302.5210084035"/>
    <n v="9"/>
    <n v="55"/>
    <n v="9"/>
    <n v="0"/>
    <m/>
    <n v="500940"/>
    <n v="72864.00000000001"/>
    <n v="0"/>
    <n v="55"/>
    <n v="500940"/>
    <n v="183690.756302521"/>
  </r>
  <r>
    <m/>
    <x v="6"/>
    <x v="28"/>
    <x v="68"/>
    <s v="SIMMAN"/>
    <x v="659"/>
    <x v="500"/>
    <x v="0"/>
    <x v="4"/>
    <n v="1"/>
    <x v="50"/>
    <n v="0"/>
    <m/>
    <n v="0"/>
    <n v="7084"/>
    <n v="0"/>
    <n v="7.7"/>
    <n v="7084"/>
    <n v="17858.82352941177"/>
    <n v="15180"/>
    <s v="Shenzhen"/>
    <s v="30/70"/>
    <n v="45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00"/>
    <n v="100"/>
    <n v="100"/>
    <n v="0"/>
    <n v="0"/>
    <n v="0"/>
    <n v="796949.9999999999"/>
    <n v="796949.9999999999"/>
    <n v="100"/>
    <n v="796949.9999999999"/>
    <n v="0"/>
    <n v="15"/>
    <n v="100"/>
    <n v="15"/>
    <n v="0"/>
    <n v="0"/>
    <n v="796949.9999999999"/>
    <n v="119542.5"/>
    <n v="0"/>
    <n v="0"/>
    <n v="100"/>
    <n v="796949.9999999999"/>
    <n v="239085"/>
    <n v="30"/>
    <n v="85"/>
    <n v="30"/>
    <n v="0"/>
    <n v="0"/>
    <n v="677407.4999999999"/>
    <n v="239085"/>
    <n v="0"/>
    <n v="85"/>
    <n v="677407.4999999999"/>
    <n v="535764.705882353"/>
    <n v="9"/>
    <n v="55"/>
    <n v="9"/>
    <n v="0"/>
    <m/>
    <n v="438322.4999999999"/>
    <n v="63756"/>
    <n v="0"/>
    <n v="55"/>
    <n v="438322.4999999999"/>
    <n v="160729.4117647059"/>
  </r>
  <r>
    <m/>
    <x v="6"/>
    <x v="28"/>
    <x v="68"/>
    <s v="SIMSERV"/>
    <x v="660"/>
    <x v="502"/>
    <x v="0"/>
    <x v="4"/>
    <n v="1"/>
    <x v="50"/>
    <n v="0"/>
    <m/>
    <n v="0"/>
    <n v="5888"/>
    <n v="0"/>
    <n v="6.4"/>
    <n v="5888"/>
    <n v="14843.6974789916"/>
    <n v="12617.14285714286"/>
    <s v="Shenzhen"/>
    <s v="30/70"/>
    <n v="45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00"/>
    <n v="100"/>
    <n v="100"/>
    <n v="0"/>
    <n v="0"/>
    <n v="0"/>
    <n v="662399.9999999999"/>
    <n v="662399.9999999999"/>
    <n v="100"/>
    <n v="662399.9999999999"/>
    <n v="0"/>
    <n v="20"/>
    <n v="100"/>
    <n v="20"/>
    <n v="0"/>
    <n v="0"/>
    <n v="662399.9999999999"/>
    <n v="132480"/>
    <n v="0"/>
    <n v="0"/>
    <n v="100"/>
    <n v="662399.9999999999"/>
    <n v="264960"/>
    <n v="30"/>
    <n v="80"/>
    <n v="30"/>
    <n v="0"/>
    <n v="0"/>
    <n v="529919.9999999999"/>
    <n v="198720"/>
    <n v="0"/>
    <n v="80"/>
    <n v="529919.9999999999"/>
    <n v="445310.9243697479"/>
    <n v="12"/>
    <n v="50"/>
    <n v="12"/>
    <n v="0"/>
    <m/>
    <n v="331199.9999999999"/>
    <n v="70656"/>
    <n v="0"/>
    <n v="50"/>
    <n v="331199.9999999999"/>
    <n v="178124.3697478992"/>
  </r>
  <r>
    <m/>
    <x v="6"/>
    <x v="28"/>
    <x v="68"/>
    <s v="SIMSERV"/>
    <x v="661"/>
    <x v="503"/>
    <x v="0"/>
    <x v="4"/>
    <n v="1"/>
    <x v="50"/>
    <n v="0"/>
    <m/>
    <n v="0"/>
    <n v="5888"/>
    <n v="0"/>
    <n v="6.4"/>
    <n v="5888"/>
    <n v="14843.6974789916"/>
    <n v="12617.14285714286"/>
    <s v="Shenzhen"/>
    <s v="30/70"/>
    <n v="45"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00"/>
    <n v="100"/>
    <n v="100"/>
    <n v="0"/>
    <n v="0"/>
    <n v="0"/>
    <n v="662399.9999999999"/>
    <n v="662399.9999999999"/>
    <n v="100"/>
    <n v="662399.9999999999"/>
    <n v="0"/>
    <n v="20"/>
    <n v="100"/>
    <n v="20"/>
    <n v="0"/>
    <n v="0"/>
    <n v="662399.9999999999"/>
    <n v="132480"/>
    <n v="0"/>
    <n v="0"/>
    <n v="100"/>
    <n v="662399.9999999999"/>
    <n v="264960"/>
    <n v="30"/>
    <n v="80"/>
    <n v="30"/>
    <n v="0"/>
    <n v="0"/>
    <n v="529919.9999999999"/>
    <n v="198720"/>
    <n v="0"/>
    <n v="80"/>
    <n v="529919.9999999999"/>
    <n v="445310.9243697479"/>
    <n v="12"/>
    <n v="50"/>
    <n v="12"/>
    <n v="0"/>
    <m/>
    <n v="331199.9999999999"/>
    <n v="70656"/>
    <n v="0"/>
    <n v="50"/>
    <n v="331199.9999999999"/>
    <n v="178124.3697478992"/>
  </r>
  <r>
    <m/>
    <x v="6"/>
    <x v="29"/>
    <x v="69"/>
    <n v="1629726159155"/>
    <x v="662"/>
    <x v="504"/>
    <x v="0"/>
    <x v="3"/>
    <n v="1"/>
    <x v="332"/>
    <n v="8"/>
    <m/>
    <n v="0"/>
    <n v="6017"/>
    <n v="48136"/>
    <n v="6.35"/>
    <n v="6937.374999999999"/>
    <n v="14277.31092436975"/>
    <n v="14277.31092436975"/>
    <s v="Shenzhen"/>
    <s v="30/70"/>
    <n v="30"/>
    <n v="200"/>
    <n v="53"/>
    <n v="0.4699766020415954"/>
    <n v="63"/>
    <n v="0.4200005414135144"/>
    <n v="123"/>
    <n v="0.472052592593097"/>
    <n v="68"/>
    <n v="0.5072607416313285"/>
    <n v="47"/>
    <n v="0.4316304670525455"/>
    <n v="25"/>
    <n v="0.559243562977356"/>
    <n v="68"/>
    <n v="0.4986852951145322"/>
    <n v="50"/>
    <n v="0.6033288509326853"/>
    <n v="37"/>
    <n v="0.5083251118820242"/>
    <n v="99"/>
    <n v="0.4630307071194623"/>
    <n v="98"/>
    <n v="0.4846477697438995"/>
    <n v="177"/>
    <n v="0.5020875108916604"/>
    <n v="55"/>
    <n v="0.2989538723650215"/>
    <n v="17"/>
    <n v="0.3286569090965143"/>
    <n v="33"/>
    <n v="0.3602347779251809"/>
    <n v="169"/>
    <n v="0.4005220791299735"/>
    <n v="2.414285714285714"/>
    <n v="176"/>
    <n v="0.4394592712636921"/>
    <n v="3.52"/>
    <n v="86"/>
    <n v="0.3959299396250971"/>
    <n v="0.7166666666666667"/>
    <n v="14"/>
    <s v=""/>
    <n v="0.14"/>
    <n v="0"/>
    <s v=""/>
    <n v="0"/>
    <m/>
    <m/>
    <m/>
    <m/>
    <m/>
    <m/>
    <m/>
    <m/>
    <m/>
    <m/>
    <m/>
    <m/>
    <n v="60"/>
    <n v="78"/>
    <n v="78"/>
    <n v="0"/>
    <n v="0"/>
    <n v="0"/>
    <n v="821320.5"/>
    <n v="512635.4999999999"/>
    <n v="469326"/>
    <n v="0"/>
    <n v="8"/>
    <n v="48136"/>
    <n v="935823.7412612105"/>
    <n v="0"/>
    <n v="24"/>
    <n v="25.5"/>
    <n v="200"/>
    <n v="200"/>
    <n v="0"/>
    <n v="1368867.5"/>
    <n v="157734"/>
    <n v="153433.5"/>
    <n v="0"/>
    <n v="8"/>
    <n v="48136"/>
    <n v="305942.3769507803"/>
    <n v="120"/>
    <n v="41"/>
    <n v="33"/>
    <n v="0"/>
    <n v="0"/>
    <n v="1544046.5"/>
    <n v="246697"/>
    <n v="198561"/>
    <n v="0"/>
    <n v="8"/>
    <n v="48136"/>
    <n v="471151.2605042017"/>
    <n v="70"/>
    <n v="299"/>
    <n v="169"/>
    <n v="200"/>
    <n v="0"/>
    <n v="1965102.75"/>
    <n v="1016873"/>
    <n v="1314450"/>
    <n v="0"/>
    <n v="8"/>
    <n v="48136"/>
    <n v="2412865.546218487"/>
    <n v="50"/>
    <n v="184"/>
    <n v="50"/>
    <m/>
    <n v="0"/>
    <n v="0"/>
    <n v="1107128"/>
    <n v="328612.4999999999"/>
    <n v="0"/>
    <n v="0"/>
    <n v="8"/>
    <n v="48136"/>
    <n v="713865.5462184874"/>
    <n v="120"/>
    <n v="94"/>
    <n v="86"/>
    <m/>
    <n v="80"/>
    <n v="0"/>
    <n v="565598"/>
    <n v="565213.4999999999"/>
    <n v="0"/>
    <n v="0"/>
    <n v="94"/>
    <n v="48136"/>
    <n v="1227848.739495798"/>
    <n v="100"/>
    <n v="22"/>
    <n v="14"/>
    <n v="200"/>
    <n v="200"/>
    <n v="0"/>
    <n v="132374"/>
    <n v="92011.49999999999"/>
    <n v="1270635"/>
    <n v="0"/>
    <n v="22"/>
    <n v="48136"/>
    <n v="199882.3529411765"/>
    <n v="90"/>
    <n v="8"/>
    <n v="90"/>
    <n v="100"/>
    <n v="100"/>
    <n v="0"/>
    <n v="48136"/>
    <n v="591502.4999999999"/>
    <n v="657224.9999999999"/>
    <n v="0"/>
    <n v="8"/>
    <n v="48136"/>
    <n v="1284957.983193277"/>
    <n v="80"/>
    <n v="0"/>
    <n v="80"/>
    <n v="0"/>
    <n v="0"/>
    <n v="199"/>
    <n v="0"/>
    <n v="525779.9999999999"/>
    <n v="0"/>
    <n v="1307877.75"/>
    <n v="199"/>
    <n v="1307877.75"/>
    <n v="1142184.87394958"/>
    <n v="100"/>
    <n v="319"/>
    <n v="100"/>
    <n v="0"/>
    <n v="0"/>
    <n v="0"/>
    <n v="200"/>
    <n v="2096547.75"/>
    <n v="657224.9999999999"/>
    <n v="0"/>
    <n v="1314450"/>
    <n v="319"/>
    <n v="3410997.75"/>
    <n v="1427731.092436975"/>
    <n v="70"/>
    <n v="219"/>
    <n v="70"/>
    <n v="0"/>
    <n v="0"/>
    <n v="1439322.75"/>
    <n v="460057.4999999999"/>
    <n v="0"/>
    <n v="0"/>
    <n v="219"/>
    <n v="1439322.75"/>
    <n v="1049382.352941177"/>
    <n v="150"/>
    <n v="149"/>
    <n v="150"/>
    <n v="0"/>
    <n v="0"/>
    <n v="979265.2499999999"/>
    <n v="985837.4999999999"/>
    <n v="0"/>
    <n v="149"/>
    <n v="979265.2499999999"/>
    <n v="2141596.638655462"/>
    <n v="42"/>
    <n v="0"/>
    <n v="42"/>
    <n v="0"/>
    <m/>
    <n v="0"/>
    <n v="252714"/>
    <n v="0"/>
    <n v="0"/>
    <n v="0"/>
    <n v="599647.0588235295"/>
  </r>
  <r>
    <m/>
    <x v="6"/>
    <x v="29"/>
    <x v="69"/>
    <n v="1630369674271"/>
    <x v="663"/>
    <x v="505"/>
    <x v="0"/>
    <x v="1"/>
    <n v="1"/>
    <x v="333"/>
    <n v="364"/>
    <m/>
    <n v="0"/>
    <n v="2655"/>
    <n v="966420"/>
    <n v="2.95"/>
    <n v="3222.875"/>
    <n v="8394.957983193277"/>
    <n v="8394.957983193277"/>
    <s v="Shenzhen"/>
    <s v="30/70"/>
    <n v="30"/>
    <n v="300"/>
    <n v="68"/>
    <n v="0.6619229830745129"/>
    <n v="82"/>
    <n v="0.5757532242414646"/>
    <n v="159"/>
    <n v="0.6360106087594413"/>
    <n v="23"/>
    <n v="0.6986673312252898"/>
    <n v="13"/>
    <n v="0.4496104042865175"/>
    <n v="93"/>
    <n v="0.6576734357855023"/>
    <n v="81"/>
    <n v="0.6827868019896786"/>
    <n v="106"/>
    <n v="0.6437253136038982"/>
    <n v="81"/>
    <n v="0.6309347687859503"/>
    <n v="159"/>
    <n v="0.6349911340108025"/>
    <n v="110"/>
    <n v="0.6371012529665262"/>
    <n v="12"/>
    <n v="0.6301317075530846"/>
    <n v="85"/>
    <n v="0.1512068173470764"/>
    <n v="127"/>
    <n v="0.3511234511045258"/>
    <n v="238"/>
    <n v="0.3515947785523625"/>
    <n v="152"/>
    <n v="0.3413015965573506"/>
    <n v="0.95"/>
    <n v="6"/>
    <n v="0.753344003414426"/>
    <n v="0.05"/>
    <n v="170"/>
    <n v="0.5344359912408139"/>
    <n v="0.85"/>
    <n v="0"/>
    <s v=""/>
    <n v="0"/>
    <n v="0"/>
    <s v=""/>
    <n v="0"/>
    <m/>
    <m/>
    <m/>
    <m/>
    <m/>
    <m/>
    <m/>
    <m/>
    <m/>
    <m/>
    <m/>
    <m/>
    <n v="103"/>
    <n v="605"/>
    <n v="65"/>
    <n v="300"/>
    <n v="300"/>
    <n v="0"/>
    <n v="1310242.5"/>
    <n v="1847216.25"/>
    <n v="172575"/>
    <n v="0"/>
    <n v="364"/>
    <n v="966420"/>
    <n v="458548.1251324059"/>
    <n v="80"/>
    <n v="517"/>
    <n v="190.5"/>
    <n v="0"/>
    <n v="0"/>
    <n v="0"/>
    <n v="1541227.5"/>
    <n v="1578530.25"/>
    <n v="505777.5"/>
    <n v="0"/>
    <n v="364"/>
    <n v="966420"/>
    <n v="1343898.735964974"/>
    <n v="150"/>
    <n v="310"/>
    <n v="238"/>
    <n v="0"/>
    <n v="0"/>
    <n v="1401840"/>
    <n v="823050"/>
    <n v="631890"/>
    <n v="0"/>
    <n v="364"/>
    <n v="966420"/>
    <n v="1998000"/>
    <n v="160"/>
    <n v="156"/>
    <n v="152"/>
    <n v="0"/>
    <n v="0"/>
    <n v="476306.9999999999"/>
    <n v="403560"/>
    <n v="0"/>
    <n v="0"/>
    <n v="364"/>
    <n v="966420"/>
    <n v="1276033.613445378"/>
    <n v="120"/>
    <n v="370"/>
    <n v="120"/>
    <m/>
    <n v="0"/>
    <n v="0"/>
    <n v="982350"/>
    <n v="366389.9999999999"/>
    <n v="0"/>
    <n v="0"/>
    <n v="364"/>
    <n v="966420"/>
    <n v="1007394.957983193"/>
    <n v="200"/>
    <n v="534"/>
    <n v="170"/>
    <m/>
    <n v="300"/>
    <n v="0"/>
    <n v="1417770"/>
    <n v="519052.4999999999"/>
    <n v="0"/>
    <n v="0"/>
    <n v="534"/>
    <n v="966420"/>
    <n v="1427142.857142857"/>
    <n v="120"/>
    <n v="364"/>
    <n v="0"/>
    <n v="300"/>
    <n v="300"/>
    <n v="0"/>
    <n v="966420"/>
    <n v="0"/>
    <n v="885442.5"/>
    <n v="0"/>
    <n v="364"/>
    <n v="966420"/>
    <n v="0"/>
    <n v="150"/>
    <n v="364"/>
    <n v="150"/>
    <n v="0"/>
    <n v="0"/>
    <n v="0"/>
    <n v="966420"/>
    <n v="457987.4999999999"/>
    <n v="0"/>
    <n v="0"/>
    <n v="364"/>
    <n v="966420"/>
    <n v="1259243.697478991"/>
    <n v="120"/>
    <n v="214"/>
    <n v="120"/>
    <n v="300"/>
    <n v="150"/>
    <n v="0"/>
    <n v="653395.4999999999"/>
    <n v="366389.9999999999"/>
    <n v="915974.9999999999"/>
    <n v="0"/>
    <n v="214"/>
    <n v="653395.4999999999"/>
    <n v="1007394.957983193"/>
    <n v="150"/>
    <n v="244"/>
    <n v="150"/>
    <n v="0"/>
    <n v="0"/>
    <n v="0"/>
    <n v="150"/>
    <n v="744992.9999999999"/>
    <n v="457987.4999999999"/>
    <n v="0"/>
    <n v="457987.4999999999"/>
    <n v="244"/>
    <n v="1202980.5"/>
    <n v="1259243.697478991"/>
    <n v="90"/>
    <n v="94"/>
    <n v="90"/>
    <n v="0"/>
    <n v="0"/>
    <n v="287005.4999999999"/>
    <n v="274792.4999999999"/>
    <n v="0"/>
    <n v="0"/>
    <n v="94"/>
    <n v="287005.4999999999"/>
    <n v="793323.5294117647"/>
    <n v="180"/>
    <n v="4"/>
    <n v="180"/>
    <n v="0"/>
    <n v="0"/>
    <n v="12213"/>
    <n v="549584.9999999999"/>
    <n v="0"/>
    <n v="4"/>
    <n v="12213"/>
    <n v="1511092.43697479"/>
    <n v="54"/>
    <n v="0"/>
    <n v="54"/>
    <n v="0"/>
    <m/>
    <n v="0"/>
    <n v="143370"/>
    <n v="0"/>
    <n v="0"/>
    <n v="0"/>
    <n v="453327.7310924369"/>
  </r>
  <r>
    <m/>
    <x v="6"/>
    <x v="29"/>
    <x v="69"/>
    <n v="1652825295706"/>
    <x v="664"/>
    <x v="506"/>
    <x v="0"/>
    <x v="1"/>
    <n v="1"/>
    <x v="334"/>
    <n v="213"/>
    <m/>
    <n v="0"/>
    <n v="5994"/>
    <n v="1276722"/>
    <n v="5.6"/>
    <n v="6117.999999999999"/>
    <n v="19319.32773109244"/>
    <n v="19319.32773109244"/>
    <s v="Shenzhen"/>
    <s v="30/70"/>
    <n v="30"/>
    <n v="200"/>
    <n v="60"/>
    <n v="0.670706189271785"/>
    <n v="45"/>
    <n v="0.5657471650609542"/>
    <n v="85"/>
    <n v="0.6831466989472081"/>
    <n v="5"/>
    <s v=""/>
    <n v="0"/>
    <s v=""/>
    <n v="133"/>
    <n v="0.6694588357835176"/>
    <n v="209"/>
    <n v="0.652248719017045"/>
    <n v="78"/>
    <n v="0.6541854397885032"/>
    <n v="110"/>
    <n v="0.6499144058374102"/>
    <n v="95"/>
    <n v="0.6287635405069667"/>
    <n v="79"/>
    <n v="0.6935453257238537"/>
    <n v="144"/>
    <n v="0.7067743567690034"/>
    <n v="84"/>
    <n v="0.5054176043665797"/>
    <n v="92"/>
    <n v="0.45422603099875"/>
    <n v="122"/>
    <n v="0.5206523771078381"/>
    <n v="140"/>
    <n v="0.4615642342434569"/>
    <n v="1"/>
    <n v="127"/>
    <n v="0.6990882237187162"/>
    <n v="1.27"/>
    <n v="-1"/>
    <n v="-0.2059721552830423"/>
    <n v="-0.005555555555555556"/>
    <n v="8"/>
    <s v=""/>
    <n v="0.04444444444444445"/>
    <n v="0"/>
    <s v=""/>
    <n v="0"/>
    <m/>
    <m/>
    <m/>
    <m/>
    <m/>
    <m/>
    <m/>
    <m/>
    <m/>
    <m/>
    <m/>
    <m/>
    <n v="80"/>
    <n v="76"/>
    <n v="76"/>
    <n v="500"/>
    <n v="500"/>
    <n v="0"/>
    <n v="2013984"/>
    <n v="440496"/>
    <n v="455544"/>
    <n v="0"/>
    <n v="213"/>
    <n v="1276722"/>
    <n v="1233839.418120189"/>
    <n v="80"/>
    <n v="488"/>
    <n v="138"/>
    <n v="0"/>
    <n v="0"/>
    <n v="0"/>
    <n v="2397600"/>
    <n v="2828448"/>
    <n v="827172"/>
    <n v="0"/>
    <n v="213"/>
    <n v="1276722"/>
    <n v="2240392.627639291"/>
    <n v="100"/>
    <n v="324"/>
    <n v="122"/>
    <n v="0"/>
    <n v="0"/>
    <n v="2150028"/>
    <n v="1942056"/>
    <n v="731268"/>
    <n v="0"/>
    <n v="213"/>
    <n v="1276722"/>
    <n v="2356957.983193277"/>
    <n v="140"/>
    <n v="272"/>
    <n v="140"/>
    <n v="0"/>
    <n v="0"/>
    <n v="1576512"/>
    <n v="839160"/>
    <n v="0"/>
    <n v="0"/>
    <n v="213"/>
    <n v="1276722"/>
    <n v="2704705.882352941"/>
    <n v="100"/>
    <n v="340"/>
    <n v="100"/>
    <m/>
    <n v="0"/>
    <n v="0"/>
    <n v="2037960"/>
    <n v="579600"/>
    <n v="0"/>
    <n v="0"/>
    <n v="213"/>
    <n v="1276722"/>
    <n v="1931932.773109244"/>
    <n v="180"/>
    <n v="212"/>
    <n v="-1"/>
    <m/>
    <n v="0"/>
    <n v="0"/>
    <n v="1270728"/>
    <n v="-5796"/>
    <n v="0"/>
    <n v="0"/>
    <n v="212"/>
    <n v="1276722"/>
    <n v="-19319.32773109244"/>
    <n v="180"/>
    <n v="221"/>
    <n v="8"/>
    <n v="350"/>
    <n v="350"/>
    <n v="0"/>
    <n v="1324674"/>
    <n v="46368"/>
    <n v="1960980"/>
    <n v="0"/>
    <n v="221"/>
    <n v="1276722"/>
    <n v="154554.6218487395"/>
    <n v="150"/>
    <n v="213"/>
    <n v="150"/>
    <n v="200"/>
    <n v="200"/>
    <n v="0"/>
    <n v="1276722"/>
    <n v="869400"/>
    <n v="1159200"/>
    <n v="0"/>
    <n v="213"/>
    <n v="1276722"/>
    <n v="2897899.159663866"/>
    <n v="120"/>
    <n v="63"/>
    <n v="120"/>
    <n v="200"/>
    <n v="200"/>
    <n v="204"/>
    <n v="365148"/>
    <n v="695520"/>
    <n v="1159200"/>
    <n v="1182384"/>
    <n v="267"/>
    <n v="1547532"/>
    <n v="2318319.327731092"/>
    <n v="120"/>
    <n v="147"/>
    <n v="120"/>
    <n v="0"/>
    <n v="0"/>
    <n v="0"/>
    <n v="0"/>
    <n v="852012"/>
    <n v="695520"/>
    <n v="0"/>
    <n v="0"/>
    <n v="147"/>
    <n v="852012"/>
    <n v="2318319.327731092"/>
    <n v="70"/>
    <n v="27"/>
    <n v="70"/>
    <n v="0"/>
    <n v="0"/>
    <n v="156492"/>
    <n v="405720"/>
    <n v="0"/>
    <n v="0"/>
    <n v="27"/>
    <n v="156492"/>
    <n v="1419970.588235294"/>
    <n v="130"/>
    <n v="0"/>
    <n v="130"/>
    <n v="0"/>
    <n v="0"/>
    <n v="0"/>
    <n v="753480"/>
    <n v="0"/>
    <n v="0"/>
    <n v="0"/>
    <n v="2511512.605042017"/>
    <n v="42"/>
    <n v="0"/>
    <n v="42"/>
    <n v="0"/>
    <m/>
    <n v="0"/>
    <n v="251748"/>
    <n v="0"/>
    <n v="0"/>
    <n v="0"/>
    <n v="811411.7647058824"/>
  </r>
  <r>
    <m/>
    <x v="6"/>
    <x v="29"/>
    <x v="69"/>
    <s v="SIMCAFFRCO"/>
    <x v="665"/>
    <x v="507"/>
    <x v="0"/>
    <x v="0"/>
    <n v="1"/>
    <x v="335"/>
    <n v="275"/>
    <m/>
    <n v="0"/>
    <n v="4680"/>
    <n v="1287000"/>
    <n v="4.3"/>
    <n v="4697.75"/>
    <n v="12596.63865546219"/>
    <n v="12596.63865546219"/>
    <s v="Shenzhen"/>
    <s v="30/70"/>
    <n v="30"/>
    <n v="200"/>
    <n v="1"/>
    <n v="0.6613378160678014"/>
    <n v="11"/>
    <n v="0.4995461480152371"/>
    <n v="26"/>
    <n v="0.5918664965552439"/>
    <n v="43"/>
    <n v="0.5802988021814971"/>
    <n v="42"/>
    <n v="0.5576723472076592"/>
    <n v="80"/>
    <n v="0.5548887236444187"/>
    <n v="22"/>
    <n v="0.63717168422049"/>
    <n v="56"/>
    <n v="0.5816301545350294"/>
    <n v="42"/>
    <n v="0.5458392559166402"/>
    <n v="61"/>
    <n v="0.5179855702294532"/>
    <n v="324"/>
    <n v="0.4298832721459818"/>
    <n v="76"/>
    <n v="0.5554569555426507"/>
    <n v="1"/>
    <n v="0.5221965223465733"/>
    <n v="35"/>
    <n v="0.517934832840242"/>
    <n v="53"/>
    <n v="0.4580137520283192"/>
    <n v="40"/>
    <n v="0.509762687107895"/>
    <n v="0.8888888888888888"/>
    <n v="45"/>
    <n v="0.5780766639117435"/>
    <n v="1"/>
    <n v="105"/>
    <n v="0.4142289092650638"/>
    <n v="1.05"/>
    <n v="53"/>
    <n v="0.5414579026598144"/>
    <n v="0.6625"/>
    <n v="16"/>
    <n v="0.4772955723972875"/>
    <n v="0.2"/>
    <m/>
    <m/>
    <m/>
    <m/>
    <m/>
    <m/>
    <m/>
    <m/>
    <m/>
    <m/>
    <m/>
    <m/>
    <n v="40"/>
    <n v="32"/>
    <n v="32"/>
    <n v="0"/>
    <n v="0"/>
    <n v="0"/>
    <n v="643500"/>
    <n v="142416"/>
    <n v="149760"/>
    <n v="0"/>
    <n v="275"/>
    <n v="1287000"/>
    <n v="338733.1403149496"/>
    <n v="5"/>
    <n v="31"/>
    <n v="52.5"/>
    <n v="200"/>
    <n v="200"/>
    <n v="0"/>
    <n v="680940"/>
    <n v="137965.5"/>
    <n v="245700"/>
    <n v="0"/>
    <n v="275"/>
    <n v="1287000"/>
    <n v="555734.0583292141"/>
    <n v="60"/>
    <n v="197"/>
    <n v="53"/>
    <n v="0"/>
    <n v="0"/>
    <n v="635512.5"/>
    <n v="921960"/>
    <n v="248040"/>
    <n v="0"/>
    <n v="275"/>
    <n v="1287000"/>
    <n v="667621.8487394959"/>
    <n v="45"/>
    <n v="347"/>
    <n v="40"/>
    <n v="200"/>
    <n v="0"/>
    <n v="1544323.5"/>
    <n v="187200"/>
    <n v="890100"/>
    <n v="0"/>
    <n v="275"/>
    <n v="1287000"/>
    <n v="503865.5462184874"/>
    <n v="45"/>
    <n v="320"/>
    <n v="45"/>
    <m/>
    <n v="0"/>
    <n v="0"/>
    <n v="1497600"/>
    <n v="200272.5"/>
    <n v="0"/>
    <n v="0"/>
    <n v="275"/>
    <n v="1287000"/>
    <n v="566848.7394957984"/>
    <n v="100"/>
    <n v="380"/>
    <n v="105"/>
    <m/>
    <n v="0"/>
    <n v="0"/>
    <n v="1778400"/>
    <n v="467302.5"/>
    <n v="0"/>
    <n v="0"/>
    <n v="380"/>
    <n v="1287000"/>
    <n v="1322647.05882353"/>
    <n v="80"/>
    <n v="328"/>
    <n v="53"/>
    <n v="200"/>
    <n v="200"/>
    <n v="0"/>
    <n v="1535040"/>
    <n v="235876.5"/>
    <n v="860429.9999999999"/>
    <n v="0"/>
    <n v="328"/>
    <n v="1287000"/>
    <n v="667621.8487394959"/>
    <n v="80"/>
    <n v="275"/>
    <n v="80"/>
    <n v="0"/>
    <n v="0"/>
    <n v="0"/>
    <n v="1287000"/>
    <n v="356040"/>
    <n v="0"/>
    <n v="0"/>
    <n v="275"/>
    <n v="1287000"/>
    <n v="1007731.092436975"/>
    <n v="60"/>
    <n v="195"/>
    <n v="60"/>
    <n v="0"/>
    <n v="0"/>
    <n v="0"/>
    <n v="867847.5"/>
    <n v="267030"/>
    <n v="0"/>
    <n v="0"/>
    <n v="195"/>
    <n v="867847.5"/>
    <n v="755798.3193277312"/>
    <n v="100"/>
    <n v="135"/>
    <n v="100"/>
    <n v="0"/>
    <n v="0"/>
    <n v="0"/>
    <m/>
    <n v="600817.5"/>
    <n v="445050"/>
    <n v="0"/>
    <n v="0"/>
    <n v="135"/>
    <n v="600817.5"/>
    <n v="1259663.865546219"/>
    <n v="50"/>
    <n v="35"/>
    <n v="50"/>
    <n v="0"/>
    <n v="0"/>
    <n v="155767.5"/>
    <n v="222525"/>
    <n v="0"/>
    <n v="0"/>
    <n v="35"/>
    <n v="155767.5"/>
    <n v="661323.5294117648"/>
    <n v="100"/>
    <n v="0"/>
    <n v="100"/>
    <n v="0"/>
    <n v="0"/>
    <n v="0"/>
    <n v="445050"/>
    <n v="0"/>
    <n v="0"/>
    <n v="0"/>
    <n v="1259663.865546219"/>
    <n v="30"/>
    <n v="0"/>
    <n v="30"/>
    <n v="0"/>
    <m/>
    <n v="0"/>
    <n v="140400"/>
    <n v="0"/>
    <n v="0"/>
    <n v="0"/>
    <n v="377899.1596638656"/>
  </r>
  <r>
    <m/>
    <x v="6"/>
    <x v="29"/>
    <x v="69"/>
    <s v="SMCFIT12LC-GR"/>
    <x v="666"/>
    <x v="508"/>
    <x v="0"/>
    <x v="4"/>
    <n v="1"/>
    <x v="3"/>
    <n v="0"/>
    <m/>
    <n v="0"/>
    <n v="6002.999999999999"/>
    <n v="0"/>
    <n v="6"/>
    <n v="6002.999999999999"/>
    <n v="15133.61344537815"/>
    <n v="12863.57142857143"/>
    <s v="Shenzhen"/>
    <s v="30/70"/>
    <n v="30"/>
    <n v="2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200"/>
    <m/>
    <n v="0"/>
    <n v="0"/>
    <n v="0"/>
    <n v="1200600"/>
    <n v="0"/>
    <n v="0"/>
    <n v="0"/>
    <n v="0"/>
    <n v="56"/>
    <n v="0"/>
    <n v="56"/>
    <n v="0"/>
    <n v="200"/>
    <n v="0"/>
    <n v="0"/>
    <n v="347759.9999999999"/>
    <n v="0"/>
    <n v="0"/>
    <n v="0"/>
    <n v="0"/>
    <n v="847482.3529411764"/>
    <n v="62"/>
    <n v="0"/>
    <n v="62"/>
    <n v="0"/>
    <n v="0"/>
    <n v="196"/>
    <n v="0"/>
    <n v="385019.9999999999"/>
    <n v="0"/>
    <n v="1217160"/>
    <n v="196"/>
    <n v="1217160"/>
    <n v="938284.0336134452"/>
    <n v="70"/>
    <n v="134"/>
    <n v="70"/>
    <n v="0"/>
    <n v="0"/>
    <n v="0"/>
    <m/>
    <n v="832139.9999999999"/>
    <n v="434699.9999999999"/>
    <n v="0"/>
    <n v="0"/>
    <n v="134"/>
    <n v="832139.9999999999"/>
    <n v="900449.9999999998"/>
    <n v="50"/>
    <n v="64"/>
    <n v="50"/>
    <n v="200"/>
    <n v="200"/>
    <n v="397439.9999999999"/>
    <n v="310499.9999999999"/>
    <n v="1242000"/>
    <n v="1242000"/>
    <n v="264"/>
    <n v="1639440"/>
    <n v="675337.4999999999"/>
    <n v="70"/>
    <n v="214"/>
    <n v="70"/>
    <n v="0"/>
    <n v="0"/>
    <n v="1328940"/>
    <n v="434699.9999999999"/>
    <n v="0"/>
    <n v="214"/>
    <n v="1328940"/>
    <n v="1059352.94117647"/>
    <n v="30"/>
    <n v="144"/>
    <n v="30"/>
    <n v="0"/>
    <m/>
    <n v="894239.9999999999"/>
    <n v="180090"/>
    <n v="0"/>
    <n v="144"/>
    <n v="894239.9999999999"/>
    <n v="454008.4033613445"/>
  </r>
  <r>
    <m/>
    <x v="6"/>
    <x v="29"/>
    <x v="69"/>
    <s v="SMCFIT12SV-WH"/>
    <x v="667"/>
    <x v="509"/>
    <x v="0"/>
    <x v="4"/>
    <n v="1"/>
    <x v="3"/>
    <n v="0"/>
    <m/>
    <n v="0"/>
    <n v="6303.15"/>
    <n v="0"/>
    <n v="6.3"/>
    <n v="6303.15"/>
    <n v="15890.29411764706"/>
    <n v="13506.75"/>
    <s v="Shenzhen"/>
    <s v="30/70"/>
    <n v="30"/>
    <n v="2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200"/>
    <m/>
    <n v="0"/>
    <n v="0"/>
    <n v="0"/>
    <n v="1260630"/>
    <n v="0"/>
    <n v="0"/>
    <n v="0"/>
    <n v="0"/>
    <n v="36"/>
    <n v="0"/>
    <n v="36"/>
    <n v="0"/>
    <n v="200"/>
    <n v="0"/>
    <n v="0"/>
    <n v="234738"/>
    <n v="0"/>
    <n v="0"/>
    <n v="0"/>
    <n v="0"/>
    <n v="572050.5882352941"/>
    <n v="51"/>
    <n v="0"/>
    <n v="51"/>
    <n v="0"/>
    <n v="0"/>
    <n v="198"/>
    <n v="0"/>
    <n v="332545.4999999999"/>
    <n v="0"/>
    <n v="1291059"/>
    <n v="198"/>
    <n v="1291059"/>
    <n v="810404.9999999999"/>
    <n v="80"/>
    <n v="147"/>
    <n v="80"/>
    <n v="0"/>
    <n v="0"/>
    <n v="0"/>
    <m/>
    <n v="958513.4999999999"/>
    <n v="521639.9999999999"/>
    <n v="0"/>
    <n v="0"/>
    <n v="147"/>
    <n v="958513.4999999999"/>
    <n v="1080540"/>
    <n v="50"/>
    <n v="67"/>
    <n v="50"/>
    <n v="200"/>
    <n v="200"/>
    <n v="436873.4999999999"/>
    <n v="326024.9999999999"/>
    <n v="1304100"/>
    <n v="1304100"/>
    <n v="267"/>
    <n v="1740973.5"/>
    <n v="709104.3749999999"/>
    <n v="80"/>
    <n v="217"/>
    <n v="80"/>
    <n v="0"/>
    <n v="0"/>
    <n v="1414948.5"/>
    <n v="521639.9999999999"/>
    <n v="0"/>
    <n v="217"/>
    <n v="1414948.5"/>
    <n v="1271223.529411765"/>
    <n v="30"/>
    <n v="137"/>
    <n v="30"/>
    <n v="0"/>
    <m/>
    <n v="893308.4999999999"/>
    <n v="189094.5"/>
    <n v="0"/>
    <n v="137"/>
    <n v="893308.4999999999"/>
    <n v="476708.8235294117"/>
  </r>
  <r>
    <m/>
    <x v="6"/>
    <x v="29"/>
    <x v="69"/>
    <s v="SMCFIT4LC-GR"/>
    <x v="668"/>
    <x v="510"/>
    <x v="0"/>
    <x v="4"/>
    <n v="1"/>
    <x v="3"/>
    <n v="0"/>
    <m/>
    <n v="0"/>
    <n v="3601.8"/>
    <n v="0"/>
    <n v="3.6"/>
    <n v="3601.8"/>
    <n v="9080.16806722689"/>
    <n v="7718.142857142857"/>
    <s v="Shenzhen"/>
    <s v="30/70"/>
    <n v="30"/>
    <n v="2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200"/>
    <m/>
    <n v="0"/>
    <n v="0"/>
    <n v="0"/>
    <n v="720360"/>
    <n v="0"/>
    <n v="0"/>
    <n v="0"/>
    <n v="0"/>
    <n v="50"/>
    <n v="0"/>
    <n v="50"/>
    <n v="0"/>
    <n v="200"/>
    <n v="0"/>
    <n v="0"/>
    <n v="186300"/>
    <n v="0"/>
    <n v="0"/>
    <n v="0"/>
    <n v="0"/>
    <n v="454008.4033613445"/>
    <n v="77"/>
    <n v="0"/>
    <n v="77"/>
    <n v="0"/>
    <n v="0"/>
    <n v="199"/>
    <n v="0"/>
    <n v="286901.9999999999"/>
    <n v="0"/>
    <n v="741473.9999999999"/>
    <n v="199"/>
    <n v="741473.9999999999"/>
    <n v="699172.9411764706"/>
    <n v="60"/>
    <n v="122"/>
    <n v="60"/>
    <n v="0"/>
    <n v="0"/>
    <n v="0"/>
    <m/>
    <n v="454571.9999999999"/>
    <n v="223560"/>
    <n v="0"/>
    <n v="0"/>
    <n v="122"/>
    <n v="454571.9999999999"/>
    <n v="463088.5714285714"/>
    <n v="40"/>
    <n v="62"/>
    <n v="40"/>
    <n v="200"/>
    <n v="200"/>
    <n v="231012"/>
    <n v="149040"/>
    <n v="745199.9999999999"/>
    <n v="745199.9999999999"/>
    <n v="262"/>
    <n v="976211.9999999999"/>
    <n v="324162"/>
    <n v="60"/>
    <n v="222"/>
    <n v="60"/>
    <n v="0"/>
    <n v="0"/>
    <n v="827171.9999999999"/>
    <n v="223560"/>
    <n v="0"/>
    <n v="222"/>
    <n v="827171.9999999999"/>
    <n v="544810.0840336134"/>
    <n v="24"/>
    <n v="162"/>
    <n v="24"/>
    <n v="0"/>
    <m/>
    <n v="603611.9999999999"/>
    <n v="86443.2"/>
    <n v="0"/>
    <n v="162"/>
    <n v="603611.9999999999"/>
    <n v="217924.0336134454"/>
  </r>
  <r>
    <m/>
    <x v="6"/>
    <x v="29"/>
    <x v="69"/>
    <s v="SMCFIT4SV-WH"/>
    <x v="669"/>
    <x v="511"/>
    <x v="0"/>
    <x v="4"/>
    <n v="1"/>
    <x v="3"/>
    <n v="0"/>
    <m/>
    <n v="0"/>
    <n v="4002"/>
    <n v="0"/>
    <n v="4"/>
    <n v="4002"/>
    <n v="10089.0756302521"/>
    <n v="8575.714285714284"/>
    <s v="Shenzhen"/>
    <s v="30/70"/>
    <n v="30"/>
    <n v="2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200"/>
    <m/>
    <n v="0"/>
    <n v="0"/>
    <n v="0"/>
    <n v="800399.9999999999"/>
    <n v="0"/>
    <n v="0"/>
    <n v="0"/>
    <n v="0"/>
    <n v="40"/>
    <n v="0"/>
    <n v="40"/>
    <n v="0"/>
    <n v="200"/>
    <n v="0"/>
    <n v="0"/>
    <n v="165600"/>
    <n v="0"/>
    <n v="0"/>
    <n v="0"/>
    <n v="0"/>
    <n v="403563.025210084"/>
    <n v="64"/>
    <n v="0"/>
    <n v="64"/>
    <n v="0"/>
    <n v="0"/>
    <n v="199"/>
    <n v="0"/>
    <n v="264960"/>
    <n v="0"/>
    <n v="823860"/>
    <n v="199"/>
    <n v="823860"/>
    <n v="645700.8403361344"/>
    <n v="80"/>
    <n v="135"/>
    <n v="80"/>
    <n v="0"/>
    <n v="0"/>
    <n v="0"/>
    <m/>
    <n v="558900"/>
    <n v="331200"/>
    <n v="0"/>
    <n v="0"/>
    <n v="135"/>
    <n v="558900"/>
    <n v="686057.1428571427"/>
    <n v="60"/>
    <n v="55"/>
    <n v="60"/>
    <n v="200"/>
    <n v="200"/>
    <n v="227700"/>
    <n v="248400"/>
    <n v="828000"/>
    <n v="828000"/>
    <n v="255"/>
    <n v="1055700"/>
    <n v="540269.9999999999"/>
    <n v="80"/>
    <n v="195"/>
    <n v="80"/>
    <n v="0"/>
    <n v="0"/>
    <n v="807300"/>
    <n v="331200"/>
    <n v="0"/>
    <n v="195"/>
    <n v="807300"/>
    <n v="807126.0504201681"/>
    <n v="36"/>
    <n v="115"/>
    <n v="36"/>
    <n v="0"/>
    <m/>
    <n v="476100"/>
    <n v="144072"/>
    <n v="0"/>
    <n v="115"/>
    <n v="476100"/>
    <n v="363206.7226890756"/>
  </r>
  <r>
    <m/>
    <x v="6"/>
    <x v="29"/>
    <x v="70"/>
    <s v="SMCONTCAFMI"/>
    <x v="670"/>
    <x v="512"/>
    <x v="0"/>
    <x v="4"/>
    <n v="1"/>
    <x v="3"/>
    <n v="149"/>
    <m/>
    <n v="0"/>
    <n v="3890"/>
    <n v="579610"/>
    <n v="3.8"/>
    <n v="3801.9"/>
    <n v="9584.621848739494"/>
    <n v="8146.92857142857"/>
    <s v="Shenzhen"/>
    <s v="30/70"/>
    <n v="30"/>
    <n v="2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29"/>
    <n v="0.6537924284509504"/>
    <n v="0.8285714285714286"/>
    <n v="18"/>
    <n v="0.6529279427507466"/>
    <n v="0.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149"/>
    <n v="579610"/>
    <n v="0"/>
    <n v="0"/>
    <n v="0"/>
    <n v="0"/>
    <n v="0"/>
    <n v="0"/>
    <n v="0"/>
    <n v="0"/>
    <n v="0"/>
    <n v="0"/>
    <n v="149"/>
    <n v="579610"/>
    <n v="0"/>
    <n v="0"/>
    <n v="149"/>
    <n v="0"/>
    <m/>
    <m/>
    <n v="0"/>
    <n v="579610"/>
    <n v="0"/>
    <n v="0"/>
    <n v="0"/>
    <n v="149"/>
    <n v="579610"/>
    <n v="0"/>
    <n v="0"/>
    <n v="149"/>
    <n v="0"/>
    <m/>
    <n v="0"/>
    <n v="0"/>
    <n v="579610"/>
    <n v="0"/>
    <n v="0"/>
    <n v="0"/>
    <n v="149"/>
    <n v="579610"/>
    <n v="0"/>
    <n v="35"/>
    <n v="178"/>
    <n v="29"/>
    <n v="200"/>
    <n v="200"/>
    <n v="0"/>
    <n v="692420"/>
    <n v="114057"/>
    <n v="760379.9999999999"/>
    <n v="0"/>
    <n v="178"/>
    <n v="579610"/>
    <n v="277954.0336134454"/>
    <n v="50"/>
    <n v="149"/>
    <n v="50"/>
    <n v="0"/>
    <n v="0"/>
    <n v="0"/>
    <n v="579610"/>
    <n v="196650"/>
    <n v="0"/>
    <n v="0"/>
    <n v="149"/>
    <n v="579610"/>
    <n v="479231.0924369748"/>
    <n v="40"/>
    <n v="99"/>
    <n v="40"/>
    <n v="0"/>
    <n v="0"/>
    <n v="0"/>
    <n v="389366.9999999999"/>
    <n v="157320"/>
    <n v="0"/>
    <n v="0"/>
    <n v="99"/>
    <n v="389366.9999999999"/>
    <n v="383384.8739495798"/>
    <n v="80"/>
    <n v="59"/>
    <n v="59"/>
    <n v="150"/>
    <n v="150"/>
    <n v="150"/>
    <n v="0"/>
    <n v="232047"/>
    <n v="232047"/>
    <n v="589949.9999999999"/>
    <n v="589949.9999999999"/>
    <n v="209"/>
    <n v="821996.9999999999"/>
    <n v="480668.7857142856"/>
    <n v="40"/>
    <n v="150"/>
    <n v="40"/>
    <n v="0"/>
    <n v="0"/>
    <n v="589949.9999999999"/>
    <n v="157320"/>
    <n v="0"/>
    <n v="0"/>
    <n v="150"/>
    <n v="589949.9999999999"/>
    <n v="342170.9999999999"/>
    <n v="40"/>
    <n v="110"/>
    <n v="40"/>
    <n v="0"/>
    <n v="0"/>
    <n v="432629.9999999999"/>
    <n v="157320"/>
    <n v="0"/>
    <n v="110"/>
    <n v="432629.9999999999"/>
    <n v="383384.8739495798"/>
    <n v="24"/>
    <n v="70"/>
    <n v="24"/>
    <n v="0"/>
    <m/>
    <n v="275309.9999999999"/>
    <n v="93360"/>
    <n v="0"/>
    <n v="70"/>
    <n v="275309.9999999999"/>
    <n v="230030.9243697479"/>
  </r>
  <r>
    <m/>
    <x v="6"/>
    <x v="29"/>
    <x v="58"/>
    <n v="1654207295633"/>
    <x v="671"/>
    <x v="513"/>
    <x v="0"/>
    <x v="0"/>
    <n v="1.3"/>
    <x v="336"/>
    <n v="420"/>
    <m/>
    <n v="0"/>
    <n v="1230"/>
    <n v="516600"/>
    <n v="1"/>
    <n v="1092.5"/>
    <n v="5033.613445378151"/>
    <n v="4193.27731092437"/>
    <s v="Shenzhen"/>
    <s v="30/70"/>
    <n v="30"/>
    <n v="100"/>
    <n v="22"/>
    <n v="0.7847246808510638"/>
    <n v="10"/>
    <s v=""/>
    <n v="52"/>
    <n v="0.7652453458750389"/>
    <n v="135"/>
    <n v="0.6622521894902491"/>
    <n v="125"/>
    <n v="0.676884595973152"/>
    <n v="189"/>
    <n v="0.7292511829646083"/>
    <n v="161"/>
    <n v="0.7363653546732983"/>
    <n v="198"/>
    <n v="0.6682661471579052"/>
    <n v="225"/>
    <n v="0.622344414329851"/>
    <n v="167"/>
    <n v="0.7040967146803172"/>
    <n v="162"/>
    <n v="0.7027707229869317"/>
    <n v="283"/>
    <n v="0.61288575951175"/>
    <n v="27"/>
    <n v="0.6120123313812148"/>
    <n v="11"/>
    <n v="0.6130511190429024"/>
    <n v="124"/>
    <n v="0.6072226490467715"/>
    <n v="250"/>
    <n v="0.6282764499093244"/>
    <n v="2.5"/>
    <n v="302"/>
    <n v="0.6446869712351946"/>
    <n v="2.516666666666667"/>
    <n v="267"/>
    <n v="0.5430463580776085"/>
    <n v="1.335"/>
    <n v="123"/>
    <s v=""/>
    <n v="0.76875"/>
    <n v="0"/>
    <s v=""/>
    <n v="0"/>
    <m/>
    <m/>
    <m/>
    <m/>
    <m/>
    <m/>
    <m/>
    <m/>
    <m/>
    <m/>
    <m/>
    <m/>
    <n v="180"/>
    <n v="51"/>
    <n v="51"/>
    <n v="450"/>
    <n v="450"/>
    <n v="0"/>
    <n v="235545"/>
    <n v="52785"/>
    <n v="62730"/>
    <n v="0"/>
    <n v="420"/>
    <n v="516600"/>
    <n v="215726.2905162065"/>
    <n v="130"/>
    <n v="490"/>
    <n v="16.5"/>
    <n v="150"/>
    <n v="50"/>
    <n v="0"/>
    <n v="480315"/>
    <n v="507150"/>
    <n v="20295"/>
    <n v="0"/>
    <n v="420"/>
    <n v="516600"/>
    <n v="69793.79987289035"/>
    <n v="180"/>
    <n v="544"/>
    <n v="124"/>
    <n v="0"/>
    <n v="0"/>
    <n v="621480"/>
    <n v="669120"/>
    <n v="152520"/>
    <n v="0"/>
    <n v="420"/>
    <n v="516600"/>
    <n v="624168.0672268908"/>
    <n v="100"/>
    <n v="989"/>
    <n v="250"/>
    <n v="500"/>
    <n v="0"/>
    <n v="1023615"/>
    <n v="307500"/>
    <n v="517500"/>
    <n v="0"/>
    <n v="420"/>
    <n v="516600"/>
    <n v="1258403.361344538"/>
    <n v="120"/>
    <n v="722"/>
    <n v="156"/>
    <m/>
    <n v="0"/>
    <n v="0"/>
    <n v="888060"/>
    <n v="161460"/>
    <n v="0"/>
    <n v="0"/>
    <n v="420"/>
    <n v="516600"/>
    <n v="785243.6974789916"/>
    <n v="200"/>
    <n v="687"/>
    <n v="267"/>
    <m/>
    <n v="0"/>
    <n v="0"/>
    <n v="845010"/>
    <n v="276345"/>
    <n v="0"/>
    <n v="0"/>
    <n v="687"/>
    <n v="516600"/>
    <n v="1343974.789915966"/>
    <n v="160"/>
    <n v="543"/>
    <n v="123"/>
    <n v="300"/>
    <n v="300"/>
    <n v="0"/>
    <n v="667890"/>
    <n v="127305"/>
    <n v="300149.9999999999"/>
    <n v="0"/>
    <n v="543"/>
    <n v="516600"/>
    <n v="619134.4537815127"/>
    <n v="200"/>
    <n v="420"/>
    <n v="260"/>
    <n v="0"/>
    <n v="0"/>
    <n v="0"/>
    <n v="516600"/>
    <n v="269100"/>
    <n v="0"/>
    <n v="0"/>
    <n v="420"/>
    <n v="516600"/>
    <n v="1308739.495798319"/>
    <n v="230"/>
    <n v="160"/>
    <n v="299"/>
    <n v="0"/>
    <n v="0"/>
    <n v="0"/>
    <n v="165600"/>
    <n v="309465"/>
    <n v="0"/>
    <n v="0"/>
    <n v="160"/>
    <n v="165600"/>
    <n v="1505050.420168067"/>
    <n v="150"/>
    <n v="0"/>
    <n v="0"/>
    <n v="500"/>
    <n v="500"/>
    <n v="500"/>
    <n v="0"/>
    <n v="0"/>
    <n v="0"/>
    <n v="517500"/>
    <n v="517500"/>
    <n v="500"/>
    <n v="517500"/>
    <n v="0"/>
    <n v="120"/>
    <n v="500"/>
    <n v="156"/>
    <n v="0"/>
    <n v="0"/>
    <n v="517500"/>
    <n v="161460"/>
    <n v="0"/>
    <n v="0"/>
    <n v="500"/>
    <n v="517500"/>
    <n v="686858.8235294119"/>
    <n v="150"/>
    <n v="344"/>
    <n v="195"/>
    <n v="0"/>
    <n v="0"/>
    <n v="356040"/>
    <n v="201825"/>
    <n v="0"/>
    <n v="344"/>
    <n v="356040"/>
    <n v="981554.6218487396"/>
    <n v="72"/>
    <n v="149"/>
    <n v="93.60000000000001"/>
    <n v="0"/>
    <m/>
    <n v="154215"/>
    <n v="115128"/>
    <n v="0"/>
    <n v="149"/>
    <n v="154215"/>
    <n v="471146.218487395"/>
  </r>
  <r>
    <m/>
    <x v="6"/>
    <x v="29"/>
    <x v="58"/>
    <n v="1654207307551"/>
    <x v="672"/>
    <x v="514"/>
    <x v="0"/>
    <x v="0"/>
    <n v="1"/>
    <x v="337"/>
    <n v="590"/>
    <m/>
    <n v="0"/>
    <n v="1584"/>
    <n v="934560"/>
    <n v="1.35"/>
    <n v="1474.875"/>
    <n v="5873.949579831933"/>
    <n v="5033.613445378151"/>
    <s v="Shenzhen"/>
    <s v="30/70"/>
    <n v="30"/>
    <n v="100"/>
    <n v="100"/>
    <n v="0.6643164089229505"/>
    <n v="108"/>
    <n v="0.649306474647419"/>
    <n v="127"/>
    <n v="0.6544388591590138"/>
    <n v="96"/>
    <n v="0.6454358147002516"/>
    <n v="75"/>
    <n v="0.6803366615780936"/>
    <n v="154"/>
    <n v="0.6693591284967749"/>
    <n v="127"/>
    <n v="0.6555472538589387"/>
    <n v="223"/>
    <n v="0.6029533033381617"/>
    <n v="126"/>
    <n v="0.569709539116417"/>
    <n v="122"/>
    <n v="0.6007135953247997"/>
    <n v="50"/>
    <n v="0.5125040597596622"/>
    <n v="158"/>
    <n v="0.5516868608188036"/>
    <n v="15"/>
    <n v="0.7022392050430427"/>
    <n v="8"/>
    <n v="0.5069746262560745"/>
    <n v="83"/>
    <n v="0.617794951960003"/>
    <n v="59"/>
    <n v="0.6589485712896846"/>
    <n v="0.7375"/>
    <n v="61"/>
    <n v="0.2740490876381393"/>
    <n v="0.8133333333333334"/>
    <n v="170"/>
    <n v="0.5123103057757644"/>
    <n v="1.133333333333333"/>
    <n v="63"/>
    <s v=""/>
    <n v="0.4846153846153846"/>
    <n v="0"/>
    <s v=""/>
    <n v="0"/>
    <m/>
    <m/>
    <m/>
    <m/>
    <m/>
    <m/>
    <m/>
    <m/>
    <m/>
    <m/>
    <m/>
    <m/>
    <n v="100"/>
    <n v="42"/>
    <n v="30"/>
    <n v="300"/>
    <n v="300"/>
    <n v="0"/>
    <n v="198000"/>
    <n v="58684.5"/>
    <n v="47520"/>
    <n v="0"/>
    <n v="590"/>
    <n v="934560"/>
    <n v="148082.7625167714"/>
    <n v="100"/>
    <n v="475"/>
    <n v="12"/>
    <n v="150"/>
    <n v="100"/>
    <n v="0"/>
    <n v="243936"/>
    <n v="663693.75"/>
    <n v="19008"/>
    <n v="0"/>
    <n v="590"/>
    <n v="934560"/>
    <n v="59233.10500670857"/>
    <n v="140"/>
    <n v="428"/>
    <n v="83"/>
    <n v="0"/>
    <n v="0"/>
    <n v="329721.75"/>
    <n v="677952"/>
    <n v="131472"/>
    <n v="0"/>
    <n v="590"/>
    <n v="934560"/>
    <n v="487537.8151260504"/>
    <n v="80"/>
    <n v="662"/>
    <n v="59"/>
    <n v="300"/>
    <n v="0"/>
    <n v="924979.5"/>
    <n v="93456"/>
    <n v="419175"/>
    <n v="0"/>
    <n v="590"/>
    <n v="934560"/>
    <n v="346563.025210084"/>
    <n v="75"/>
    <n v="651"/>
    <n v="75"/>
    <m/>
    <n v="0"/>
    <n v="0"/>
    <n v="1031184"/>
    <n v="104793.75"/>
    <n v="0"/>
    <n v="0"/>
    <n v="590"/>
    <n v="934560"/>
    <n v="440546.218487395"/>
    <n v="150"/>
    <n v="760"/>
    <n v="170"/>
    <m/>
    <n v="0"/>
    <n v="0"/>
    <n v="1203840"/>
    <n v="237532.5"/>
    <n v="0"/>
    <n v="0"/>
    <n v="760"/>
    <n v="934560"/>
    <n v="998571.4285714286"/>
    <n v="130"/>
    <n v="653"/>
    <n v="63"/>
    <n v="350"/>
    <n v="350"/>
    <n v="0"/>
    <n v="1034352"/>
    <n v="88026.75"/>
    <n v="472736.25"/>
    <n v="0"/>
    <n v="653"/>
    <n v="934560"/>
    <n v="370058.8235294118"/>
    <n v="200"/>
    <n v="590"/>
    <n v="200"/>
    <n v="0"/>
    <n v="0"/>
    <n v="0"/>
    <n v="934560"/>
    <n v="279450"/>
    <n v="0"/>
    <n v="0"/>
    <n v="590"/>
    <n v="934560"/>
    <n v="1174789.915966387"/>
    <n v="130"/>
    <n v="390"/>
    <n v="130"/>
    <n v="0"/>
    <n v="0"/>
    <n v="0"/>
    <n v="544927.5"/>
    <n v="181642.5"/>
    <n v="0"/>
    <n v="0"/>
    <n v="390"/>
    <n v="544927.5"/>
    <n v="763613.4453781513"/>
    <n v="100"/>
    <n v="260"/>
    <n v="100"/>
    <n v="0"/>
    <n v="0"/>
    <n v="0"/>
    <m/>
    <n v="363285"/>
    <n v="139725"/>
    <n v="0"/>
    <n v="0"/>
    <n v="260"/>
    <n v="363285"/>
    <n v="503361.3445378151"/>
    <n v="50"/>
    <n v="160"/>
    <n v="50"/>
    <n v="0"/>
    <n v="0"/>
    <n v="223560"/>
    <n v="69862.5"/>
    <n v="0"/>
    <n v="0"/>
    <n v="160"/>
    <n v="223560"/>
    <n v="264264.705882353"/>
    <n v="160"/>
    <n v="110"/>
    <n v="160"/>
    <n v="0"/>
    <n v="0"/>
    <n v="153697.5"/>
    <n v="223560"/>
    <n v="0"/>
    <n v="110"/>
    <n v="153697.5"/>
    <n v="939831.9327731093"/>
    <n v="30"/>
    <n v="0"/>
    <n v="30"/>
    <n v="0"/>
    <m/>
    <n v="0"/>
    <n v="47520"/>
    <n v="0"/>
    <n v="0"/>
    <n v="0"/>
    <n v="176218.487394958"/>
  </r>
  <r>
    <m/>
    <x v="6"/>
    <x v="29"/>
    <x v="58"/>
    <n v="1654207333519"/>
    <x v="673"/>
    <x v="515"/>
    <x v="0"/>
    <x v="0"/>
    <n v="1"/>
    <x v="338"/>
    <n v="222"/>
    <m/>
    <n v="0"/>
    <n v="1500"/>
    <n v="333000"/>
    <n v="1.35"/>
    <n v="1474.875"/>
    <n v="5873.949579831933"/>
    <n v="5033.613445378151"/>
    <s v="Shenzhen"/>
    <s v="30/70"/>
    <n v="30"/>
    <n v="100"/>
    <n v="6"/>
    <n v="0.7242764757709254"/>
    <n v="2"/>
    <n v="0.7127736170212767"/>
    <n v="53"/>
    <n v="0.6551895306859206"/>
    <n v="116"/>
    <n v="0.5361707121640106"/>
    <n v="83"/>
    <n v="0.6289129415492521"/>
    <n v="151"/>
    <n v="0.7141851524171955"/>
    <n v="110"/>
    <n v="0.6654484371782915"/>
    <n v="205"/>
    <n v="0.6317181919642103"/>
    <n v="97"/>
    <n v="0.6111859848769537"/>
    <n v="278"/>
    <n v="0.5950916433625832"/>
    <n v="209"/>
    <n v="0.5497047489121019"/>
    <n v="130"/>
    <n v="0.5736730110140975"/>
    <n v="10"/>
    <n v="0.3781090958942605"/>
    <n v="137"/>
    <n v="0.4857495835862766"/>
    <n v="138"/>
    <n v="0.5827783833649763"/>
    <n v="92"/>
    <n v="0.4935795156098809"/>
    <n v="0.92"/>
    <n v="107"/>
    <n v="0.7031060594400751"/>
    <n v="1.3375"/>
    <n v="232"/>
    <n v="0.5580700586041555"/>
    <n v="1.288888888888889"/>
    <n v="67"/>
    <s v=""/>
    <n v="0.3722222222222222"/>
    <n v="0"/>
    <s v=""/>
    <n v="0"/>
    <m/>
    <m/>
    <m/>
    <m/>
    <m/>
    <m/>
    <m/>
    <m/>
    <m/>
    <m/>
    <m/>
    <m/>
    <n v="150"/>
    <n v="36"/>
    <n v="40"/>
    <n v="450"/>
    <n v="450"/>
    <n v="0"/>
    <n v="575250"/>
    <n v="50301"/>
    <n v="60000"/>
    <n v="0"/>
    <n v="222"/>
    <n v="333000"/>
    <n v="197443.6833556952"/>
    <n v="120"/>
    <n v="473"/>
    <n v="205.5"/>
    <n v="150"/>
    <n v="50"/>
    <n v="0"/>
    <n v="653250"/>
    <n v="660899.25"/>
    <n v="308250"/>
    <n v="0"/>
    <n v="222"/>
    <n v="333000"/>
    <n v="1014366.923239884"/>
    <n v="190"/>
    <n v="343"/>
    <n v="138"/>
    <n v="0"/>
    <n v="0"/>
    <n v="456780"/>
    <n v="514500"/>
    <n v="207000"/>
    <n v="0"/>
    <n v="222"/>
    <n v="333000"/>
    <n v="810605.0420168068"/>
    <n v="100"/>
    <n v="484"/>
    <n v="92"/>
    <n v="150"/>
    <n v="0"/>
    <n v="676269"/>
    <n v="138000"/>
    <n v="209587.5"/>
    <n v="0"/>
    <n v="222"/>
    <n v="333000"/>
    <n v="540403.3613445378"/>
    <n v="80"/>
    <n v="329"/>
    <n v="80"/>
    <m/>
    <n v="0"/>
    <n v="0"/>
    <n v="493500"/>
    <n v="111780"/>
    <n v="0"/>
    <n v="0"/>
    <n v="222"/>
    <n v="333000"/>
    <n v="469915.9663865546"/>
    <n v="180"/>
    <n v="454"/>
    <n v="232"/>
    <m/>
    <n v="0"/>
    <n v="0"/>
    <n v="681000"/>
    <n v="324162"/>
    <n v="0"/>
    <n v="0"/>
    <n v="454"/>
    <n v="333000"/>
    <n v="1362756.302521009"/>
    <n v="180"/>
    <n v="289"/>
    <n v="67"/>
    <n v="430"/>
    <n v="430"/>
    <n v="0"/>
    <n v="433500"/>
    <n v="93615.75"/>
    <n v="580790.25"/>
    <n v="0"/>
    <n v="289"/>
    <n v="333000"/>
    <n v="393554.6218487395"/>
    <n v="205"/>
    <n v="222"/>
    <n v="205"/>
    <n v="150"/>
    <n v="150"/>
    <n v="0"/>
    <n v="333000"/>
    <n v="286436.25"/>
    <n v="209587.5"/>
    <n v="0"/>
    <n v="222"/>
    <n v="333000"/>
    <n v="1204159.663865546"/>
    <n v="100"/>
    <n v="17"/>
    <n v="100"/>
    <n v="0"/>
    <n v="0"/>
    <n v="150"/>
    <n v="23753.25"/>
    <n v="139725"/>
    <n v="0"/>
    <n v="209587.5"/>
    <n v="167"/>
    <n v="233340.75"/>
    <n v="587394.9579831933"/>
    <n v="130"/>
    <n v="67"/>
    <n v="67"/>
    <n v="0"/>
    <n v="0"/>
    <n v="0"/>
    <m/>
    <n v="93615.75"/>
    <n v="93615.75"/>
    <n v="0"/>
    <n v="0"/>
    <n v="67"/>
    <n v="93615.75"/>
    <n v="337252.1008403362"/>
    <n v="100"/>
    <n v="0"/>
    <n v="100"/>
    <n v="200"/>
    <n v="200"/>
    <n v="0"/>
    <n v="139725"/>
    <n v="279450"/>
    <n v="279450"/>
    <n v="200"/>
    <n v="279450"/>
    <n v="528529.4117647059"/>
    <n v="130"/>
    <n v="100"/>
    <n v="130"/>
    <n v="0"/>
    <n v="0"/>
    <n v="139725"/>
    <n v="181642.5"/>
    <n v="0"/>
    <n v="100"/>
    <n v="139725"/>
    <n v="763613.4453781513"/>
    <n v="60"/>
    <n v="0"/>
    <n v="60"/>
    <n v="0"/>
    <m/>
    <n v="0"/>
    <n v="90000"/>
    <n v="0"/>
    <n v="0"/>
    <n v="0"/>
    <n v="352436.974789916"/>
  </r>
  <r>
    <s v="Simplit-Mundo Café"/>
    <x v="6"/>
    <x v="29"/>
    <x v="46"/>
    <n v="1660858266475"/>
    <x v="674"/>
    <x v="516"/>
    <x v="0"/>
    <x v="2"/>
    <n v="1"/>
    <x v="3"/>
    <n v="2"/>
    <m/>
    <n v="0"/>
    <n v="9058"/>
    <n v="18116"/>
    <n v="8"/>
    <n v="8740"/>
    <n v="21000"/>
    <n v="12596.63865546219"/>
    <s v="Shenzhen"/>
    <s v="30/70"/>
    <n v="30"/>
    <n v="100"/>
    <n v="44"/>
    <n v="0.481246881040239"/>
    <n v="5"/>
    <n v="0.5103064247561793"/>
    <n v="9"/>
    <n v="0.4787785556727726"/>
    <n v="12"/>
    <n v="0.4567460015197105"/>
    <n v="16"/>
    <n v="0.5001936082381788"/>
    <n v="24"/>
    <n v="0.4797549129973304"/>
    <n v="2"/>
    <n v="0.5686685714285713"/>
    <n v="0"/>
    <n v="0.4008493186929489"/>
    <n v="0"/>
    <s v=""/>
    <n v="1"/>
    <n v="0.4608002251125563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2"/>
    <n v="0"/>
    <n v="0"/>
    <n v="0"/>
    <n v="0"/>
    <n v="0"/>
    <n v="16560"/>
    <n v="0"/>
    <n v="0"/>
    <n v="2"/>
    <n v="18116"/>
    <n v="0"/>
    <n v="0"/>
    <n v="2"/>
    <n v="0"/>
    <n v="0"/>
    <n v="0"/>
    <n v="0"/>
    <n v="0"/>
    <n v="16560"/>
    <n v="0"/>
    <n v="0"/>
    <n v="2"/>
    <n v="18116"/>
    <n v="0"/>
    <n v="0"/>
    <n v="2"/>
    <n v="0"/>
    <n v="0"/>
    <n v="0"/>
    <n v="0"/>
    <n v="18116"/>
    <n v="0"/>
    <n v="0"/>
    <n v="2"/>
    <n v="18116"/>
    <n v="0"/>
    <n v="0"/>
    <n v="2"/>
    <n v="0"/>
    <n v="0"/>
    <n v="0"/>
    <n v="16560"/>
    <n v="0"/>
    <n v="0"/>
    <n v="0"/>
    <n v="2"/>
    <n v="18116"/>
    <n v="0"/>
    <n v="0"/>
    <n v="2"/>
    <n v="0"/>
    <m/>
    <n v="0"/>
    <n v="0"/>
    <n v="18116"/>
    <n v="0"/>
    <n v="0"/>
    <n v="0"/>
    <n v="2"/>
    <n v="18116"/>
    <n v="0"/>
    <n v="0"/>
    <n v="2"/>
    <n v="0"/>
    <m/>
    <n v="0"/>
    <n v="0"/>
    <n v="18116"/>
    <n v="0"/>
    <n v="0"/>
    <n v="0"/>
    <n v="2"/>
    <n v="18116"/>
    <n v="0"/>
    <n v="0"/>
    <n v="2"/>
    <n v="0"/>
    <n v="0"/>
    <n v="0"/>
    <n v="0"/>
    <n v="18116"/>
    <n v="0"/>
    <n v="0"/>
    <n v="0"/>
    <n v="2"/>
    <n v="18116"/>
    <n v="0"/>
    <n v="0"/>
    <n v="2"/>
    <n v="0"/>
    <n v="0"/>
    <n v="0"/>
    <n v="0"/>
    <n v="18116"/>
    <n v="0"/>
    <n v="0"/>
    <n v="0"/>
    <n v="2"/>
    <n v="18116"/>
    <n v="0"/>
    <n v="0"/>
    <n v="2"/>
    <n v="0"/>
    <n v="0"/>
    <n v="0"/>
    <n v="0"/>
    <n v="16560"/>
    <n v="0"/>
    <n v="0"/>
    <n v="0"/>
    <n v="2"/>
    <n v="16560"/>
    <n v="0"/>
    <n v="0"/>
    <n v="2"/>
    <n v="0"/>
    <n v="0"/>
    <n v="0"/>
    <n v="0"/>
    <m/>
    <n v="16560"/>
    <n v="0"/>
    <n v="0"/>
    <n v="0"/>
    <n v="2"/>
    <n v="16560"/>
    <n v="0"/>
    <n v="0"/>
    <n v="2"/>
    <n v="0"/>
    <n v="0"/>
    <n v="0"/>
    <n v="16560"/>
    <n v="0"/>
    <n v="0"/>
    <n v="0"/>
    <n v="2"/>
    <n v="16560"/>
    <n v="0"/>
    <n v="0"/>
    <n v="2"/>
    <n v="0"/>
    <n v="0"/>
    <n v="0"/>
    <n v="16560"/>
    <n v="0"/>
    <n v="0"/>
    <n v="2"/>
    <n v="16560"/>
    <n v="0"/>
    <n v="0"/>
    <n v="2"/>
    <n v="0"/>
    <n v="0"/>
    <m/>
    <n v="16560"/>
    <n v="0"/>
    <n v="0"/>
    <n v="2"/>
    <n v="16560"/>
    <n v="0"/>
  </r>
  <r>
    <m/>
    <x v="6"/>
    <x v="29"/>
    <x v="46"/>
    <n v="67951423489593"/>
    <x v="675"/>
    <x v="517"/>
    <x v="0"/>
    <x v="2"/>
    <n v="1"/>
    <x v="3"/>
    <n v="11"/>
    <m/>
    <n v="0"/>
    <n v="3731"/>
    <n v="41041"/>
    <n v="3.3"/>
    <n v="3605.25"/>
    <n v="7554.621848739496"/>
    <n v="5873.949579831933"/>
    <s v="Shenzhen"/>
    <s v="30/70"/>
    <n v="30"/>
    <n v="100"/>
    <n v="51"/>
    <n v="0.4567263026377487"/>
    <n v="7"/>
    <n v="0.5853178768544178"/>
    <n v="16"/>
    <n v="0.5620424538725004"/>
    <n v="26"/>
    <n v="0.4861944717902157"/>
    <n v="7"/>
    <n v="0.515504090732003"/>
    <n v="20"/>
    <n v="0.4589132396545056"/>
    <n v="9"/>
    <n v="0.5316286624627158"/>
    <n v="57"/>
    <n v="0.4313935498716718"/>
    <n v="3"/>
    <n v="0.5960485692188708"/>
    <n v="32"/>
    <n v="0.4443487621241092"/>
    <n v="22"/>
    <n v="0.4108002957411834"/>
    <n v="39"/>
    <n v="0.4471649869635491"/>
    <n v="31"/>
    <n v="0.4054952578334216"/>
    <n v="10"/>
    <n v="0.2715917069779275"/>
    <n v="11"/>
    <n v="0.2913135143961164"/>
    <n v="9"/>
    <n v="0.3340116643657619"/>
    <n v="0.9"/>
    <n v="1"/>
    <n v="0.8223333333333334"/>
    <n v="0.1"/>
    <n v="0"/>
    <s v=""/>
    <n v="0"/>
    <n v="0"/>
    <s v=""/>
    <n v="0"/>
    <n v="0"/>
    <s v=""/>
    <n v="0"/>
    <m/>
    <m/>
    <m/>
    <m/>
    <m/>
    <m/>
    <m/>
    <m/>
    <m/>
    <m/>
    <m/>
    <m/>
    <n v="10"/>
    <n v="80"/>
    <n v="12"/>
    <n v="0"/>
    <n v="0"/>
    <n v="0"/>
    <n v="141778"/>
    <n v="273239.9999999999"/>
    <n v="44772"/>
    <n v="0"/>
    <n v="11"/>
    <n v="41041"/>
    <n v="76181.06065955796"/>
    <n v="10"/>
    <n v="66"/>
    <n v="15"/>
    <n v="0"/>
    <n v="0"/>
    <n v="0"/>
    <n v="130585"/>
    <n v="225423"/>
    <n v="55965"/>
    <n v="0"/>
    <n v="11"/>
    <n v="41041"/>
    <n v="95226.32582444744"/>
    <n v="10"/>
    <n v="47"/>
    <n v="11"/>
    <n v="0"/>
    <n v="0"/>
    <n v="108775"/>
    <n v="175357"/>
    <n v="41041"/>
    <n v="0"/>
    <n v="11"/>
    <n v="41041"/>
    <n v="83100.84033613445"/>
    <n v="10"/>
    <n v="35"/>
    <n v="9"/>
    <n v="0"/>
    <n v="0"/>
    <n v="119542.5"/>
    <n v="33579"/>
    <n v="0"/>
    <n v="0"/>
    <n v="11"/>
    <n v="41041"/>
    <n v="67991.59663865546"/>
    <n v="10"/>
    <n v="12"/>
    <n v="10"/>
    <m/>
    <n v="0"/>
    <n v="0"/>
    <n v="44772"/>
    <n v="34154.99999999999"/>
    <n v="0"/>
    <n v="0"/>
    <n v="11"/>
    <n v="41041"/>
    <n v="75546.21848739496"/>
    <n v="0"/>
    <n v="11"/>
    <n v="0"/>
    <m/>
    <n v="0"/>
    <n v="0"/>
    <n v="41041"/>
    <n v="0"/>
    <n v="0"/>
    <n v="0"/>
    <n v="11"/>
    <n v="41041"/>
    <n v="0"/>
    <n v="0"/>
    <n v="11"/>
    <n v="0"/>
    <n v="0"/>
    <n v="0"/>
    <n v="0"/>
    <n v="41041"/>
    <n v="0"/>
    <n v="0"/>
    <n v="0"/>
    <n v="11"/>
    <n v="41041"/>
    <n v="0"/>
    <n v="0"/>
    <n v="11"/>
    <n v="0"/>
    <n v="0"/>
    <n v="0"/>
    <n v="0"/>
    <n v="41041"/>
    <n v="0"/>
    <n v="0"/>
    <n v="0"/>
    <n v="11"/>
    <n v="41041"/>
    <n v="0"/>
    <n v="0"/>
    <n v="11"/>
    <n v="0"/>
    <n v="0"/>
    <n v="0"/>
    <n v="0"/>
    <n v="37570.49999999999"/>
    <n v="0"/>
    <n v="0"/>
    <n v="0"/>
    <n v="11"/>
    <n v="37570.49999999999"/>
    <n v="0"/>
    <n v="0"/>
    <n v="11"/>
    <n v="0"/>
    <n v="0"/>
    <n v="0"/>
    <n v="0"/>
    <m/>
    <n v="37570.49999999999"/>
    <n v="0"/>
    <n v="0"/>
    <n v="0"/>
    <n v="11"/>
    <n v="37570.49999999999"/>
    <n v="0"/>
    <n v="0"/>
    <n v="11"/>
    <n v="0"/>
    <n v="0"/>
    <n v="0"/>
    <n v="37570.49999999999"/>
    <n v="0"/>
    <n v="0"/>
    <n v="0"/>
    <n v="11"/>
    <n v="37570.49999999999"/>
    <n v="0"/>
    <n v="0"/>
    <n v="11"/>
    <n v="0"/>
    <n v="0"/>
    <n v="0"/>
    <n v="37570.49999999999"/>
    <n v="0"/>
    <n v="0"/>
    <n v="11"/>
    <n v="37570.49999999999"/>
    <n v="0"/>
    <n v="0"/>
    <n v="11"/>
    <n v="0"/>
    <n v="0"/>
    <m/>
    <n v="37570.49999999999"/>
    <n v="0"/>
    <n v="0"/>
    <n v="11"/>
    <n v="37570.49999999999"/>
    <n v="0"/>
  </r>
  <r>
    <m/>
    <x v="6"/>
    <x v="29"/>
    <x v="46"/>
    <n v="67951425161311"/>
    <x v="676"/>
    <x v="517"/>
    <x v="0"/>
    <x v="2"/>
    <n v="1"/>
    <x v="3"/>
    <n v="5"/>
    <m/>
    <n v="0"/>
    <n v="3798"/>
    <n v="18990"/>
    <n v="3.3"/>
    <n v="3605.25"/>
    <n v="9235.294117647059"/>
    <n v="9235.294117647059"/>
    <s v="Shenzhen"/>
    <s v="30/70"/>
    <n v="30"/>
    <n v="100"/>
    <n v="62"/>
    <n v="0.488144602636712"/>
    <n v="22"/>
    <n v="0.5786275410330216"/>
    <n v="65"/>
    <n v="0.4759280167475912"/>
    <n v="10"/>
    <n v="0.4256021315523855"/>
    <n v="8"/>
    <n v="0.449981207743286"/>
    <n v="42"/>
    <n v="0.4610658337304736"/>
    <n v="9"/>
    <n v="0.5698795544625552"/>
    <n v="136"/>
    <n v="0.4319596196380915"/>
    <n v="3"/>
    <n v="0.5320119714797102"/>
    <n v="26"/>
    <n v="0.4058441792245168"/>
    <n v="4"/>
    <n v="0.4973208021708915"/>
    <n v="7"/>
    <n v="0.4385211684107913"/>
    <n v="0"/>
    <s v=""/>
    <n v="1"/>
    <n v="0.2511709647204863"/>
    <n v="2"/>
    <n v="0.319595022127375"/>
    <n v="4"/>
    <n v="0.4523786917352225"/>
    <n v="0"/>
    <n v="1"/>
    <n v="0.5887197452229299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5"/>
    <n v="0"/>
    <n v="0"/>
    <n v="0"/>
    <n v="0"/>
    <n v="13293"/>
    <n v="17077.5"/>
    <n v="0"/>
    <n v="0"/>
    <n v="5"/>
    <n v="18990"/>
    <n v="0"/>
    <n v="0"/>
    <n v="13"/>
    <n v="1.5"/>
    <n v="0"/>
    <n v="0"/>
    <n v="0"/>
    <n v="28485"/>
    <n v="44401.49999999999"/>
    <n v="5697"/>
    <n v="0"/>
    <n v="5"/>
    <n v="18990"/>
    <n v="11641.12703905092"/>
    <n v="0"/>
    <n v="12"/>
    <n v="2"/>
    <n v="0"/>
    <n v="0"/>
    <n v="22788"/>
    <n v="45576"/>
    <n v="7596"/>
    <n v="0"/>
    <n v="5"/>
    <n v="18990"/>
    <n v="18470.58823529412"/>
    <n v="0"/>
    <n v="10"/>
    <n v="4"/>
    <n v="0"/>
    <n v="0"/>
    <n v="34154.99999999999"/>
    <n v="15192"/>
    <n v="0"/>
    <n v="0"/>
    <n v="5"/>
    <n v="18990"/>
    <n v="36941.17647058824"/>
    <n v="0"/>
    <n v="6"/>
    <n v="0"/>
    <m/>
    <n v="0"/>
    <n v="0"/>
    <n v="22788"/>
    <n v="0"/>
    <n v="0"/>
    <n v="0"/>
    <n v="5"/>
    <n v="18990"/>
    <n v="0"/>
    <n v="0"/>
    <n v="5"/>
    <n v="0"/>
    <m/>
    <n v="0"/>
    <n v="0"/>
    <n v="18990"/>
    <n v="0"/>
    <n v="0"/>
    <n v="0"/>
    <n v="5"/>
    <n v="18990"/>
    <n v="0"/>
    <n v="0"/>
    <n v="5"/>
    <n v="0"/>
    <n v="0"/>
    <n v="0"/>
    <n v="0"/>
    <n v="18990"/>
    <n v="0"/>
    <n v="0"/>
    <n v="0"/>
    <n v="5"/>
    <n v="18990"/>
    <n v="0"/>
    <n v="0"/>
    <n v="5"/>
    <n v="0"/>
    <n v="0"/>
    <n v="0"/>
    <n v="0"/>
    <n v="18990"/>
    <n v="0"/>
    <n v="0"/>
    <n v="0"/>
    <n v="5"/>
    <n v="18990"/>
    <n v="0"/>
    <n v="0"/>
    <n v="5"/>
    <n v="0"/>
    <n v="0"/>
    <n v="0"/>
    <n v="0"/>
    <n v="17077.5"/>
    <n v="0"/>
    <n v="0"/>
    <n v="0"/>
    <n v="5"/>
    <n v="17077.5"/>
    <n v="0"/>
    <n v="0"/>
    <n v="5"/>
    <n v="0"/>
    <n v="0"/>
    <n v="0"/>
    <n v="0"/>
    <m/>
    <n v="17077.5"/>
    <n v="0"/>
    <n v="0"/>
    <n v="0"/>
    <n v="5"/>
    <n v="17077.5"/>
    <n v="0"/>
    <n v="0"/>
    <n v="5"/>
    <n v="0"/>
    <n v="0"/>
    <n v="0"/>
    <n v="17077.5"/>
    <n v="0"/>
    <n v="0"/>
    <n v="0"/>
    <n v="5"/>
    <n v="17077.5"/>
    <n v="0"/>
    <n v="0"/>
    <n v="5"/>
    <n v="0"/>
    <n v="0"/>
    <n v="0"/>
    <n v="17077.5"/>
    <n v="0"/>
    <n v="0"/>
    <n v="5"/>
    <n v="17077.5"/>
    <n v="0"/>
    <n v="0"/>
    <n v="5"/>
    <n v="0"/>
    <n v="0"/>
    <m/>
    <n v="17077.5"/>
    <n v="0"/>
    <n v="0"/>
    <n v="5"/>
    <n v="17077.5"/>
    <n v="0"/>
  </r>
  <r>
    <m/>
    <x v="6"/>
    <x v="30"/>
    <x v="71"/>
    <s v="SIMBACOHA-55"/>
    <x v="677"/>
    <x v="518"/>
    <x v="0"/>
    <x v="1"/>
    <n v="1"/>
    <x v="339"/>
    <n v="112"/>
    <m/>
    <n v="0"/>
    <n v="26479"/>
    <n v="2965648"/>
    <n v="19.9"/>
    <n v="21740.75"/>
    <n v="58815.12605042017"/>
    <n v="50411.76470588236"/>
    <s v="Shenzhen"/>
    <s v="30/70"/>
    <n v="45"/>
    <n v="300"/>
    <n v="29"/>
    <n v="0.668432817309025"/>
    <n v="47"/>
    <n v="0.6568065686555643"/>
    <n v="17"/>
    <n v="0.6572212969181265"/>
    <n v="4"/>
    <n v="0.6657601075134393"/>
    <n v="0"/>
    <n v="0.6657576839537029"/>
    <n v="9"/>
    <n v="0.6398141716826645"/>
    <n v="42"/>
    <n v="0.6612947950032607"/>
    <n v="50"/>
    <n v="0.6463824946530939"/>
    <n v="49"/>
    <n v="0.6422150894624467"/>
    <n v="119"/>
    <n v="0.5695537853333656"/>
    <n v="79"/>
    <n v="0.5657023989822987"/>
    <n v="53"/>
    <n v="0.5602214882974528"/>
    <n v="43"/>
    <n v="0.289901338599065"/>
    <n v="7"/>
    <n v="0.3765459701562031"/>
    <n v="22"/>
    <n v="0.5585336989825304"/>
    <n v="18"/>
    <n v="0.4766577139215566"/>
    <n v="0.2571428571428571"/>
    <n v="18"/>
    <n v="0.5974741579002368"/>
    <n v="0.5142857142857142"/>
    <n v="42"/>
    <n v="0.3928824443796397"/>
    <n v="1.166666666666667"/>
    <n v="64"/>
    <n v="0.514566521876724"/>
    <n v="1.684210526315789"/>
    <n v="21"/>
    <n v="0.4551540885571203"/>
    <n v="0.42"/>
    <m/>
    <m/>
    <m/>
    <m/>
    <m/>
    <m/>
    <m/>
    <m/>
    <m/>
    <m/>
    <m/>
    <m/>
    <n v="20"/>
    <n v="20"/>
    <n v="20"/>
    <n v="100"/>
    <n v="100"/>
    <n v="0"/>
    <n v="1390147.5"/>
    <n v="411930"/>
    <n v="529580"/>
    <n v="0"/>
    <n v="112"/>
    <n v="2965648"/>
    <n v="988489.5134524398"/>
    <n v="40"/>
    <n v="27"/>
    <n v="10.5"/>
    <n v="100"/>
    <n v="100"/>
    <n v="0"/>
    <n v="1337189.5"/>
    <n v="556105.5"/>
    <n v="278029.5"/>
    <n v="0"/>
    <n v="112"/>
    <n v="2965648"/>
    <n v="518956.9945625309"/>
    <n v="100"/>
    <n v="134"/>
    <n v="22"/>
    <n v="0"/>
    <n v="0"/>
    <n v="1780037.5"/>
    <n v="3548186"/>
    <n v="582538"/>
    <n v="0"/>
    <n v="112"/>
    <n v="2965648"/>
    <n v="1293932.773109244"/>
    <n v="70"/>
    <n v="195"/>
    <n v="18"/>
    <n v="250"/>
    <n v="0"/>
    <n v="4016317.5"/>
    <n v="476622"/>
    <n v="5149125"/>
    <n v="0"/>
    <n v="112"/>
    <n v="2965648"/>
    <n v="1058672.268907563"/>
    <n v="35"/>
    <n v="130"/>
    <n v="35"/>
    <m/>
    <n v="0"/>
    <n v="0"/>
    <n v="3442270"/>
    <n v="720877.5"/>
    <n v="0"/>
    <n v="0"/>
    <n v="112"/>
    <n v="2965648"/>
    <n v="2058529.411764706"/>
    <n v="36"/>
    <n v="154"/>
    <n v="42"/>
    <m/>
    <n v="100"/>
    <n v="0"/>
    <n v="4077766"/>
    <n v="865053"/>
    <n v="0"/>
    <n v="0"/>
    <n v="154"/>
    <n v="2965648"/>
    <n v="2470235.294117647"/>
    <n v="38"/>
    <n v="176"/>
    <n v="64"/>
    <n v="0"/>
    <n v="0"/>
    <n v="0"/>
    <n v="4660304"/>
    <n v="1318176"/>
    <n v="0"/>
    <n v="0"/>
    <n v="176"/>
    <n v="2965648"/>
    <n v="3764168.067226891"/>
    <n v="50"/>
    <n v="112"/>
    <n v="50"/>
    <n v="0"/>
    <n v="0"/>
    <n v="0"/>
    <n v="2965648"/>
    <n v="1029825"/>
    <n v="0"/>
    <n v="0"/>
    <n v="112"/>
    <n v="2965648"/>
    <n v="2940756.302521009"/>
    <n v="44"/>
    <n v="62"/>
    <n v="44"/>
    <n v="0"/>
    <n v="150"/>
    <n v="153"/>
    <n v="1276983"/>
    <n v="906246"/>
    <n v="0"/>
    <n v="3151264.5"/>
    <n v="215"/>
    <n v="4428247.5"/>
    <n v="2587865.546218487"/>
    <n v="120"/>
    <n v="171"/>
    <n v="120"/>
    <n v="0"/>
    <n v="0"/>
    <n v="0"/>
    <n v="0"/>
    <n v="3522001.5"/>
    <n v="2471580"/>
    <n v="0"/>
    <n v="0"/>
    <n v="171"/>
    <n v="3522001.5"/>
    <n v="6049411.764705882"/>
    <n v="80"/>
    <n v="51"/>
    <n v="80"/>
    <n v="0"/>
    <n v="0"/>
    <n v="1050421.5"/>
    <n v="1647720"/>
    <n v="0"/>
    <n v="0"/>
    <n v="51"/>
    <n v="1050421.5"/>
    <n v="4234588.235294118"/>
    <n v="80"/>
    <n v="0"/>
    <n v="80"/>
    <n v="0"/>
    <n v="0"/>
    <n v="0"/>
    <n v="1647720"/>
    <n v="0"/>
    <n v="0"/>
    <n v="0"/>
    <n v="4705210.084033614"/>
    <n v="48"/>
    <n v="0"/>
    <n v="48"/>
    <n v="0"/>
    <m/>
    <n v="0"/>
    <n v="1270992"/>
    <n v="0"/>
    <n v="0"/>
    <n v="0"/>
    <n v="2823126.050420168"/>
  </r>
  <r>
    <m/>
    <x v="6"/>
    <x v="30"/>
    <x v="71"/>
    <s v="SIMBACOIR-40"/>
    <x v="678"/>
    <x v="519"/>
    <x v="0"/>
    <x v="1"/>
    <n v="0.8"/>
    <x v="340"/>
    <n v="248"/>
    <m/>
    <n v="0"/>
    <n v="34124"/>
    <n v="8462752"/>
    <n v="26"/>
    <n v="28405"/>
    <n v="67218.48739495799"/>
    <n v="64697.47899159664"/>
    <s v="Shenzhen"/>
    <s v="30/70"/>
    <n v="45"/>
    <n v="300"/>
    <n v="16"/>
    <n v="0.6428926299846789"/>
    <n v="0"/>
    <s v=""/>
    <n v="4"/>
    <n v="0.6111963760282153"/>
    <n v="24"/>
    <n v="0.6687372264720286"/>
    <n v="16"/>
    <n v="0.6631039147683434"/>
    <n v="24"/>
    <n v="0.6423506408346218"/>
    <n v="21"/>
    <n v="0.646213738082599"/>
    <n v="22"/>
    <n v="0.6402163078240601"/>
    <n v="13"/>
    <n v="0.6257408603174198"/>
    <n v="29"/>
    <n v="0.6008961742256855"/>
    <n v="11"/>
    <n v="0.5453080133560612"/>
    <n v="39"/>
    <n v="0.5759382914209705"/>
    <n v="45"/>
    <n v="0.3959810552948867"/>
    <n v="60"/>
    <n v="0.4266615795505627"/>
    <n v="-6"/>
    <n v="0.6939021772046507"/>
    <n v="16"/>
    <n v="0.4586388983904927"/>
    <n v="0.64"/>
    <n v="23"/>
    <n v="0.592829600096036"/>
    <n v="0.8214285714285714"/>
    <n v="42"/>
    <n v="0.2428444463873727"/>
    <n v="0.84"/>
    <n v="52"/>
    <n v="0.5144590532215322"/>
    <n v="1.155555555555555"/>
    <n v="33"/>
    <n v="0.379558915746338"/>
    <n v="0.4714285714285714"/>
    <m/>
    <m/>
    <m/>
    <m/>
    <m/>
    <m/>
    <m/>
    <m/>
    <m/>
    <m/>
    <m/>
    <m/>
    <n v="25"/>
    <n v="93"/>
    <n v="30"/>
    <n v="0"/>
    <n v="0"/>
    <n v="0"/>
    <n v="3890136"/>
    <n v="2502630"/>
    <n v="1023720"/>
    <n v="0"/>
    <n v="248"/>
    <n v="8462752"/>
    <n v="1694583.715839277"/>
    <n v="25"/>
    <n v="64"/>
    <n v="90"/>
    <n v="100"/>
    <n v="100"/>
    <n v="0"/>
    <n v="3412400"/>
    <n v="1722240"/>
    <n v="3071160"/>
    <n v="0"/>
    <n v="248"/>
    <n v="8462752"/>
    <n v="5083751.147517832"/>
    <n v="70"/>
    <n v="11"/>
    <n v="-6"/>
    <n v="0"/>
    <n v="0"/>
    <n v="944024"/>
    <n v="375364"/>
    <n v="-204744"/>
    <n v="0"/>
    <n v="248"/>
    <n v="8462752"/>
    <n v="-403310.924369748"/>
    <n v="25"/>
    <n v="107"/>
    <n v="16"/>
    <n v="50"/>
    <n v="0"/>
    <n v="2879370"/>
    <n v="545984"/>
    <n v="1345500"/>
    <n v="0"/>
    <n v="248"/>
    <n v="8462752"/>
    <n v="1075495.798319328"/>
    <n v="28"/>
    <n v="271"/>
    <n v="22.4"/>
    <m/>
    <n v="0"/>
    <n v="0"/>
    <n v="9247604"/>
    <n v="602784"/>
    <n v="0"/>
    <n v="0"/>
    <n v="248"/>
    <n v="8462752"/>
    <n v="1505694.117647059"/>
    <n v="50"/>
    <n v="290"/>
    <n v="42"/>
    <m/>
    <n v="100"/>
    <n v="0"/>
    <n v="9895960"/>
    <n v="1130220"/>
    <n v="0"/>
    <n v="0"/>
    <n v="290"/>
    <n v="8462752"/>
    <n v="2823176.470588236"/>
    <n v="45"/>
    <n v="300"/>
    <n v="52"/>
    <n v="200"/>
    <n v="200"/>
    <n v="0"/>
    <n v="10237200"/>
    <n v="1399320"/>
    <n v="5202599.999999999"/>
    <n v="0"/>
    <n v="300"/>
    <n v="8462752"/>
    <n v="3495361.344537816"/>
    <n v="70"/>
    <n v="248"/>
    <n v="56"/>
    <n v="0"/>
    <n v="200"/>
    <n v="0"/>
    <n v="8462752"/>
    <n v="1506960"/>
    <n v="0"/>
    <n v="0"/>
    <n v="248"/>
    <n v="8462752"/>
    <n v="3764235.294117648"/>
    <n v="38"/>
    <n v="192"/>
    <n v="30.4"/>
    <n v="0"/>
    <n v="0"/>
    <n v="0"/>
    <n v="5166719.999999999"/>
    <n v="818064"/>
    <n v="0"/>
    <n v="0"/>
    <n v="192"/>
    <n v="5166719.999999999"/>
    <n v="2043442.016806723"/>
    <n v="50"/>
    <n v="161.6"/>
    <n v="40"/>
    <n v="0"/>
    <n v="0"/>
    <n v="0"/>
    <m/>
    <n v="4348655.999999999"/>
    <n v="1076400"/>
    <n v="0"/>
    <n v="0"/>
    <n v="161.6"/>
    <n v="4348655.999999999"/>
    <n v="2587899.159663865"/>
    <n v="45"/>
    <n v="121.6"/>
    <n v="36"/>
    <n v="0"/>
    <n v="0"/>
    <n v="3272256"/>
    <n v="968759.9999999999"/>
    <n v="0"/>
    <n v="0"/>
    <n v="121.6"/>
    <n v="3272256"/>
    <n v="2445564.705882353"/>
    <n v="60"/>
    <n v="85.59999999999999"/>
    <n v="48"/>
    <n v="0"/>
    <n v="0"/>
    <n v="2303496"/>
    <n v="1291680"/>
    <n v="0"/>
    <n v="85.59999999999999"/>
    <n v="2303496"/>
    <n v="3226487.394957984"/>
    <n v="27"/>
    <n v="37.59999999999999"/>
    <n v="21.6"/>
    <n v="0"/>
    <m/>
    <n v="1011816"/>
    <n v="737078.4"/>
    <n v="0"/>
    <n v="37.59999999999999"/>
    <n v="1011816"/>
    <n v="1451919.327731093"/>
  </r>
  <r>
    <m/>
    <x v="6"/>
    <x v="30"/>
    <x v="71"/>
    <s v="SIMBACOUR-30"/>
    <x v="679"/>
    <x v="520"/>
    <x v="0"/>
    <x v="3"/>
    <n v="0.8"/>
    <x v="341"/>
    <n v="251"/>
    <m/>
    <n v="0"/>
    <n v="19611"/>
    <n v="4922361"/>
    <n v="15.2"/>
    <n v="16606"/>
    <n v="42008.40336134454"/>
    <n v="40327.73109243697"/>
    <s v="Shenzhen"/>
    <s v="30/70"/>
    <n v="45"/>
    <n v="300"/>
    <n v="8"/>
    <n v="0.7049229582623647"/>
    <n v="3"/>
    <n v="0.7156791382264277"/>
    <n v="8"/>
    <n v="0.7000040652175148"/>
    <n v="18"/>
    <n v="0.6634869700742426"/>
    <n v="14"/>
    <n v="0.6828737217086656"/>
    <n v="9"/>
    <n v="0.63561149990587"/>
    <n v="29"/>
    <n v="0.6279868830464499"/>
    <n v="58"/>
    <n v="0.5922615554417159"/>
    <n v="71"/>
    <n v="0.5717417907420526"/>
    <n v="78"/>
    <n v="0.546071787340619"/>
    <n v="3"/>
    <n v="0.5834634873086102"/>
    <n v="1"/>
    <n v="0.5115643660915228"/>
    <n v="5"/>
    <n v="0.2646175858892738"/>
    <n v="5"/>
    <n v="0.3512103529904952"/>
    <n v="16"/>
    <n v="0.3785332306594216"/>
    <n v="23"/>
    <n v="0.39105377476413"/>
    <n v="0.2875"/>
    <n v="14"/>
    <n v="0.6052137217055624"/>
    <n v="0.4666666666666667"/>
    <n v="32"/>
    <n v="0.3385019495710944"/>
    <n v="0.7111111111111111"/>
    <n v="60"/>
    <n v="0.4959758080430815"/>
    <n v="1.714285714285714"/>
    <n v="23"/>
    <n v="0.4010225696438711"/>
    <n v="0.4423076923076923"/>
    <m/>
    <m/>
    <m/>
    <m/>
    <m/>
    <m/>
    <m/>
    <m/>
    <m/>
    <m/>
    <m/>
    <m/>
    <n v="60"/>
    <n v="12"/>
    <n v="12"/>
    <n v="100"/>
    <n v="100"/>
    <n v="0"/>
    <n v="696190.5"/>
    <n v="188784"/>
    <n v="235332"/>
    <n v="0"/>
    <n v="251"/>
    <n v="4922361"/>
    <n v="423614.1515429702"/>
    <n v="0"/>
    <n v="11"/>
    <n v="7.5"/>
    <n v="200"/>
    <n v="100"/>
    <n v="0"/>
    <n v="911911.5"/>
    <n v="173052"/>
    <n v="147082.5"/>
    <n v="0"/>
    <n v="251"/>
    <n v="4922361"/>
    <n v="264758.8447143564"/>
    <n v="30"/>
    <n v="267"/>
    <n v="16"/>
    <n v="0"/>
    <n v="0"/>
    <n v="1142397"/>
    <n v="5236137"/>
    <n v="313776"/>
    <n v="0"/>
    <n v="251"/>
    <n v="4922361"/>
    <n v="672134.4537815127"/>
    <n v="80"/>
    <n v="290"/>
    <n v="23"/>
    <n v="180"/>
    <n v="0"/>
    <n v="4562279.999999999"/>
    <n v="451053"/>
    <n v="2831760"/>
    <n v="0"/>
    <n v="251"/>
    <n v="4922361"/>
    <n v="966193.2773109245"/>
    <n v="30"/>
    <n v="265"/>
    <n v="24"/>
    <m/>
    <n v="0"/>
    <n v="0"/>
    <n v="5196915"/>
    <n v="377567.9999999999"/>
    <n v="0"/>
    <n v="0"/>
    <n v="251"/>
    <n v="4922361"/>
    <n v="1008201.680672269"/>
    <n v="45"/>
    <n v="283"/>
    <n v="32"/>
    <m/>
    <n v="100"/>
    <n v="0"/>
    <n v="5549913"/>
    <n v="503423.9999999999"/>
    <n v="0"/>
    <n v="0"/>
    <n v="283"/>
    <n v="4922361"/>
    <n v="1344268.907563025"/>
    <n v="35"/>
    <n v="311"/>
    <n v="60"/>
    <n v="0"/>
    <n v="0"/>
    <n v="0"/>
    <n v="6099021"/>
    <n v="943919.9999999999"/>
    <n v="0"/>
    <n v="0"/>
    <n v="311"/>
    <n v="4922361"/>
    <n v="2520504.201680672"/>
    <n v="52"/>
    <n v="251"/>
    <n v="41.6"/>
    <n v="0"/>
    <n v="0"/>
    <n v="0"/>
    <n v="4922361"/>
    <n v="654451.2"/>
    <n v="0"/>
    <n v="0"/>
    <n v="251"/>
    <n v="4922361"/>
    <n v="1747549.579831933"/>
    <n v="64"/>
    <n v="209.4"/>
    <n v="51.2"/>
    <n v="0"/>
    <n v="0"/>
    <n v="56"/>
    <n v="3294280.8"/>
    <n v="805478.3999999999"/>
    <n v="0"/>
    <n v="880991.9999999999"/>
    <n v="265.4"/>
    <n v="4175272.8"/>
    <n v="2150830.252100841"/>
    <n v="80"/>
    <n v="214.2"/>
    <n v="64"/>
    <n v="0"/>
    <n v="0"/>
    <n v="0"/>
    <m/>
    <n v="3369794.399999999"/>
    <n v="1006848"/>
    <n v="0"/>
    <n v="0"/>
    <n v="214.2"/>
    <n v="3369794.399999999"/>
    <n v="2580974.789915966"/>
    <n v="40"/>
    <n v="150.2"/>
    <n v="32"/>
    <n v="0"/>
    <n v="0"/>
    <n v="2362946.399999999"/>
    <n v="503423.9999999999"/>
    <n v="0"/>
    <n v="0"/>
    <n v="150.2"/>
    <n v="2362946.399999999"/>
    <n v="1355011.764705882"/>
    <n v="60"/>
    <n v="118.2"/>
    <n v="48"/>
    <n v="0"/>
    <n v="0"/>
    <n v="1859522.4"/>
    <n v="755135.9999999999"/>
    <n v="0"/>
    <n v="118.2"/>
    <n v="1859522.4"/>
    <n v="2016403.361344538"/>
    <n v="24"/>
    <n v="70.19999999999999"/>
    <n v="19.2"/>
    <n v="0"/>
    <m/>
    <n v="1104386.4"/>
    <n v="376531.2000000001"/>
    <n v="0"/>
    <n v="70.19999999999999"/>
    <n v="1104386.4"/>
    <n v="806561.3445378153"/>
  </r>
  <r>
    <m/>
    <x v="6"/>
    <x v="30"/>
    <x v="71"/>
    <s v="SIMBASLIV-BK"/>
    <x v="680"/>
    <x v="521"/>
    <x v="0"/>
    <x v="4"/>
    <n v="1"/>
    <x v="3"/>
    <n v="193"/>
    <m/>
    <n v="0"/>
    <n v="12293"/>
    <n v="2372549"/>
    <n v="8.9"/>
    <n v="8904.449999999999"/>
    <n v="22448.19327731093"/>
    <n v="19080.96428571429"/>
    <s v="Shenzhen"/>
    <s v="30/70"/>
    <n v="45"/>
    <n v="2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-22"/>
    <s v=""/>
    <n v="-0.36666666666666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193"/>
    <n v="2372549"/>
    <n v="0"/>
    <n v="0"/>
    <n v="0"/>
    <n v="0"/>
    <n v="0"/>
    <n v="0"/>
    <n v="0"/>
    <n v="0"/>
    <n v="0"/>
    <n v="0"/>
    <n v="193"/>
    <n v="2372549"/>
    <n v="0"/>
    <n v="0"/>
    <n v="193"/>
    <n v="0"/>
    <m/>
    <m/>
    <n v="0"/>
    <n v="2372549"/>
    <n v="0"/>
    <n v="0"/>
    <n v="0"/>
    <n v="193"/>
    <n v="2372549"/>
    <n v="0"/>
    <n v="0"/>
    <n v="193"/>
    <n v="0"/>
    <m/>
    <n v="0"/>
    <n v="0"/>
    <n v="2372549"/>
    <n v="0"/>
    <n v="0"/>
    <n v="0"/>
    <n v="193"/>
    <n v="2372549"/>
    <n v="0"/>
    <n v="20"/>
    <n v="193"/>
    <n v="0"/>
    <n v="200"/>
    <n v="200"/>
    <n v="0"/>
    <n v="2372549"/>
    <n v="0"/>
    <n v="1780890"/>
    <n v="0"/>
    <n v="193"/>
    <n v="2372549"/>
    <n v="0"/>
    <n v="60"/>
    <n v="193"/>
    <n v="60"/>
    <n v="0"/>
    <n v="200"/>
    <n v="0"/>
    <n v="2372549"/>
    <n v="552690"/>
    <n v="0"/>
    <n v="0"/>
    <n v="193"/>
    <n v="2372549"/>
    <n v="1346891.596638656"/>
    <n v="60"/>
    <n v="133"/>
    <n v="60"/>
    <n v="0"/>
    <n v="0"/>
    <n v="0"/>
    <n v="1225129.5"/>
    <n v="552690"/>
    <n v="0"/>
    <n v="0"/>
    <n v="133"/>
    <n v="1225129.5"/>
    <n v="1346891.596638656"/>
    <n v="100"/>
    <n v="73"/>
    <n v="73"/>
    <n v="200"/>
    <n v="200"/>
    <n v="200"/>
    <n v="0"/>
    <n v="672439.5"/>
    <n v="672439.5"/>
    <n v="1842300"/>
    <n v="1842300"/>
    <n v="273"/>
    <n v="2514739.5"/>
    <n v="1392910.392857143"/>
    <n v="80"/>
    <n v="200"/>
    <n v="80"/>
    <n v="0"/>
    <n v="0"/>
    <n v="1842300"/>
    <n v="736920"/>
    <n v="0"/>
    <n v="0"/>
    <n v="200"/>
    <n v="1842300"/>
    <n v="1602801"/>
    <n v="100"/>
    <n v="120"/>
    <n v="100"/>
    <n v="0"/>
    <n v="0"/>
    <n v="1105380"/>
    <n v="921150"/>
    <n v="0"/>
    <n v="120"/>
    <n v="1105380"/>
    <n v="2244819.327731092"/>
    <n v="48"/>
    <n v="20"/>
    <n v="48"/>
    <n v="0"/>
    <m/>
    <n v="184230"/>
    <n v="590064"/>
    <n v="0"/>
    <n v="20"/>
    <n v="184230"/>
    <n v="1077513.277310924"/>
  </r>
  <r>
    <m/>
    <x v="6"/>
    <x v="30"/>
    <x v="71"/>
    <s v="SIMBASLUC-GR"/>
    <x v="681"/>
    <x v="522"/>
    <x v="0"/>
    <x v="4"/>
    <n v="1"/>
    <x v="3"/>
    <n v="196"/>
    <m/>
    <n v="0"/>
    <n v="12293"/>
    <n v="2409428"/>
    <n v="8.9"/>
    <n v="8904.449999999999"/>
    <n v="22448.19327731093"/>
    <n v="19080.96428571429"/>
    <s v="Shenzhen"/>
    <s v="30/70"/>
    <n v="45"/>
    <n v="2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-26"/>
    <s v=""/>
    <n v="-0.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196"/>
    <n v="2409428"/>
    <n v="0"/>
    <n v="0"/>
    <n v="0"/>
    <n v="0"/>
    <n v="0"/>
    <n v="0"/>
    <n v="0"/>
    <n v="0"/>
    <n v="0"/>
    <n v="0"/>
    <n v="196"/>
    <n v="2409428"/>
    <n v="0"/>
    <n v="0"/>
    <n v="196"/>
    <n v="0"/>
    <m/>
    <m/>
    <n v="0"/>
    <n v="2409428"/>
    <n v="0"/>
    <n v="0"/>
    <n v="0"/>
    <n v="196"/>
    <n v="2409428"/>
    <n v="0"/>
    <n v="0"/>
    <n v="196"/>
    <n v="0"/>
    <m/>
    <n v="0"/>
    <n v="0"/>
    <n v="2409428"/>
    <n v="0"/>
    <n v="0"/>
    <n v="0"/>
    <n v="196"/>
    <n v="2409428"/>
    <n v="0"/>
    <n v="20"/>
    <n v="196"/>
    <n v="0"/>
    <n v="200"/>
    <n v="200"/>
    <n v="0"/>
    <n v="2409428"/>
    <n v="0"/>
    <n v="1780890"/>
    <n v="0"/>
    <n v="196"/>
    <n v="2409428"/>
    <n v="0"/>
    <n v="40"/>
    <n v="196"/>
    <n v="40"/>
    <n v="0"/>
    <n v="200"/>
    <n v="0"/>
    <n v="2409428"/>
    <n v="368460"/>
    <n v="0"/>
    <n v="0"/>
    <n v="196"/>
    <n v="2409428"/>
    <n v="897927.7310924371"/>
    <n v="40"/>
    <n v="156"/>
    <n v="40"/>
    <n v="0"/>
    <n v="0"/>
    <n v="0"/>
    <n v="1436994"/>
    <n v="368460"/>
    <n v="0"/>
    <n v="0"/>
    <n v="156"/>
    <n v="1436994"/>
    <n v="897927.7310924371"/>
    <n v="50"/>
    <n v="116"/>
    <n v="50"/>
    <n v="0"/>
    <n v="0"/>
    <n v="0"/>
    <m/>
    <n v="1068534"/>
    <n v="460575"/>
    <n v="0"/>
    <n v="0"/>
    <n v="116"/>
    <n v="1068534"/>
    <n v="954048.2142857143"/>
    <n v="50"/>
    <n v="66"/>
    <n v="50"/>
    <n v="0"/>
    <n v="0"/>
    <n v="607959"/>
    <n v="460575"/>
    <n v="0"/>
    <n v="0"/>
    <n v="66"/>
    <n v="607959"/>
    <n v="1001750.625"/>
    <n v="60"/>
    <n v="16"/>
    <n v="60"/>
    <n v="0"/>
    <n v="0"/>
    <n v="147384"/>
    <n v="552690"/>
    <n v="0"/>
    <n v="16"/>
    <n v="147384"/>
    <n v="1346891.596638656"/>
    <n v="30"/>
    <n v="0"/>
    <n v="30"/>
    <n v="0"/>
    <m/>
    <n v="0"/>
    <n v="368790"/>
    <n v="0"/>
    <n v="0"/>
    <n v="0"/>
    <n v="673445.7983193278"/>
  </r>
  <r>
    <m/>
    <x v="6"/>
    <x v="30"/>
    <x v="70"/>
    <n v="1627418212924"/>
    <x v="682"/>
    <x v="523"/>
    <x v="0"/>
    <x v="1"/>
    <n v="1"/>
    <x v="342"/>
    <n v="96"/>
    <m/>
    <n v="0"/>
    <n v="6585"/>
    <n v="632160"/>
    <n v="6.050000000000001"/>
    <n v="6609.625000000001"/>
    <n v="14277.31092436975"/>
    <n v="12596.63865546219"/>
    <s v="Ningbo"/>
    <s v="20/80 Credit"/>
    <n v="30"/>
    <n v="100"/>
    <n v="463"/>
    <n v="0.6262236243305331"/>
    <n v="254"/>
    <n v="0.5708830171453699"/>
    <n v="374"/>
    <n v="0.4801033885167744"/>
    <n v="232"/>
    <n v="0.483458082120271"/>
    <n v="266"/>
    <n v="0.6143769373645734"/>
    <n v="650"/>
    <n v="0.5495801141967687"/>
    <n v="288"/>
    <n v="0.4763534063380787"/>
    <n v="591"/>
    <n v="0.3983209805902408"/>
    <n v="517"/>
    <n v="0.3853612688188991"/>
    <n v="615"/>
    <n v="0.3452374167594131"/>
    <n v="65"/>
    <n v="0.4827695609603658"/>
    <n v="26"/>
    <n v="0.4907347977320722"/>
    <n v="133"/>
    <n v="0.2832125286596324"/>
    <n v="172"/>
    <n v="0.4598303841164506"/>
    <n v="461"/>
    <n v="0.3840911753478927"/>
    <n v="253"/>
    <n v="0.403268470636329"/>
    <n v="0.8433333333333334"/>
    <n v="318"/>
    <n v="0.4611539335314332"/>
    <n v="1.330543933054393"/>
    <n v="660"/>
    <n v="0.2498193800935026"/>
    <n v="1.32"/>
    <n v="84"/>
    <s v=""/>
    <n v="0.28"/>
    <n v="0"/>
    <s v=""/>
    <n v="0"/>
    <m/>
    <m/>
    <m/>
    <m/>
    <m/>
    <m/>
    <m/>
    <m/>
    <m/>
    <m/>
    <m/>
    <m/>
    <n v="220"/>
    <n v="580"/>
    <n v="164"/>
    <n v="400"/>
    <n v="400"/>
    <n v="0"/>
    <n v="5814555"/>
    <n v="3631815"/>
    <n v="1079940"/>
    <n v="0"/>
    <n v="96"/>
    <n v="632160"/>
    <n v="1967629.404703058"/>
    <n v="200"/>
    <n v="1064"/>
    <n v="258"/>
    <n v="600"/>
    <n v="600"/>
    <n v="0"/>
    <n v="6400620"/>
    <n v="6662502.000000001"/>
    <n v="1698930"/>
    <n v="0"/>
    <n v="96"/>
    <n v="632160"/>
    <n v="3095416.990325543"/>
    <n v="220"/>
    <n v="913"/>
    <n v="461"/>
    <n v="0"/>
    <n v="0"/>
    <n v="6198248.25"/>
    <n v="6012105"/>
    <n v="3035685"/>
    <n v="0"/>
    <n v="96"/>
    <n v="632160"/>
    <n v="6581840.336134454"/>
    <n v="300"/>
    <n v="383"/>
    <n v="253"/>
    <n v="600"/>
    <n v="0"/>
    <n v="2398250.25"/>
    <n v="1666005"/>
    <n v="3757050"/>
    <n v="0"/>
    <n v="96"/>
    <n v="632160"/>
    <n v="3612159.663865547"/>
    <n v="239"/>
    <n v="414"/>
    <n v="239"/>
    <n v="500"/>
    <n v="500"/>
    <n v="0"/>
    <n v="2726190"/>
    <n v="1496558.25"/>
    <n v="3130875"/>
    <n v="0"/>
    <n v="96"/>
    <n v="632160"/>
    <n v="3412277.31092437"/>
    <n v="500"/>
    <n v="756"/>
    <n v="660"/>
    <m/>
    <n v="500"/>
    <n v="0"/>
    <n v="4978260"/>
    <n v="4132755"/>
    <n v="0"/>
    <n v="0"/>
    <n v="756"/>
    <n v="632160"/>
    <n v="9423025.210084034"/>
    <n v="300"/>
    <n v="180"/>
    <n v="84"/>
    <n v="0"/>
    <n v="0"/>
    <n v="0"/>
    <n v="1185300"/>
    <n v="525987.0000000001"/>
    <n v="0"/>
    <n v="0"/>
    <n v="180"/>
    <n v="632160"/>
    <n v="1199294.117647059"/>
    <n v="350"/>
    <n v="96"/>
    <n v="350"/>
    <n v="600"/>
    <n v="600"/>
    <n v="0"/>
    <n v="632160"/>
    <n v="2191612.5"/>
    <n v="3757050"/>
    <n v="0"/>
    <n v="96"/>
    <n v="632160"/>
    <n v="4997058.823529412"/>
    <n v="250"/>
    <n v="0"/>
    <n v="250"/>
    <n v="0"/>
    <n v="0"/>
    <n v="600"/>
    <n v="0"/>
    <n v="1565437.5"/>
    <n v="0"/>
    <n v="3757050"/>
    <n v="600"/>
    <n v="3757050"/>
    <n v="3569327.731092437"/>
    <n v="350"/>
    <n v="350"/>
    <n v="350"/>
    <n v="500"/>
    <n v="500"/>
    <n v="500"/>
    <n v="0"/>
    <n v="2191612.5"/>
    <n v="2191612.5"/>
    <n v="3130875"/>
    <n v="3130875"/>
    <n v="850"/>
    <n v="5322487.500000001"/>
    <n v="4408823.529411765"/>
    <n v="200"/>
    <n v="500"/>
    <n v="200"/>
    <n v="500"/>
    <n v="500"/>
    <n v="3130875"/>
    <n v="1252350"/>
    <n v="3130875"/>
    <n v="3130875"/>
    <n v="1000"/>
    <n v="6261750.000000001"/>
    <n v="2645294.117647059"/>
    <n v="300"/>
    <n v="800"/>
    <n v="300"/>
    <n v="0"/>
    <n v="0"/>
    <n v="5009400.000000001"/>
    <n v="1878525"/>
    <n v="0"/>
    <n v="800"/>
    <n v="5009400.000000001"/>
    <n v="4283193.277310925"/>
    <n v="120"/>
    <n v="500"/>
    <n v="120"/>
    <n v="0"/>
    <m/>
    <n v="3130875"/>
    <n v="790200"/>
    <n v="0"/>
    <n v="500"/>
    <n v="3130875"/>
    <n v="1713277.31092437"/>
  </r>
  <r>
    <m/>
    <x v="6"/>
    <x v="30"/>
    <x v="70"/>
    <n v="1645629782262"/>
    <x v="683"/>
    <x v="524"/>
    <x v="0"/>
    <x v="0"/>
    <n v="1"/>
    <x v="343"/>
    <n v="178"/>
    <m/>
    <n v="0"/>
    <n v="3800"/>
    <n v="676400"/>
    <n v="3.7"/>
    <n v="4042.25"/>
    <n v="9235.294117647059"/>
    <n v="7554.621848739496"/>
    <s v="Shenzhen"/>
    <s v="20/80 Credit"/>
    <n v="30"/>
    <n v="100"/>
    <n v="33"/>
    <n v="0.5120950579333178"/>
    <n v="39"/>
    <n v="0.5439438591321006"/>
    <n v="48"/>
    <n v="0.4938110241474474"/>
    <n v="46"/>
    <n v="0.4487273679455065"/>
    <n v="39"/>
    <n v="0.4924353373923099"/>
    <n v="62"/>
    <n v="0.5002632024121081"/>
    <n v="51"/>
    <n v="0.4588324400926093"/>
    <n v="44"/>
    <n v="0.5577582294075691"/>
    <n v="37"/>
    <n v="0.4450329759073982"/>
    <n v="30"/>
    <n v="0.5215723462832669"/>
    <n v="26"/>
    <n v="0.4785449560127686"/>
    <n v="35"/>
    <n v="0.5192157124056705"/>
    <n v="19"/>
    <n v="0.5965965298301533"/>
    <n v="12"/>
    <n v="0.5560983229646767"/>
    <n v="37"/>
    <n v="0.5761124587388365"/>
    <n v="38"/>
    <n v="0.572465914748951"/>
    <n v="0.8444444444444444"/>
    <n v="19"/>
    <n v="0.5335316444731433"/>
    <n v="0.475"/>
    <n v="26"/>
    <n v="0.4580618507432653"/>
    <n v="0.4333333333333333"/>
    <n v="4"/>
    <s v=""/>
    <n v="0.08"/>
    <n v="0"/>
    <s v=""/>
    <n v="0"/>
    <m/>
    <m/>
    <m/>
    <m/>
    <m/>
    <m/>
    <m/>
    <m/>
    <m/>
    <m/>
    <m/>
    <m/>
    <n v="35"/>
    <n v="66"/>
    <n v="45"/>
    <n v="150"/>
    <n v="150"/>
    <n v="0"/>
    <n v="380000"/>
    <n v="252747"/>
    <n v="171000"/>
    <n v="0"/>
    <n v="178"/>
    <n v="676400"/>
    <n v="349233.8111715275"/>
    <n v="40"/>
    <n v="148"/>
    <n v="18"/>
    <n v="0"/>
    <n v="0"/>
    <n v="0"/>
    <n v="353400"/>
    <n v="566765.9999999999"/>
    <n v="68400"/>
    <n v="0"/>
    <n v="178"/>
    <n v="676400"/>
    <n v="139693.524468611"/>
    <n v="50"/>
    <n v="140"/>
    <n v="37"/>
    <n v="0"/>
    <n v="0"/>
    <n v="438180"/>
    <n v="532000"/>
    <n v="140600"/>
    <n v="0"/>
    <n v="178"/>
    <n v="676400"/>
    <n v="341705.8823529412"/>
    <n v="45"/>
    <n v="93"/>
    <n v="38"/>
    <n v="100"/>
    <n v="0"/>
    <n v="356143.4999999999"/>
    <n v="144400"/>
    <n v="382949.9999999999"/>
    <n v="0"/>
    <n v="178"/>
    <n v="676400"/>
    <n v="350941.1764705883"/>
    <n v="40"/>
    <n v="197"/>
    <n v="40"/>
    <m/>
    <n v="0"/>
    <n v="0"/>
    <n v="748600"/>
    <n v="153180"/>
    <n v="0"/>
    <n v="0"/>
    <n v="178"/>
    <n v="676400"/>
    <n v="369411.7647058824"/>
    <n v="60"/>
    <n v="204"/>
    <n v="26"/>
    <m/>
    <n v="0"/>
    <n v="0"/>
    <n v="775200"/>
    <n v="99566.99999999999"/>
    <n v="0"/>
    <n v="0"/>
    <n v="204"/>
    <n v="676400"/>
    <n v="240117.6470588236"/>
    <n v="50"/>
    <n v="182"/>
    <n v="4"/>
    <n v="100"/>
    <n v="100"/>
    <n v="0"/>
    <n v="691600"/>
    <n v="15318"/>
    <n v="370185"/>
    <n v="0"/>
    <n v="182"/>
    <n v="676400"/>
    <n v="36941.17647058824"/>
    <n v="43"/>
    <n v="178"/>
    <n v="43"/>
    <n v="0"/>
    <n v="0"/>
    <n v="0"/>
    <n v="676400"/>
    <n v="164668.5"/>
    <n v="0"/>
    <n v="0"/>
    <n v="178"/>
    <n v="676400"/>
    <n v="397117.6470588236"/>
    <n v="35"/>
    <n v="135"/>
    <n v="35"/>
    <n v="0"/>
    <n v="0"/>
    <n v="0"/>
    <n v="516982.4999999999"/>
    <n v="134032.5"/>
    <n v="0"/>
    <n v="0"/>
    <n v="135"/>
    <n v="516982.4999999999"/>
    <n v="323235.2941176471"/>
    <n v="50"/>
    <n v="100"/>
    <n v="50"/>
    <n v="0"/>
    <n v="0"/>
    <n v="0"/>
    <m/>
    <n v="382949.9999999999"/>
    <n v="191475"/>
    <n v="0"/>
    <n v="0"/>
    <n v="100"/>
    <n v="382949.9999999999"/>
    <n v="377731.0924369748"/>
    <n v="40"/>
    <n v="50"/>
    <n v="40"/>
    <n v="100"/>
    <n v="100"/>
    <n v="191475"/>
    <n v="153180"/>
    <n v="382949.9999999999"/>
    <n v="382949.9999999999"/>
    <n v="150"/>
    <n v="574424.9999999999"/>
    <n v="317294.1176470589"/>
    <n v="50"/>
    <n v="110"/>
    <n v="50"/>
    <n v="0"/>
    <n v="0"/>
    <n v="421244.9999999999"/>
    <n v="191475"/>
    <n v="0"/>
    <n v="110"/>
    <n v="421244.9999999999"/>
    <n v="461764.705882353"/>
    <n v="24"/>
    <n v="60"/>
    <n v="24"/>
    <n v="0"/>
    <m/>
    <n v="229770"/>
    <n v="91200"/>
    <n v="0"/>
    <n v="60"/>
    <n v="229770"/>
    <n v="221647.0588235294"/>
  </r>
  <r>
    <m/>
    <x v="6"/>
    <x v="30"/>
    <x v="70"/>
    <n v="1650295261109"/>
    <x v="684"/>
    <x v="525"/>
    <x v="0"/>
    <x v="0"/>
    <n v="1.15"/>
    <x v="344"/>
    <n v="142"/>
    <m/>
    <n v="0"/>
    <n v="2578"/>
    <n v="366076"/>
    <n v="2.2"/>
    <n v="2403.5"/>
    <n v="6714.285714285715"/>
    <n v="5873.949579831933"/>
    <s v="Shenzhen"/>
    <s v="30/70"/>
    <n v="30"/>
    <n v="100"/>
    <n v="78"/>
    <n v="0.6614208476315153"/>
    <n v="50"/>
    <n v="0.6611037227367068"/>
    <n v="71"/>
    <n v="0.654724240268542"/>
    <n v="44"/>
    <n v="0.6500628465783199"/>
    <n v="60"/>
    <n v="0.681485233588515"/>
    <n v="71"/>
    <n v="0.6509597712993616"/>
    <n v="72"/>
    <n v="0.6289037066051772"/>
    <n v="60"/>
    <n v="0.6353555693134739"/>
    <n v="31"/>
    <n v="0.6763487407479071"/>
    <n v="110"/>
    <n v="0.5937503178902263"/>
    <n v="71"/>
    <n v="0.5941004565726121"/>
    <n v="68"/>
    <n v="0.6265988763776243"/>
    <n v="59"/>
    <n v="0.5532149993153958"/>
    <n v="51"/>
    <n v="0.5094737252768646"/>
    <n v="93"/>
    <n v="0.5204855774377164"/>
    <n v="93"/>
    <n v="0.4935592874846769"/>
    <n v="1.430769230769231"/>
    <n v="49"/>
    <n v="0.6037991499076036"/>
    <n v="0.8166666666666667"/>
    <n v="30"/>
    <n v="0.4726802575107296"/>
    <n v="0.4285714285714285"/>
    <n v="0"/>
    <s v=""/>
    <n v="0"/>
    <n v="0"/>
    <s v=""/>
    <n v="0"/>
    <m/>
    <m/>
    <m/>
    <m/>
    <m/>
    <m/>
    <m/>
    <m/>
    <m/>
    <m/>
    <m/>
    <m/>
    <n v="70"/>
    <n v="87"/>
    <n v="90"/>
    <n v="150"/>
    <n v="150"/>
    <n v="0"/>
    <n v="668991"/>
    <n v="198099"/>
    <n v="232020"/>
    <n v="0"/>
    <n v="142"/>
    <n v="366076"/>
    <n v="507803.1212484995"/>
    <n v="70"/>
    <n v="179"/>
    <n v="76.5"/>
    <n v="0"/>
    <n v="0"/>
    <n v="0"/>
    <n v="676725"/>
    <n v="407583"/>
    <n v="197217"/>
    <n v="0"/>
    <n v="142"/>
    <n v="366076"/>
    <n v="431632.6530612246"/>
    <n v="77"/>
    <n v="135"/>
    <n v="93"/>
    <n v="0"/>
    <n v="0"/>
    <n v="636621"/>
    <n v="348030"/>
    <n v="239754"/>
    <n v="0"/>
    <n v="142"/>
    <n v="366076"/>
    <n v="624428.5714285715"/>
    <n v="65"/>
    <n v="172"/>
    <n v="93"/>
    <n v="150"/>
    <n v="0"/>
    <n v="391644"/>
    <n v="239754"/>
    <n v="341550"/>
    <n v="0"/>
    <n v="142"/>
    <n v="366076"/>
    <n v="624428.5714285715"/>
    <n v="60"/>
    <n v="191"/>
    <n v="69"/>
    <m/>
    <n v="0"/>
    <n v="0"/>
    <n v="492398"/>
    <n v="157113"/>
    <n v="0"/>
    <n v="0"/>
    <n v="142"/>
    <n v="366076"/>
    <n v="463285.7142857143"/>
    <n v="70"/>
    <n v="172"/>
    <n v="30"/>
    <m/>
    <n v="0"/>
    <n v="0"/>
    <n v="443416"/>
    <n v="68310"/>
    <n v="0"/>
    <n v="0"/>
    <n v="172"/>
    <n v="366076"/>
    <n v="201428.5714285714"/>
    <n v="70"/>
    <n v="142"/>
    <n v="0"/>
    <n v="200"/>
    <n v="200"/>
    <n v="0"/>
    <n v="366076"/>
    <n v="0"/>
    <n v="440220"/>
    <n v="0"/>
    <n v="142"/>
    <n v="366076"/>
    <n v="0"/>
    <n v="60"/>
    <n v="142"/>
    <n v="69"/>
    <n v="100"/>
    <n v="100"/>
    <n v="0"/>
    <n v="366076"/>
    <n v="157113"/>
    <n v="227700"/>
    <n v="0"/>
    <n v="142"/>
    <n v="366076"/>
    <n v="463285.7142857143"/>
    <n v="46"/>
    <n v="73"/>
    <n v="52.9"/>
    <n v="0"/>
    <n v="0"/>
    <n v="100"/>
    <n v="166221"/>
    <n v="120453.3"/>
    <n v="0"/>
    <n v="227700"/>
    <n v="173"/>
    <n v="393921"/>
    <n v="355185.7142857143"/>
    <n v="110"/>
    <n v="120.1"/>
    <n v="120.1"/>
    <n v="0"/>
    <n v="0"/>
    <n v="0"/>
    <m/>
    <n v="273467.7"/>
    <n v="273467.7"/>
    <n v="0"/>
    <n v="0"/>
    <n v="120.1"/>
    <n v="273467.7"/>
    <n v="705461.3445378151"/>
    <n v="60"/>
    <n v="0"/>
    <n v="69"/>
    <n v="250"/>
    <n v="250"/>
    <n v="0"/>
    <n v="157113"/>
    <n v="569250"/>
    <n v="569250"/>
    <n v="250"/>
    <n v="569250"/>
    <n v="425567.6470588236"/>
    <n v="80"/>
    <n v="181"/>
    <n v="92"/>
    <n v="0"/>
    <n v="0"/>
    <n v="412137"/>
    <n v="209484"/>
    <n v="0"/>
    <n v="181"/>
    <n v="412137"/>
    <n v="617714.2857142858"/>
    <n v="36"/>
    <n v="89"/>
    <n v="41.4"/>
    <n v="0"/>
    <m/>
    <n v="202653"/>
    <n v="106729.2"/>
    <n v="0"/>
    <n v="89"/>
    <n v="202653"/>
    <n v="277971.4285714286"/>
  </r>
  <r>
    <m/>
    <x v="6"/>
    <x v="30"/>
    <x v="70"/>
    <n v="1650295282448"/>
    <x v="685"/>
    <x v="526"/>
    <x v="0"/>
    <x v="0"/>
    <n v="1.3"/>
    <x v="345"/>
    <n v="71"/>
    <m/>
    <n v="0"/>
    <n v="3846"/>
    <n v="273066"/>
    <n v="3.2"/>
    <n v="3496"/>
    <n v="8394.957983193277"/>
    <n v="7554.621848739496"/>
    <s v="Shenzhen"/>
    <s v="30/70"/>
    <n v="30"/>
    <n v="300"/>
    <n v="51"/>
    <n v="0.6639889585947303"/>
    <n v="46"/>
    <n v="0.6361840675264454"/>
    <n v="53"/>
    <n v="0.6192792710428477"/>
    <n v="25"/>
    <n v="0.590673424781429"/>
    <n v="58"/>
    <n v="0.6231555520367679"/>
    <n v="25"/>
    <n v="0.6536663273341913"/>
    <n v="54"/>
    <n v="0.5884175799539534"/>
    <n v="41"/>
    <n v="0.6284243296272073"/>
    <n v="22"/>
    <n v="0.6618495363301778"/>
    <n v="72"/>
    <n v="0.5984601870274444"/>
    <n v="50"/>
    <n v="0.5281985063026174"/>
    <n v="49"/>
    <n v="0.5787474258806672"/>
    <n v="62"/>
    <n v="0.4345183620479733"/>
    <n v="51"/>
    <n v="0.3944817586440704"/>
    <n v="50"/>
    <n v="0.4210146535317484"/>
    <n v="56"/>
    <n v="0.3861786490765861"/>
    <n v="1.4"/>
    <n v="58"/>
    <n v="0.505119087510433"/>
    <n v="0.9666666666666667"/>
    <n v="37"/>
    <n v="0.4504281619776889"/>
    <n v="0.4625"/>
    <n v="0"/>
    <s v=""/>
    <n v="0"/>
    <n v="0"/>
    <s v=""/>
    <n v="0"/>
    <m/>
    <m/>
    <m/>
    <m/>
    <m/>
    <m/>
    <m/>
    <m/>
    <m/>
    <m/>
    <m/>
    <m/>
    <n v="50"/>
    <n v="171"/>
    <n v="80"/>
    <n v="0"/>
    <n v="0"/>
    <n v="0"/>
    <n v="794199"/>
    <n v="566351.9999999999"/>
    <n v="307680"/>
    <n v="0"/>
    <n v="71"/>
    <n v="273066"/>
    <n v="564366.9232398842"/>
    <n v="60"/>
    <n v="108"/>
    <n v="76.5"/>
    <n v="0"/>
    <n v="0"/>
    <n v="0"/>
    <n v="701895"/>
    <n v="357695.9999999999"/>
    <n v="294219"/>
    <n v="0"/>
    <n v="71"/>
    <n v="273066"/>
    <n v="539675.8703481393"/>
    <n v="31"/>
    <n v="68"/>
    <n v="50"/>
    <n v="0"/>
    <n v="0"/>
    <n v="666012"/>
    <n v="261528"/>
    <n v="192300"/>
    <n v="0"/>
    <n v="71"/>
    <n v="273066"/>
    <n v="419747.8991596638"/>
    <n v="40"/>
    <n v="167"/>
    <n v="56"/>
    <n v="180"/>
    <n v="0"/>
    <n v="553103.9999999999"/>
    <n v="215376"/>
    <n v="596159.9999999999"/>
    <n v="0"/>
    <n v="71"/>
    <n v="273066"/>
    <n v="470117.6470588235"/>
    <n v="60"/>
    <n v="129"/>
    <n v="78"/>
    <m/>
    <n v="0"/>
    <n v="0"/>
    <n v="496134"/>
    <n v="258336"/>
    <n v="0"/>
    <n v="0"/>
    <n v="71"/>
    <n v="273066"/>
    <n v="654806.7226890756"/>
    <n v="80"/>
    <n v="108"/>
    <n v="37"/>
    <m/>
    <n v="0"/>
    <n v="0"/>
    <n v="415368"/>
    <n v="122544"/>
    <n v="0"/>
    <n v="0"/>
    <n v="108"/>
    <n v="273066"/>
    <n v="310613.4453781513"/>
    <n v="60"/>
    <n v="71"/>
    <n v="0"/>
    <n v="100"/>
    <n v="100"/>
    <n v="0"/>
    <n v="273066"/>
    <n v="0"/>
    <n v="320160"/>
    <n v="0"/>
    <n v="71"/>
    <n v="273066"/>
    <n v="0"/>
    <n v="52"/>
    <n v="71"/>
    <n v="67.60000000000001"/>
    <n v="200"/>
    <n v="200"/>
    <n v="0"/>
    <n v="273066"/>
    <n v="223891.2"/>
    <n v="662399.9999999999"/>
    <n v="0"/>
    <n v="71"/>
    <n v="273066"/>
    <n v="567499.1596638656"/>
    <n v="28"/>
    <n v="3.399999999999991"/>
    <n v="36.4"/>
    <n v="0"/>
    <n v="0"/>
    <n v="200"/>
    <n v="11260.79999999997"/>
    <n v="120556.8"/>
    <n v="0"/>
    <n v="662399.9999999999"/>
    <n v="203.4"/>
    <n v="673660.7999999998"/>
    <n v="305576.4705882352"/>
    <n v="75"/>
    <n v="167"/>
    <n v="97.5"/>
    <n v="0"/>
    <n v="0"/>
    <n v="0"/>
    <m/>
    <n v="553103.9999999999"/>
    <n v="322919.9999999999"/>
    <n v="0"/>
    <n v="0"/>
    <n v="167"/>
    <n v="553103.9999999999"/>
    <n v="736575.6302521009"/>
    <n v="50"/>
    <n v="69.5"/>
    <n v="65"/>
    <n v="0"/>
    <n v="0"/>
    <n v="230184"/>
    <n v="215280"/>
    <n v="0"/>
    <n v="0"/>
    <n v="69.5"/>
    <n v="230184"/>
    <n v="515602.9411764707"/>
    <n v="60"/>
    <n v="4.5"/>
    <n v="78"/>
    <n v="0"/>
    <n v="0"/>
    <n v="14904"/>
    <n v="258336"/>
    <n v="0"/>
    <n v="4.5"/>
    <n v="14904"/>
    <n v="654806.7226890756"/>
    <n v="30"/>
    <n v="0"/>
    <n v="39"/>
    <n v="0"/>
    <m/>
    <n v="0"/>
    <n v="149994"/>
    <n v="0"/>
    <n v="0"/>
    <n v="0"/>
    <n v="327403.3613445378"/>
  </r>
  <r>
    <m/>
    <x v="6"/>
    <x v="30"/>
    <x v="70"/>
    <n v="1654189048611"/>
    <x v="686"/>
    <x v="527"/>
    <x v="0"/>
    <x v="3"/>
    <n v="1.2"/>
    <x v="346"/>
    <n v="237"/>
    <m/>
    <n v="0"/>
    <n v="3403"/>
    <n v="806511"/>
    <n v="2.9"/>
    <n v="3168.25"/>
    <n v="7554.621848739496"/>
    <n v="6714.285714285715"/>
    <s v="Shenzhen"/>
    <s v="30/70"/>
    <n v="30"/>
    <n v="300"/>
    <n v="123"/>
    <n v="0.4931979740265034"/>
    <n v="64"/>
    <n v="0.5793583511629014"/>
    <n v="95"/>
    <n v="0.6030144800455145"/>
    <n v="54"/>
    <n v="0.5941209214298305"/>
    <n v="83"/>
    <n v="0.5932096825232211"/>
    <n v="102"/>
    <n v="0.6149388995834197"/>
    <n v="73"/>
    <n v="0.5831971807269489"/>
    <n v="74"/>
    <n v="0.5684304793917356"/>
    <n v="37"/>
    <n v="0.6585615891404852"/>
    <n v="144"/>
    <n v="0.5489703802297851"/>
    <n v="116"/>
    <n v="0.5680707011453372"/>
    <n v="78"/>
    <n v="0.5642173768785177"/>
    <n v="104"/>
    <n v="0.5283782745771736"/>
    <n v="56"/>
    <n v="0.4686010167579716"/>
    <n v="146"/>
    <n v="0.512033043868157"/>
    <n v="71"/>
    <n v="0.5194991610146628"/>
    <n v="1.42"/>
    <n v="42"/>
    <n v="0.4952421552231456"/>
    <n v="0.42"/>
    <n v="61"/>
    <n v="0.3467510276990368"/>
    <n v="0.4357142857142857"/>
    <n v="0"/>
    <s v=""/>
    <n v="0"/>
    <n v="0"/>
    <s v=""/>
    <n v="0"/>
    <m/>
    <m/>
    <m/>
    <m/>
    <m/>
    <m/>
    <m/>
    <m/>
    <m/>
    <m/>
    <m/>
    <m/>
    <n v="100"/>
    <n v="171"/>
    <n v="100"/>
    <n v="100"/>
    <n v="100"/>
    <n v="0"/>
    <n v="1122990"/>
    <n v="513256.4999999999"/>
    <n v="340300"/>
    <n v="0"/>
    <n v="237"/>
    <n v="806511"/>
    <n v="634842.172162983"/>
    <n v="60"/>
    <n v="321"/>
    <n v="84"/>
    <n v="0"/>
    <n v="0"/>
    <n v="0"/>
    <n v="1024303"/>
    <n v="963481.4999999999"/>
    <n v="285852"/>
    <n v="0"/>
    <n v="237"/>
    <n v="806511"/>
    <n v="533267.4246169056"/>
    <n v="100"/>
    <n v="284"/>
    <n v="146"/>
    <n v="0"/>
    <n v="0"/>
    <n v="1098631"/>
    <n v="966452"/>
    <n v="496838"/>
    <n v="0"/>
    <n v="237"/>
    <n v="806511"/>
    <n v="1102974.789915967"/>
    <n v="50"/>
    <n v="339"/>
    <n v="71"/>
    <n v="300"/>
    <n v="0"/>
    <n v="1017508.5"/>
    <n v="241613"/>
    <n v="900449.9999999999"/>
    <n v="0"/>
    <n v="237"/>
    <n v="806511"/>
    <n v="536378.1512605043"/>
    <n v="100"/>
    <n v="279"/>
    <n v="120"/>
    <m/>
    <n v="0"/>
    <n v="0"/>
    <n v="949437"/>
    <n v="360179.9999999999"/>
    <n v="0"/>
    <n v="0"/>
    <n v="237"/>
    <n v="806511"/>
    <n v="906554.6218487396"/>
    <n v="140"/>
    <n v="298"/>
    <n v="61"/>
    <m/>
    <n v="0"/>
    <n v="0"/>
    <n v="1014094"/>
    <n v="183091.5"/>
    <n v="0"/>
    <n v="0"/>
    <n v="298"/>
    <n v="806511"/>
    <n v="460831.9327731093"/>
    <n v="99"/>
    <n v="237"/>
    <n v="0"/>
    <n v="0"/>
    <n v="100"/>
    <n v="0"/>
    <n v="806511"/>
    <n v="0"/>
    <n v="0"/>
    <n v="0"/>
    <n v="237"/>
    <n v="806511"/>
    <n v="0"/>
    <n v="100"/>
    <n v="237"/>
    <n v="120"/>
    <n v="300"/>
    <n v="300"/>
    <n v="0"/>
    <n v="806511"/>
    <n v="360179.9999999999"/>
    <n v="900449.9999999999"/>
    <n v="0"/>
    <n v="237"/>
    <n v="806511"/>
    <n v="906554.6218487396"/>
    <n v="70"/>
    <n v="117"/>
    <n v="84"/>
    <n v="0"/>
    <n v="0"/>
    <n v="304"/>
    <n v="351175.4999999999"/>
    <n v="252126"/>
    <n v="0"/>
    <n v="912455.9999999999"/>
    <n v="421"/>
    <n v="1263631.5"/>
    <n v="634588.2352941177"/>
    <n v="140"/>
    <n v="337"/>
    <n v="168"/>
    <n v="0"/>
    <n v="0"/>
    <n v="0"/>
    <m/>
    <n v="1011505.5"/>
    <n v="504251.9999999999"/>
    <n v="0"/>
    <n v="0"/>
    <n v="337"/>
    <n v="1011505.5"/>
    <n v="1128000"/>
    <n v="80"/>
    <n v="169"/>
    <n v="96"/>
    <n v="0"/>
    <n v="0"/>
    <n v="507253.4999999999"/>
    <n v="288143.9999999999"/>
    <n v="0"/>
    <n v="0"/>
    <n v="169"/>
    <n v="507253.4999999999"/>
    <n v="676800.0000000001"/>
    <n v="80"/>
    <n v="73"/>
    <n v="96"/>
    <n v="0"/>
    <n v="0"/>
    <n v="219109.5"/>
    <n v="288143.9999999999"/>
    <n v="0"/>
    <n v="73"/>
    <n v="219109.5"/>
    <n v="725243.6974789917"/>
    <n v="48"/>
    <n v="0"/>
    <n v="57.59999999999999"/>
    <n v="0"/>
    <m/>
    <n v="0"/>
    <n v="196012.8"/>
    <n v="0"/>
    <n v="0"/>
    <n v="0"/>
    <n v="435146.2184873949"/>
  </r>
  <r>
    <m/>
    <x v="6"/>
    <x v="30"/>
    <x v="70"/>
    <n v="1654189204021"/>
    <x v="687"/>
    <x v="528"/>
    <x v="0"/>
    <x v="3"/>
    <n v="0.8"/>
    <x v="347"/>
    <n v="442"/>
    <m/>
    <n v="0"/>
    <n v="4479"/>
    <n v="1979718"/>
    <n v="3.6"/>
    <n v="3933"/>
    <n v="9235.294117647059"/>
    <n v="8394.957983193277"/>
    <s v="Shenzhen"/>
    <s v="30/70"/>
    <n v="30"/>
    <n v="300"/>
    <n v="38"/>
    <n v="0.6168168723967252"/>
    <n v="59"/>
    <n v="0.6132165539191464"/>
    <n v="118"/>
    <n v="0.6162661622481708"/>
    <n v="61"/>
    <n v="0.6212415174159351"/>
    <n v="81"/>
    <n v="0.6336301566502822"/>
    <n v="104"/>
    <n v="0.5793580262391734"/>
    <n v="64"/>
    <n v="0.6245891250771998"/>
    <n v="59"/>
    <n v="0.6580299035779293"/>
    <n v="49"/>
    <n v="0.6532511696627603"/>
    <n v="85"/>
    <n v="0.5563634834583681"/>
    <n v="86"/>
    <n v="0.5501837089055748"/>
    <n v="54"/>
    <n v="0.5788966088860693"/>
    <n v="92"/>
    <n v="0.4168074167022009"/>
    <n v="77"/>
    <n v="0.5120530256460805"/>
    <n v="119"/>
    <n v="0.4148894663083965"/>
    <n v="30"/>
    <n v="0.4124401161665384"/>
    <n v="0.5"/>
    <n v="35"/>
    <n v="0.5033149750361072"/>
    <n v="0.4375"/>
    <n v="62"/>
    <n v="0.3762689534858099"/>
    <n v="0.5636363636363636"/>
    <n v="0"/>
    <s v=""/>
    <n v="0"/>
    <n v="0"/>
    <s v=""/>
    <n v="0"/>
    <m/>
    <m/>
    <m/>
    <m/>
    <m/>
    <m/>
    <m/>
    <m/>
    <m/>
    <m/>
    <m/>
    <m/>
    <n v="50"/>
    <n v="332"/>
    <n v="70"/>
    <n v="0"/>
    <n v="0"/>
    <n v="0"/>
    <n v="1363855.5"/>
    <n v="1237032"/>
    <n v="313530"/>
    <n v="0"/>
    <n v="442"/>
    <n v="1979718"/>
    <n v="543252.5951557094"/>
    <n v="60"/>
    <n v="231"/>
    <n v="115.5"/>
    <n v="0"/>
    <n v="0"/>
    <n v="0"/>
    <n v="1184695.5"/>
    <n v="860705.9999999999"/>
    <n v="517324.5"/>
    <n v="0"/>
    <n v="442"/>
    <n v="1979718"/>
    <n v="896366.7820069205"/>
    <n v="100"/>
    <n v="149"/>
    <n v="119"/>
    <n v="0"/>
    <n v="0"/>
    <n v="905835"/>
    <n v="667371"/>
    <n v="533001"/>
    <n v="0"/>
    <n v="442"/>
    <n v="1979718"/>
    <n v="1099000"/>
    <n v="60"/>
    <n v="120"/>
    <n v="30"/>
    <n v="300"/>
    <n v="0"/>
    <n v="447119.9999999999"/>
    <n v="134370"/>
    <n v="1117800"/>
    <n v="0"/>
    <n v="442"/>
    <n v="1979718"/>
    <n v="277058.8235294118"/>
    <n v="80"/>
    <n v="477"/>
    <n v="64"/>
    <m/>
    <n v="0"/>
    <n v="0"/>
    <n v="2136483"/>
    <n v="238464"/>
    <n v="0"/>
    <n v="0"/>
    <n v="442"/>
    <n v="1979718"/>
    <n v="591058.8235294118"/>
    <n v="110"/>
    <n v="504"/>
    <n v="62"/>
    <m/>
    <n v="180"/>
    <n v="0"/>
    <n v="2257416"/>
    <n v="231012"/>
    <n v="0"/>
    <n v="0"/>
    <n v="504"/>
    <n v="1979718"/>
    <n v="572588.2352941177"/>
    <n v="87"/>
    <n v="442"/>
    <n v="0"/>
    <n v="300"/>
    <n v="300"/>
    <n v="0"/>
    <n v="1979718"/>
    <n v="0"/>
    <n v="1080540"/>
    <n v="0"/>
    <n v="442"/>
    <n v="1979718"/>
    <n v="0"/>
    <n v="60"/>
    <n v="442"/>
    <n v="48"/>
    <n v="0"/>
    <n v="0"/>
    <n v="0"/>
    <n v="1979718"/>
    <n v="178848"/>
    <n v="0"/>
    <n v="0"/>
    <n v="442"/>
    <n v="1979718"/>
    <n v="443294.1176470589"/>
    <n v="50"/>
    <n v="394"/>
    <n v="40"/>
    <n v="0"/>
    <n v="0"/>
    <n v="0"/>
    <n v="1468044"/>
    <n v="149040"/>
    <n v="0"/>
    <n v="0"/>
    <n v="394"/>
    <n v="1468044"/>
    <n v="369411.7647058824"/>
    <n v="70"/>
    <n v="354"/>
    <n v="56"/>
    <n v="0"/>
    <n v="0"/>
    <n v="0"/>
    <m/>
    <n v="1319004"/>
    <n v="208656"/>
    <n v="0"/>
    <n v="0"/>
    <n v="354"/>
    <n v="1319004"/>
    <n v="470117.6470588235"/>
    <n v="50"/>
    <n v="298"/>
    <n v="40"/>
    <n v="0"/>
    <n v="0"/>
    <n v="1110348"/>
    <n v="149040"/>
    <n v="0"/>
    <n v="0"/>
    <n v="298"/>
    <n v="1110348"/>
    <n v="352588.2352941177"/>
    <n v="70"/>
    <n v="258"/>
    <n v="56"/>
    <n v="0"/>
    <n v="0"/>
    <n v="961307.9999999999"/>
    <n v="208656"/>
    <n v="0"/>
    <n v="258"/>
    <n v="961307.9999999999"/>
    <n v="517176.4705882353"/>
    <n v="30"/>
    <n v="202"/>
    <n v="24"/>
    <n v="0"/>
    <m/>
    <n v="752651.9999999999"/>
    <n v="107496"/>
    <n v="0"/>
    <n v="202"/>
    <n v="752651.9999999999"/>
    <n v="221647.0588235294"/>
  </r>
  <r>
    <m/>
    <x v="6"/>
    <x v="30"/>
    <x v="70"/>
    <n v="1654207748340"/>
    <x v="688"/>
    <x v="529"/>
    <x v="0"/>
    <x v="1"/>
    <n v="1"/>
    <x v="348"/>
    <n v="661"/>
    <m/>
    <n v="0"/>
    <n v="7067"/>
    <n v="4671287"/>
    <n v="6.9"/>
    <n v="7538.249999999999"/>
    <n v="16798.31932773109"/>
    <n v="15957.98319327731"/>
    <s v="Shenzhen"/>
    <s v="30/70"/>
    <n v="30"/>
    <n v="100"/>
    <n v="303"/>
    <n v="0.506158909047447"/>
    <n v="159"/>
    <n v="0.495524412441892"/>
    <n v="302"/>
    <n v="0.5024459525887783"/>
    <n v="33"/>
    <n v="0.5154362015209542"/>
    <n v="4"/>
    <n v="0.5197810556951978"/>
    <n v="232"/>
    <n v="0.4547383987583439"/>
    <n v="192"/>
    <n v="0.5608494966340405"/>
    <n v="98"/>
    <n v="0.568953649416084"/>
    <n v="87"/>
    <n v="0.5938490555005804"/>
    <n v="368"/>
    <n v="0.4280578120433528"/>
    <n v="150"/>
    <n v="0.4797924179716733"/>
    <n v="156"/>
    <n v="0.507519570060755"/>
    <n v="137"/>
    <n v="0.3293040538730006"/>
    <n v="118"/>
    <n v="0.3170186763174414"/>
    <n v="156"/>
    <n v="0.3809143206818778"/>
    <n v="131"/>
    <n v="0.4425187067645784"/>
    <n v="0.8733333333333333"/>
    <n v="157"/>
    <n v="0.5439253518919533"/>
    <n v="0.8722222222222222"/>
    <n v="208"/>
    <n v="0.4361924140830997"/>
    <n v="0.832"/>
    <n v="0"/>
    <s v=""/>
    <n v="0"/>
    <n v="0"/>
    <s v=""/>
    <n v="0"/>
    <m/>
    <m/>
    <m/>
    <m/>
    <m/>
    <m/>
    <m/>
    <m/>
    <m/>
    <m/>
    <m/>
    <m/>
    <n v="250"/>
    <n v="238"/>
    <n v="150"/>
    <n v="150"/>
    <n v="150"/>
    <n v="0"/>
    <n v="3413361"/>
    <n v="1699677"/>
    <n v="1060050"/>
    <n v="0"/>
    <n v="661"/>
    <n v="4671287"/>
    <n v="2117435.209377869"/>
    <n v="180"/>
    <n v="282"/>
    <n v="177"/>
    <n v="350"/>
    <n v="250"/>
    <n v="0"/>
    <n v="3279088"/>
    <n v="2013903"/>
    <n v="1250859"/>
    <n v="0"/>
    <n v="661"/>
    <n v="4671287"/>
    <n v="2498573.547065885"/>
    <n v="300"/>
    <n v="817"/>
    <n v="156"/>
    <n v="0"/>
    <n v="0"/>
    <n v="3313699"/>
    <n v="5773739"/>
    <n v="1102452"/>
    <n v="0"/>
    <n v="661"/>
    <n v="4671287"/>
    <n v="2620537.81512605"/>
    <n v="150"/>
    <n v="688"/>
    <n v="131"/>
    <n v="650"/>
    <n v="0"/>
    <n v="4913351.999999999"/>
    <n v="925777"/>
    <n v="4641974.999999999"/>
    <n v="0"/>
    <n v="661"/>
    <n v="4671287"/>
    <n v="2200579.831932773"/>
    <n v="180"/>
    <n v="818"/>
    <n v="180"/>
    <m/>
    <n v="0"/>
    <n v="0"/>
    <n v="5780806"/>
    <n v="1285470"/>
    <n v="0"/>
    <n v="0"/>
    <n v="661"/>
    <n v="4671287"/>
    <n v="3023697.478991597"/>
    <n v="250"/>
    <n v="869"/>
    <n v="208"/>
    <m/>
    <n v="306"/>
    <n v="0"/>
    <n v="6141223"/>
    <n v="1485432"/>
    <n v="0"/>
    <n v="0"/>
    <n v="869"/>
    <n v="4671287"/>
    <n v="3494050.420168067"/>
    <n v="200"/>
    <n v="661"/>
    <n v="0"/>
    <n v="350"/>
    <n v="350"/>
    <n v="0"/>
    <n v="4671287"/>
    <n v="0"/>
    <n v="2416207.5"/>
    <n v="0"/>
    <n v="661"/>
    <n v="4671287"/>
    <n v="0"/>
    <n v="150"/>
    <n v="661"/>
    <n v="150"/>
    <n v="0"/>
    <n v="0"/>
    <n v="0"/>
    <n v="4671287"/>
    <n v="1071225"/>
    <n v="0"/>
    <n v="0"/>
    <n v="661"/>
    <n v="4671287"/>
    <n v="2519747.899159664"/>
    <n v="150"/>
    <n v="511"/>
    <n v="150"/>
    <n v="0"/>
    <n v="0"/>
    <n v="0"/>
    <n v="3649306.5"/>
    <n v="1071225"/>
    <n v="0"/>
    <n v="0"/>
    <n v="511"/>
    <n v="3649306.5"/>
    <n v="2519747.899159664"/>
    <n v="300"/>
    <n v="361"/>
    <n v="300"/>
    <n v="0"/>
    <n v="0"/>
    <n v="0"/>
    <m/>
    <n v="2578081.5"/>
    <n v="2142450"/>
    <n v="0"/>
    <n v="0"/>
    <n v="361"/>
    <n v="2578081.5"/>
    <n v="4787394.957983194"/>
    <n v="160"/>
    <n v="61"/>
    <n v="160"/>
    <n v="300"/>
    <n v="300"/>
    <n v="435631.4999999999"/>
    <n v="1142640"/>
    <n v="2142450"/>
    <n v="2142450"/>
    <n v="361"/>
    <n v="2578081.5"/>
    <n v="2680941.176470588"/>
    <n v="200"/>
    <n v="201"/>
    <n v="200"/>
    <n v="0"/>
    <n v="0"/>
    <n v="1435441.5"/>
    <n v="1428300"/>
    <n v="0"/>
    <n v="201"/>
    <n v="1435441.5"/>
    <n v="3359663.865546219"/>
    <n v="96"/>
    <n v="1"/>
    <n v="96"/>
    <n v="0"/>
    <m/>
    <n v="7141.499999999999"/>
    <n v="678432"/>
    <n v="0"/>
    <n v="1"/>
    <n v="7141.499999999999"/>
    <n v="1612638.655462185"/>
  </r>
  <r>
    <m/>
    <x v="6"/>
    <x v="30"/>
    <x v="70"/>
    <n v="1660858416606"/>
    <x v="689"/>
    <x v="530"/>
    <x v="0"/>
    <x v="3"/>
    <n v="1"/>
    <x v="349"/>
    <n v="134"/>
    <m/>
    <n v="0"/>
    <n v="5888"/>
    <n v="788992"/>
    <n v="6.1"/>
    <n v="6664.249999999999"/>
    <n v="14277.31092436975"/>
    <n v="13436.97478991597"/>
    <s v="Shenzhen"/>
    <s v="30/70"/>
    <n v="45"/>
    <n v="200"/>
    <n v="40"/>
    <n v="0.6650359124869079"/>
    <n v="30"/>
    <n v="0.680442654241076"/>
    <n v="32"/>
    <n v="0.6558405349071409"/>
    <n v="24"/>
    <n v="0.6673315443670087"/>
    <n v="59"/>
    <n v="0.6045597891383537"/>
    <n v="67"/>
    <n v="0.6516213608668786"/>
    <n v="28"/>
    <n v="0.6724871882508384"/>
    <n v="33"/>
    <n v="0.6760514857167618"/>
    <n v="24"/>
    <n v="0.6738714937828298"/>
    <n v="60"/>
    <n v="0.6252199931132395"/>
    <n v="44"/>
    <n v="0.6016689389375798"/>
    <n v="34"/>
    <n v="0.5917408616166437"/>
    <n v="68"/>
    <n v="0.3807762727155586"/>
    <n v="41"/>
    <n v="0.3126776017615714"/>
    <n v="58"/>
    <n v="0.3310279430741168"/>
    <n v="37"/>
    <n v="0.397012459056055"/>
    <n v="1.057142857142857"/>
    <n v="11"/>
    <n v="0.4679678934130022"/>
    <n v="0.2"/>
    <n v="5"/>
    <n v="0.5413331681046373"/>
    <n v="0.07142857142857142"/>
    <n v="3"/>
    <s v=""/>
    <n v="0.08571428571428572"/>
    <n v="0"/>
    <s v=""/>
    <n v="0"/>
    <m/>
    <m/>
    <m/>
    <m/>
    <m/>
    <m/>
    <m/>
    <m/>
    <m/>
    <m/>
    <m/>
    <m/>
    <n v="34"/>
    <n v="214"/>
    <n v="55"/>
    <n v="0"/>
    <n v="0"/>
    <n v="0"/>
    <n v="1027456"/>
    <n v="1351089"/>
    <n v="323840"/>
    <n v="0"/>
    <n v="134"/>
    <n v="788992"/>
    <n v="659875.7149918792"/>
    <n v="40"/>
    <n v="157"/>
    <n v="61.5"/>
    <n v="0"/>
    <n v="0"/>
    <n v="0"/>
    <n v="921472"/>
    <n v="991219.4999999999"/>
    <n v="362112"/>
    <n v="0"/>
    <n v="134"/>
    <n v="788992"/>
    <n v="737861.0267636467"/>
    <n v="45"/>
    <n v="105"/>
    <n v="58"/>
    <n v="0"/>
    <n v="0"/>
    <n v="906602.5"/>
    <n v="618240"/>
    <n v="341504"/>
    <n v="0"/>
    <n v="134"/>
    <n v="788992"/>
    <n v="828084.0336134455"/>
    <n v="35"/>
    <n v="55"/>
    <n v="37"/>
    <n v="0"/>
    <n v="0"/>
    <n v="347242.4999999999"/>
    <n v="217856"/>
    <n v="0"/>
    <n v="0"/>
    <n v="134"/>
    <n v="788992"/>
    <n v="528260.5042016808"/>
    <n v="55"/>
    <n v="145"/>
    <n v="55"/>
    <m/>
    <n v="0"/>
    <n v="0"/>
    <n v="853760"/>
    <n v="347242.4999999999"/>
    <n v="0"/>
    <n v="0"/>
    <n v="134"/>
    <n v="788992"/>
    <n v="785252.1008403362"/>
    <n v="70"/>
    <n v="139"/>
    <n v="5"/>
    <m/>
    <n v="0"/>
    <n v="0"/>
    <n v="818432"/>
    <n v="31567.5"/>
    <n v="0"/>
    <n v="0"/>
    <n v="139"/>
    <n v="788992"/>
    <n v="71386.55462184874"/>
    <n v="35"/>
    <n v="137"/>
    <n v="3"/>
    <n v="200"/>
    <n v="200"/>
    <n v="0"/>
    <n v="806656"/>
    <n v="18940.5"/>
    <n v="1220610"/>
    <n v="0"/>
    <n v="137"/>
    <n v="788992"/>
    <n v="42831.93277310925"/>
    <n v="30"/>
    <n v="134"/>
    <n v="30"/>
    <n v="0"/>
    <n v="0"/>
    <n v="0"/>
    <n v="788992"/>
    <n v="189405"/>
    <n v="0"/>
    <n v="0"/>
    <n v="134"/>
    <n v="788992"/>
    <n v="428319.3277310925"/>
    <n v="25"/>
    <n v="104"/>
    <n v="25"/>
    <n v="0"/>
    <n v="0"/>
    <n v="0"/>
    <n v="656603.9999999999"/>
    <n v="157837.5"/>
    <n v="0"/>
    <n v="0"/>
    <n v="104"/>
    <n v="656603.9999999999"/>
    <n v="356932.7731092437"/>
    <n v="50"/>
    <n v="79"/>
    <n v="50"/>
    <n v="0"/>
    <n v="0"/>
    <n v="0"/>
    <m/>
    <n v="498766.4999999999"/>
    <n v="315674.9999999999"/>
    <n v="0"/>
    <n v="0"/>
    <n v="79"/>
    <n v="498766.4999999999"/>
    <n v="671848.7394957984"/>
    <n v="40"/>
    <n v="29"/>
    <n v="40"/>
    <n v="0"/>
    <n v="0"/>
    <n v="183091.5"/>
    <n v="252540"/>
    <n v="0"/>
    <n v="0"/>
    <n v="29"/>
    <n v="183091.5"/>
    <n v="564352.9411764706"/>
    <n v="40"/>
    <n v="0"/>
    <n v="40"/>
    <n v="0"/>
    <n v="0"/>
    <n v="0"/>
    <n v="252540"/>
    <n v="0"/>
    <n v="0"/>
    <n v="0"/>
    <n v="571092.4369747899"/>
    <n v="24"/>
    <n v="0"/>
    <n v="24"/>
    <n v="0"/>
    <m/>
    <n v="0"/>
    <n v="141312"/>
    <n v="0"/>
    <n v="0"/>
    <n v="0"/>
    <n v="342655.462184874"/>
  </r>
  <r>
    <m/>
    <x v="6"/>
    <x v="30"/>
    <x v="70"/>
    <n v="1660858812938"/>
    <x v="690"/>
    <x v="531"/>
    <x v="0"/>
    <x v="5"/>
    <n v="0.6"/>
    <x v="350"/>
    <n v="84"/>
    <m/>
    <n v="0"/>
    <n v="1531"/>
    <n v="128604"/>
    <n v="1.4"/>
    <n v="1529.5"/>
    <n v="4193.27731092437"/>
    <n v="4613.445378151261"/>
    <s v="Shenzhen"/>
    <s v="30/70"/>
    <n v="30"/>
    <n v="50"/>
    <n v="9"/>
    <n v="0.5983781814396502"/>
    <n v="31"/>
    <n v="0.6167639055812083"/>
    <n v="30"/>
    <n v="0.5759645669291339"/>
    <n v="56"/>
    <n v="0.5220394319766704"/>
    <n v="15"/>
    <n v="0.5828800722922672"/>
    <n v="71"/>
    <n v="0.4760976967504001"/>
    <n v="18"/>
    <n v="0.47740610447459"/>
    <n v="11"/>
    <n v="0.6028980798175664"/>
    <n v="41"/>
    <n v="0.4757313991219699"/>
    <n v="31"/>
    <n v="0.5182972832670013"/>
    <n v="10"/>
    <n v="0.5414803775459514"/>
    <n v="26"/>
    <n v="0.550542373257342"/>
    <n v="18"/>
    <n v="0.4715909001804187"/>
    <n v="10"/>
    <n v="0.2170792586056731"/>
    <n v="54"/>
    <n v="0.5201186440633304"/>
    <n v="15"/>
    <n v="0.4611087288429229"/>
    <n v="0.3"/>
    <n v="53"/>
    <n v="0.5155511182108626"/>
    <n v="2.304347826086957"/>
    <n v="14"/>
    <n v="0.3047270222890058"/>
    <n v="0.1971830985915493"/>
    <n v="0"/>
    <s v=""/>
    <n v="0"/>
    <n v="0"/>
    <s v=""/>
    <n v="0"/>
    <m/>
    <m/>
    <m/>
    <m/>
    <m/>
    <m/>
    <m/>
    <m/>
    <m/>
    <m/>
    <m/>
    <m/>
    <n v="20"/>
    <n v="105"/>
    <n v="15"/>
    <n v="0"/>
    <n v="0"/>
    <n v="0"/>
    <n v="128604"/>
    <n v="152145"/>
    <n v="22965"/>
    <n v="0"/>
    <n v="84"/>
    <n v="128604"/>
    <n v="52856.43669232399"/>
    <n v="30"/>
    <n v="174"/>
    <n v="15"/>
    <n v="100"/>
    <n v="50"/>
    <n v="0"/>
    <n v="128604"/>
    <n v="252126"/>
    <n v="22965"/>
    <n v="0"/>
    <n v="84"/>
    <n v="128604"/>
    <n v="52856.43669232399"/>
    <n v="30"/>
    <n v="167"/>
    <n v="54"/>
    <n v="0"/>
    <n v="0"/>
    <n v="125635.2"/>
    <n v="255677"/>
    <n v="82674"/>
    <n v="0"/>
    <n v="84"/>
    <n v="128604"/>
    <n v="226436.974789916"/>
    <n v="50"/>
    <n v="208"/>
    <n v="15"/>
    <n v="0"/>
    <n v="0"/>
    <n v="301392"/>
    <n v="22965"/>
    <n v="0"/>
    <n v="0"/>
    <n v="84"/>
    <n v="128604"/>
    <n v="62899.15966386555"/>
    <n v="23"/>
    <n v="137"/>
    <n v="13.8"/>
    <m/>
    <n v="0"/>
    <n v="0"/>
    <n v="209747"/>
    <n v="19996.2"/>
    <n v="0"/>
    <n v="0"/>
    <n v="84"/>
    <n v="128604"/>
    <n v="57867.2268907563"/>
    <n v="71"/>
    <n v="98"/>
    <n v="14"/>
    <m/>
    <n v="0"/>
    <n v="0"/>
    <n v="150038"/>
    <n v="20286"/>
    <n v="0"/>
    <n v="0"/>
    <n v="98"/>
    <n v="128604"/>
    <n v="58705.88235294117"/>
    <n v="18"/>
    <n v="84"/>
    <n v="0"/>
    <n v="100"/>
    <n v="100"/>
    <n v="0"/>
    <n v="128604"/>
    <n v="0"/>
    <n v="140070"/>
    <n v="0"/>
    <n v="84"/>
    <n v="128604"/>
    <n v="0"/>
    <n v="40"/>
    <n v="84"/>
    <n v="24"/>
    <n v="0"/>
    <n v="0"/>
    <n v="0"/>
    <n v="128604"/>
    <n v="34776"/>
    <n v="0"/>
    <n v="0"/>
    <n v="84"/>
    <n v="128604"/>
    <n v="100638.6554621849"/>
    <n v="41"/>
    <n v="60"/>
    <n v="24.6"/>
    <n v="0"/>
    <n v="0"/>
    <n v="0"/>
    <n v="86940"/>
    <n v="35645.39999999999"/>
    <n v="0"/>
    <n v="0"/>
    <n v="60"/>
    <n v="86940"/>
    <n v="103154.6218487395"/>
    <n v="30"/>
    <n v="35.40000000000001"/>
    <n v="18"/>
    <n v="0"/>
    <n v="0"/>
    <n v="0"/>
    <m/>
    <n v="51294.60000000001"/>
    <n v="26082"/>
    <n v="0"/>
    <n v="0"/>
    <n v="35.40000000000001"/>
    <n v="51294.60000000001"/>
    <n v="83042.01680672271"/>
    <n v="10"/>
    <n v="17.40000000000001"/>
    <n v="6"/>
    <n v="0"/>
    <n v="0"/>
    <n v="25212.60000000001"/>
    <n v="8694"/>
    <n v="0"/>
    <n v="0"/>
    <n v="17.40000000000001"/>
    <n v="25212.60000000001"/>
    <n v="29064.70588235295"/>
    <n v="26"/>
    <n v="11.40000000000001"/>
    <n v="15.6"/>
    <n v="0"/>
    <n v="0"/>
    <n v="16518.60000000001"/>
    <n v="22604.4"/>
    <n v="0"/>
    <n v="11.40000000000001"/>
    <n v="16518.60000000001"/>
    <n v="65415.12605042017"/>
    <n v="6"/>
    <n v="0"/>
    <n v="3.6"/>
    <n v="0"/>
    <m/>
    <n v="0"/>
    <n v="5511.599999999999"/>
    <n v="0"/>
    <n v="0"/>
    <n v="0"/>
    <n v="15095.79831932773"/>
  </r>
  <r>
    <m/>
    <x v="6"/>
    <x v="30"/>
    <x v="70"/>
    <n v="1660858828618"/>
    <x v="691"/>
    <x v="532"/>
    <x v="0"/>
    <x v="5"/>
    <n v="0.6"/>
    <x v="351"/>
    <n v="29"/>
    <m/>
    <n v="0"/>
    <n v="2898"/>
    <n v="84042"/>
    <n v="2.6"/>
    <n v="2840.5"/>
    <n v="6714.285714285715"/>
    <n v="5453.781512605042"/>
    <s v="Shenzhen"/>
    <s v="30/70"/>
    <n v="30"/>
    <n v="50"/>
    <n v="14"/>
    <n v="0.5064203817856433"/>
    <n v="17"/>
    <n v="0.4650575265173604"/>
    <n v="19"/>
    <n v="0.4726171323096158"/>
    <n v="35"/>
    <n v="0.3732255913743402"/>
    <n v="10"/>
    <n v="0.3691451409962254"/>
    <n v="29"/>
    <n v="0.3684458106956249"/>
    <n v="31"/>
    <n v="0.3382689742139186"/>
    <n v="44"/>
    <n v="0.3285686278215127"/>
    <n v="24"/>
    <n v="0.3470729585579418"/>
    <n v="16"/>
    <n v="0.4549495657929991"/>
    <n v="9"/>
    <n v="0.3867063861478309"/>
    <n v="28"/>
    <n v="0.3630520799351763"/>
    <n v="8"/>
    <n v="0.3971259925733098"/>
    <n v="7"/>
    <n v="0.281714112582278"/>
    <n v="52"/>
    <n v="0.2979234588823128"/>
    <n v="9"/>
    <n v="0.3896561949396817"/>
    <n v="0.2571428571428571"/>
    <n v="22"/>
    <n v="0.3929308523747491"/>
    <n v="2.2"/>
    <n v="12"/>
    <n v="0.05068131016600601"/>
    <n v="0.4137931034482759"/>
    <n v="0"/>
    <s v=""/>
    <n v="0"/>
    <n v="0"/>
    <s v=""/>
    <n v="0"/>
    <m/>
    <m/>
    <m/>
    <m/>
    <m/>
    <m/>
    <m/>
    <m/>
    <m/>
    <m/>
    <m/>
    <m/>
    <n v="15"/>
    <n v="86"/>
    <n v="10"/>
    <n v="0"/>
    <n v="0"/>
    <n v="0"/>
    <n v="210105"/>
    <n v="231426"/>
    <n v="28980"/>
    <n v="0"/>
    <n v="29"/>
    <n v="84042"/>
    <n v="56422.56902761105"/>
    <n v="20"/>
    <n v="170"/>
    <n v="10.5"/>
    <n v="100"/>
    <n v="50"/>
    <n v="0"/>
    <n v="207207"/>
    <n v="457470"/>
    <n v="30429"/>
    <n v="0"/>
    <n v="29"/>
    <n v="84042"/>
    <n v="59243.69747899161"/>
    <n v="25"/>
    <n v="165"/>
    <n v="52"/>
    <n v="0"/>
    <n v="0"/>
    <n v="192924"/>
    <n v="478170"/>
    <n v="150696"/>
    <n v="0"/>
    <n v="29"/>
    <n v="84042"/>
    <n v="349142.8571428572"/>
    <n v="35"/>
    <n v="200"/>
    <n v="9"/>
    <n v="0"/>
    <n v="0"/>
    <n v="538200"/>
    <n v="26082"/>
    <n v="0"/>
    <n v="0"/>
    <n v="29"/>
    <n v="84042"/>
    <n v="60428.57142857143"/>
    <n v="10"/>
    <n v="51"/>
    <n v="6"/>
    <m/>
    <n v="0"/>
    <n v="0"/>
    <n v="147798"/>
    <n v="16146"/>
    <n v="0"/>
    <n v="0"/>
    <n v="29"/>
    <n v="84042"/>
    <n v="40285.71428571429"/>
    <n v="29"/>
    <n v="41"/>
    <n v="12"/>
    <m/>
    <n v="0"/>
    <n v="0"/>
    <n v="118818"/>
    <n v="32292"/>
    <n v="0"/>
    <n v="0"/>
    <n v="41"/>
    <n v="84042"/>
    <n v="80571.42857142858"/>
    <n v="31"/>
    <n v="29"/>
    <n v="0"/>
    <n v="0"/>
    <n v="0"/>
    <n v="0"/>
    <n v="84042"/>
    <n v="0"/>
    <n v="0"/>
    <n v="0"/>
    <n v="29"/>
    <n v="84042"/>
    <n v="0"/>
    <n v="40"/>
    <n v="29"/>
    <n v="24"/>
    <n v="0"/>
    <n v="0"/>
    <n v="0"/>
    <n v="84042"/>
    <n v="64584"/>
    <n v="0"/>
    <n v="0"/>
    <n v="29"/>
    <n v="84042"/>
    <n v="161142.8571428572"/>
    <n v="24"/>
    <n v="5"/>
    <n v="14.4"/>
    <n v="0"/>
    <n v="0"/>
    <n v="0"/>
    <n v="13455"/>
    <n v="38750.39999999999"/>
    <n v="0"/>
    <n v="0"/>
    <n v="5"/>
    <n v="13455"/>
    <n v="96685.71428571428"/>
    <n v="15"/>
    <n v="0"/>
    <n v="0"/>
    <n v="0"/>
    <n v="0"/>
    <n v="0"/>
    <m/>
    <n v="0"/>
    <n v="0"/>
    <n v="0"/>
    <n v="0"/>
    <n v="0"/>
    <n v="0"/>
    <n v="0"/>
    <n v="10"/>
    <n v="0"/>
    <n v="6"/>
    <n v="0"/>
    <n v="0"/>
    <n v="0"/>
    <n v="16146"/>
    <n v="0"/>
    <n v="0"/>
    <n v="0"/>
    <n v="0"/>
    <n v="34358.82352941177"/>
    <n v="28"/>
    <n v="0"/>
    <n v="16.8"/>
    <n v="0"/>
    <n v="0"/>
    <n v="0"/>
    <n v="45208.8"/>
    <n v="0"/>
    <n v="0"/>
    <n v="0"/>
    <n v="112800"/>
    <n v="6"/>
    <n v="0"/>
    <n v="3.6"/>
    <n v="0"/>
    <m/>
    <n v="0"/>
    <n v="10432.8"/>
    <n v="0"/>
    <n v="0"/>
    <n v="0"/>
    <n v="24171.42857142857"/>
  </r>
  <r>
    <m/>
    <x v="6"/>
    <x v="30"/>
    <x v="70"/>
    <n v="1660858844449"/>
    <x v="692"/>
    <x v="533"/>
    <x v="0"/>
    <x v="5"/>
    <n v="0.7"/>
    <x v="352"/>
    <n v="193"/>
    <m/>
    <n v="0"/>
    <n v="3946"/>
    <n v="761578"/>
    <n v="3.2"/>
    <n v="3496"/>
    <n v="8394.957983193277"/>
    <n v="7134.453781512605"/>
    <s v="Shenzhen"/>
    <s v="30/70"/>
    <n v="30"/>
    <n v="50"/>
    <n v="9"/>
    <n v="0.5316478126133941"/>
    <n v="15"/>
    <n v="0.4636850769695416"/>
    <n v="13"/>
    <n v="0.4789371178578959"/>
    <n v="18"/>
    <n v="0.451734312231611"/>
    <n v="5"/>
    <s v=""/>
    <n v="21"/>
    <n v="0.2853103671594507"/>
    <n v="27"/>
    <n v="0.2983121274747121"/>
    <n v="31"/>
    <n v="0.2909476890003583"/>
    <n v="24"/>
    <n v="0.2301479907379337"/>
    <n v="26"/>
    <n v="0.4413021546337441"/>
    <n v="8"/>
    <n v="0.4384316928731877"/>
    <n v="22"/>
    <n v="0.3477020419423213"/>
    <n v="6"/>
    <n v="0.2898193706853431"/>
    <n v="5"/>
    <s v=""/>
    <n v="22"/>
    <n v="0.2856182756244157"/>
    <n v="10"/>
    <n v="0.3027074486226283"/>
    <n v="0.5"/>
    <n v="26"/>
    <n v="0.3198286601138127"/>
    <n v="2"/>
    <n v="17"/>
    <n v="0.2216488337631121"/>
    <n v="0.8095238095238095"/>
    <n v="0"/>
    <s v=""/>
    <n v="0"/>
    <n v="0"/>
    <s v=""/>
    <n v="0"/>
    <m/>
    <m/>
    <m/>
    <m/>
    <m/>
    <m/>
    <m/>
    <m/>
    <m/>
    <m/>
    <m/>
    <m/>
    <n v="15"/>
    <n v="204"/>
    <n v="10"/>
    <n v="100"/>
    <n v="100"/>
    <n v="0"/>
    <n v="155867"/>
    <n v="675647.9999999999"/>
    <n v="39460"/>
    <n v="0"/>
    <n v="193"/>
    <n v="761578"/>
    <n v="70545.86540498552"/>
    <n v="15"/>
    <n v="388"/>
    <n v="7.5"/>
    <n v="0"/>
    <n v="0"/>
    <n v="0"/>
    <n v="155867"/>
    <n v="1285056"/>
    <n v="29595"/>
    <n v="0"/>
    <n v="193"/>
    <n v="761578"/>
    <n v="52909.39905373914"/>
    <n v="15"/>
    <n v="387"/>
    <n v="22"/>
    <n v="0"/>
    <n v="0"/>
    <n v="156411.2"/>
    <n v="1527102"/>
    <n v="86812"/>
    <n v="0"/>
    <n v="193"/>
    <n v="761578"/>
    <n v="184689.0756302521"/>
    <n v="20"/>
    <n v="359"/>
    <n v="10"/>
    <n v="0"/>
    <n v="0"/>
    <n v="1189008"/>
    <n v="39460"/>
    <n v="0"/>
    <n v="0"/>
    <n v="193"/>
    <n v="761578"/>
    <n v="83949.57983193277"/>
    <n v="13"/>
    <n v="219"/>
    <n v="9.1"/>
    <m/>
    <n v="0"/>
    <n v="0"/>
    <n v="864174"/>
    <n v="30139.19999999999"/>
    <n v="0"/>
    <n v="0"/>
    <n v="193"/>
    <n v="761578"/>
    <n v="76394.11764705881"/>
    <n v="21"/>
    <n v="210"/>
    <n v="17"/>
    <m/>
    <n v="0"/>
    <n v="0"/>
    <n v="828660"/>
    <n v="56303.99999999999"/>
    <n v="0"/>
    <n v="0"/>
    <n v="210"/>
    <n v="761578"/>
    <n v="142714.2857142857"/>
    <n v="27"/>
    <n v="193"/>
    <n v="0"/>
    <n v="0"/>
    <n v="0"/>
    <n v="0"/>
    <n v="761578"/>
    <n v="0"/>
    <n v="0"/>
    <n v="0"/>
    <n v="193"/>
    <n v="761578"/>
    <n v="0"/>
    <n v="31"/>
    <n v="193"/>
    <n v="21.7"/>
    <n v="0"/>
    <n v="0"/>
    <n v="0"/>
    <n v="761578"/>
    <n v="71870.39999999999"/>
    <n v="0"/>
    <n v="0"/>
    <n v="193"/>
    <n v="761578"/>
    <n v="182170.5882352941"/>
    <n v="24"/>
    <n v="171.3"/>
    <n v="16.8"/>
    <n v="0"/>
    <n v="0"/>
    <n v="0"/>
    <n v="567345.6"/>
    <n v="55641.59999999998"/>
    <n v="0"/>
    <n v="0"/>
    <n v="171.3"/>
    <n v="567345.6"/>
    <n v="141035.294117647"/>
    <n v="30"/>
    <n v="154.5"/>
    <n v="21"/>
    <n v="0"/>
    <n v="0"/>
    <n v="0"/>
    <m/>
    <n v="511703.9999999999"/>
    <n v="69551.99999999999"/>
    <n v="0"/>
    <n v="0"/>
    <n v="154.5"/>
    <n v="511703.9999999999"/>
    <n v="149823.5294117647"/>
    <n v="10"/>
    <n v="133.5"/>
    <n v="7"/>
    <n v="0"/>
    <n v="0"/>
    <n v="442151.9999999999"/>
    <n v="23184"/>
    <n v="0"/>
    <n v="0"/>
    <n v="133.5"/>
    <n v="442151.9999999999"/>
    <n v="52438.23529411765"/>
    <n v="22"/>
    <n v="126.5"/>
    <n v="15.4"/>
    <n v="0"/>
    <n v="0"/>
    <n v="418967.9999999999"/>
    <n v="51004.79999999999"/>
    <n v="0"/>
    <n v="126.5"/>
    <n v="418967.9999999999"/>
    <n v="129282.3529411764"/>
    <n v="6"/>
    <n v="111.1"/>
    <n v="4.199999999999999"/>
    <n v="0"/>
    <m/>
    <n v="367963.2"/>
    <n v="16573.2"/>
    <n v="0"/>
    <n v="111.1"/>
    <n v="367963.2"/>
    <n v="35258.82352941175"/>
  </r>
  <r>
    <m/>
    <x v="6"/>
    <x v="30"/>
    <x v="70"/>
    <n v="1660859102915"/>
    <x v="693"/>
    <x v="534"/>
    <x v="0"/>
    <x v="2"/>
    <n v="1"/>
    <x v="3"/>
    <n v="3"/>
    <m/>
    <n v="0"/>
    <n v="5693"/>
    <n v="17079"/>
    <n v="4.9"/>
    <n v="5353.25"/>
    <n v="12596.63865546219"/>
    <n v="12176.4705882353"/>
    <s v="Shenzhen"/>
    <s v="30/70"/>
    <n v="30"/>
    <n v="50"/>
    <n v="17"/>
    <n v="0.4990092449922959"/>
    <n v="28"/>
    <n v="0.4835902361853174"/>
    <n v="31"/>
    <n v="0.5468032650134694"/>
    <n v="19"/>
    <n v="0.4639078827728118"/>
    <n v="6"/>
    <n v="0.5830404745315539"/>
    <n v="10"/>
    <n v="0.4119463879114055"/>
    <n v="3"/>
    <n v="0.4721392663669658"/>
    <n v="3"/>
    <n v="0.3839573639216535"/>
    <n v="12"/>
    <n v="0.4818636894558803"/>
    <n v="9"/>
    <n v="0.5288878672244954"/>
    <n v="22"/>
    <n v="0.5124641878425511"/>
    <n v="6"/>
    <n v="0.5480746374692725"/>
    <n v="14"/>
    <n v="0.290943018119697"/>
    <n v="32"/>
    <n v="0.2399545674119422"/>
    <n v="55"/>
    <n v="0.282303096097653"/>
    <n v="18"/>
    <n v="0.3379282676725013"/>
    <n v="0.9"/>
    <n v="14"/>
    <n v="0.6094842295972989"/>
    <n v="0.9333333333333333"/>
    <n v="3"/>
    <n v="0.4618196457326892"/>
    <n v="0.3"/>
    <n v="0"/>
    <s v=""/>
    <n v="0"/>
    <n v="0"/>
    <s v=""/>
    <n v="0"/>
    <m/>
    <m/>
    <m/>
    <m/>
    <m/>
    <m/>
    <m/>
    <m/>
    <m/>
    <m/>
    <m/>
    <m/>
    <n v="20"/>
    <n v="152"/>
    <n v="20"/>
    <n v="0"/>
    <n v="0"/>
    <n v="0"/>
    <n v="700239"/>
    <n v="770868"/>
    <n v="113860"/>
    <n v="0"/>
    <n v="3"/>
    <n v="17079"/>
    <n v="211708.2126968435"/>
    <n v="25"/>
    <n v="123"/>
    <n v="48"/>
    <n v="0"/>
    <n v="0"/>
    <n v="0"/>
    <n v="688853"/>
    <n v="623794.5"/>
    <n v="273264"/>
    <n v="0"/>
    <n v="3"/>
    <n v="17079"/>
    <n v="508099.7104724243"/>
    <n v="30"/>
    <n v="69"/>
    <n v="55"/>
    <n v="0"/>
    <n v="0"/>
    <n v="491661.5"/>
    <n v="392817"/>
    <n v="313115"/>
    <n v="0"/>
    <n v="3"/>
    <n v="17079"/>
    <n v="692815.1260504202"/>
    <n v="20"/>
    <n v="32"/>
    <n v="18"/>
    <n v="0"/>
    <n v="0"/>
    <n v="162288"/>
    <n v="102474"/>
    <n v="0"/>
    <n v="0"/>
    <n v="3"/>
    <n v="17079"/>
    <n v="226739.4957983193"/>
    <n v="15"/>
    <n v="17"/>
    <n v="15"/>
    <m/>
    <n v="0"/>
    <n v="0"/>
    <n v="96781"/>
    <n v="76072.5"/>
    <n v="0"/>
    <n v="0"/>
    <n v="3"/>
    <n v="17079"/>
    <n v="188949.5798319328"/>
    <n v="10"/>
    <n v="6"/>
    <n v="3"/>
    <m/>
    <n v="0"/>
    <n v="0"/>
    <n v="34158"/>
    <n v="15214.5"/>
    <n v="0"/>
    <n v="0"/>
    <n v="6"/>
    <n v="17079"/>
    <n v="37789.91596638656"/>
    <n v="8"/>
    <n v="3"/>
    <n v="0"/>
    <n v="0"/>
    <n v="0"/>
    <n v="0"/>
    <n v="17079"/>
    <n v="0"/>
    <n v="0"/>
    <n v="0"/>
    <n v="3"/>
    <n v="17079"/>
    <n v="0"/>
    <n v="8"/>
    <n v="3"/>
    <n v="8"/>
    <n v="0"/>
    <n v="0"/>
    <n v="0"/>
    <n v="17079"/>
    <n v="40572"/>
    <n v="0"/>
    <n v="0"/>
    <n v="3"/>
    <n v="17079"/>
    <n v="100773.1092436975"/>
    <n v="12"/>
    <n v="0"/>
    <n v="12"/>
    <n v="0"/>
    <n v="0"/>
    <n v="0"/>
    <n v="0"/>
    <n v="60858"/>
    <n v="0"/>
    <n v="0"/>
    <n v="0"/>
    <n v="0"/>
    <n v="151159.6638655462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6"/>
    <x v="30"/>
    <x v="70"/>
    <n v="1660859287583"/>
    <x v="694"/>
    <x v="535"/>
    <x v="0"/>
    <x v="3"/>
    <n v="1"/>
    <x v="353"/>
    <n v="182"/>
    <m/>
    <n v="0"/>
    <n v="7666"/>
    <n v="1395212"/>
    <n v="8.15"/>
    <n v="8903.875"/>
    <n v="16798.31932773109"/>
    <n v="16798.31932773109"/>
    <s v="Shenzhen"/>
    <s v="30/70"/>
    <n v="30"/>
    <n v="200"/>
    <n v="61"/>
    <n v="0.4819311379800208"/>
    <n v="75"/>
    <n v="0.4617051022031397"/>
    <n v="156"/>
    <n v="0.4582976055215239"/>
    <n v="60"/>
    <n v="0.4846298187898472"/>
    <n v="77"/>
    <n v="0.4801455364944587"/>
    <n v="81"/>
    <n v="0.432553851373211"/>
    <n v="61"/>
    <n v="0.4832580437784402"/>
    <n v="65"/>
    <n v="0.5220673649381078"/>
    <n v="47"/>
    <n v="0.5306835229480681"/>
    <n v="98"/>
    <n v="0.4904272137958757"/>
    <n v="101"/>
    <n v="0.4919200992770907"/>
    <n v="71"/>
    <n v="0.4784194864402874"/>
    <n v="90"/>
    <n v="0.3793108708636401"/>
    <n v="75"/>
    <n v="0.3710300680993396"/>
    <n v="92"/>
    <n v="0.3154668895511678"/>
    <n v="73"/>
    <n v="0.3638316958624318"/>
    <n v="1.216666666666667"/>
    <n v="78"/>
    <n v="0.5322319557551527"/>
    <n v="1.114285714285714"/>
    <n v="29"/>
    <n v="0.3110689465772927"/>
    <n v="0.3118279569892473"/>
    <n v="0"/>
    <s v=""/>
    <n v="0"/>
    <n v="0"/>
    <s v=""/>
    <n v="0"/>
    <m/>
    <m/>
    <m/>
    <m/>
    <m/>
    <m/>
    <m/>
    <m/>
    <m/>
    <m/>
    <m/>
    <m/>
    <n v="70"/>
    <n v="133"/>
    <n v="90"/>
    <n v="150"/>
    <n v="150"/>
    <n v="0"/>
    <n v="2257637"/>
    <n v="1121888.25"/>
    <n v="689940"/>
    <n v="0"/>
    <n v="182"/>
    <n v="1395212"/>
    <n v="1270461.125626721"/>
    <n v="80"/>
    <n v="188"/>
    <n v="112.5"/>
    <n v="0"/>
    <n v="0"/>
    <n v="0"/>
    <n v="2127315"/>
    <n v="1585827"/>
    <n v="862425"/>
    <n v="0"/>
    <n v="182"/>
    <n v="1395212"/>
    <n v="1588076.407033402"/>
    <n v="113"/>
    <n v="83"/>
    <n v="92"/>
    <n v="0"/>
    <n v="0"/>
    <n v="1855357.5"/>
    <n v="636278"/>
    <n v="705272"/>
    <n v="0"/>
    <n v="182"/>
    <n v="1395212"/>
    <n v="1545445.378151261"/>
    <n v="60"/>
    <n v="207"/>
    <n v="73"/>
    <n v="200"/>
    <n v="0"/>
    <n v="1746096.75"/>
    <n v="559618"/>
    <n v="1687050"/>
    <n v="0"/>
    <n v="182"/>
    <n v="1395212"/>
    <n v="1226277.31092437"/>
    <n v="70"/>
    <n v="260"/>
    <n v="70"/>
    <m/>
    <n v="0"/>
    <n v="0"/>
    <n v="1993160"/>
    <n v="590467.5"/>
    <n v="0"/>
    <n v="0"/>
    <n v="182"/>
    <n v="1395212"/>
    <n v="1175882.352941176"/>
    <n v="93"/>
    <n v="211"/>
    <n v="29"/>
    <m/>
    <n v="0"/>
    <n v="0"/>
    <n v="1617526"/>
    <n v="244622.25"/>
    <n v="0"/>
    <n v="0"/>
    <n v="211"/>
    <n v="1395212"/>
    <n v="487151.2605042017"/>
    <n v="78"/>
    <n v="182"/>
    <n v="0"/>
    <n v="200"/>
    <n v="200"/>
    <n v="0"/>
    <n v="1395212"/>
    <n v="0"/>
    <n v="1630815"/>
    <n v="0"/>
    <n v="182"/>
    <n v="1395212"/>
    <n v="0"/>
    <n v="70"/>
    <n v="182"/>
    <n v="70"/>
    <n v="100"/>
    <n v="100"/>
    <n v="0"/>
    <n v="1395212"/>
    <n v="590467.5"/>
    <n v="843525"/>
    <n v="0"/>
    <n v="182"/>
    <n v="1395212"/>
    <n v="1175882.352941176"/>
    <n v="63"/>
    <n v="112"/>
    <n v="63"/>
    <n v="0"/>
    <n v="0"/>
    <n v="101"/>
    <n v="944748"/>
    <n v="531420.75"/>
    <n v="0"/>
    <n v="851960.25"/>
    <n v="213"/>
    <n v="1796708.25"/>
    <n v="1058294.117647059"/>
    <n v="100"/>
    <n v="150"/>
    <n v="100"/>
    <n v="0"/>
    <n v="0"/>
    <n v="0"/>
    <m/>
    <n v="1265287.5"/>
    <n v="843525"/>
    <n v="0"/>
    <n v="0"/>
    <n v="150"/>
    <n v="1265287.5"/>
    <n v="1679831.932773109"/>
    <n v="90"/>
    <n v="50"/>
    <n v="90"/>
    <n v="200"/>
    <n v="200"/>
    <n v="421762.5"/>
    <n v="759172.5"/>
    <n v="1687050"/>
    <n v="1687050"/>
    <n v="250"/>
    <n v="2108812.5"/>
    <n v="1587441.176470588"/>
    <n v="80"/>
    <n v="160"/>
    <n v="80"/>
    <n v="0"/>
    <n v="0"/>
    <n v="1349640"/>
    <n v="674820"/>
    <n v="0"/>
    <n v="160"/>
    <n v="1349640"/>
    <n v="1343865.546218487"/>
    <n v="54"/>
    <n v="80"/>
    <n v="54"/>
    <n v="0"/>
    <m/>
    <n v="674820"/>
    <n v="413964"/>
    <n v="0"/>
    <n v="80"/>
    <n v="674820"/>
    <n v="907109.243697479"/>
  </r>
  <r>
    <m/>
    <x v="6"/>
    <x v="30"/>
    <x v="70"/>
    <n v="67327712330533"/>
    <x v="695"/>
    <x v="536"/>
    <x v="0"/>
    <x v="3"/>
    <n v="1"/>
    <x v="354"/>
    <n v="194"/>
    <m/>
    <n v="0"/>
    <n v="6513"/>
    <n v="1263522"/>
    <n v="6.050000000000001"/>
    <n v="6609.625000000001"/>
    <n v="14277.31092436975"/>
    <n v="12596.63865546219"/>
    <s v="Ningbo"/>
    <s v="20/80 Credit"/>
    <n v="30"/>
    <n v="100"/>
    <n v="250"/>
    <n v="0.5126722623934655"/>
    <n v="283"/>
    <n v="0.6635044825880078"/>
    <n v="171"/>
    <n v="0.5207540916622377"/>
    <n v="153"/>
    <n v="0.4899308088172237"/>
    <n v="169"/>
    <n v="0.5079537974848251"/>
    <n v="607"/>
    <n v="0.4260055714320903"/>
    <n v="264"/>
    <n v="0.4876393859128768"/>
    <n v="271"/>
    <n v="0.4269615451099935"/>
    <n v="246"/>
    <n v="0.4823315236066498"/>
    <n v="1224"/>
    <n v="0.2601373705403253"/>
    <n v="190"/>
    <n v="0.4395874687401978"/>
    <n v="21"/>
    <n v="-1.113488826474541"/>
    <n v="38"/>
    <n v="0.2936778186110294"/>
    <n v="93"/>
    <n v="0.3509172269623097"/>
    <n v="370"/>
    <n v="0.3674918433670126"/>
    <n v="255"/>
    <n v="0.4651148192344368"/>
    <n v="1.02"/>
    <n v="248"/>
    <n v="0.4916015083552611"/>
    <n v="1.24"/>
    <n v="354"/>
    <n v="0.4268676300435927"/>
    <n v="0.885"/>
    <n v="256"/>
    <s v=""/>
    <n v="0.8533333333333334"/>
    <n v="0"/>
    <s v=""/>
    <n v="0"/>
    <m/>
    <m/>
    <m/>
    <m/>
    <m/>
    <m/>
    <m/>
    <m/>
    <m/>
    <m/>
    <m/>
    <m/>
    <n v="180"/>
    <n v="109"/>
    <n v="180"/>
    <n v="500"/>
    <n v="500"/>
    <n v="0"/>
    <n v="4490713.5"/>
    <n v="682530.7500000001"/>
    <n v="1172340"/>
    <n v="0"/>
    <n v="194"/>
    <n v="1263522"/>
    <n v="2159593.249064332"/>
    <n v="200"/>
    <n v="919"/>
    <n v="139.5"/>
    <n v="450"/>
    <n v="300"/>
    <n v="0"/>
    <n v="4979188.5"/>
    <n v="5754548.250000001"/>
    <n v="908563.5"/>
    <n v="0"/>
    <n v="194"/>
    <n v="1263522"/>
    <n v="1673684.768024857"/>
    <n v="180"/>
    <n v="849"/>
    <n v="370"/>
    <n v="0"/>
    <n v="0"/>
    <n v="5322975"/>
    <n v="5529537"/>
    <n v="2409810"/>
    <n v="0"/>
    <n v="194"/>
    <n v="1263522"/>
    <n v="5282605.042016807"/>
    <n v="250"/>
    <n v="449"/>
    <n v="255"/>
    <n v="450"/>
    <n v="0"/>
    <n v="2811525.75"/>
    <n v="1660815"/>
    <n v="2817787.5"/>
    <n v="0"/>
    <n v="194"/>
    <n v="1263522"/>
    <n v="3640714.285714286"/>
    <n v="200"/>
    <n v="442"/>
    <n v="200"/>
    <n v="400"/>
    <n v="400"/>
    <n v="0"/>
    <n v="2878746"/>
    <n v="1252350"/>
    <n v="2504700"/>
    <n v="0"/>
    <n v="194"/>
    <n v="1263522"/>
    <n v="2855462.18487395"/>
    <n v="400"/>
    <n v="548"/>
    <n v="354"/>
    <m/>
    <n v="400"/>
    <n v="0"/>
    <n v="3569124"/>
    <n v="2216659.5"/>
    <n v="0"/>
    <n v="0"/>
    <n v="548"/>
    <n v="1263522"/>
    <n v="5054168.067226891"/>
    <n v="300"/>
    <n v="450"/>
    <n v="256"/>
    <n v="0"/>
    <n v="0"/>
    <n v="0"/>
    <n v="2930850"/>
    <n v="1603008"/>
    <n v="0"/>
    <n v="0"/>
    <n v="450"/>
    <n v="1263522"/>
    <n v="3654991.596638656"/>
    <n v="300"/>
    <n v="194"/>
    <n v="300"/>
    <n v="0"/>
    <n v="0"/>
    <n v="0"/>
    <n v="1263522"/>
    <n v="1878525"/>
    <n v="0"/>
    <n v="0"/>
    <n v="194"/>
    <n v="1263522"/>
    <n v="4283193.277310925"/>
    <n v="200"/>
    <n v="0"/>
    <n v="200"/>
    <n v="500"/>
    <n v="500"/>
    <n v="0"/>
    <n v="0"/>
    <n v="1252350"/>
    <n v="3130875"/>
    <n v="0"/>
    <n v="0"/>
    <n v="0"/>
    <n v="2855462.18487395"/>
    <n v="400"/>
    <n v="500"/>
    <n v="400"/>
    <n v="500"/>
    <n v="500"/>
    <n v="500"/>
    <n v="500"/>
    <n v="3130875"/>
    <n v="2504700"/>
    <n v="3130875"/>
    <n v="6261750.000000001"/>
    <n v="1000"/>
    <n v="9392625.000000002"/>
    <n v="5038655.462184874"/>
    <n v="250"/>
    <n v="600"/>
    <n v="250"/>
    <n v="0"/>
    <n v="0"/>
    <n v="3757050"/>
    <n v="1565437.5"/>
    <n v="0"/>
    <n v="0"/>
    <n v="600"/>
    <n v="3757050"/>
    <n v="3306617.647058824"/>
    <n v="250"/>
    <n v="350"/>
    <n v="250"/>
    <n v="0"/>
    <n v="0"/>
    <n v="2191612.5"/>
    <n v="1565437.5"/>
    <n v="0"/>
    <n v="350"/>
    <n v="2191612.5"/>
    <n v="3569327.731092437"/>
    <n v="150"/>
    <n v="100"/>
    <n v="150"/>
    <n v="0"/>
    <m/>
    <n v="626175.0000000001"/>
    <n v="976950"/>
    <n v="0"/>
    <n v="100"/>
    <n v="626175.0000000001"/>
    <n v="2141596.638655462"/>
  </r>
  <r>
    <m/>
    <x v="6"/>
    <x v="30"/>
    <x v="70"/>
    <s v="SIM4FRHRDUB-WD"/>
    <x v="696"/>
    <x v="537"/>
    <x v="0"/>
    <x v="4"/>
    <n v="1"/>
    <x v="3"/>
    <n v="281"/>
    <m/>
    <n v="0"/>
    <n v="5518"/>
    <n v="1550558"/>
    <n v="6.350000000000001"/>
    <n v="6353.175"/>
    <n v="16016.40756302521"/>
    <n v="13613.94642857143"/>
    <s v="Shenzhen"/>
    <s v="30/70"/>
    <n v="30"/>
    <n v="3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12"/>
    <n v="0.5751182214745196"/>
    <n v="0.3"/>
    <n v="4"/>
    <n v="0.6349863813229571"/>
    <n v="0.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281"/>
    <n v="1550558"/>
    <n v="0"/>
    <n v="0"/>
    <n v="0"/>
    <n v="0"/>
    <n v="0"/>
    <n v="0"/>
    <n v="0"/>
    <n v="0"/>
    <n v="0"/>
    <n v="0"/>
    <n v="281"/>
    <n v="1550558"/>
    <n v="0"/>
    <n v="0"/>
    <n v="281"/>
    <n v="0"/>
    <m/>
    <m/>
    <n v="0"/>
    <n v="1550558"/>
    <n v="0"/>
    <n v="0"/>
    <n v="0"/>
    <n v="281"/>
    <n v="1550558"/>
    <n v="0"/>
    <n v="0"/>
    <n v="281"/>
    <n v="0"/>
    <m/>
    <n v="0"/>
    <n v="0"/>
    <n v="1550558"/>
    <n v="0"/>
    <n v="0"/>
    <n v="0"/>
    <n v="281"/>
    <n v="1550558"/>
    <n v="0"/>
    <n v="40"/>
    <n v="293"/>
    <n v="12"/>
    <n v="300"/>
    <n v="300"/>
    <n v="0"/>
    <n v="1616774"/>
    <n v="78867.00000000001"/>
    <n v="1905952.5"/>
    <n v="0"/>
    <n v="293"/>
    <n v="1550558"/>
    <n v="192196.8907563025"/>
    <n v="40"/>
    <n v="281"/>
    <n v="40"/>
    <n v="0"/>
    <n v="0"/>
    <n v="0"/>
    <n v="1550558"/>
    <n v="262890.0000000001"/>
    <n v="0"/>
    <n v="0"/>
    <n v="281"/>
    <n v="1550558"/>
    <n v="640656.3025210085"/>
    <n v="35"/>
    <n v="241"/>
    <n v="35"/>
    <n v="0"/>
    <n v="0"/>
    <n v="0"/>
    <n v="1583912.25"/>
    <n v="230028.75"/>
    <n v="0"/>
    <n v="0"/>
    <n v="241"/>
    <n v="1583912.25"/>
    <n v="560574.2647058824"/>
    <n v="80"/>
    <n v="206"/>
    <n v="80"/>
    <n v="0"/>
    <n v="0"/>
    <n v="0"/>
    <m/>
    <n v="1353883.5"/>
    <n v="525780.0000000001"/>
    <n v="0"/>
    <n v="0"/>
    <n v="206"/>
    <n v="1353883.5"/>
    <n v="1089115.714285714"/>
    <n v="60"/>
    <n v="126"/>
    <n v="60"/>
    <n v="0"/>
    <n v="0"/>
    <n v="828103.5000000001"/>
    <n v="394335.0000000001"/>
    <n v="0"/>
    <n v="0"/>
    <n v="126"/>
    <n v="828103.5000000001"/>
    <n v="857678.6250000001"/>
    <n v="100"/>
    <n v="66"/>
    <n v="100"/>
    <n v="0"/>
    <n v="0"/>
    <n v="433768.5000000001"/>
    <n v="657225.0000000001"/>
    <n v="0"/>
    <n v="66"/>
    <n v="433768.5000000001"/>
    <n v="1601640.756302521"/>
    <n v="36"/>
    <n v="0"/>
    <n v="36"/>
    <n v="0"/>
    <m/>
    <n v="0"/>
    <n v="198648"/>
    <n v="0"/>
    <n v="0"/>
    <n v="0"/>
    <n v="576590.6722689077"/>
  </r>
  <r>
    <m/>
    <x v="6"/>
    <x v="30"/>
    <x v="70"/>
    <s v="SIMCONCERL"/>
    <x v="697"/>
    <x v="533"/>
    <x v="0"/>
    <x v="5"/>
    <n v="0.7"/>
    <x v="355"/>
    <n v="112"/>
    <m/>
    <n v="0"/>
    <n v="4129"/>
    <n v="462448"/>
    <n v="3.2"/>
    <n v="3496"/>
    <n v="8394.957983193277"/>
    <n v="7134.453781512605"/>
    <s v="Shenzhen"/>
    <s v="30/70"/>
    <n v="30"/>
    <n v="50"/>
    <n v="18"/>
    <n v="0.5050664952738099"/>
    <n v="22"/>
    <n v="0.4218721597862299"/>
    <n v="17"/>
    <n v="0.4363321348383828"/>
    <n v="28"/>
    <n v="0.3460853798593521"/>
    <n v="14"/>
    <n v="0.5121934688847812"/>
    <n v="13"/>
    <n v="0.440626298817628"/>
    <n v="15"/>
    <n v="0.4833588695666561"/>
    <n v="19"/>
    <n v="0.3554928464432728"/>
    <n v="38"/>
    <n v="0.3278073507092684"/>
    <n v="11"/>
    <n v="0.4972540730245502"/>
    <n v="10"/>
    <n v="0.5118858205938842"/>
    <n v="24"/>
    <n v="0.4171091664047855"/>
    <n v="17"/>
    <n v="0.6265142452700017"/>
    <n v="21"/>
    <n v="0.339172736251183"/>
    <n v="20"/>
    <n v="0.2491397446879829"/>
    <n v="13"/>
    <n v="0.4225395182912393"/>
    <n v="0.4642857142857143"/>
    <n v="10"/>
    <n v="0.421356141797197"/>
    <n v="0.7142857142857143"/>
    <n v="18"/>
    <n v="0.30893939596866"/>
    <n v="1.384615384615385"/>
    <n v="0"/>
    <s v=""/>
    <n v="0"/>
    <n v="0"/>
    <s v=""/>
    <n v="0"/>
    <m/>
    <m/>
    <m/>
    <m/>
    <m/>
    <m/>
    <m/>
    <m/>
    <m/>
    <m/>
    <m/>
    <m/>
    <n v="20"/>
    <n v="195"/>
    <n v="20"/>
    <n v="0"/>
    <n v="0"/>
    <n v="0"/>
    <n v="295223.5"/>
    <n v="645839.9999999999"/>
    <n v="82580"/>
    <n v="0"/>
    <n v="112"/>
    <n v="462448"/>
    <n v="141091.730809971"/>
    <n v="25"/>
    <n v="180"/>
    <n v="31.5"/>
    <n v="50"/>
    <n v="0"/>
    <n v="0"/>
    <n v="266320.5"/>
    <n v="596159.9999999999"/>
    <n v="130063.5"/>
    <n v="0"/>
    <n v="112"/>
    <n v="462448"/>
    <n v="222219.4760257044"/>
    <n v="14.7"/>
    <n v="153"/>
    <n v="20"/>
    <n v="0"/>
    <n v="0"/>
    <n v="168714.6"/>
    <n v="631737"/>
    <n v="82580"/>
    <n v="0"/>
    <n v="112"/>
    <n v="462448"/>
    <n v="167899.1596638655"/>
    <n v="28"/>
    <n v="173"/>
    <n v="13"/>
    <n v="0"/>
    <n v="0"/>
    <n v="572975.9999999999"/>
    <n v="53677"/>
    <n v="0"/>
    <n v="0"/>
    <n v="112"/>
    <n v="462448"/>
    <n v="109134.4537815126"/>
    <n v="14"/>
    <n v="122"/>
    <n v="9.799999999999999"/>
    <m/>
    <n v="0"/>
    <n v="0"/>
    <n v="503738"/>
    <n v="32457.59999999999"/>
    <n v="0"/>
    <n v="0"/>
    <n v="112"/>
    <n v="462448"/>
    <n v="82270.58823529411"/>
    <n v="13"/>
    <n v="130"/>
    <n v="18"/>
    <m/>
    <n v="0"/>
    <n v="0"/>
    <n v="536770"/>
    <n v="59615.99999999999"/>
    <n v="0"/>
    <n v="0"/>
    <n v="130"/>
    <n v="462448"/>
    <n v="151109.243697479"/>
    <n v="15"/>
    <n v="112"/>
    <n v="0"/>
    <n v="0"/>
    <n v="0"/>
    <n v="0"/>
    <n v="462448"/>
    <n v="0"/>
    <n v="0"/>
    <n v="0"/>
    <n v="112"/>
    <n v="462448"/>
    <n v="0"/>
    <n v="19"/>
    <n v="112"/>
    <n v="13.3"/>
    <n v="0"/>
    <n v="0"/>
    <n v="0"/>
    <n v="462448"/>
    <n v="44049.59999999999"/>
    <n v="0"/>
    <n v="0"/>
    <n v="112"/>
    <n v="462448"/>
    <n v="111652.9411764706"/>
    <n v="38"/>
    <n v="98.7"/>
    <n v="26.6"/>
    <n v="0"/>
    <n v="0"/>
    <n v="0"/>
    <n v="326894.4"/>
    <n v="88099.19999999998"/>
    <n v="0"/>
    <n v="0"/>
    <n v="98.7"/>
    <n v="326894.4"/>
    <n v="223305.8823529411"/>
    <n v="15"/>
    <n v="72.10000000000001"/>
    <n v="10.5"/>
    <n v="0"/>
    <n v="0"/>
    <n v="0"/>
    <m/>
    <n v="238795.2"/>
    <n v="34775.99999999999"/>
    <n v="0"/>
    <n v="0"/>
    <n v="72.10000000000001"/>
    <n v="238795.2"/>
    <n v="74911.76470588235"/>
    <n v="10"/>
    <n v="61.60000000000001"/>
    <n v="7"/>
    <n v="0"/>
    <n v="0"/>
    <n v="204019.2"/>
    <n v="23184"/>
    <n v="0"/>
    <n v="0"/>
    <n v="61.60000000000001"/>
    <n v="204019.2"/>
    <n v="52438.23529411765"/>
    <n v="24"/>
    <n v="54.60000000000001"/>
    <n v="16.8"/>
    <n v="0"/>
    <n v="0"/>
    <n v="180835.2"/>
    <n v="55641.59999999998"/>
    <n v="0"/>
    <n v="54.60000000000001"/>
    <n v="180835.2"/>
    <n v="141035.294117647"/>
    <n v="6"/>
    <n v="37.80000000000001"/>
    <n v="4.199999999999999"/>
    <n v="0"/>
    <m/>
    <n v="125193.6"/>
    <n v="17341.8"/>
    <n v="0"/>
    <n v="37.80000000000001"/>
    <n v="125193.6"/>
    <n v="35258.82352941175"/>
  </r>
  <r>
    <m/>
    <x v="6"/>
    <x v="30"/>
    <x v="70"/>
    <s v="SIMCONCERM"/>
    <x v="698"/>
    <x v="532"/>
    <x v="0"/>
    <x v="5"/>
    <n v="0.8"/>
    <x v="356"/>
    <n v="68"/>
    <m/>
    <n v="0"/>
    <n v="2800"/>
    <n v="190400"/>
    <n v="2.6"/>
    <n v="2840.5"/>
    <n v="6714.285714285715"/>
    <n v="5453.781512605042"/>
    <s v="Shenzhen"/>
    <s v="30/70"/>
    <n v="30"/>
    <n v="50"/>
    <n v="22"/>
    <n v="0.4927443041506801"/>
    <n v="30"/>
    <n v="0.4601286003749289"/>
    <n v="18"/>
    <n v="0.4816837733408228"/>
    <n v="39"/>
    <n v="0.3664260998517054"/>
    <n v="21"/>
    <n v="0.5014412197562843"/>
    <n v="17"/>
    <n v="0.4004781178183213"/>
    <n v="39"/>
    <n v="0.3708549809404787"/>
    <n v="21"/>
    <n v="0.3734700871464588"/>
    <n v="25"/>
    <n v="0.3574449152542373"/>
    <n v="11"/>
    <n v="0.4374976562885479"/>
    <n v="12"/>
    <n v="0.4169990940440704"/>
    <n v="28"/>
    <n v="0.3845316296229641"/>
    <n v="10"/>
    <n v="0.2872249852776025"/>
    <n v="19"/>
    <n v="0.3538710193144339"/>
    <n v="51"/>
    <n v="0.2943527118527549"/>
    <n v="17"/>
    <n v="0.1921273101004323"/>
    <n v="0.4857142857142857"/>
    <n v="19"/>
    <n v="0.4113439752832131"/>
    <n v="0.9047619047619048"/>
    <n v="21"/>
    <n v="0.261618716384724"/>
    <n v="1.235294117647059"/>
    <n v="0"/>
    <s v=""/>
    <n v="0"/>
    <n v="0"/>
    <s v=""/>
    <n v="0"/>
    <m/>
    <m/>
    <m/>
    <m/>
    <m/>
    <m/>
    <m/>
    <m/>
    <m/>
    <m/>
    <m/>
    <m/>
    <n v="25"/>
    <n v="106"/>
    <n v="20"/>
    <n v="0"/>
    <n v="0"/>
    <n v="0"/>
    <n v="278600"/>
    <n v="285246"/>
    <n v="56000"/>
    <n v="0"/>
    <n v="68"/>
    <n v="190400"/>
    <n v="112845.1380552221"/>
    <n v="20"/>
    <n v="94"/>
    <n v="28.5"/>
    <n v="50"/>
    <n v="50"/>
    <n v="0"/>
    <n v="270200"/>
    <n v="252954"/>
    <n v="79800"/>
    <n v="0"/>
    <n v="68"/>
    <n v="190400"/>
    <n v="160804.3217286915"/>
    <n v="20"/>
    <n v="80"/>
    <n v="51"/>
    <n v="0"/>
    <n v="0"/>
    <n v="235608.8"/>
    <n v="224000"/>
    <n v="142800"/>
    <n v="0"/>
    <n v="68"/>
    <n v="190400"/>
    <n v="342428.5714285714"/>
    <n v="35"/>
    <n v="71"/>
    <n v="17"/>
    <n v="0"/>
    <n v="0"/>
    <n v="191061"/>
    <n v="47600"/>
    <n v="0"/>
    <n v="0"/>
    <n v="68"/>
    <n v="190400"/>
    <n v="114142.8571428571"/>
    <n v="21"/>
    <n v="87"/>
    <n v="16.8"/>
    <m/>
    <n v="0"/>
    <n v="0"/>
    <n v="243600"/>
    <n v="45208.8"/>
    <n v="0"/>
    <n v="0"/>
    <n v="68"/>
    <n v="190400"/>
    <n v="112800"/>
    <n v="17"/>
    <n v="89"/>
    <n v="21"/>
    <m/>
    <n v="0"/>
    <n v="0"/>
    <n v="249200"/>
    <n v="56511"/>
    <n v="0"/>
    <n v="0"/>
    <n v="89"/>
    <n v="190400"/>
    <n v="141000"/>
    <n v="39"/>
    <n v="68"/>
    <n v="0"/>
    <n v="100"/>
    <n v="100"/>
    <n v="0"/>
    <n v="190400"/>
    <n v="0"/>
    <n v="260130"/>
    <n v="0"/>
    <n v="68"/>
    <n v="190400"/>
    <n v="0"/>
    <n v="21"/>
    <n v="68"/>
    <n v="16.8"/>
    <n v="0"/>
    <n v="0"/>
    <n v="0"/>
    <n v="190400"/>
    <n v="45208.8"/>
    <n v="0"/>
    <n v="0"/>
    <n v="68"/>
    <n v="190400"/>
    <n v="112800"/>
    <n v="25"/>
    <n v="51.2"/>
    <n v="20"/>
    <n v="0"/>
    <n v="0"/>
    <n v="0"/>
    <n v="137779.2"/>
    <n v="53820"/>
    <n v="0"/>
    <n v="0"/>
    <n v="51.2"/>
    <n v="137779.2"/>
    <n v="134285.7142857143"/>
    <n v="15"/>
    <n v="31.2"/>
    <n v="12"/>
    <n v="0"/>
    <n v="0"/>
    <n v="0"/>
    <m/>
    <n v="83959.20000000001"/>
    <n v="32292"/>
    <n v="0"/>
    <n v="0"/>
    <n v="31.2"/>
    <n v="83959.20000000001"/>
    <n v="65445.37815126051"/>
    <n v="12"/>
    <n v="19.2"/>
    <n v="9.600000000000001"/>
    <n v="0"/>
    <n v="0"/>
    <n v="51667.2"/>
    <n v="25833.6"/>
    <n v="0"/>
    <n v="0"/>
    <n v="19.2"/>
    <n v="51667.2"/>
    <n v="54974.11764705883"/>
    <n v="28"/>
    <n v="9.600000000000001"/>
    <n v="22.4"/>
    <n v="0"/>
    <n v="0"/>
    <n v="25833.6"/>
    <n v="60278.40000000001"/>
    <n v="0"/>
    <n v="9.600000000000001"/>
    <n v="25833.6"/>
    <n v="150400"/>
    <n v="7.199999999999999"/>
    <n v="0"/>
    <n v="5.76"/>
    <n v="0"/>
    <m/>
    <n v="0"/>
    <n v="16128"/>
    <n v="0"/>
    <n v="0"/>
    <n v="0"/>
    <n v="38674.28571428572"/>
  </r>
  <r>
    <s v="Simplit-Organización"/>
    <x v="6"/>
    <x v="30"/>
    <x v="70"/>
    <s v="SIMCONCERS"/>
    <x v="699"/>
    <x v="531"/>
    <x v="0"/>
    <x v="5"/>
    <n v="0.6"/>
    <x v="357"/>
    <n v="37"/>
    <m/>
    <n v="0"/>
    <n v="1486"/>
    <n v="54982"/>
    <n v="1.4"/>
    <n v="1529.5"/>
    <n v="4193.27731092437"/>
    <n v="4613.445378151261"/>
    <s v="Shenzhen"/>
    <s v="30/70"/>
    <n v="30"/>
    <n v="50"/>
    <n v="21"/>
    <n v="0.5140035233459609"/>
    <n v="29"/>
    <n v="0.4861933968419678"/>
    <n v="19"/>
    <n v="0.5457405617484944"/>
    <n v="25"/>
    <n v="0.5743651303119781"/>
    <n v="27"/>
    <n v="0.4246291768541158"/>
    <n v="41"/>
    <n v="0.556781478929146"/>
    <n v="31"/>
    <n v="0.5358105971540925"/>
    <n v="20"/>
    <n v="0.4961128444871905"/>
    <n v="30"/>
    <n v="0.5513100246627014"/>
    <n v="19"/>
    <n v="0.5764047668500855"/>
    <n v="20"/>
    <n v="0.616766093718964"/>
    <n v="45"/>
    <n v="0.6149758282252238"/>
    <n v="21"/>
    <n v="0.431902744424031"/>
    <n v="29"/>
    <n v="0.3694150988475685"/>
    <n v="11"/>
    <n v="0.2724231926017941"/>
    <n v="9"/>
    <n v="0.5001038020669176"/>
    <n v="0.36"/>
    <n v="39"/>
    <n v="0.5597985472821784"/>
    <n v="1.444444444444444"/>
    <n v="4"/>
    <n v="-0.03098892988929889"/>
    <n v="0.0975609756097561"/>
    <n v="0"/>
    <s v=""/>
    <n v="0"/>
    <n v="0"/>
    <s v=""/>
    <n v="0"/>
    <m/>
    <m/>
    <m/>
    <m/>
    <m/>
    <m/>
    <m/>
    <m/>
    <m/>
    <m/>
    <m/>
    <m/>
    <n v="20"/>
    <n v="73"/>
    <n v="20"/>
    <n v="0"/>
    <n v="0"/>
    <n v="0"/>
    <n v="110707"/>
    <n v="105777"/>
    <n v="29720"/>
    <n v="0"/>
    <n v="37"/>
    <n v="54982"/>
    <n v="70475.24892309867"/>
    <n v="25"/>
    <n v="52"/>
    <n v="43.5"/>
    <n v="50"/>
    <n v="50"/>
    <n v="0"/>
    <n v="94361"/>
    <n v="75348"/>
    <n v="64641"/>
    <n v="0"/>
    <n v="37"/>
    <n v="54982"/>
    <n v="153283.6664077396"/>
    <n v="30"/>
    <n v="23"/>
    <n v="11"/>
    <n v="0"/>
    <n v="0"/>
    <n v="53193.8"/>
    <n v="34178"/>
    <n v="16346"/>
    <n v="0"/>
    <n v="37"/>
    <n v="54982"/>
    <n v="46126.05042016807"/>
    <n v="25"/>
    <n v="58"/>
    <n v="9"/>
    <n v="0"/>
    <n v="0"/>
    <n v="84042"/>
    <n v="13374"/>
    <n v="0"/>
    <n v="0"/>
    <n v="37"/>
    <n v="54982"/>
    <n v="37739.49579831933"/>
    <n v="27"/>
    <n v="76"/>
    <n v="16.2"/>
    <m/>
    <n v="0"/>
    <n v="0"/>
    <n v="112936"/>
    <n v="23473.8"/>
    <n v="0"/>
    <n v="0"/>
    <n v="37"/>
    <n v="54982"/>
    <n v="67931.0924369748"/>
    <n v="41"/>
    <n v="41"/>
    <n v="4"/>
    <m/>
    <n v="0"/>
    <n v="0"/>
    <n v="60926"/>
    <n v="5796"/>
    <n v="0"/>
    <n v="0"/>
    <n v="41"/>
    <n v="54982"/>
    <n v="16773.10924369748"/>
    <n v="31"/>
    <n v="37"/>
    <n v="0"/>
    <n v="100"/>
    <n v="100"/>
    <n v="0"/>
    <n v="54982"/>
    <n v="0"/>
    <n v="140070"/>
    <n v="0"/>
    <n v="37"/>
    <n v="54982"/>
    <n v="0"/>
    <n v="20"/>
    <n v="37"/>
    <n v="12"/>
    <n v="0"/>
    <n v="0"/>
    <n v="0"/>
    <n v="54982"/>
    <n v="17388"/>
    <n v="0"/>
    <n v="0"/>
    <n v="37"/>
    <n v="54982"/>
    <n v="50319.32773109244"/>
    <n v="30"/>
    <n v="25"/>
    <n v="18"/>
    <n v="0"/>
    <n v="0"/>
    <n v="0"/>
    <n v="36225"/>
    <n v="26082"/>
    <n v="0"/>
    <n v="0"/>
    <n v="25"/>
    <n v="36225"/>
    <n v="75478.99159663866"/>
    <n v="20"/>
    <n v="7"/>
    <n v="7"/>
    <n v="0"/>
    <n v="0"/>
    <n v="0"/>
    <m/>
    <n v="10143"/>
    <n v="10143"/>
    <n v="0"/>
    <n v="0"/>
    <n v="7"/>
    <n v="10143"/>
    <n v="32294.11764705883"/>
    <n v="20"/>
    <n v="0"/>
    <n v="12"/>
    <n v="0"/>
    <n v="0"/>
    <n v="0"/>
    <n v="17388"/>
    <n v="0"/>
    <n v="0"/>
    <n v="0"/>
    <n v="0"/>
    <n v="58129.4117647059"/>
    <n v="45"/>
    <n v="0"/>
    <n v="27"/>
    <n v="0"/>
    <n v="0"/>
    <n v="0"/>
    <n v="39123"/>
    <n v="0"/>
    <n v="0"/>
    <n v="0"/>
    <n v="113218.487394958"/>
    <n v="12"/>
    <n v="0"/>
    <n v="7.199999999999999"/>
    <n v="0"/>
    <m/>
    <n v="0"/>
    <n v="10699.2"/>
    <n v="0"/>
    <n v="0"/>
    <n v="0"/>
    <n v="30191.59663865546"/>
  </r>
  <r>
    <m/>
    <x v="6"/>
    <x v="30"/>
    <x v="70"/>
    <s v="SIMOREXBAS-WD"/>
    <x v="700"/>
    <x v="538"/>
    <x v="0"/>
    <x v="1"/>
    <n v="1"/>
    <x v="358"/>
    <n v="471"/>
    <m/>
    <n v="0"/>
    <n v="5877"/>
    <n v="2768067"/>
    <n v="5.1"/>
    <n v="5571.75"/>
    <n v="16798.31932773109"/>
    <n v="19319.32773109244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0"/>
    <n v="0.6592772661012457"/>
    <n v="146"/>
    <n v="0.5590126781254046"/>
    <n v="104"/>
    <n v="0.5313701322011906"/>
    <n v="6"/>
    <n v="0.4675094629886082"/>
    <n v="3"/>
    <n v="0.5313375696914573"/>
    <n v="0.3"/>
    <n v="4"/>
    <n v="0.673754609669824"/>
    <n v="0"/>
    <n v="166"/>
    <n v="0.5752013629974257"/>
    <n v="0"/>
    <n v="123"/>
    <n v="0.6621524686313269"/>
    <n v="0.82"/>
    <n v="35"/>
    <n v="0.6852332526573195"/>
    <n v="0.2333333333333333"/>
    <m/>
    <m/>
    <m/>
    <m/>
    <m/>
    <m/>
    <m/>
    <m/>
    <m/>
    <m/>
    <m/>
    <m/>
    <n v="50"/>
    <n v="270"/>
    <n v="90"/>
    <n v="0"/>
    <n v="0"/>
    <n v="0"/>
    <n v="1481004"/>
    <n v="1425195"/>
    <n v="528930"/>
    <n v="0"/>
    <n v="471"/>
    <n v="2768067"/>
    <n v="1270461.125626721"/>
    <n v="80"/>
    <n v="110"/>
    <n v="156"/>
    <n v="0"/>
    <n v="0"/>
    <n v="0"/>
    <n v="969705"/>
    <n v="580635"/>
    <n v="916812"/>
    <n v="0"/>
    <n v="471"/>
    <n v="2768067"/>
    <n v="2202132.617752984"/>
    <n v="150"/>
    <n v="2"/>
    <n v="6"/>
    <n v="0"/>
    <n v="0"/>
    <n v="52893"/>
    <n v="11754"/>
    <n v="35262"/>
    <n v="0"/>
    <n v="471"/>
    <n v="2768067"/>
    <n v="100789.9159663866"/>
    <n v="10"/>
    <n v="3"/>
    <n v="3"/>
    <n v="300"/>
    <n v="0"/>
    <n v="15835.5"/>
    <n v="17631"/>
    <n v="1583550"/>
    <n v="0"/>
    <n v="471"/>
    <n v="2768067"/>
    <n v="50394.95798319328"/>
    <n v="0"/>
    <n v="475"/>
    <n v="0"/>
    <m/>
    <n v="0"/>
    <n v="0"/>
    <n v="2791575"/>
    <n v="0"/>
    <n v="0"/>
    <n v="0"/>
    <n v="471"/>
    <n v="2768067"/>
    <n v="0"/>
    <n v="0"/>
    <n v="637"/>
    <n v="166"/>
    <m/>
    <n v="0"/>
    <n v="0"/>
    <n v="3743649"/>
    <n v="876231"/>
    <n v="0"/>
    <n v="0"/>
    <n v="637"/>
    <n v="2768067"/>
    <n v="2788521.008403361"/>
    <n v="150"/>
    <n v="594"/>
    <n v="123"/>
    <n v="500"/>
    <n v="500"/>
    <n v="0"/>
    <n v="3490938"/>
    <n v="649255.5"/>
    <n v="2551275"/>
    <n v="0"/>
    <n v="594"/>
    <n v="2768067"/>
    <n v="2066193.277310924"/>
    <n v="150"/>
    <n v="471"/>
    <n v="150"/>
    <n v="0"/>
    <n v="0"/>
    <n v="0"/>
    <n v="2768067"/>
    <n v="791775"/>
    <n v="0"/>
    <n v="0"/>
    <n v="471"/>
    <n v="2768067"/>
    <n v="2519747.899159664"/>
    <n v="150"/>
    <n v="321"/>
    <n v="150"/>
    <n v="500"/>
    <n v="300"/>
    <n v="0"/>
    <n v="1694398.5"/>
    <n v="791775"/>
    <n v="2639250"/>
    <n v="0"/>
    <n v="321"/>
    <n v="1694398.5"/>
    <n v="2519747.899159664"/>
    <n v="250"/>
    <n v="471"/>
    <n v="250"/>
    <n v="0"/>
    <n v="0"/>
    <n v="0"/>
    <n v="300"/>
    <n v="2486173.5"/>
    <n v="1319625"/>
    <n v="0"/>
    <n v="1583550"/>
    <n v="471"/>
    <n v="4069723.5"/>
    <n v="4829831.93277311"/>
    <n v="120"/>
    <n v="221"/>
    <n v="120"/>
    <n v="0"/>
    <n v="0"/>
    <n v="1166548.5"/>
    <n v="633420"/>
    <n v="0"/>
    <n v="0"/>
    <n v="221"/>
    <n v="1166548.5"/>
    <n v="2434235.294117647"/>
    <n v="150"/>
    <n v="101"/>
    <n v="150"/>
    <n v="0"/>
    <n v="0"/>
    <n v="533128.5"/>
    <n v="791775"/>
    <n v="0"/>
    <n v="101"/>
    <n v="533128.5"/>
    <n v="2519747.899159664"/>
    <n v="72"/>
    <n v="0"/>
    <n v="72"/>
    <n v="0"/>
    <m/>
    <n v="0"/>
    <n v="423144"/>
    <n v="0"/>
    <n v="0"/>
    <n v="0"/>
    <n v="1209478.991596639"/>
  </r>
  <r>
    <m/>
    <x v="6"/>
    <x v="30"/>
    <x v="70"/>
    <s v="SIMOREXOSL-WD"/>
    <x v="701"/>
    <x v="539"/>
    <x v="0"/>
    <x v="4"/>
    <n v="1"/>
    <x v="3"/>
    <n v="296"/>
    <m/>
    <n v="0"/>
    <n v="5685"/>
    <n v="1682760"/>
    <n v="4.88"/>
    <n v="4882.439999999999"/>
    <n v="12308.67226890756"/>
    <n v="10462.37142857142"/>
    <s v="Shenzhen"/>
    <s v="30/70"/>
    <n v="30"/>
    <n v="3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-26"/>
    <s v=""/>
    <n v="-0.21666666666666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296"/>
    <n v="1682760"/>
    <n v="0"/>
    <n v="0"/>
    <n v="0"/>
    <n v="0"/>
    <n v="0"/>
    <n v="0"/>
    <n v="0"/>
    <n v="0"/>
    <n v="0"/>
    <n v="0"/>
    <n v="296"/>
    <n v="1682760"/>
    <n v="0"/>
    <n v="0"/>
    <n v="296"/>
    <n v="0"/>
    <m/>
    <m/>
    <n v="0"/>
    <n v="1682760"/>
    <n v="0"/>
    <n v="0"/>
    <n v="0"/>
    <n v="296"/>
    <n v="1682760"/>
    <n v="0"/>
    <n v="0"/>
    <n v="296"/>
    <n v="0"/>
    <m/>
    <n v="0"/>
    <n v="0"/>
    <n v="1682760"/>
    <n v="0"/>
    <n v="0"/>
    <n v="0"/>
    <n v="296"/>
    <n v="1682760"/>
    <n v="0"/>
    <n v="80"/>
    <n v="296"/>
    <n v="0"/>
    <n v="300"/>
    <n v="300"/>
    <n v="0"/>
    <n v="1682760"/>
    <n v="0"/>
    <n v="1464732"/>
    <n v="0"/>
    <n v="296"/>
    <n v="1682760"/>
    <n v="0"/>
    <n v="120"/>
    <n v="296"/>
    <n v="120"/>
    <n v="500"/>
    <n v="500"/>
    <n v="0"/>
    <n v="1682760"/>
    <n v="606095.9999999999"/>
    <n v="2525400"/>
    <n v="0"/>
    <n v="296"/>
    <n v="1682760"/>
    <n v="1477040.672268907"/>
    <n v="150"/>
    <n v="176"/>
    <n v="150"/>
    <n v="0"/>
    <n v="0"/>
    <n v="0"/>
    <n v="888940.7999999998"/>
    <n v="757619.9999999999"/>
    <n v="0"/>
    <n v="0"/>
    <n v="176"/>
    <n v="888940.7999999998"/>
    <n v="1846300.840336134"/>
    <n v="200"/>
    <n v="526"/>
    <n v="200"/>
    <n v="0"/>
    <n v="0"/>
    <n v="0"/>
    <n v="500"/>
    <n v="2656720.8"/>
    <n v="1010160"/>
    <n v="0"/>
    <n v="2525400"/>
    <n v="526"/>
    <n v="5182120.799999999"/>
    <n v="2092474.285714285"/>
    <n v="120"/>
    <n v="326"/>
    <n v="120"/>
    <n v="0"/>
    <n v="0"/>
    <n v="1646560.8"/>
    <n v="606095.9999999999"/>
    <n v="0"/>
    <n v="0"/>
    <n v="326"/>
    <n v="1646560.8"/>
    <n v="1318258.8"/>
    <n v="200"/>
    <n v="206"/>
    <n v="200"/>
    <n v="500"/>
    <n v="500"/>
    <n v="1040464.8"/>
    <n v="1010160"/>
    <n v="2525400"/>
    <n v="706"/>
    <n v="3565864.799999999"/>
    <n v="2461734.453781512"/>
    <n v="72"/>
    <n v="506"/>
    <n v="72"/>
    <n v="0"/>
    <m/>
    <n v="2555704.8"/>
    <n v="409320"/>
    <n v="0"/>
    <n v="506"/>
    <n v="2555704.8"/>
    <n v="886224.4033613442"/>
  </r>
  <r>
    <m/>
    <x v="6"/>
    <x v="30"/>
    <x v="70"/>
    <s v="SIMTUPBENT"/>
    <x v="702"/>
    <x v="540"/>
    <x v="0"/>
    <x v="5"/>
    <n v="0.6"/>
    <x v="359"/>
    <n v="129"/>
    <m/>
    <n v="0"/>
    <n v="2786"/>
    <n v="359394"/>
    <n v="2.8"/>
    <n v="3059"/>
    <n v="8394.957983193277"/>
    <n v="7554.621848739496"/>
    <s v="Shenzhen"/>
    <s v="30/70"/>
    <n v="30"/>
    <n v="100"/>
    <n v="5"/>
    <n v="0.6197736748064324"/>
    <n v="17"/>
    <n v="0.5529543578252153"/>
    <n v="28"/>
    <n v="0.561880115057434"/>
    <n v="7"/>
    <n v="0.5774983454665784"/>
    <n v="25"/>
    <n v="0.5670511641072818"/>
    <n v="32"/>
    <n v="0.5771802730255468"/>
    <n v="19"/>
    <n v="0.5758124755408288"/>
    <n v="29"/>
    <n v="0.5418568654490192"/>
    <n v="15"/>
    <n v="0.5658541945132796"/>
    <n v="17"/>
    <n v="0.5510258853022562"/>
    <n v="5"/>
    <n v="0.4567733151803948"/>
    <n v="1"/>
    <n v="0.4567733151803948"/>
    <n v="7"/>
    <n v="0.5200351744853254"/>
    <n v="13"/>
    <n v="0.537608819214385"/>
    <n v="18"/>
    <n v="0.5557654544658789"/>
    <n v="7"/>
    <n v="0.5598069187874479"/>
    <n v="0.28"/>
    <n v="10"/>
    <n v="0.6139539268732579"/>
    <n v="0.4"/>
    <n v="16"/>
    <n v="0.4555158060781537"/>
    <n v="0.5"/>
    <n v="10"/>
    <n v="0.6278085994808713"/>
    <n v="0.5263157894736842"/>
    <n v="1"/>
    <n v="0.6312753274473448"/>
    <n v="0.03448275862068965"/>
    <m/>
    <m/>
    <m/>
    <m/>
    <m/>
    <m/>
    <m/>
    <m/>
    <m/>
    <m/>
    <m/>
    <m/>
    <n v="20"/>
    <n v="117"/>
    <n v="15"/>
    <n v="0"/>
    <n v="0"/>
    <n v="0"/>
    <n v="146265"/>
    <n v="339066"/>
    <n v="41790"/>
    <n v="0"/>
    <n v="129"/>
    <n v="359394"/>
    <n v="105818.7981074783"/>
    <n v="25"/>
    <n v="110"/>
    <n v="19.5"/>
    <n v="100"/>
    <n v="100"/>
    <n v="0"/>
    <n v="123977"/>
    <n v="318780"/>
    <n v="54327"/>
    <n v="0"/>
    <n v="129"/>
    <n v="359394"/>
    <n v="137564.4375397218"/>
    <n v="50"/>
    <n v="199"/>
    <n v="18"/>
    <n v="0"/>
    <n v="0"/>
    <n v="113120"/>
    <n v="554414"/>
    <n v="50148"/>
    <n v="0"/>
    <n v="129"/>
    <n v="359394"/>
    <n v="151109.243697479"/>
    <n v="25"/>
    <n v="176"/>
    <n v="7"/>
    <n v="0"/>
    <n v="0"/>
    <n v="510048"/>
    <n v="19502"/>
    <n v="0"/>
    <n v="0"/>
    <n v="129"/>
    <n v="359394"/>
    <n v="58764.70588235294"/>
    <n v="25"/>
    <n v="139"/>
    <n v="15"/>
    <m/>
    <n v="0"/>
    <n v="0"/>
    <n v="387254"/>
    <n v="43470"/>
    <n v="0"/>
    <n v="0"/>
    <n v="129"/>
    <n v="359394"/>
    <n v="125924.3697478992"/>
    <n v="32"/>
    <n v="145"/>
    <n v="16"/>
    <m/>
    <n v="0"/>
    <n v="0"/>
    <n v="403970"/>
    <n v="46368"/>
    <n v="0"/>
    <n v="0"/>
    <n v="145"/>
    <n v="359394"/>
    <n v="134319.3277310924"/>
    <n v="19"/>
    <n v="139"/>
    <n v="10"/>
    <n v="0"/>
    <n v="0"/>
    <n v="0"/>
    <n v="387254"/>
    <n v="28980"/>
    <n v="0"/>
    <n v="0"/>
    <n v="139"/>
    <n v="359394"/>
    <n v="83949.57983193277"/>
    <n v="29"/>
    <n v="129"/>
    <n v="17.4"/>
    <n v="0"/>
    <n v="0"/>
    <n v="0"/>
    <n v="359394"/>
    <n v="50425.2"/>
    <n v="0"/>
    <n v="0"/>
    <n v="129"/>
    <n v="359394"/>
    <n v="146072.268907563"/>
    <n v="15"/>
    <n v="111.6"/>
    <n v="9"/>
    <n v="0"/>
    <n v="0"/>
    <n v="0"/>
    <n v="323416.8"/>
    <n v="26082"/>
    <n v="0"/>
    <n v="0"/>
    <n v="111.6"/>
    <n v="323416.8"/>
    <n v="75554.62184873949"/>
    <n v="17"/>
    <n v="102.6"/>
    <n v="10.2"/>
    <n v="0"/>
    <n v="0"/>
    <n v="0"/>
    <m/>
    <n v="297334.8"/>
    <n v="29559.6"/>
    <n v="0"/>
    <n v="0"/>
    <n v="102.6"/>
    <n v="297334.8"/>
    <n v="77057.14285714286"/>
    <n v="15"/>
    <n v="92.39999999999999"/>
    <n v="9"/>
    <n v="0"/>
    <n v="0"/>
    <n v="267775.2"/>
    <n v="26082"/>
    <n v="0"/>
    <n v="0"/>
    <n v="92.39999999999999"/>
    <n v="267775.2"/>
    <n v="71391.17647058824"/>
    <n v="20"/>
    <n v="83.39999999999999"/>
    <n v="12"/>
    <n v="0"/>
    <n v="0"/>
    <n v="241693.2"/>
    <n v="34776"/>
    <n v="0"/>
    <n v="83.39999999999999"/>
    <n v="241693.2"/>
    <n v="100739.4957983193"/>
    <n v="9"/>
    <n v="71.39999999999999"/>
    <n v="5.399999999999999"/>
    <n v="0"/>
    <m/>
    <n v="206917.2"/>
    <n v="15044.4"/>
    <n v="0"/>
    <n v="71.39999999999999"/>
    <n v="206917.2"/>
    <n v="45332.77310924369"/>
  </r>
  <r>
    <m/>
    <x v="6"/>
    <x v="30"/>
    <x v="70"/>
    <s v="SIMTUPSILBL"/>
    <x v="703"/>
    <x v="540"/>
    <x v="0"/>
    <x v="0"/>
    <n v="0.8"/>
    <x v="360"/>
    <n v="77"/>
    <m/>
    <n v="0"/>
    <n v="2732"/>
    <n v="210364"/>
    <n v="2.8"/>
    <n v="3059"/>
    <n v="8394.957983193277"/>
    <n v="7554.621848739496"/>
    <s v="Shenzhen"/>
    <s v="30/70"/>
    <n v="30"/>
    <n v="100"/>
    <n v="15"/>
    <n v="0.5571095571095571"/>
    <n v="18"/>
    <n v="0.5769682726204466"/>
    <n v="53"/>
    <n v="0.5657378098608492"/>
    <n v="22"/>
    <n v="0.5997406110287562"/>
    <n v="21"/>
    <n v="0.5758262461324134"/>
    <n v="34"/>
    <n v="0.5913570423947999"/>
    <n v="15"/>
    <n v="0.5880760978541807"/>
    <n v="31"/>
    <n v="0.5998467276811102"/>
    <n v="7"/>
    <n v="0.6096116827143231"/>
    <n v="17"/>
    <n v="0.5895711924721632"/>
    <n v="0"/>
    <s v=""/>
    <n v="0"/>
    <s v=""/>
    <n v="12"/>
    <n v="0.6323718744193511"/>
    <n v="20"/>
    <n v="0.6275980988550366"/>
    <n v="43"/>
    <n v="0.545383221177081"/>
    <n v="16"/>
    <n v="0.5837647156148603"/>
    <n v="0.64"/>
    <n v="13"/>
    <n v="0.592410126530562"/>
    <n v="0.6190476190476191"/>
    <n v="5"/>
    <n v="0.6845672224095639"/>
    <n v="0.1470588235294118"/>
    <n v="13"/>
    <n v="0.6621639683801284"/>
    <n v="0.8666666666666667"/>
    <n v="1"/>
    <n v="0.6384171301446051"/>
    <n v="0.03225806451612903"/>
    <m/>
    <m/>
    <m/>
    <m/>
    <m/>
    <m/>
    <m/>
    <m/>
    <m/>
    <m/>
    <m/>
    <m/>
    <n v="20"/>
    <n v="106"/>
    <n v="20"/>
    <n v="0"/>
    <n v="0"/>
    <n v="0"/>
    <n v="254076"/>
    <n v="307188"/>
    <n v="54640"/>
    <n v="0"/>
    <n v="77"/>
    <n v="210364"/>
    <n v="141091.730809971"/>
    <n v="25"/>
    <n v="95"/>
    <n v="30"/>
    <n v="100"/>
    <n v="100"/>
    <n v="0"/>
    <n v="243148"/>
    <n v="275310"/>
    <n v="81960"/>
    <n v="0"/>
    <n v="77"/>
    <n v="210364"/>
    <n v="211637.5962149566"/>
    <n v="50"/>
    <n v="160"/>
    <n v="43"/>
    <n v="0"/>
    <n v="0"/>
    <n v="209874.4"/>
    <n v="437120"/>
    <n v="117476"/>
    <n v="0"/>
    <n v="77"/>
    <n v="210364"/>
    <n v="360983.1932773109"/>
    <n v="25"/>
    <n v="132"/>
    <n v="16"/>
    <n v="0"/>
    <n v="0"/>
    <n v="382536"/>
    <n v="43712"/>
    <n v="0"/>
    <n v="0"/>
    <n v="77"/>
    <n v="210364"/>
    <n v="134319.3277310924"/>
    <n v="21"/>
    <n v="90"/>
    <n v="16.8"/>
    <m/>
    <n v="0"/>
    <n v="0"/>
    <n v="245880"/>
    <n v="48686.4"/>
    <n v="0"/>
    <n v="0"/>
    <n v="77"/>
    <n v="210364"/>
    <n v="141035.294117647"/>
    <n v="34"/>
    <n v="82"/>
    <n v="5"/>
    <m/>
    <n v="0"/>
    <n v="0"/>
    <n v="224024"/>
    <n v="14490"/>
    <n v="0"/>
    <n v="0"/>
    <n v="82"/>
    <n v="210364"/>
    <n v="41974.78991596639"/>
    <n v="15"/>
    <n v="90"/>
    <n v="13"/>
    <n v="0"/>
    <n v="0"/>
    <n v="0"/>
    <n v="245880"/>
    <n v="37674"/>
    <n v="0"/>
    <n v="0"/>
    <n v="90"/>
    <n v="210364"/>
    <n v="109134.4537815126"/>
    <n v="31"/>
    <n v="77"/>
    <n v="24.8"/>
    <n v="0"/>
    <n v="0"/>
    <n v="0"/>
    <n v="210364"/>
    <n v="71870.40000000001"/>
    <n v="0"/>
    <n v="0"/>
    <n v="77"/>
    <n v="210364"/>
    <n v="208194.9579831933"/>
    <n v="13"/>
    <n v="52.2"/>
    <n v="10.4"/>
    <n v="0"/>
    <n v="0"/>
    <n v="0"/>
    <n v="151275.6"/>
    <n v="30139.2"/>
    <n v="0"/>
    <n v="0"/>
    <n v="52.2"/>
    <n v="151275.6"/>
    <n v="87307.56302521008"/>
    <n v="17"/>
    <n v="41.8"/>
    <n v="13.6"/>
    <n v="0"/>
    <n v="0"/>
    <n v="0"/>
    <m/>
    <n v="121136.4"/>
    <n v="39412.8"/>
    <n v="0"/>
    <n v="0"/>
    <n v="41.8"/>
    <n v="121136.4"/>
    <n v="102742.8571428572"/>
    <n v="17"/>
    <n v="28.2"/>
    <n v="13.6"/>
    <n v="0"/>
    <n v="0"/>
    <n v="81723.60000000001"/>
    <n v="39412.8"/>
    <n v="0"/>
    <n v="0"/>
    <n v="28.2"/>
    <n v="81723.60000000001"/>
    <n v="107880"/>
    <n v="17"/>
    <n v="14.6"/>
    <n v="13.6"/>
    <n v="0"/>
    <n v="0"/>
    <n v="42310.8"/>
    <n v="39412.8"/>
    <n v="0"/>
    <n v="14.6"/>
    <n v="42310.8"/>
    <n v="114171.4285714286"/>
    <n v="10.2"/>
    <n v="1"/>
    <n v="8.16"/>
    <n v="0"/>
    <m/>
    <n v="2898"/>
    <n v="22293.12"/>
    <n v="0"/>
    <n v="1"/>
    <n v="2898"/>
    <n v="68502.85714285714"/>
  </r>
  <r>
    <m/>
    <x v="6"/>
    <x v="30"/>
    <x v="70"/>
    <s v="SIMTUPSILGR"/>
    <x v="704"/>
    <x v="540"/>
    <x v="0"/>
    <x v="0"/>
    <n v="1"/>
    <x v="361"/>
    <n v="45"/>
    <m/>
    <n v="0"/>
    <n v="2833"/>
    <n v="127485"/>
    <n v="2.8"/>
    <n v="3059"/>
    <n v="8394.957983193277"/>
    <n v="7554.621848739496"/>
    <s v="Shenzhen"/>
    <s v="30/70"/>
    <n v="30"/>
    <n v="100"/>
    <n v="28"/>
    <n v="0.6062097288753889"/>
    <n v="32"/>
    <n v="0.5878502124348307"/>
    <n v="58"/>
    <n v="0.5843069683158781"/>
    <n v="31"/>
    <n v="0.601916561376823"/>
    <n v="21"/>
    <n v="0.5841046588076004"/>
    <n v="35"/>
    <n v="0.5882340374775461"/>
    <n v="19"/>
    <n v="0.5889113377295021"/>
    <n v="2"/>
    <n v="0.6224659854014598"/>
    <n v="1"/>
    <n v="0.6375534377127299"/>
    <n v="12"/>
    <n v="0.5813852090802328"/>
    <n v="13"/>
    <n v="0.63831103887986"/>
    <n v="16"/>
    <n v="0.5532896682107753"/>
    <n v="22"/>
    <n v="0.4979929883954208"/>
    <n v="34"/>
    <n v="0.5149635978668985"/>
    <n v="57"/>
    <n v="0.4845161132292815"/>
    <n v="27"/>
    <n v="0.5303075465025404"/>
    <n v="0.9"/>
    <n v="27"/>
    <n v="0.6288469635266154"/>
    <n v="1.285714285714286"/>
    <n v="27"/>
    <n v="0.3863984953366489"/>
    <n v="0.7714285714285715"/>
    <n v="16"/>
    <n v="0.6392924456601679"/>
    <n v="0.8421052631578947"/>
    <n v="3"/>
    <n v="0.6625467927000771"/>
    <n v="0.1764705882352941"/>
    <m/>
    <m/>
    <m/>
    <m/>
    <m/>
    <m/>
    <m/>
    <m/>
    <m/>
    <m/>
    <m/>
    <m/>
    <n v="20"/>
    <n v="168"/>
    <n v="24"/>
    <n v="0"/>
    <n v="0"/>
    <n v="0"/>
    <n v="373956"/>
    <n v="486864"/>
    <n v="67992"/>
    <n v="0"/>
    <n v="45"/>
    <n v="127485"/>
    <n v="169310.0769719653"/>
    <n v="35"/>
    <n v="152"/>
    <n v="51"/>
    <n v="100"/>
    <n v="100"/>
    <n v="0"/>
    <n v="382455"/>
    <n v="440496"/>
    <n v="144483"/>
    <n v="0"/>
    <n v="45"/>
    <n v="127485"/>
    <n v="359783.9135654262"/>
    <n v="50"/>
    <n v="209"/>
    <n v="57"/>
    <n v="0"/>
    <n v="0"/>
    <n v="298830"/>
    <n v="592097"/>
    <n v="161481"/>
    <n v="0"/>
    <n v="45"/>
    <n v="127485"/>
    <n v="478512.6050420168"/>
    <n v="30"/>
    <n v="164"/>
    <n v="27"/>
    <n v="0"/>
    <n v="0"/>
    <n v="475272"/>
    <n v="76491"/>
    <n v="0"/>
    <n v="0"/>
    <n v="45"/>
    <n v="127485"/>
    <n v="226663.8655462185"/>
    <n v="21"/>
    <n v="72"/>
    <n v="21"/>
    <m/>
    <n v="0"/>
    <n v="0"/>
    <n v="203976"/>
    <n v="60858"/>
    <n v="0"/>
    <n v="0"/>
    <n v="45"/>
    <n v="127485"/>
    <n v="176294.1176470588"/>
    <n v="35"/>
    <n v="72"/>
    <n v="27"/>
    <m/>
    <n v="0"/>
    <n v="0"/>
    <n v="203976"/>
    <n v="78246"/>
    <n v="0"/>
    <n v="0"/>
    <n v="72"/>
    <n v="127485"/>
    <n v="226663.8655462185"/>
    <n v="19"/>
    <n v="61"/>
    <n v="16"/>
    <n v="0"/>
    <n v="0"/>
    <n v="0"/>
    <n v="172813"/>
    <n v="46368"/>
    <n v="0"/>
    <n v="0"/>
    <n v="61"/>
    <n v="127485"/>
    <n v="134319.3277310924"/>
    <n v="17"/>
    <n v="45"/>
    <n v="17"/>
    <n v="0"/>
    <n v="0"/>
    <n v="0"/>
    <n v="127485"/>
    <n v="49266"/>
    <n v="0"/>
    <n v="0"/>
    <n v="45"/>
    <n v="127485"/>
    <n v="142714.2857142857"/>
    <n v="15"/>
    <n v="28"/>
    <n v="15"/>
    <n v="0"/>
    <n v="0"/>
    <n v="0"/>
    <n v="81144"/>
    <n v="43470"/>
    <n v="0"/>
    <n v="0"/>
    <n v="28"/>
    <n v="81144"/>
    <n v="125924.3697478992"/>
    <n v="16"/>
    <n v="13"/>
    <n v="13"/>
    <n v="0"/>
    <n v="0"/>
    <n v="0"/>
    <m/>
    <n v="37674"/>
    <n v="37674"/>
    <n v="0"/>
    <n v="0"/>
    <n v="13"/>
    <n v="37674"/>
    <n v="98210.08403361346"/>
    <n v="16"/>
    <n v="0"/>
    <n v="16"/>
    <n v="0"/>
    <n v="0"/>
    <n v="0"/>
    <n v="46368"/>
    <n v="0"/>
    <n v="0"/>
    <n v="0"/>
    <n v="0"/>
    <n v="126917.6470588235"/>
    <n v="16"/>
    <n v="0"/>
    <n v="16"/>
    <n v="0"/>
    <n v="0"/>
    <n v="0"/>
    <n v="46368"/>
    <n v="0"/>
    <n v="0"/>
    <n v="0"/>
    <n v="134319.3277310924"/>
    <n v="9.6"/>
    <n v="0"/>
    <n v="9.6"/>
    <n v="0"/>
    <m/>
    <n v="0"/>
    <n v="27196.8"/>
    <n v="0"/>
    <n v="0"/>
    <n v="0"/>
    <n v="80591.59663865545"/>
  </r>
  <r>
    <m/>
    <x v="6"/>
    <x v="30"/>
    <x v="70"/>
    <s v="SIMTUPSILRD"/>
    <x v="705"/>
    <x v="540"/>
    <x v="0"/>
    <x v="0"/>
    <n v="0.7"/>
    <x v="362"/>
    <n v="110"/>
    <m/>
    <n v="0"/>
    <n v="2837"/>
    <n v="312070"/>
    <n v="2.8"/>
    <n v="3059"/>
    <n v="8394.957983193277"/>
    <n v="7554.621848739496"/>
    <s v="Shenzhen"/>
    <s v="30/70"/>
    <n v="30"/>
    <n v="100"/>
    <n v="11"/>
    <n v="0.5852827632411509"/>
    <n v="31"/>
    <n v="0.5617075509678294"/>
    <n v="51"/>
    <n v="0.5092522349402624"/>
    <n v="35"/>
    <n v="0.5811610547231624"/>
    <n v="26"/>
    <n v="0.5921347422232935"/>
    <n v="40"/>
    <n v="0.5718194675079115"/>
    <n v="12"/>
    <n v="0.5837568504396102"/>
    <n v="6"/>
    <n v="0.6063803112566069"/>
    <n v="4"/>
    <n v="0.6169293307914364"/>
    <n v="6"/>
    <n v="0.6155437889283628"/>
    <n v="8"/>
    <n v="0.5354144253140997"/>
    <n v="20"/>
    <n v="0.5560586550686473"/>
    <n v="18"/>
    <n v="0.518154524118338"/>
    <n v="24"/>
    <n v="0.4971783611781698"/>
    <n v="44"/>
    <n v="0.5620891172765486"/>
    <n v="15"/>
    <n v="0.5627358958615835"/>
    <n v="0.4285714285714285"/>
    <n v="18"/>
    <n v="0.5861691111664721"/>
    <n v="0.6923076923076923"/>
    <n v="14"/>
    <n v="0.4611186820051539"/>
    <n v="0.35"/>
    <n v="9"/>
    <n v="0.6608374760994263"/>
    <n v="0.6428571428571429"/>
    <n v="3"/>
    <n v="0.6313021477975973"/>
    <n v="0.1666666666666667"/>
    <m/>
    <m/>
    <m/>
    <m/>
    <m/>
    <m/>
    <m/>
    <m/>
    <m/>
    <m/>
    <m/>
    <m/>
    <n v="20"/>
    <n v="162"/>
    <n v="15"/>
    <n v="0"/>
    <n v="0"/>
    <n v="0"/>
    <n v="269515"/>
    <n v="469476"/>
    <n v="42555"/>
    <n v="0"/>
    <n v="110"/>
    <n v="312070"/>
    <n v="105818.7981074783"/>
    <n v="35"/>
    <n v="148"/>
    <n v="36"/>
    <n v="100"/>
    <n v="100"/>
    <n v="0"/>
    <n v="269515"/>
    <n v="428904"/>
    <n v="102132"/>
    <n v="0"/>
    <n v="110"/>
    <n v="312070"/>
    <n v="253965.1154579479"/>
    <n v="50"/>
    <n v="217"/>
    <n v="44"/>
    <n v="0"/>
    <n v="0"/>
    <n v="220126.6"/>
    <n v="615629"/>
    <n v="124828"/>
    <n v="0"/>
    <n v="110"/>
    <n v="312070"/>
    <n v="369378.1512605042"/>
    <n v="35"/>
    <n v="180"/>
    <n v="15"/>
    <n v="0"/>
    <n v="0"/>
    <n v="521640"/>
    <n v="42555"/>
    <n v="0"/>
    <n v="0"/>
    <n v="110"/>
    <n v="312070"/>
    <n v="125924.3697478992"/>
    <n v="26"/>
    <n v="128"/>
    <n v="18.2"/>
    <m/>
    <n v="0"/>
    <n v="0"/>
    <n v="363136"/>
    <n v="52743.6"/>
    <n v="0"/>
    <n v="0"/>
    <n v="110"/>
    <n v="312070"/>
    <n v="152788.2352941176"/>
    <n v="40"/>
    <n v="124"/>
    <n v="14"/>
    <m/>
    <n v="0"/>
    <n v="0"/>
    <n v="351788"/>
    <n v="40572"/>
    <n v="0"/>
    <n v="0"/>
    <n v="124"/>
    <n v="312070"/>
    <n v="117529.4117647059"/>
    <n v="14"/>
    <n v="119"/>
    <n v="9"/>
    <n v="0"/>
    <n v="0"/>
    <n v="0"/>
    <n v="337603"/>
    <n v="26082"/>
    <n v="0"/>
    <n v="0"/>
    <n v="119"/>
    <n v="312070"/>
    <n v="75554.62184873949"/>
    <n v="18"/>
    <n v="110"/>
    <n v="12.6"/>
    <n v="0"/>
    <n v="0"/>
    <n v="0"/>
    <n v="312070"/>
    <n v="36514.8"/>
    <n v="0"/>
    <n v="0"/>
    <n v="110"/>
    <n v="312070"/>
    <n v="105776.4705882353"/>
    <n v="16"/>
    <n v="97.40000000000001"/>
    <n v="11.2"/>
    <n v="0"/>
    <n v="0"/>
    <n v="0"/>
    <n v="282265.2"/>
    <n v="32457.6"/>
    <n v="0"/>
    <n v="0"/>
    <n v="97.40000000000001"/>
    <n v="282265.2"/>
    <n v="94023.5294117647"/>
    <n v="17"/>
    <n v="86.2"/>
    <n v="11.9"/>
    <n v="0"/>
    <n v="0"/>
    <n v="0"/>
    <m/>
    <n v="249807.6"/>
    <n v="34486.2"/>
    <n v="0"/>
    <n v="0"/>
    <n v="86.2"/>
    <n v="249807.6"/>
    <n v="89900"/>
    <n v="17"/>
    <n v="74.30000000000001"/>
    <n v="11.9"/>
    <n v="0"/>
    <n v="0"/>
    <n v="215321.4"/>
    <n v="34486.2"/>
    <n v="0"/>
    <n v="0"/>
    <n v="74.30000000000001"/>
    <n v="215321.4"/>
    <n v="94395"/>
    <n v="17"/>
    <n v="62.40000000000001"/>
    <n v="11.9"/>
    <n v="0"/>
    <n v="0"/>
    <n v="180835.2"/>
    <n v="34486.2"/>
    <n v="0"/>
    <n v="62.40000000000001"/>
    <n v="180835.2"/>
    <n v="99899.99999999999"/>
    <n v="10.2"/>
    <n v="50.50000000000001"/>
    <n v="7.139999999999999"/>
    <n v="0"/>
    <m/>
    <n v="146349"/>
    <n v="20256.18"/>
    <n v="0"/>
    <n v="50.50000000000001"/>
    <n v="146349"/>
    <n v="59939.99999999999"/>
  </r>
  <r>
    <m/>
    <x v="6"/>
    <x v="30"/>
    <x v="72"/>
    <n v="1627418180602"/>
    <x v="706"/>
    <x v="541"/>
    <x v="0"/>
    <x v="3"/>
    <n v="1"/>
    <x v="363"/>
    <n v="205"/>
    <m/>
    <n v="0"/>
    <n v="5744"/>
    <n v="1177520"/>
    <n v="5.35"/>
    <n v="5844.875"/>
    <n v="12596.63865546219"/>
    <n v="10915.96638655462"/>
    <s v="Shenzhen"/>
    <s v="30/70"/>
    <n v="30"/>
    <n v="100"/>
    <n v="132"/>
    <n v="0.4555171202207749"/>
    <n v="54"/>
    <n v="0.4124274136367768"/>
    <n v="127"/>
    <n v="0.4578293158231049"/>
    <n v="58"/>
    <n v="0.4619154588193792"/>
    <n v="104"/>
    <n v="0.4118977125420525"/>
    <n v="170"/>
    <n v="0.458325301953143"/>
    <n v="84"/>
    <n v="0.4727614840695841"/>
    <n v="93"/>
    <n v="0.4443479898818681"/>
    <n v="64"/>
    <n v="0.4350573485248256"/>
    <n v="176"/>
    <n v="0.4054723982867305"/>
    <n v="42"/>
    <n v="0.4646262939585759"/>
    <n v="55"/>
    <n v="0.4574234234774379"/>
    <n v="55"/>
    <n v="0.3886995946454984"/>
    <n v="36"/>
    <n v="0.2546083614114361"/>
    <n v="96"/>
    <n v="0.2973848931637755"/>
    <n v="79"/>
    <n v="0.3753255581919675"/>
    <n v="0.9875"/>
    <n v="148"/>
    <n v="0.3903939529651165"/>
    <n v="1.48"/>
    <n v="142"/>
    <n v="0.3280302501982031"/>
    <n v="0.8352941176470589"/>
    <n v="0"/>
    <s v=""/>
    <n v="0"/>
    <n v="0"/>
    <s v=""/>
    <n v="0"/>
    <m/>
    <m/>
    <m/>
    <m/>
    <m/>
    <m/>
    <m/>
    <m/>
    <m/>
    <m/>
    <m/>
    <m/>
    <n v="120"/>
    <n v="229"/>
    <n v="50"/>
    <n v="300"/>
    <n v="300"/>
    <n v="0"/>
    <n v="1148800"/>
    <n v="1268030.25"/>
    <n v="287200"/>
    <n v="0"/>
    <n v="205"/>
    <n v="1177520"/>
    <n v="529270.5317421086"/>
    <n v="60"/>
    <n v="488"/>
    <n v="54"/>
    <n v="130"/>
    <n v="130"/>
    <n v="0"/>
    <n v="1315376"/>
    <n v="2702178"/>
    <n v="310176"/>
    <n v="0"/>
    <n v="205"/>
    <n v="1177520"/>
    <n v="571612.1742814773"/>
    <n v="130"/>
    <n v="301"/>
    <n v="96"/>
    <n v="0"/>
    <n v="0"/>
    <n v="1558925"/>
    <n v="1728944"/>
    <n v="551424"/>
    <n v="0"/>
    <n v="205"/>
    <n v="1177520"/>
    <n v="1209277.31092437"/>
    <n v="80"/>
    <n v="585"/>
    <n v="79"/>
    <n v="100"/>
    <n v="0"/>
    <n v="3239291.25"/>
    <n v="453776"/>
    <n v="553725"/>
    <n v="0"/>
    <n v="205"/>
    <n v="1177520"/>
    <n v="995134.4537815127"/>
    <n v="100"/>
    <n v="353"/>
    <n v="100"/>
    <m/>
    <n v="0"/>
    <n v="0"/>
    <n v="2027632"/>
    <n v="553725"/>
    <n v="0"/>
    <n v="0"/>
    <n v="205"/>
    <n v="1177520"/>
    <n v="1259663.865546219"/>
    <n v="170"/>
    <n v="347"/>
    <n v="142"/>
    <m/>
    <n v="0"/>
    <n v="0"/>
    <n v="1993168"/>
    <n v="786289.5"/>
    <n v="0"/>
    <n v="0"/>
    <n v="347"/>
    <n v="1177520"/>
    <n v="1788722.68907563"/>
    <n v="85"/>
    <n v="205"/>
    <n v="0"/>
    <n v="100"/>
    <n v="100"/>
    <n v="0"/>
    <n v="1177520"/>
    <n v="0"/>
    <n v="535267.4999999999"/>
    <n v="0"/>
    <n v="205"/>
    <n v="1177520"/>
    <n v="0"/>
    <n v="101"/>
    <n v="205"/>
    <n v="101"/>
    <n v="0"/>
    <n v="0"/>
    <n v="0"/>
    <n v="1177520"/>
    <n v="559262.25"/>
    <n v="0"/>
    <n v="0"/>
    <n v="205"/>
    <n v="1177520"/>
    <n v="1272260.504201681"/>
    <n v="65"/>
    <n v="104"/>
    <n v="65"/>
    <n v="200"/>
    <n v="200"/>
    <n v="0"/>
    <n v="575874"/>
    <n v="359921.25"/>
    <n v="1107450"/>
    <n v="0"/>
    <n v="104"/>
    <n v="575874"/>
    <n v="818781.5126050421"/>
    <n v="140"/>
    <n v="239"/>
    <n v="140"/>
    <n v="0"/>
    <n v="0"/>
    <n v="0"/>
    <n v="200"/>
    <n v="1323402.75"/>
    <n v="775215"/>
    <n v="0"/>
    <n v="1107450"/>
    <n v="239"/>
    <n v="2430852.75"/>
    <n v="1528235.294117647"/>
    <n v="70"/>
    <n v="99"/>
    <n v="70"/>
    <n v="0"/>
    <n v="0"/>
    <n v="548187.75"/>
    <n v="387607.5"/>
    <n v="0"/>
    <n v="0"/>
    <n v="99"/>
    <n v="548187.75"/>
    <n v="802323.5294117648"/>
    <n v="90"/>
    <n v="29"/>
    <n v="90"/>
    <n v="0"/>
    <n v="0"/>
    <n v="160580.25"/>
    <n v="498352.5"/>
    <n v="0"/>
    <n v="29"/>
    <n v="160580.25"/>
    <n v="1133697.478991597"/>
    <n v="42"/>
    <n v="0"/>
    <n v="42"/>
    <n v="0"/>
    <m/>
    <n v="0"/>
    <n v="241248"/>
    <n v="0"/>
    <n v="0"/>
    <n v="0"/>
    <n v="529058.8235294118"/>
  </r>
  <r>
    <m/>
    <x v="6"/>
    <x v="30"/>
    <x v="72"/>
    <n v="1660857800718"/>
    <x v="707"/>
    <x v="542"/>
    <x v="0"/>
    <x v="1"/>
    <n v="1"/>
    <x v="364"/>
    <n v="123"/>
    <m/>
    <n v="0"/>
    <n v="5055"/>
    <n v="621765"/>
    <n v="5.15"/>
    <n v="5626.375"/>
    <n v="12596.63865546219"/>
    <n v="10915.96638655462"/>
    <s v="Shenzhen"/>
    <s v="30/70"/>
    <n v="30"/>
    <n v="300"/>
    <n v="149"/>
    <n v="0.5196168815737238"/>
    <n v="115"/>
    <n v="0.5266993391454693"/>
    <n v="164"/>
    <n v="0.5595337806520951"/>
    <n v="106"/>
    <n v="0.5864041423165366"/>
    <n v="103"/>
    <n v="0.5468290754566608"/>
    <n v="13"/>
    <n v="0.5796735572831258"/>
    <n v="125"/>
    <n v="0.604409927905997"/>
    <n v="129"/>
    <n v="0.6243664164327213"/>
    <n v="99"/>
    <n v="0.6054411840947543"/>
    <n v="196"/>
    <n v="0.5359321125876859"/>
    <n v="117"/>
    <n v="0.5268154421941922"/>
    <n v="60"/>
    <n v="0.5762860370696409"/>
    <n v="111"/>
    <n v="0.4111485663328016"/>
    <n v="148"/>
    <n v="0.4159810358231894"/>
    <n v="203"/>
    <n v="0.3794384947516651"/>
    <n v="204"/>
    <n v="0.3781326348704289"/>
    <n v="1.569230769230769"/>
    <n v="77"/>
    <n v="0.5320492435808756"/>
    <n v="0.5923076923076923"/>
    <n v="25"/>
    <n v="0.396128992694154"/>
    <n v="0.125"/>
    <n v="0"/>
    <s v=""/>
    <n v="0"/>
    <n v="0"/>
    <s v=""/>
    <n v="0"/>
    <m/>
    <m/>
    <m/>
    <m/>
    <m/>
    <m/>
    <m/>
    <m/>
    <m/>
    <m/>
    <m/>
    <m/>
    <n v="150"/>
    <n v="311"/>
    <n v="120"/>
    <n v="320"/>
    <n v="320"/>
    <n v="0"/>
    <n v="2754975"/>
    <n v="1657707.75"/>
    <n v="606600"/>
    <n v="0"/>
    <n v="123"/>
    <n v="621765"/>
    <n v="1270249.276181061"/>
    <n v="120"/>
    <n v="512"/>
    <n v="222"/>
    <n v="0"/>
    <n v="0"/>
    <n v="0"/>
    <n v="3179595"/>
    <n v="2729088"/>
    <n v="1122210"/>
    <n v="0"/>
    <n v="123"/>
    <n v="621765"/>
    <n v="2349961.160934963"/>
    <n v="150"/>
    <n v="370"/>
    <n v="203"/>
    <n v="0"/>
    <n v="0"/>
    <n v="2750317.5"/>
    <n v="1870350"/>
    <n v="1026165"/>
    <n v="0"/>
    <n v="123"/>
    <n v="621765"/>
    <n v="2557117.647058824"/>
    <n v="130"/>
    <n v="273"/>
    <n v="204"/>
    <n v="0"/>
    <n v="0"/>
    <n v="1455158.25"/>
    <n v="1031220"/>
    <n v="0"/>
    <n v="0"/>
    <n v="123"/>
    <n v="621765"/>
    <n v="2569714.285714286"/>
    <n v="130"/>
    <n v="200"/>
    <n v="130"/>
    <m/>
    <n v="0"/>
    <n v="0"/>
    <n v="1011000"/>
    <n v="692932.5"/>
    <n v="0"/>
    <n v="0"/>
    <n v="123"/>
    <n v="621765"/>
    <n v="1637563.025210084"/>
    <n v="200"/>
    <n v="148"/>
    <n v="25"/>
    <m/>
    <n v="0"/>
    <n v="0"/>
    <n v="748140"/>
    <n v="133256.25"/>
    <n v="0"/>
    <n v="0"/>
    <n v="148"/>
    <n v="621765"/>
    <n v="314915.9663865546"/>
    <n v="150"/>
    <n v="123"/>
    <n v="0"/>
    <n v="300"/>
    <n v="300"/>
    <n v="0"/>
    <n v="621765"/>
    <n v="0"/>
    <n v="1545772.5"/>
    <n v="0"/>
    <n v="123"/>
    <n v="621765"/>
    <n v="0"/>
    <n v="130"/>
    <n v="123"/>
    <n v="130"/>
    <n v="300"/>
    <n v="300"/>
    <n v="0"/>
    <n v="621765"/>
    <n v="692932.5"/>
    <n v="1599075"/>
    <n v="0"/>
    <n v="123"/>
    <n v="621765"/>
    <n v="1637563.025210084"/>
    <n v="108"/>
    <n v="0"/>
    <n v="108"/>
    <n v="300"/>
    <n v="0"/>
    <n v="300"/>
    <n v="0"/>
    <n v="575667"/>
    <n v="1599075"/>
    <n v="1599075"/>
    <n v="300"/>
    <n v="1599075"/>
    <n v="1360436.974789916"/>
    <n v="200"/>
    <n v="392"/>
    <n v="200"/>
    <n v="0"/>
    <n v="0"/>
    <n v="0"/>
    <n v="200"/>
    <n v="2089458"/>
    <n v="1066050"/>
    <n v="0"/>
    <n v="1066050"/>
    <n v="392"/>
    <n v="3155508"/>
    <n v="2183193.277310925"/>
    <n v="100"/>
    <n v="192"/>
    <n v="100"/>
    <n v="0"/>
    <n v="0"/>
    <n v="1023408"/>
    <n v="533025"/>
    <n v="0"/>
    <n v="0"/>
    <n v="192"/>
    <n v="1023408"/>
    <n v="1146176.470588235"/>
    <n v="120"/>
    <n v="92"/>
    <n v="120"/>
    <n v="300"/>
    <n v="300"/>
    <n v="490383"/>
    <n v="639630"/>
    <n v="1599075"/>
    <n v="392"/>
    <n v="2089458"/>
    <n v="1511596.638655462"/>
    <n v="60"/>
    <n v="272"/>
    <n v="60"/>
    <n v="0"/>
    <m/>
    <n v="1449828"/>
    <n v="303300"/>
    <n v="0"/>
    <n v="272"/>
    <n v="1449828"/>
    <n v="755798.3193277312"/>
  </r>
  <r>
    <m/>
    <x v="6"/>
    <x v="30"/>
    <x v="72"/>
    <n v="1660858702400"/>
    <x v="708"/>
    <x v="543"/>
    <x v="0"/>
    <x v="0"/>
    <n v="1"/>
    <x v="365"/>
    <n v="141"/>
    <m/>
    <n v="0"/>
    <n v="3100"/>
    <n v="437100"/>
    <n v="3.3"/>
    <n v="3605.25"/>
    <n v="10915.96638655462"/>
    <n v="7554.621848739496"/>
    <s v="Shenzhen"/>
    <s v="30/70"/>
    <n v="30"/>
    <n v="100"/>
    <n v="37"/>
    <n v="0.6429609313074486"/>
    <n v="28"/>
    <n v="0.6700253744542939"/>
    <n v="40"/>
    <n v="0.6369218772028877"/>
    <n v="26"/>
    <n v="0.6457225151932189"/>
    <n v="51"/>
    <n v="0.6265050551653535"/>
    <n v="107"/>
    <n v="0.588913986622762"/>
    <n v="47"/>
    <n v="0.5905802444829854"/>
    <n v="56"/>
    <n v="0.6346806756947696"/>
    <n v="42"/>
    <n v="0.6418878422145281"/>
    <n v="38"/>
    <n v="0.7259349120237082"/>
    <n v="-1"/>
    <n v="0.6110449377368706"/>
    <n v="0"/>
    <s v=""/>
    <n v="3"/>
    <n v="0.6936966430335261"/>
    <n v="15"/>
    <n v="0.6041198272326261"/>
    <n v="54"/>
    <n v="0.5635410528605423"/>
    <n v="36"/>
    <n v="0.5516028352034308"/>
    <n v="1.028571428571428"/>
    <n v="37"/>
    <n v="0.6281804701446438"/>
    <n v="0.74"/>
    <n v="42"/>
    <n v="0.5532676749095584"/>
    <n v="0.42"/>
    <n v="0"/>
    <s v=""/>
    <n v="0"/>
    <n v="0"/>
    <s v=""/>
    <n v="0"/>
    <m/>
    <m/>
    <m/>
    <m/>
    <m/>
    <m/>
    <m/>
    <m/>
    <m/>
    <m/>
    <m/>
    <m/>
    <n v="35"/>
    <n v="4"/>
    <n v="20"/>
    <n v="150"/>
    <n v="150"/>
    <n v="0"/>
    <n v="299150"/>
    <n v="13662"/>
    <n v="62000"/>
    <n v="0"/>
    <n v="141"/>
    <n v="437100"/>
    <n v="183461.6199420945"/>
    <n v="30"/>
    <n v="147"/>
    <n v="22.5"/>
    <n v="0"/>
    <n v="0"/>
    <n v="0"/>
    <n v="348750"/>
    <n v="502078.4999999999"/>
    <n v="69750"/>
    <n v="0"/>
    <n v="141"/>
    <n v="437100"/>
    <n v="206394.3224348563"/>
    <n v="40"/>
    <n v="117"/>
    <n v="54"/>
    <n v="0"/>
    <n v="0"/>
    <n v="449775"/>
    <n v="362700"/>
    <n v="167400"/>
    <n v="0"/>
    <n v="141"/>
    <n v="437100"/>
    <n v="589462.1848739496"/>
    <n v="35"/>
    <n v="176"/>
    <n v="36"/>
    <n v="100"/>
    <n v="0"/>
    <n v="601127.9999999999"/>
    <n v="111600"/>
    <n v="341549.9999999999"/>
    <n v="0"/>
    <n v="141"/>
    <n v="437100"/>
    <n v="392974.7899159664"/>
    <n v="50"/>
    <n v="178"/>
    <n v="50"/>
    <m/>
    <n v="0"/>
    <n v="0"/>
    <n v="551800"/>
    <n v="170775"/>
    <n v="0"/>
    <n v="0"/>
    <n v="141"/>
    <n v="437100"/>
    <n v="545798.3193277312"/>
    <n v="100"/>
    <n v="183"/>
    <n v="42"/>
    <m/>
    <n v="0"/>
    <n v="0"/>
    <n v="567300"/>
    <n v="143451"/>
    <n v="0"/>
    <n v="0"/>
    <n v="183"/>
    <n v="437100"/>
    <n v="458470.5882352942"/>
    <n v="50"/>
    <n v="141"/>
    <n v="0"/>
    <n v="150"/>
    <n v="150"/>
    <n v="0"/>
    <n v="437100"/>
    <n v="0"/>
    <n v="495247.4999999999"/>
    <n v="0"/>
    <n v="141"/>
    <n v="437100"/>
    <n v="0"/>
    <n v="50"/>
    <n v="141"/>
    <n v="50"/>
    <n v="0"/>
    <n v="0"/>
    <n v="0"/>
    <n v="437100"/>
    <n v="170775"/>
    <n v="0"/>
    <n v="0"/>
    <n v="141"/>
    <n v="437100"/>
    <n v="545798.3193277312"/>
    <n v="50"/>
    <n v="91"/>
    <n v="50"/>
    <n v="200"/>
    <n v="100"/>
    <n v="200"/>
    <n v="310810.4999999999"/>
    <n v="170775"/>
    <n v="683099.9999999999"/>
    <n v="683099.9999999999"/>
    <n v="291"/>
    <n v="993910.4999999998"/>
    <n v="545798.3193277312"/>
    <n v="60"/>
    <n v="241"/>
    <n v="60"/>
    <n v="0"/>
    <n v="0"/>
    <n v="0"/>
    <n v="0"/>
    <n v="823135.4999999999"/>
    <n v="204930"/>
    <n v="0"/>
    <n v="0"/>
    <n v="241"/>
    <n v="823135.4999999999"/>
    <n v="453277.3109243698"/>
    <n v="50"/>
    <n v="181"/>
    <n v="50"/>
    <n v="0"/>
    <n v="0"/>
    <n v="618205.4999999999"/>
    <n v="170775"/>
    <n v="0"/>
    <n v="0"/>
    <n v="181"/>
    <n v="618205.4999999999"/>
    <n v="396617.6470588236"/>
    <n v="60"/>
    <n v="131"/>
    <n v="60"/>
    <n v="0"/>
    <n v="0"/>
    <n v="447430.4999999999"/>
    <n v="204930"/>
    <n v="0"/>
    <n v="131"/>
    <n v="447430.4999999999"/>
    <n v="654957.9831932774"/>
    <n v="30"/>
    <n v="71"/>
    <n v="30"/>
    <n v="0"/>
    <m/>
    <n v="242500.5"/>
    <n v="93000"/>
    <n v="0"/>
    <n v="71"/>
    <n v="242500.5"/>
    <n v="327478.9915966387"/>
  </r>
  <r>
    <m/>
    <x v="6"/>
    <x v="30"/>
    <x v="72"/>
    <s v="SIMMOLVER-WD"/>
    <x v="709"/>
    <x v="544"/>
    <x v="0"/>
    <x v="0"/>
    <n v="1"/>
    <x v="366"/>
    <n v="79"/>
    <m/>
    <n v="0"/>
    <n v="6715"/>
    <n v="530485"/>
    <n v="7.5"/>
    <n v="8370"/>
    <n v="14277.31092436975"/>
    <n v="12596.63865546219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3"/>
    <n v="0.6178997728277474"/>
    <n v="14"/>
    <n v="0.5172289628875907"/>
    <n v="12"/>
    <n v="0.4050092999751811"/>
    <n v="19"/>
    <n v="0.4973546524327377"/>
    <n v="17"/>
    <n v="0.3881256877842673"/>
    <n v="26"/>
    <n v="0.4446506295759297"/>
    <n v="1.04"/>
    <n v="36"/>
    <n v="0.414139901554077"/>
    <n v="1.8"/>
    <n v="35"/>
    <n v="0.3649130015055221"/>
    <n v="1"/>
    <n v="34"/>
    <n v="0.4755713855549593"/>
    <n v="1.36"/>
    <n v="14"/>
    <n v="0.493481522733241"/>
    <n v="0.7"/>
    <m/>
    <m/>
    <m/>
    <m/>
    <m/>
    <m/>
    <m/>
    <m/>
    <m/>
    <m/>
    <m/>
    <m/>
    <n v="25"/>
    <n v="270"/>
    <n v="20"/>
    <n v="0"/>
    <n v="0"/>
    <n v="0"/>
    <n v="439832.5"/>
    <n v="2095875"/>
    <n v="134300"/>
    <n v="0"/>
    <n v="79"/>
    <n v="530485"/>
    <n v="239954.8054515924"/>
    <n v="25"/>
    <n v="259"/>
    <n v="28.5"/>
    <n v="0"/>
    <n v="0"/>
    <n v="0"/>
    <n v="480122.5"/>
    <n v="2010487.5"/>
    <n v="191377.5"/>
    <n v="0"/>
    <n v="79"/>
    <n v="530485"/>
    <n v="341935.5977685192"/>
    <n v="45"/>
    <n v="241"/>
    <n v="17"/>
    <n v="0"/>
    <n v="0"/>
    <n v="443995"/>
    <n v="1618315"/>
    <n v="114155"/>
    <n v="0"/>
    <n v="79"/>
    <n v="530485"/>
    <n v="242714.2857142857"/>
    <n v="25"/>
    <n v="225"/>
    <n v="26"/>
    <n v="0"/>
    <n v="0"/>
    <n v="1746562.5"/>
    <n v="174590"/>
    <n v="0"/>
    <n v="0"/>
    <n v="79"/>
    <n v="530485"/>
    <n v="371210.0840336135"/>
    <n v="20"/>
    <n v="115"/>
    <n v="20"/>
    <m/>
    <n v="0"/>
    <n v="0"/>
    <n v="772225"/>
    <n v="155250"/>
    <n v="0"/>
    <n v="0"/>
    <n v="79"/>
    <n v="530485"/>
    <n v="285546.218487395"/>
    <n v="35"/>
    <n v="114"/>
    <n v="35"/>
    <m/>
    <n v="0"/>
    <n v="0"/>
    <n v="765510"/>
    <n v="271687.4999999999"/>
    <n v="0"/>
    <n v="0"/>
    <n v="114"/>
    <n v="530485"/>
    <n v="499705.8823529412"/>
    <n v="25"/>
    <n v="113"/>
    <n v="34"/>
    <n v="0"/>
    <n v="0"/>
    <n v="0"/>
    <n v="758795"/>
    <n v="263924.9999999999"/>
    <n v="0"/>
    <n v="0"/>
    <n v="113"/>
    <n v="530485"/>
    <n v="485428.5714285715"/>
    <n v="20"/>
    <n v="79"/>
    <n v="20"/>
    <n v="0"/>
    <n v="0"/>
    <n v="0"/>
    <n v="530485"/>
    <n v="155250"/>
    <n v="0"/>
    <n v="0"/>
    <n v="79"/>
    <n v="530485"/>
    <n v="285546.218487395"/>
    <n v="30"/>
    <n v="59"/>
    <n v="30"/>
    <n v="0"/>
    <n v="0"/>
    <n v="0"/>
    <n v="457987.4999999999"/>
    <n v="232875"/>
    <n v="0"/>
    <n v="0"/>
    <n v="59"/>
    <n v="457987.4999999999"/>
    <n v="428319.3277310925"/>
    <n v="30"/>
    <n v="29"/>
    <n v="29"/>
    <n v="0"/>
    <n v="0"/>
    <n v="0"/>
    <m/>
    <n v="225112.5"/>
    <n v="225112.5"/>
    <n v="0"/>
    <n v="0"/>
    <n v="29"/>
    <n v="225112.5"/>
    <n v="365302.5210084034"/>
    <n v="30"/>
    <n v="0"/>
    <n v="30"/>
    <n v="150"/>
    <n v="150"/>
    <n v="0"/>
    <n v="232875"/>
    <n v="1164375"/>
    <n v="1164375"/>
    <n v="150"/>
    <n v="1164375"/>
    <n v="396794.1176470589"/>
    <n v="50"/>
    <n v="120"/>
    <n v="50"/>
    <n v="0"/>
    <n v="0"/>
    <n v="931499.9999999999"/>
    <n v="388124.9999999999"/>
    <n v="0"/>
    <n v="120"/>
    <n v="931499.9999999999"/>
    <n v="713865.5462184874"/>
    <n v="18"/>
    <n v="70"/>
    <n v="18"/>
    <n v="0"/>
    <m/>
    <n v="543374.9999999999"/>
    <n v="120870"/>
    <n v="0"/>
    <n v="70"/>
    <n v="543374.9999999999"/>
    <n v="256991.5966386555"/>
  </r>
  <r>
    <m/>
    <x v="6"/>
    <x v="30"/>
    <x v="73"/>
    <n v="1660858341796"/>
    <x v="710"/>
    <x v="545"/>
    <x v="0"/>
    <x v="1"/>
    <n v="1"/>
    <x v="367"/>
    <n v="1689"/>
    <m/>
    <n v="0"/>
    <n v="6430"/>
    <n v="10860270"/>
    <n v="5"/>
    <n v="5462.5"/>
    <n v="16798.31932773109"/>
    <n v="12596.63865546219"/>
    <s v="Ningbo"/>
    <s v="20/80 Credit"/>
    <n v="30"/>
    <n v="100"/>
    <n v="280"/>
    <n v="0.597432372410997"/>
    <n v="225"/>
    <n v="0.6282743976155524"/>
    <n v="353"/>
    <n v="0.6286171900957941"/>
    <n v="214"/>
    <n v="0.6214663957196923"/>
    <n v="318"/>
    <n v="0.6001428018629379"/>
    <n v="576"/>
    <n v="0.600373908131168"/>
    <n v="331"/>
    <n v="0.5929818254729268"/>
    <n v="442"/>
    <n v="0.6001666812437543"/>
    <n v="387"/>
    <n v="0.6014234566408396"/>
    <n v="498"/>
    <n v="0.5542023718525021"/>
    <n v="132"/>
    <n v="0.6163753522155774"/>
    <n v="148"/>
    <n v="0.5654835623430474"/>
    <n v="155"/>
    <n v="0.4141504370046502"/>
    <n v="192"/>
    <n v="0.3789430531982174"/>
    <n v="205"/>
    <n v="0.4558777020050802"/>
    <n v="97"/>
    <n v="0.5100327704458626"/>
    <n v="0.485"/>
    <n v="118"/>
    <n v="0.5784590290997639"/>
    <n v="0.3933333333333333"/>
    <n v="203"/>
    <n v="0.4041456660324343"/>
    <n v="0.3690909090909091"/>
    <n v="0"/>
    <s v=""/>
    <n v="0"/>
    <n v="0"/>
    <s v=""/>
    <n v="0"/>
    <m/>
    <m/>
    <m/>
    <m/>
    <m/>
    <m/>
    <m/>
    <m/>
    <m/>
    <m/>
    <m/>
    <m/>
    <n v="250"/>
    <n v="931"/>
    <n v="230"/>
    <n v="600"/>
    <n v="600"/>
    <n v="0"/>
    <n v="4648890"/>
    <n v="4817925"/>
    <n v="1478900"/>
    <n v="0"/>
    <n v="1689"/>
    <n v="10860270"/>
    <n v="3246733.987712733"/>
    <n v="200"/>
    <n v="1017"/>
    <n v="288"/>
    <n v="600"/>
    <n v="300"/>
    <n v="0"/>
    <n v="3793700"/>
    <n v="5262975"/>
    <n v="1851840"/>
    <n v="0"/>
    <n v="1689"/>
    <n v="10860270"/>
    <n v="4065475.602005508"/>
    <n v="455"/>
    <n v="794"/>
    <n v="205"/>
    <n v="0"/>
    <n v="0"/>
    <n v="3494360"/>
    <n v="5105420"/>
    <n v="1318150"/>
    <n v="0"/>
    <n v="1689"/>
    <n v="10860270"/>
    <n v="3443655.462184874"/>
    <n v="200"/>
    <n v="860"/>
    <n v="97"/>
    <n v="500"/>
    <n v="0"/>
    <n v="4450500"/>
    <n v="623710"/>
    <n v="2587500"/>
    <n v="0"/>
    <n v="1689"/>
    <n v="10860270"/>
    <n v="1629436.974789916"/>
    <n v="300"/>
    <n v="1807"/>
    <n v="300"/>
    <m/>
    <n v="800"/>
    <n v="0"/>
    <n v="11619010"/>
    <n v="1552500"/>
    <n v="0"/>
    <n v="0"/>
    <n v="1689"/>
    <n v="10860270"/>
    <n v="5039495.798319328"/>
    <n v="550"/>
    <n v="1892"/>
    <n v="203"/>
    <m/>
    <n v="500"/>
    <n v="0"/>
    <n v="12165560"/>
    <n v="1050525"/>
    <n v="0"/>
    <n v="0"/>
    <n v="1892"/>
    <n v="10860270"/>
    <n v="3410058.823529412"/>
    <n v="250"/>
    <n v="1689"/>
    <n v="0"/>
    <n v="850"/>
    <n v="850"/>
    <n v="0"/>
    <n v="10860270"/>
    <n v="0"/>
    <n v="4252125"/>
    <n v="0"/>
    <n v="1689"/>
    <n v="10860270"/>
    <n v="0"/>
    <n v="300"/>
    <n v="1689"/>
    <n v="300"/>
    <n v="0"/>
    <n v="0"/>
    <n v="0"/>
    <n v="10860270"/>
    <n v="1552500"/>
    <n v="0"/>
    <n v="0"/>
    <n v="1689"/>
    <n v="10860270"/>
    <n v="5039495.798319328"/>
    <n v="300"/>
    <n v="1389"/>
    <n v="300"/>
    <n v="0"/>
    <n v="0"/>
    <n v="0"/>
    <n v="7188075"/>
    <n v="1552500"/>
    <n v="0"/>
    <n v="0"/>
    <n v="1389"/>
    <n v="7188075"/>
    <n v="5039495.798319328"/>
    <n v="300"/>
    <n v="1089"/>
    <n v="300"/>
    <n v="0"/>
    <n v="0"/>
    <n v="0"/>
    <m/>
    <n v="5635575"/>
    <n v="1552500"/>
    <n v="0"/>
    <n v="0"/>
    <n v="1089"/>
    <n v="5635575"/>
    <n v="3778991.596638656"/>
    <n v="150"/>
    <n v="789"/>
    <n v="150"/>
    <n v="0"/>
    <n v="0"/>
    <n v="4083075"/>
    <n v="776250"/>
    <n v="0"/>
    <n v="0"/>
    <n v="789"/>
    <n v="4083075"/>
    <n v="1983970.588235294"/>
    <n v="150"/>
    <n v="639"/>
    <n v="150"/>
    <n v="0"/>
    <n v="0"/>
    <n v="3306825"/>
    <n v="776250"/>
    <n v="0"/>
    <n v="639"/>
    <n v="3306825"/>
    <n v="2519747.899159664"/>
    <n v="90"/>
    <n v="489"/>
    <n v="90"/>
    <n v="0"/>
    <m/>
    <n v="2530575"/>
    <n v="578700"/>
    <n v="0"/>
    <n v="489"/>
    <n v="2530575"/>
    <n v="1511848.739495798"/>
  </r>
  <r>
    <m/>
    <x v="6"/>
    <x v="30"/>
    <x v="73"/>
    <n v="1660858356962"/>
    <x v="711"/>
    <x v="546"/>
    <x v="0"/>
    <x v="1"/>
    <n v="1"/>
    <x v="368"/>
    <n v="1126"/>
    <m/>
    <n v="0"/>
    <n v="6804"/>
    <n v="7661304"/>
    <n v="5"/>
    <n v="5462.5"/>
    <n v="16798.31932773109"/>
    <n v="12596.63865546219"/>
    <s v="Ningbo"/>
    <s v="20/80 Credit"/>
    <n v="30"/>
    <n v="100"/>
    <n v="214"/>
    <n v="0.604014690722562"/>
    <n v="126"/>
    <n v="0.5844028381322078"/>
    <n v="212"/>
    <n v="0.6391616064667317"/>
    <n v="124"/>
    <n v="0.6401835562423009"/>
    <n v="213"/>
    <n v="0.6017962136579339"/>
    <n v="311"/>
    <n v="0.6000706098055307"/>
    <n v="153"/>
    <n v="0.6159769694774881"/>
    <n v="183"/>
    <n v="0.6127239860719192"/>
    <n v="149"/>
    <n v="0.6186029126681025"/>
    <n v="347"/>
    <n v="0.5587529488134907"/>
    <n v="182"/>
    <n v="0.5959061774272524"/>
    <n v="117"/>
    <n v="0.5996333288204095"/>
    <n v="74"/>
    <n v="0.2900133825939648"/>
    <n v="92"/>
    <n v="0.3944860956196631"/>
    <n v="66"/>
    <n v="0.3909889746457256"/>
    <n v="58"/>
    <n v="0.4916905660434328"/>
    <n v="0.58"/>
    <n v="93"/>
    <n v="0.5724849380179103"/>
    <n v="0.465"/>
    <n v="90"/>
    <n v="0.3586892767040463"/>
    <n v="0.2903225806451613"/>
    <n v="0"/>
    <s v=""/>
    <n v="0"/>
    <n v="0"/>
    <s v=""/>
    <n v="0"/>
    <m/>
    <m/>
    <m/>
    <m/>
    <m/>
    <m/>
    <m/>
    <m/>
    <m/>
    <m/>
    <m/>
    <m/>
    <n v="200"/>
    <n v="691"/>
    <n v="100"/>
    <n v="250"/>
    <n v="250"/>
    <n v="0"/>
    <n v="2068416"/>
    <n v="3575925"/>
    <n v="680400"/>
    <n v="0"/>
    <n v="1126"/>
    <n v="7661304"/>
    <n v="1411623.472918579"/>
    <n v="120"/>
    <n v="718"/>
    <n v="138"/>
    <n v="200"/>
    <n v="200"/>
    <n v="0"/>
    <n v="1782648"/>
    <n v="3715650"/>
    <n v="938952"/>
    <n v="0"/>
    <n v="1126"/>
    <n v="7661304"/>
    <n v="1948040.392627639"/>
    <n v="200"/>
    <n v="619"/>
    <n v="66"/>
    <n v="0"/>
    <n v="0"/>
    <n v="1878696"/>
    <n v="4211676"/>
    <n v="449064"/>
    <n v="0"/>
    <n v="1126"/>
    <n v="7661304"/>
    <n v="1108689.075630252"/>
    <n v="100"/>
    <n v="541"/>
    <n v="58"/>
    <n v="400"/>
    <n v="0"/>
    <n v="2799675"/>
    <n v="394632"/>
    <n v="2070000"/>
    <n v="0"/>
    <n v="1126"/>
    <n v="7661304"/>
    <n v="974302.5210084034"/>
    <n v="200"/>
    <n v="1219"/>
    <n v="200"/>
    <m/>
    <n v="400"/>
    <n v="0"/>
    <n v="8294076"/>
    <n v="1035000"/>
    <n v="0"/>
    <n v="0"/>
    <n v="1126"/>
    <n v="7661304"/>
    <n v="3359663.865546219"/>
    <n v="310"/>
    <n v="1216"/>
    <n v="90"/>
    <m/>
    <n v="400"/>
    <n v="0"/>
    <n v="8273664"/>
    <n v="465750"/>
    <n v="0"/>
    <n v="0"/>
    <n v="1216"/>
    <n v="7661304"/>
    <n v="1511848.739495798"/>
    <n v="150"/>
    <n v="1126"/>
    <n v="0"/>
    <n v="500"/>
    <n v="500"/>
    <n v="0"/>
    <n v="7661304"/>
    <n v="0"/>
    <n v="2501250"/>
    <n v="0"/>
    <n v="1126"/>
    <n v="7661304"/>
    <n v="0"/>
    <n v="150"/>
    <n v="1126"/>
    <n v="150"/>
    <n v="0"/>
    <n v="0"/>
    <n v="0"/>
    <n v="7661304"/>
    <n v="776250"/>
    <n v="0"/>
    <n v="0"/>
    <n v="1126"/>
    <n v="7661304"/>
    <n v="2519747.899159664"/>
    <n v="150"/>
    <n v="976"/>
    <n v="150"/>
    <n v="0"/>
    <n v="0"/>
    <n v="0"/>
    <n v="5050800"/>
    <n v="776250"/>
    <n v="0"/>
    <n v="0"/>
    <n v="976"/>
    <n v="5050800"/>
    <n v="2519747.899159664"/>
    <n v="200"/>
    <n v="826"/>
    <n v="200"/>
    <n v="0"/>
    <n v="0"/>
    <n v="0"/>
    <m/>
    <n v="4274550"/>
    <n v="1035000"/>
    <n v="0"/>
    <n v="0"/>
    <n v="826"/>
    <n v="4274550"/>
    <n v="2519327.731092437"/>
    <n v="150"/>
    <n v="626"/>
    <n v="150"/>
    <n v="0"/>
    <n v="0"/>
    <n v="3239550"/>
    <n v="776250"/>
    <n v="0"/>
    <n v="0"/>
    <n v="626"/>
    <n v="3239550"/>
    <n v="1983970.588235294"/>
    <n v="150"/>
    <n v="476"/>
    <n v="150"/>
    <n v="0"/>
    <n v="0"/>
    <n v="2463300"/>
    <n v="776250"/>
    <n v="0"/>
    <n v="476"/>
    <n v="2463300"/>
    <n v="2519747.899159664"/>
    <n v="90"/>
    <n v="326"/>
    <n v="90"/>
    <n v="0"/>
    <m/>
    <n v="1687050"/>
    <n v="612360"/>
    <n v="0"/>
    <n v="326"/>
    <n v="1687050"/>
    <n v="1511848.739495798"/>
  </r>
  <r>
    <m/>
    <x v="6"/>
    <x v="30"/>
    <x v="73"/>
    <n v="68540048936286"/>
    <x v="712"/>
    <x v="547"/>
    <x v="0"/>
    <x v="1"/>
    <n v="1"/>
    <x v="369"/>
    <n v="860"/>
    <m/>
    <n v="0"/>
    <n v="5636"/>
    <n v="4846960"/>
    <n v="3.9"/>
    <n v="4260.75"/>
    <n v="12596.63865546219"/>
    <n v="10915.96638655462"/>
    <s v="Ningbo"/>
    <s v="20/80 Credit"/>
    <n v="30"/>
    <n v="100"/>
    <n v="336"/>
    <n v="0.6557828323462098"/>
    <n v="187"/>
    <n v="0.7279778177306514"/>
    <n v="192"/>
    <n v="0.6222200370014536"/>
    <n v="220"/>
    <n v="0.5961186157946269"/>
    <n v="305"/>
    <n v="0.5945425542083791"/>
    <n v="278"/>
    <n v="0.533505484499853"/>
    <n v="204"/>
    <n v="0.6087743665214519"/>
    <n v="246"/>
    <n v="0.6143659266202772"/>
    <n v="30"/>
    <n v="0.6224804603425218"/>
    <n v="374"/>
    <n v="0.5365541123553396"/>
    <n v="287"/>
    <n v="0.569079564706876"/>
    <n v="208"/>
    <n v="0.5791112435744317"/>
    <n v="136"/>
    <n v="0.3246675147429834"/>
    <n v="252"/>
    <n v="0.255543715716905"/>
    <n v="192"/>
    <n v="0.347966065001285"/>
    <n v="130"/>
    <n v="0.4740222197597069"/>
    <n v="0.5909090909090909"/>
    <n v="190"/>
    <n v="0.5248103017505318"/>
    <n v="0.6785714285714286"/>
    <n v="176"/>
    <n v="0.4375382140616438"/>
    <n v="0.5866666666666667"/>
    <n v="0"/>
    <s v=""/>
    <n v="0"/>
    <n v="0"/>
    <s v=""/>
    <n v="0"/>
    <m/>
    <m/>
    <m/>
    <m/>
    <m/>
    <m/>
    <m/>
    <m/>
    <m/>
    <m/>
    <m/>
    <m/>
    <n v="280"/>
    <n v="439"/>
    <n v="160"/>
    <n v="300"/>
    <n v="300"/>
    <n v="0"/>
    <n v="4114280"/>
    <n v="1772023.5"/>
    <n v="901760"/>
    <n v="0"/>
    <n v="860"/>
    <n v="4846960"/>
    <n v="1693665.701574748"/>
    <n v="190"/>
    <n v="273"/>
    <n v="378"/>
    <n v="600"/>
    <n v="600"/>
    <n v="0"/>
    <n v="3945200"/>
    <n v="1101964.5"/>
    <n v="2130408"/>
    <n v="0"/>
    <n v="860"/>
    <n v="4846960"/>
    <n v="4001285.219970342"/>
    <n v="300"/>
    <n v="528"/>
    <n v="192"/>
    <n v="0"/>
    <n v="0"/>
    <n v="2945012"/>
    <n v="2975808"/>
    <n v="1082112"/>
    <n v="0"/>
    <n v="860"/>
    <n v="4846960"/>
    <n v="2418554.62184874"/>
    <n v="220"/>
    <n v="404"/>
    <n v="130"/>
    <n v="500"/>
    <n v="0"/>
    <n v="1630746"/>
    <n v="732680"/>
    <n v="2018250"/>
    <n v="0"/>
    <n v="860"/>
    <n v="4846960"/>
    <n v="1637563.025210084"/>
    <n v="280"/>
    <n v="1050"/>
    <n v="280"/>
    <m/>
    <n v="500"/>
    <n v="0"/>
    <n v="5917800"/>
    <n v="1130220"/>
    <n v="0"/>
    <n v="0"/>
    <n v="860"/>
    <n v="4846960"/>
    <n v="3527058.823529412"/>
    <n v="300"/>
    <n v="1036"/>
    <n v="176"/>
    <m/>
    <n v="500"/>
    <n v="0"/>
    <n v="5838896"/>
    <n v="710424"/>
    <n v="0"/>
    <n v="0"/>
    <n v="1036"/>
    <n v="4846960"/>
    <n v="2217008.403361345"/>
    <n v="150"/>
    <n v="860"/>
    <n v="0"/>
    <n v="650"/>
    <n v="650"/>
    <n v="0"/>
    <n v="4846960"/>
    <n v="0"/>
    <n v="2536267.5"/>
    <n v="0"/>
    <n v="860"/>
    <n v="4846960"/>
    <n v="0"/>
    <n v="200"/>
    <n v="860"/>
    <n v="200"/>
    <n v="0"/>
    <n v="0"/>
    <n v="0"/>
    <n v="4846960"/>
    <n v="807300"/>
    <n v="0"/>
    <n v="0"/>
    <n v="860"/>
    <n v="4846960"/>
    <n v="2519327.731092437"/>
    <n v="150"/>
    <n v="660"/>
    <n v="150"/>
    <n v="0"/>
    <n v="0"/>
    <n v="0"/>
    <n v="2664090"/>
    <n v="605475"/>
    <n v="0"/>
    <n v="0"/>
    <n v="660"/>
    <n v="2664090"/>
    <n v="1889495.798319328"/>
    <n v="250"/>
    <n v="510"/>
    <n v="250"/>
    <n v="0"/>
    <n v="0"/>
    <n v="0"/>
    <m/>
    <n v="2058615"/>
    <n v="1009125"/>
    <n v="0"/>
    <n v="0"/>
    <n v="510"/>
    <n v="2058615"/>
    <n v="2728991.596638656"/>
    <n v="200"/>
    <n v="260"/>
    <n v="200"/>
    <n v="0"/>
    <n v="0"/>
    <n v="1049490"/>
    <n v="807300"/>
    <n v="0"/>
    <n v="0"/>
    <n v="260"/>
    <n v="1049490"/>
    <n v="2292352.941176471"/>
    <n v="200"/>
    <n v="60"/>
    <n v="200"/>
    <n v="0"/>
    <n v="0"/>
    <n v="242190"/>
    <n v="807300"/>
    <n v="0"/>
    <n v="60"/>
    <n v="242190"/>
    <n v="2519327.731092437"/>
    <n v="120"/>
    <n v="0"/>
    <n v="120"/>
    <n v="0"/>
    <m/>
    <n v="0"/>
    <n v="676320"/>
    <n v="0"/>
    <n v="0"/>
    <n v="0"/>
    <n v="1511596.638655462"/>
  </r>
  <r>
    <m/>
    <x v="6"/>
    <x v="30"/>
    <x v="73"/>
    <n v="68540051413139"/>
    <x v="713"/>
    <x v="548"/>
    <x v="0"/>
    <x v="1"/>
    <n v="1"/>
    <x v="370"/>
    <n v="417"/>
    <m/>
    <n v="0"/>
    <n v="6037"/>
    <n v="2517429"/>
    <n v="3.9"/>
    <n v="4260.75"/>
    <n v="12596.63865546219"/>
    <n v="10915.96638655462"/>
    <s v="Ningbo"/>
    <s v="20/80 Credit"/>
    <n v="30"/>
    <n v="100"/>
    <n v="88"/>
    <n v="0.6936661095273223"/>
    <n v="125"/>
    <n v="0.6653221201128618"/>
    <n v="126"/>
    <n v="0.6484174737944511"/>
    <n v="80"/>
    <n v="0.6418037784760137"/>
    <n v="154"/>
    <n v="0.6269529636996698"/>
    <n v="215"/>
    <n v="0.6176525547052324"/>
    <n v="172"/>
    <n v="0.6028263830824374"/>
    <n v="166"/>
    <n v="0.6096016644929501"/>
    <n v="126"/>
    <n v="0.609219962252738"/>
    <n v="229"/>
    <n v="0.5426650709176535"/>
    <n v="122"/>
    <n v="0.5565212424466475"/>
    <n v="88"/>
    <n v="0.5177094682499498"/>
    <n v="140"/>
    <n v="0.3424849551582044"/>
    <n v="149"/>
    <n v="0.3574718045446841"/>
    <n v="174"/>
    <n v="0.4156878965338435"/>
    <n v="79"/>
    <n v="0.4618770169503221"/>
    <n v="0.8777777777777778"/>
    <n v="174"/>
    <n v="0.5166876035176629"/>
    <n v="1.16"/>
    <n v="189"/>
    <n v="0.3857045230991246"/>
    <n v="0.9"/>
    <n v="0"/>
    <s v=""/>
    <n v="0"/>
    <n v="0"/>
    <s v=""/>
    <n v="0"/>
    <m/>
    <m/>
    <m/>
    <m/>
    <m/>
    <m/>
    <m/>
    <m/>
    <m/>
    <m/>
    <m/>
    <m/>
    <n v="90"/>
    <n v="344"/>
    <n v="140"/>
    <n v="0"/>
    <n v="0"/>
    <n v="0"/>
    <n v="3244887.5"/>
    <n v="1388556"/>
    <n v="845180"/>
    <n v="0"/>
    <n v="417"/>
    <n v="2517429"/>
    <n v="1481957.488877904"/>
    <n v="120"/>
    <n v="437"/>
    <n v="223.5"/>
    <n v="300"/>
    <n v="300"/>
    <n v="0"/>
    <n v="2876630.5"/>
    <n v="1763950.5"/>
    <n v="1349269.5"/>
    <n v="0"/>
    <n v="417"/>
    <n v="2517429"/>
    <n v="2365839.276887226"/>
    <n v="225"/>
    <n v="344"/>
    <n v="174"/>
    <n v="0"/>
    <n v="0"/>
    <n v="2132836"/>
    <n v="2076728"/>
    <n v="1050438"/>
    <n v="0"/>
    <n v="417"/>
    <n v="2517429"/>
    <n v="2191815.12605042"/>
    <n v="90"/>
    <n v="178"/>
    <n v="79"/>
    <n v="450"/>
    <n v="0"/>
    <n v="718497"/>
    <n v="476923"/>
    <n v="1816425"/>
    <n v="0"/>
    <n v="417"/>
    <n v="2517429"/>
    <n v="995134.4537815127"/>
    <n v="150"/>
    <n v="591"/>
    <n v="150"/>
    <m/>
    <n v="450"/>
    <n v="0"/>
    <n v="3567867"/>
    <n v="605475"/>
    <n v="0"/>
    <n v="0"/>
    <n v="417"/>
    <n v="2517429"/>
    <n v="1889495.798319328"/>
    <n v="210"/>
    <n v="606"/>
    <n v="189"/>
    <m/>
    <n v="452"/>
    <n v="0"/>
    <n v="3658422"/>
    <n v="762898.5"/>
    <n v="0"/>
    <n v="0"/>
    <n v="606"/>
    <n v="2517429"/>
    <n v="2380764.705882353"/>
    <n v="130"/>
    <n v="417"/>
    <n v="0"/>
    <n v="450"/>
    <n v="450"/>
    <n v="0"/>
    <n v="2517429"/>
    <n v="0"/>
    <n v="1755877.5"/>
    <n v="0"/>
    <n v="417"/>
    <n v="2517429"/>
    <n v="0"/>
    <n v="150"/>
    <n v="417"/>
    <n v="150"/>
    <n v="0"/>
    <n v="0"/>
    <n v="0"/>
    <n v="2517429"/>
    <n v="605475"/>
    <n v="0"/>
    <n v="0"/>
    <n v="417"/>
    <n v="2517429"/>
    <n v="1889495.798319328"/>
    <n v="100"/>
    <n v="267"/>
    <n v="100"/>
    <n v="0"/>
    <n v="0"/>
    <n v="0"/>
    <n v="1077745.5"/>
    <n v="403650"/>
    <n v="0"/>
    <n v="0"/>
    <n v="267"/>
    <n v="1077745.5"/>
    <n v="1259663.865546219"/>
    <n v="200"/>
    <n v="167"/>
    <n v="167"/>
    <n v="0"/>
    <n v="0"/>
    <n v="0"/>
    <m/>
    <n v="674095.5"/>
    <n v="674095.5"/>
    <n v="0"/>
    <n v="0"/>
    <n v="167"/>
    <n v="674095.5"/>
    <n v="1822966.386554622"/>
    <n v="100"/>
    <n v="0"/>
    <n v="100"/>
    <n v="0"/>
    <n v="0"/>
    <n v="0"/>
    <n v="403650"/>
    <n v="0"/>
    <n v="0"/>
    <n v="0"/>
    <n v="0"/>
    <n v="1146176.470588235"/>
    <n v="100"/>
    <n v="0"/>
    <n v="100"/>
    <n v="0"/>
    <n v="0"/>
    <n v="0"/>
    <n v="403650"/>
    <n v="0"/>
    <n v="0"/>
    <n v="0"/>
    <n v="1259663.865546219"/>
    <n v="60"/>
    <n v="0"/>
    <n v="60"/>
    <n v="0"/>
    <m/>
    <n v="0"/>
    <n v="362220"/>
    <n v="0"/>
    <n v="0"/>
    <n v="0"/>
    <n v="755798.3193277312"/>
  </r>
  <r>
    <m/>
    <x v="6"/>
    <x v="30"/>
    <x v="73"/>
    <s v="SIMSECBIL"/>
    <x v="714"/>
    <x v="549"/>
    <x v="0"/>
    <x v="3"/>
    <n v="1"/>
    <x v="371"/>
    <n v="228"/>
    <m/>
    <n v="0"/>
    <n v="5578"/>
    <n v="1271784"/>
    <n v="5.2"/>
    <n v="5025.5"/>
    <n v="14277.31092436975"/>
    <n v="10915.96638655462"/>
    <s v="Ningbo"/>
    <s v="20/80 Credit"/>
    <n v="30"/>
    <n v="300"/>
    <n v="0"/>
    <s v=""/>
    <n v="0"/>
    <s v=""/>
    <n v="0"/>
    <s v=""/>
    <n v="0"/>
    <s v=""/>
    <n v="0"/>
    <s v=""/>
    <n v="0"/>
    <s v=""/>
    <n v="0"/>
    <s v=""/>
    <n v="0"/>
    <s v=""/>
    <n v="5"/>
    <n v="0.6730713487100916"/>
    <n v="26"/>
    <n v="0.5978452476347275"/>
    <n v="57"/>
    <n v="0.5960376765853619"/>
    <n v="36"/>
    <n v="0.6101655442049937"/>
    <n v="31"/>
    <n v="0.551211968085397"/>
    <n v="56"/>
    <n v="0.5673623901343134"/>
    <n v="89"/>
    <n v="0.5189776267040008"/>
    <n v="93"/>
    <n v="0.5625584332305231"/>
    <n v="1.55"/>
    <n v="54"/>
    <n v="0.6070762628933594"/>
    <n v="0.9818181818181818"/>
    <n v="105"/>
    <n v="0.4499106102611947"/>
    <n v="0.875"/>
    <n v="97"/>
    <n v="0.5807996213171073"/>
    <n v="0.97"/>
    <n v="28"/>
    <n v="0.555612527406532"/>
    <n v="0.5490196078431373"/>
    <m/>
    <m/>
    <m/>
    <m/>
    <m/>
    <m/>
    <m/>
    <m/>
    <m/>
    <m/>
    <m/>
    <m/>
    <n v="60"/>
    <n v="348"/>
    <n v="50"/>
    <n v="0"/>
    <n v="0"/>
    <n v="0"/>
    <n v="1243894"/>
    <n v="1872936"/>
    <n v="278900"/>
    <n v="0"/>
    <n v="228"/>
    <n v="1271784"/>
    <n v="599887.0136289811"/>
    <n v="50"/>
    <n v="418"/>
    <n v="84"/>
    <n v="250"/>
    <n v="250"/>
    <n v="0"/>
    <n v="1483748"/>
    <n v="2249676"/>
    <n v="468552"/>
    <n v="0"/>
    <n v="228"/>
    <n v="1271784"/>
    <n v="1007810.182896688"/>
    <n v="120"/>
    <n v="355"/>
    <n v="89"/>
    <n v="0"/>
    <n v="0"/>
    <n v="1311206"/>
    <n v="1980190"/>
    <n v="496442"/>
    <n v="0"/>
    <n v="228"/>
    <n v="1271784"/>
    <n v="1270680.672268908"/>
    <n v="60"/>
    <n v="229"/>
    <n v="93"/>
    <n v="0"/>
    <n v="0"/>
    <n v="1232478"/>
    <n v="518754"/>
    <n v="0"/>
    <n v="0"/>
    <n v="228"/>
    <n v="1271784"/>
    <n v="1327789.915966387"/>
    <n v="55"/>
    <n v="282"/>
    <n v="55"/>
    <m/>
    <n v="0"/>
    <n v="0"/>
    <n v="1572996"/>
    <n v="296010"/>
    <n v="0"/>
    <n v="0"/>
    <n v="228"/>
    <n v="1271784"/>
    <n v="785252.1008403362"/>
    <n v="120"/>
    <n v="333"/>
    <n v="105"/>
    <m/>
    <n v="146"/>
    <n v="0"/>
    <n v="1857474"/>
    <n v="565110"/>
    <n v="0"/>
    <n v="0"/>
    <n v="333"/>
    <n v="1271784"/>
    <n v="1499117.647058824"/>
    <n v="100"/>
    <n v="325"/>
    <n v="97"/>
    <n v="200"/>
    <n v="200"/>
    <n v="0"/>
    <n v="1812850"/>
    <n v="522054"/>
    <n v="1040520"/>
    <n v="0"/>
    <n v="325"/>
    <n v="1271784"/>
    <n v="1384899.159663866"/>
    <n v="51"/>
    <n v="228"/>
    <n v="51"/>
    <n v="0"/>
    <n v="0"/>
    <n v="0"/>
    <n v="1271784"/>
    <n v="274482"/>
    <n v="0"/>
    <n v="0"/>
    <n v="228"/>
    <n v="1271784"/>
    <n v="728142.8571428572"/>
    <n v="40"/>
    <n v="177"/>
    <n v="40"/>
    <n v="0"/>
    <n v="0"/>
    <n v="0"/>
    <n v="952614"/>
    <n v="215280"/>
    <n v="0"/>
    <n v="0"/>
    <n v="177"/>
    <n v="952614"/>
    <n v="571092.4369747899"/>
    <n v="80"/>
    <n v="137"/>
    <n v="80"/>
    <n v="0"/>
    <n v="0"/>
    <n v="0"/>
    <m/>
    <n v="737334"/>
    <n v="430560"/>
    <n v="0"/>
    <n v="0"/>
    <n v="137"/>
    <n v="737334"/>
    <n v="873277.3109243698"/>
    <n v="60"/>
    <n v="57"/>
    <n v="60"/>
    <n v="0"/>
    <n v="0"/>
    <n v="306774"/>
    <n v="322920"/>
    <n v="0"/>
    <n v="0"/>
    <n v="57"/>
    <n v="306774"/>
    <n v="687705.8823529413"/>
    <n v="60"/>
    <n v="0"/>
    <n v="60"/>
    <n v="0"/>
    <n v="0"/>
    <n v="0"/>
    <n v="322920"/>
    <n v="0"/>
    <n v="0"/>
    <n v="0"/>
    <n v="856638.6554621849"/>
    <n v="36"/>
    <n v="0"/>
    <n v="36"/>
    <n v="0"/>
    <m/>
    <n v="0"/>
    <n v="200808"/>
    <n v="0"/>
    <n v="0"/>
    <n v="0"/>
    <n v="513983.193277311"/>
  </r>
  <r>
    <m/>
    <x v="6"/>
    <x v="30"/>
    <x v="73"/>
    <s v="SIMSECBIL"/>
    <x v="715"/>
    <x v="549"/>
    <x v="0"/>
    <x v="3"/>
    <n v="1"/>
    <x v="372"/>
    <n v="286"/>
    <m/>
    <n v="0"/>
    <n v="5888"/>
    <n v="1683968"/>
    <n v="5.2"/>
    <n v="5025.5"/>
    <n v="14277.31092436975"/>
    <n v="10915.96638655462"/>
    <s v="Ningbo"/>
    <s v="20/80 Credit"/>
    <n v="30"/>
    <n v="300"/>
    <n v="0"/>
    <s v=""/>
    <n v="0"/>
    <s v=""/>
    <n v="0"/>
    <s v=""/>
    <n v="0"/>
    <s v=""/>
    <n v="0"/>
    <s v=""/>
    <n v="0"/>
    <s v=""/>
    <n v="0"/>
    <s v=""/>
    <n v="0"/>
    <s v=""/>
    <n v="4"/>
    <n v="0.6658024234086459"/>
    <n v="30"/>
    <n v="0.5907084190020574"/>
    <n v="21"/>
    <n v="0.6018904428184784"/>
    <n v="36"/>
    <n v="0.6057696764762839"/>
    <n v="34"/>
    <n v="0.5008406576851827"/>
    <n v="59"/>
    <n v="0.4474276894832537"/>
    <n v="68"/>
    <n v="0.4148741027025303"/>
    <n v="46"/>
    <n v="0.5058511198724638"/>
    <n v="0.92"/>
    <n v="106"/>
    <n v="0.4965148411143758"/>
    <n v="2.12"/>
    <n v="75"/>
    <n v="0.357269450088701"/>
    <n v="0.75"/>
    <n v="56"/>
    <n v="0.5617051309378712"/>
    <n v="0.6222222222222222"/>
    <n v="22"/>
    <n v="0.5272768741541772"/>
    <n v="0.4680851063829787"/>
    <m/>
    <m/>
    <m/>
    <m/>
    <m/>
    <m/>
    <m/>
    <m/>
    <m/>
    <m/>
    <m/>
    <m/>
    <n v="50"/>
    <n v="501"/>
    <n v="50"/>
    <n v="0"/>
    <n v="0"/>
    <n v="0"/>
    <n v="1215872"/>
    <n v="2696382"/>
    <n v="294400"/>
    <n v="0"/>
    <n v="286"/>
    <n v="1683968"/>
    <n v="599887.0136289811"/>
    <n v="40"/>
    <n v="614"/>
    <n v="88.5"/>
    <n v="250"/>
    <n v="250"/>
    <n v="0"/>
    <n v="1192320"/>
    <n v="3304548"/>
    <n v="521088"/>
    <n v="0"/>
    <n v="286"/>
    <n v="1683968"/>
    <n v="1061800.014123297"/>
    <n v="90"/>
    <n v="551"/>
    <n v="68"/>
    <n v="0"/>
    <n v="0"/>
    <n v="940332"/>
    <n v="3244288"/>
    <n v="400384"/>
    <n v="0"/>
    <n v="286"/>
    <n v="1683968"/>
    <n v="970857.142857143"/>
    <n v="50"/>
    <n v="480"/>
    <n v="46"/>
    <n v="0"/>
    <n v="0"/>
    <n v="2583360"/>
    <n v="270848"/>
    <n v="0"/>
    <n v="0"/>
    <n v="286"/>
    <n v="1683968"/>
    <n v="656756.3025210084"/>
    <n v="50"/>
    <n v="392"/>
    <n v="50"/>
    <m/>
    <n v="0"/>
    <n v="0"/>
    <n v="2308096"/>
    <n v="269100"/>
    <n v="0"/>
    <n v="0"/>
    <n v="286"/>
    <n v="1683968"/>
    <n v="713865.5462184874"/>
    <n v="100"/>
    <n v="361"/>
    <n v="75"/>
    <m/>
    <n v="0"/>
    <n v="0"/>
    <n v="2125568"/>
    <n v="403650"/>
    <n v="0"/>
    <n v="0"/>
    <n v="361"/>
    <n v="1683968"/>
    <n v="1070798.319327731"/>
    <n v="90"/>
    <n v="342"/>
    <n v="56"/>
    <n v="0"/>
    <n v="98"/>
    <n v="0"/>
    <n v="2013696"/>
    <n v="301392"/>
    <n v="0"/>
    <n v="0"/>
    <n v="342"/>
    <n v="1683968"/>
    <n v="799529.4117647059"/>
    <n v="47"/>
    <n v="286"/>
    <n v="47"/>
    <n v="0"/>
    <n v="0"/>
    <n v="0"/>
    <n v="1683968"/>
    <n v="252954"/>
    <n v="0"/>
    <n v="0"/>
    <n v="286"/>
    <n v="1683968"/>
    <n v="671033.6134453783"/>
    <n v="30"/>
    <n v="239"/>
    <n v="30"/>
    <n v="0"/>
    <n v="0"/>
    <n v="0"/>
    <n v="1286298"/>
    <n v="161460"/>
    <n v="0"/>
    <n v="0"/>
    <n v="239"/>
    <n v="1286298"/>
    <n v="428319.3277310925"/>
    <n v="100"/>
    <n v="209"/>
    <n v="100"/>
    <n v="0"/>
    <n v="0"/>
    <n v="0"/>
    <m/>
    <n v="1124838"/>
    <n v="538200"/>
    <n v="0"/>
    <n v="0"/>
    <n v="209"/>
    <n v="1124838"/>
    <n v="1091596.638655462"/>
    <n v="60"/>
    <n v="109"/>
    <n v="60"/>
    <n v="0"/>
    <n v="0"/>
    <n v="586638"/>
    <n v="322920"/>
    <n v="0"/>
    <n v="0"/>
    <n v="109"/>
    <n v="586638"/>
    <n v="687705.8823529413"/>
    <n v="60"/>
    <n v="49"/>
    <n v="60"/>
    <n v="0"/>
    <n v="0"/>
    <n v="263718"/>
    <n v="322920"/>
    <n v="0"/>
    <n v="49"/>
    <n v="263718"/>
    <n v="856638.6554621849"/>
    <n v="36"/>
    <n v="0"/>
    <n v="36"/>
    <n v="0"/>
    <m/>
    <n v="0"/>
    <n v="211968"/>
    <n v="0"/>
    <n v="0"/>
    <n v="0"/>
    <n v="513983.193277311"/>
  </r>
  <r>
    <m/>
    <x v="6"/>
    <x v="30"/>
    <x v="73"/>
    <s v="SIMSECVAL"/>
    <x v="716"/>
    <x v="550"/>
    <x v="0"/>
    <x v="1"/>
    <n v="1.3"/>
    <x v="373"/>
    <n v="356"/>
    <m/>
    <n v="0"/>
    <n v="7913"/>
    <n v="2817028"/>
    <n v="6.6"/>
    <n v="7210.499999999999"/>
    <n v="21000"/>
    <n v="19319.32773109244"/>
    <s v="Ningbo"/>
    <s v="20/80 Credit"/>
    <n v="30"/>
    <n v="300"/>
    <n v="0"/>
    <s v=""/>
    <n v="0"/>
    <s v=""/>
    <n v="0"/>
    <s v=""/>
    <n v="0"/>
    <s v=""/>
    <n v="0"/>
    <s v=""/>
    <n v="0"/>
    <s v=""/>
    <n v="0"/>
    <s v=""/>
    <n v="0"/>
    <s v=""/>
    <n v="19"/>
    <n v="0.552145225697384"/>
    <n v="120"/>
    <n v="0.5544890068683072"/>
    <n v="145"/>
    <n v="0.5427680962451893"/>
    <n v="30"/>
    <n v="0.5710960569553082"/>
    <n v="99"/>
    <n v="0.3306282813283226"/>
    <n v="137"/>
    <n v="0.2919588991476717"/>
    <n v="155"/>
    <n v="0.3670112453287636"/>
    <n v="117"/>
    <n v="0.408247423092797"/>
    <n v="0.78"/>
    <n v="178"/>
    <n v="0.5901381731138224"/>
    <n v="1.483333333333333"/>
    <n v="333"/>
    <n v="0.3966887157262133"/>
    <n v="1.665"/>
    <n v="192"/>
    <n v="0.5785054768701533"/>
    <n v="1.28"/>
    <n v="67"/>
    <n v="0.5841451466348547"/>
    <n v="0.4785714285714286"/>
    <m/>
    <m/>
    <m/>
    <m/>
    <m/>
    <m/>
    <m/>
    <m/>
    <m/>
    <m/>
    <m/>
    <m/>
    <n v="150"/>
    <n v="471"/>
    <n v="120"/>
    <n v="0"/>
    <n v="0"/>
    <n v="0"/>
    <n v="3802196.5"/>
    <n v="3217401"/>
    <n v="949560"/>
    <n v="0"/>
    <n v="356"/>
    <n v="2817028"/>
    <n v="2117647.05882353"/>
    <n v="150"/>
    <n v="404"/>
    <n v="205.5"/>
    <n v="350"/>
    <n v="350"/>
    <n v="0"/>
    <n v="3778457.5"/>
    <n v="2759724"/>
    <n v="1626121.5"/>
    <n v="0"/>
    <n v="356"/>
    <n v="2817028"/>
    <n v="3626470.588235294"/>
    <n v="200"/>
    <n v="411"/>
    <n v="155"/>
    <n v="0"/>
    <n v="0"/>
    <n v="3217972"/>
    <n v="3252243"/>
    <n v="1226515"/>
    <n v="0"/>
    <n v="356"/>
    <n v="2817028"/>
    <n v="3255000"/>
    <n v="150"/>
    <n v="405"/>
    <n v="117"/>
    <n v="450"/>
    <n v="0"/>
    <n v="2766555"/>
    <n v="925821"/>
    <n v="3073950"/>
    <n v="0"/>
    <n v="356"/>
    <n v="2817028"/>
    <n v="2457000"/>
    <n v="120"/>
    <n v="534"/>
    <n v="156"/>
    <m/>
    <n v="450"/>
    <n v="0"/>
    <n v="4225542"/>
    <n v="1065636"/>
    <n v="0"/>
    <n v="0"/>
    <n v="356"/>
    <n v="2817028"/>
    <n v="3276000"/>
    <n v="200"/>
    <n v="689"/>
    <n v="333"/>
    <m/>
    <n v="452"/>
    <n v="0"/>
    <n v="5452057"/>
    <n v="2274723"/>
    <n v="0"/>
    <n v="0"/>
    <n v="689"/>
    <n v="2817028"/>
    <n v="6993000"/>
    <n v="150"/>
    <n v="548"/>
    <n v="192"/>
    <n v="350"/>
    <n v="350"/>
    <n v="0"/>
    <n v="4336324"/>
    <n v="1311552"/>
    <n v="2311155"/>
    <n v="0"/>
    <n v="548"/>
    <n v="2817028"/>
    <n v="4032000"/>
    <n v="140"/>
    <n v="356"/>
    <n v="182"/>
    <n v="0"/>
    <n v="0"/>
    <n v="0"/>
    <n v="2817028"/>
    <n v="1243242"/>
    <n v="0"/>
    <n v="0"/>
    <n v="356"/>
    <n v="2817028"/>
    <n v="3822000"/>
    <n v="100"/>
    <n v="174"/>
    <n v="130"/>
    <n v="0"/>
    <n v="0"/>
    <n v="0"/>
    <n v="1188594"/>
    <n v="888029.9999999999"/>
    <n v="0"/>
    <n v="0"/>
    <n v="174"/>
    <n v="1188594"/>
    <n v="2730000"/>
    <n v="200"/>
    <n v="44"/>
    <n v="44"/>
    <n v="400"/>
    <n v="400"/>
    <n v="400"/>
    <n v="0"/>
    <n v="300563.9999999999"/>
    <n v="300563.9999999999"/>
    <n v="2732400"/>
    <n v="2732400"/>
    <n v="444"/>
    <n v="3032964"/>
    <n v="850050.4201680673"/>
    <n v="150"/>
    <n v="400"/>
    <n v="195"/>
    <n v="0"/>
    <n v="0"/>
    <n v="2732400"/>
    <n v="1332045"/>
    <n v="0"/>
    <n v="0"/>
    <n v="400"/>
    <n v="2732400"/>
    <n v="3955632.352941177"/>
    <n v="150"/>
    <n v="205"/>
    <n v="195"/>
    <n v="0"/>
    <n v="0"/>
    <n v="1400355"/>
    <n v="1332045"/>
    <n v="0"/>
    <n v="205"/>
    <n v="1400355"/>
    <n v="4095000"/>
    <n v="90"/>
    <n v="10"/>
    <n v="117"/>
    <n v="0"/>
    <m/>
    <n v="68309.99999999999"/>
    <n v="925821"/>
    <n v="0"/>
    <n v="10"/>
    <n v="68309.99999999999"/>
    <n v="2457000"/>
  </r>
  <r>
    <m/>
    <x v="6"/>
    <x v="30"/>
    <x v="73"/>
    <s v="SIMSECVAL"/>
    <x v="717"/>
    <x v="550"/>
    <x v="0"/>
    <x v="1"/>
    <n v="1"/>
    <x v="374"/>
    <n v="505"/>
    <m/>
    <n v="0"/>
    <n v="8175"/>
    <n v="4128375"/>
    <n v="6.6"/>
    <n v="7210.499999999999"/>
    <n v="21000"/>
    <n v="19319.32773109244"/>
    <s v="Ningbo"/>
    <s v="20/80 Credit"/>
    <n v="30"/>
    <n v="300"/>
    <n v="0"/>
    <s v=""/>
    <n v="0"/>
    <s v=""/>
    <n v="0"/>
    <s v=""/>
    <n v="0"/>
    <s v=""/>
    <n v="0"/>
    <s v=""/>
    <n v="0"/>
    <s v=""/>
    <n v="0"/>
    <s v=""/>
    <n v="0"/>
    <s v=""/>
    <n v="15"/>
    <n v="0.5662032598274209"/>
    <n v="60"/>
    <n v="0.5667259741253099"/>
    <n v="108"/>
    <n v="0.5367476154607627"/>
    <n v="13"/>
    <n v="0.5739388082239517"/>
    <n v="31"/>
    <n v="0.335630104318316"/>
    <n v="66"/>
    <n v="0.3095588712586229"/>
    <n v="78"/>
    <n v="0.3853673536427273"/>
    <n v="57"/>
    <n v="0.384921662876066"/>
    <n v="0.57"/>
    <n v="91"/>
    <n v="0.5849687516173815"/>
    <n v="1.011111111111111"/>
    <n v="151"/>
    <n v="0.4124514849786591"/>
    <n v="1.118518518518518"/>
    <n v="82"/>
    <n v="0.5661977486845204"/>
    <n v="0.82"/>
    <n v="36"/>
    <n v="0.534358052852471"/>
    <n v="0.4444444444444444"/>
    <m/>
    <m/>
    <m/>
    <m/>
    <m/>
    <m/>
    <m/>
    <m/>
    <m/>
    <m/>
    <m/>
    <m/>
    <n v="100"/>
    <n v="306"/>
    <n v="50"/>
    <n v="0"/>
    <n v="0"/>
    <n v="0"/>
    <n v="1855725"/>
    <n v="2090286"/>
    <n v="408750"/>
    <n v="0"/>
    <n v="505"/>
    <n v="4128375"/>
    <n v="882352.9411764706"/>
    <n v="100"/>
    <n v="266"/>
    <n v="99"/>
    <n v="250"/>
    <n v="250"/>
    <n v="0"/>
    <n v="1912950"/>
    <n v="1817046"/>
    <n v="809325"/>
    <n v="0"/>
    <n v="505"/>
    <n v="4128375"/>
    <n v="1747058.823529412"/>
    <n v="120"/>
    <n v="370"/>
    <n v="78"/>
    <n v="0"/>
    <n v="0"/>
    <n v="1718415"/>
    <n v="3024750"/>
    <n v="637650"/>
    <n v="0"/>
    <n v="505"/>
    <n v="4128375"/>
    <n v="1638000"/>
    <n v="100"/>
    <n v="336"/>
    <n v="57"/>
    <n v="300"/>
    <n v="0"/>
    <n v="2295216"/>
    <n v="465975"/>
    <n v="2049300"/>
    <n v="0"/>
    <n v="505"/>
    <n v="4128375"/>
    <n v="1197000"/>
    <n v="90"/>
    <n v="596"/>
    <n v="90"/>
    <m/>
    <n v="300"/>
    <n v="0"/>
    <n v="4872300"/>
    <n v="614789.9999999999"/>
    <n v="0"/>
    <n v="0"/>
    <n v="505"/>
    <n v="4128375"/>
    <n v="1890000"/>
    <n v="135"/>
    <n v="656"/>
    <n v="151"/>
    <m/>
    <n v="300"/>
    <n v="0"/>
    <n v="5362800"/>
    <n v="1031481"/>
    <n v="0"/>
    <n v="0"/>
    <n v="656"/>
    <n v="4128375"/>
    <n v="3171000"/>
    <n v="100"/>
    <n v="587"/>
    <n v="82"/>
    <n v="250"/>
    <n v="250"/>
    <n v="0"/>
    <n v="4798725"/>
    <n v="560141.9999999999"/>
    <n v="1650825"/>
    <n v="0"/>
    <n v="587"/>
    <n v="4128375"/>
    <n v="1722000"/>
    <n v="81"/>
    <n v="505"/>
    <n v="81"/>
    <n v="0"/>
    <n v="0"/>
    <n v="0"/>
    <n v="4128375"/>
    <n v="553310.9999999999"/>
    <n v="0"/>
    <n v="0"/>
    <n v="505"/>
    <n v="4128375"/>
    <n v="1701000"/>
    <n v="60"/>
    <n v="424"/>
    <n v="60"/>
    <n v="0"/>
    <n v="0"/>
    <n v="0"/>
    <n v="2896344"/>
    <n v="409859.9999999999"/>
    <n v="0"/>
    <n v="0"/>
    <n v="424"/>
    <n v="2896344"/>
    <n v="1260000"/>
    <n v="100"/>
    <n v="364"/>
    <n v="100"/>
    <n v="0"/>
    <n v="0"/>
    <n v="0"/>
    <m/>
    <n v="2486484"/>
    <n v="683099.9999999999"/>
    <n v="0"/>
    <n v="0"/>
    <n v="364"/>
    <n v="2486484"/>
    <n v="1931932.773109244"/>
    <n v="60"/>
    <n v="264"/>
    <n v="60"/>
    <n v="0"/>
    <n v="0"/>
    <n v="1803384"/>
    <n v="409859.9999999999"/>
    <n v="0"/>
    <n v="0"/>
    <n v="264"/>
    <n v="1803384"/>
    <n v="1217117.647058824"/>
    <n v="80"/>
    <n v="204"/>
    <n v="80"/>
    <n v="0"/>
    <n v="0"/>
    <n v="1393524"/>
    <n v="546479.9999999999"/>
    <n v="0"/>
    <n v="204"/>
    <n v="1393524"/>
    <n v="1680000"/>
    <n v="36"/>
    <n v="124"/>
    <n v="36"/>
    <n v="0"/>
    <m/>
    <n v="847043.9999999999"/>
    <n v="294300"/>
    <n v="0"/>
    <n v="124"/>
    <n v="847043.9999999999"/>
    <n v="756000"/>
  </r>
  <r>
    <m/>
    <x v="6"/>
    <x v="31"/>
    <x v="74"/>
    <s v="SIMALCVID"/>
    <x v="718"/>
    <x v="551"/>
    <x v="0"/>
    <x v="4"/>
    <n v="1"/>
    <x v="50"/>
    <n v="0"/>
    <m/>
    <n v="0"/>
    <n v="3109.6"/>
    <n v="0"/>
    <n v="3.38"/>
    <n v="3109.6"/>
    <n v="7839.327731092437"/>
    <n v="6663.428571428572"/>
    <s v="Shenzhen"/>
    <s v="30/70"/>
    <n v="45"/>
    <n v="3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0"/>
    <n v="0"/>
    <n v="300"/>
    <n v="300"/>
    <n v="300"/>
    <n v="0"/>
    <n v="0"/>
    <n v="0"/>
    <n v="1049490"/>
    <n v="1049490"/>
    <n v="300"/>
    <n v="1049490"/>
    <n v="0"/>
    <n v="40"/>
    <n v="300"/>
    <n v="40"/>
    <n v="0"/>
    <n v="0"/>
    <n v="1049490"/>
    <n v="139932"/>
    <n v="0"/>
    <n v="0"/>
    <n v="300"/>
    <n v="1049490"/>
    <n v="279864"/>
    <n v="60"/>
    <n v="260"/>
    <n v="60"/>
    <n v="0"/>
    <n v="0"/>
    <n v="909557.9999999999"/>
    <n v="209898"/>
    <n v="0"/>
    <n v="260"/>
    <n v="909557.9999999999"/>
    <n v="470359.6638655462"/>
    <n v="24"/>
    <n v="200"/>
    <n v="24"/>
    <n v="0"/>
    <m/>
    <n v="699660"/>
    <n v="74630.39999999999"/>
    <n v="0"/>
    <n v="200"/>
    <n v="699660"/>
    <n v="188143.8655462185"/>
  </r>
  <r>
    <m/>
    <x v="6"/>
    <x v="31"/>
    <x v="75"/>
    <n v="1659989549286"/>
    <x v="719"/>
    <x v="552"/>
    <x v="0"/>
    <x v="3"/>
    <n v="1"/>
    <x v="375"/>
    <n v="112"/>
    <m/>
    <n v="0"/>
    <n v="3542"/>
    <n v="396704"/>
    <n v="3.75"/>
    <n v="4096.875"/>
    <n v="10915.96638655462"/>
    <n v="8394.957983193277"/>
    <s v="Shenzhen"/>
    <s v="30/70"/>
    <n v="30"/>
    <n v="100"/>
    <n v="77"/>
    <n v="0.5910583225200537"/>
    <n v="43"/>
    <n v="0.6201548144234412"/>
    <n v="77"/>
    <n v="0.596814001220764"/>
    <n v="55"/>
    <n v="0.6002055972773339"/>
    <n v="94"/>
    <n v="0.6102723234238097"/>
    <n v="102"/>
    <n v="0.5592615722781328"/>
    <n v="44"/>
    <n v="0.5766117486112425"/>
    <n v="18"/>
    <n v="0.6612920244361561"/>
    <n v="97"/>
    <n v="0.648286523908199"/>
    <n v="136"/>
    <n v="0.5861004063159626"/>
    <n v="28"/>
    <n v="0.673717200027518"/>
    <n v="3"/>
    <n v="0.6341150604617076"/>
    <n v="43"/>
    <n v="0.5116444770945154"/>
    <n v="45"/>
    <n v="0.5326993793869003"/>
    <n v="71"/>
    <n v="0.5160246914026215"/>
    <n v="68"/>
    <n v="0.4869250637336535"/>
    <n v="1.046153846153846"/>
    <n v="74"/>
    <n v="0.5250297724865688"/>
    <n v="0.8222222222222222"/>
    <n v="120"/>
    <n v="0.495747289794789"/>
    <n v="1.2"/>
    <n v="0"/>
    <s v=""/>
    <n v="0"/>
    <n v="0"/>
    <s v=""/>
    <n v="0"/>
    <m/>
    <m/>
    <m/>
    <m/>
    <m/>
    <m/>
    <m/>
    <m/>
    <m/>
    <m/>
    <m/>
    <m/>
    <n v="90"/>
    <n v="80"/>
    <n v="90"/>
    <n v="250"/>
    <n v="250"/>
    <n v="0"/>
    <n v="809347"/>
    <n v="310499.9999999999"/>
    <n v="318780"/>
    <n v="0"/>
    <n v="112"/>
    <n v="396704"/>
    <n v="825577.2897394253"/>
    <n v="65"/>
    <n v="303"/>
    <n v="67.5"/>
    <n v="100"/>
    <n v="0"/>
    <n v="0"/>
    <n v="731423"/>
    <n v="1176018.75"/>
    <n v="239085"/>
    <n v="0"/>
    <n v="112"/>
    <n v="396704"/>
    <n v="619182.967304569"/>
    <n v="90"/>
    <n v="210"/>
    <n v="71"/>
    <n v="0"/>
    <n v="0"/>
    <n v="841650.5"/>
    <n v="743820"/>
    <n v="251482"/>
    <n v="0"/>
    <n v="112"/>
    <n v="396704"/>
    <n v="775033.6134453783"/>
    <n v="65"/>
    <n v="305"/>
    <n v="68"/>
    <n v="150"/>
    <n v="0"/>
    <n v="1183781.25"/>
    <n v="240856"/>
    <n v="582187.4999999999"/>
    <n v="0"/>
    <n v="112"/>
    <n v="396704"/>
    <n v="742285.7142857143"/>
    <n v="90"/>
    <n v="186"/>
    <n v="90"/>
    <m/>
    <n v="0"/>
    <n v="0"/>
    <n v="658812"/>
    <n v="349312.4999999999"/>
    <n v="0"/>
    <n v="0"/>
    <n v="112"/>
    <n v="396704"/>
    <n v="982436.9747899161"/>
    <n v="100"/>
    <n v="232"/>
    <n v="120"/>
    <m/>
    <n v="0"/>
    <n v="0"/>
    <n v="821744"/>
    <n v="465749.9999999999"/>
    <n v="0"/>
    <n v="0"/>
    <n v="232"/>
    <n v="396704"/>
    <n v="1309915.966386555"/>
    <n v="80"/>
    <n v="112"/>
    <n v="0"/>
    <n v="250"/>
    <n v="250"/>
    <n v="0"/>
    <n v="396704"/>
    <n v="0"/>
    <n v="937968.7499999999"/>
    <n v="0"/>
    <n v="112"/>
    <n v="396704"/>
    <n v="0"/>
    <n v="100"/>
    <n v="112"/>
    <n v="100"/>
    <n v="150"/>
    <n v="150"/>
    <n v="0"/>
    <n v="396704"/>
    <n v="388124.9999999999"/>
    <n v="582187.4999999999"/>
    <n v="0"/>
    <n v="112"/>
    <n v="396704"/>
    <n v="1091596.638655462"/>
    <n v="100"/>
    <n v="12"/>
    <n v="100"/>
    <n v="0"/>
    <n v="0"/>
    <n v="151"/>
    <n v="46574.99999999999"/>
    <n v="388124.9999999999"/>
    <n v="0"/>
    <n v="586068.7499999999"/>
    <n v="163"/>
    <n v="632643.7499999999"/>
    <n v="1091596.638655462"/>
    <n v="150"/>
    <n v="63"/>
    <n v="63"/>
    <n v="0"/>
    <n v="0"/>
    <n v="0"/>
    <m/>
    <n v="244518.75"/>
    <n v="244518.75"/>
    <n v="0"/>
    <n v="0"/>
    <n v="63"/>
    <n v="244518.75"/>
    <n v="528882.3529411765"/>
    <n v="120"/>
    <n v="0"/>
    <n v="120"/>
    <n v="300"/>
    <n v="300"/>
    <n v="0"/>
    <n v="465749.9999999999"/>
    <n v="1164375"/>
    <n v="1164375"/>
    <n v="300"/>
    <n v="1164375"/>
    <n v="1057764.705882353"/>
    <n v="180"/>
    <n v="180"/>
    <n v="180"/>
    <n v="0"/>
    <n v="0"/>
    <n v="698624.9999999999"/>
    <n v="698624.9999999999"/>
    <n v="0"/>
    <n v="180"/>
    <n v="698624.9999999999"/>
    <n v="1964873.949579832"/>
    <n v="72"/>
    <n v="0"/>
    <n v="72"/>
    <n v="0"/>
    <m/>
    <n v="0"/>
    <n v="255024"/>
    <n v="0"/>
    <n v="0"/>
    <n v="0"/>
    <n v="785949.5798319328"/>
  </r>
  <r>
    <m/>
    <x v="6"/>
    <x v="31"/>
    <x v="76"/>
    <s v="SMAZUCVID"/>
    <x v="720"/>
    <x v="553"/>
    <x v="0"/>
    <x v="4"/>
    <n v="1"/>
    <x v="50"/>
    <n v="0"/>
    <m/>
    <n v="0"/>
    <n v="2732.4"/>
    <n v="0"/>
    <n v="2.97"/>
    <n v="2732.4"/>
    <n v="6888.403361344539"/>
    <n v="5855.142857142858"/>
    <s v="Shenzhen"/>
    <s v="30/70"/>
    <n v="45"/>
    <n v="3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0"/>
    <n v="0"/>
    <n v="300"/>
    <n v="300"/>
    <n v="300"/>
    <n v="0"/>
    <n v="0"/>
    <n v="0"/>
    <n v="922185"/>
    <n v="922185"/>
    <n v="300"/>
    <n v="922185"/>
    <n v="0"/>
    <n v="40"/>
    <n v="300"/>
    <n v="40"/>
    <n v="0"/>
    <n v="0"/>
    <n v="922185"/>
    <n v="122958"/>
    <n v="0"/>
    <n v="0"/>
    <n v="300"/>
    <n v="922185"/>
    <n v="245916.0000000001"/>
    <n v="60"/>
    <n v="260"/>
    <n v="60"/>
    <n v="0"/>
    <n v="0"/>
    <n v="799227"/>
    <n v="184437"/>
    <n v="0"/>
    <n v="260"/>
    <n v="799227"/>
    <n v="413304.2016806724"/>
    <n v="24"/>
    <n v="200"/>
    <n v="24"/>
    <n v="0"/>
    <m/>
    <n v="614790"/>
    <n v="65577.60000000001"/>
    <n v="0"/>
    <n v="200"/>
    <n v="614790"/>
    <n v="165321.6806722689"/>
  </r>
  <r>
    <m/>
    <x v="6"/>
    <x v="31"/>
    <x v="77"/>
    <n v="1659991481176"/>
    <x v="721"/>
    <x v="554"/>
    <x v="0"/>
    <x v="2"/>
    <n v="1"/>
    <x v="3"/>
    <n v="8"/>
    <m/>
    <n v="0"/>
    <n v="4000"/>
    <n v="32000"/>
    <n v="3.2"/>
    <n v="3496"/>
    <n v="8394.957983193277"/>
    <n v="8394.957983193277"/>
    <s v="Shenzhen"/>
    <s v="30/70"/>
    <n v="30"/>
    <n v="100"/>
    <n v="72"/>
    <n v="0.5168578163772598"/>
    <n v="12"/>
    <n v="0.5602038348212323"/>
    <n v="18"/>
    <n v="0.56134552040719"/>
    <n v="39"/>
    <n v="0.5501283121106206"/>
    <n v="28"/>
    <n v="0.5202313408837256"/>
    <n v="48"/>
    <n v="0.4749220266269235"/>
    <n v="32"/>
    <n v="0.469769318557366"/>
    <n v="57"/>
    <n v="0.3885706595780029"/>
    <n v="31"/>
    <n v="0.3791130335071303"/>
    <n v="78"/>
    <n v="0.425919640785739"/>
    <n v="53"/>
    <n v="0.4511761926689131"/>
    <n v="60"/>
    <n v="0.5194495678432343"/>
    <n v="23"/>
    <n v="0.3399357718827477"/>
    <n v="13"/>
    <n v="0.3683257750863352"/>
    <n v="1"/>
    <n v="0.3868792122855103"/>
    <n v="1"/>
    <n v="0.3868572900566718"/>
    <n v="0"/>
    <n v="4"/>
    <n v="0.5235285285285286"/>
    <n v="0"/>
    <n v="4"/>
    <n v="0.9999966666666665"/>
    <n v="0"/>
    <n v="0"/>
    <s v=""/>
    <n v="0"/>
    <n v="0"/>
    <s v=""/>
    <n v="0"/>
    <m/>
    <m/>
    <m/>
    <m/>
    <m/>
    <m/>
    <m/>
    <m/>
    <m/>
    <m/>
    <m/>
    <m/>
    <n v="0"/>
    <n v="42"/>
    <n v="25"/>
    <n v="0"/>
    <n v="0"/>
    <n v="0"/>
    <n v="182000"/>
    <n v="139104"/>
    <n v="100000"/>
    <n v="0"/>
    <n v="8"/>
    <n v="32000"/>
    <n v="176364.6635124638"/>
    <n v="17"/>
    <n v="20"/>
    <n v="19.5"/>
    <n v="0"/>
    <n v="0"/>
    <n v="0"/>
    <n v="86000"/>
    <n v="66239.99999999999"/>
    <n v="78000"/>
    <n v="0"/>
    <n v="8"/>
    <n v="32000"/>
    <n v="137564.4375397218"/>
    <n v="0"/>
    <n v="6"/>
    <n v="1"/>
    <n v="0"/>
    <n v="0"/>
    <n v="8000"/>
    <n v="24000"/>
    <n v="4000"/>
    <n v="0"/>
    <n v="8"/>
    <n v="32000"/>
    <n v="8394.957983193277"/>
    <n v="0"/>
    <n v="6"/>
    <n v="1"/>
    <n v="0"/>
    <n v="0"/>
    <n v="19872"/>
    <n v="4000"/>
    <n v="0"/>
    <n v="0"/>
    <n v="8"/>
    <n v="32000"/>
    <n v="8394.957983193277"/>
    <n v="0"/>
    <n v="12"/>
    <n v="0"/>
    <m/>
    <n v="0"/>
    <n v="0"/>
    <n v="48000"/>
    <n v="0"/>
    <n v="0"/>
    <n v="0"/>
    <n v="8"/>
    <n v="32000"/>
    <n v="0"/>
    <n v="0"/>
    <n v="12"/>
    <n v="4"/>
    <m/>
    <n v="0"/>
    <n v="0"/>
    <n v="48000"/>
    <n v="13248"/>
    <n v="0"/>
    <n v="0"/>
    <n v="12"/>
    <n v="32000"/>
    <n v="33579.83193277311"/>
    <n v="0"/>
    <n v="8"/>
    <n v="0"/>
    <n v="0"/>
    <n v="0"/>
    <n v="0"/>
    <n v="32000"/>
    <n v="0"/>
    <n v="0"/>
    <n v="0"/>
    <n v="8"/>
    <n v="32000"/>
    <n v="0"/>
    <n v="0"/>
    <n v="8"/>
    <n v="0"/>
    <n v="0"/>
    <n v="0"/>
    <n v="0"/>
    <n v="32000"/>
    <n v="0"/>
    <n v="0"/>
    <n v="0"/>
    <n v="8"/>
    <n v="32000"/>
    <n v="0"/>
    <n v="0"/>
    <n v="8"/>
    <n v="0"/>
    <n v="0"/>
    <n v="0"/>
    <n v="0"/>
    <n v="26496"/>
    <n v="0"/>
    <n v="0"/>
    <n v="0"/>
    <n v="8"/>
    <n v="26496"/>
    <n v="0"/>
    <n v="0"/>
    <n v="8"/>
    <n v="0"/>
    <n v="0"/>
    <n v="0"/>
    <n v="0"/>
    <m/>
    <n v="26496"/>
    <n v="0"/>
    <n v="0"/>
    <n v="0"/>
    <n v="8"/>
    <n v="26496"/>
    <n v="0"/>
    <n v="0"/>
    <n v="8"/>
    <n v="0"/>
    <n v="0"/>
    <n v="0"/>
    <n v="26496"/>
    <n v="0"/>
    <n v="0"/>
    <n v="0"/>
    <n v="8"/>
    <n v="26496"/>
    <n v="0"/>
    <n v="0"/>
    <n v="8"/>
    <n v="0"/>
    <n v="0"/>
    <n v="0"/>
    <n v="26496"/>
    <n v="0"/>
    <n v="0"/>
    <n v="8"/>
    <n v="26496"/>
    <n v="0"/>
    <n v="0"/>
    <n v="8"/>
    <n v="0"/>
    <n v="0"/>
    <m/>
    <n v="26496"/>
    <n v="0"/>
    <n v="0"/>
    <n v="8"/>
    <n v="26496"/>
    <n v="0"/>
  </r>
  <r>
    <m/>
    <x v="6"/>
    <x v="31"/>
    <x v="77"/>
    <n v="1661872956577"/>
    <x v="722"/>
    <x v="555"/>
    <x v="0"/>
    <x v="3"/>
    <n v="1"/>
    <x v="376"/>
    <n v="18"/>
    <m/>
    <n v="0"/>
    <n v="10686"/>
    <n v="192348"/>
    <n v="11.55"/>
    <n v="12618.375"/>
    <n v="25201.68067226891"/>
    <n v="22680.67226890757"/>
    <s v="Shenzhen"/>
    <s v="30/70"/>
    <n v="45"/>
    <n v="200"/>
    <n v="54"/>
    <n v="0.5632319985266164"/>
    <n v="41"/>
    <n v="0.5587234081723131"/>
    <n v="77"/>
    <n v="0.5360158490678774"/>
    <n v="56"/>
    <n v="0.5604263287562089"/>
    <n v="77"/>
    <n v="0.5938335089189756"/>
    <n v="170"/>
    <n v="0.5064102321734407"/>
    <n v="115"/>
    <n v="0.5168825909289445"/>
    <n v="63"/>
    <n v="0.5429281315689714"/>
    <n v="12"/>
    <n v="0.5638266457394081"/>
    <n v="56"/>
    <n v="0.5026095065407551"/>
    <n v="66"/>
    <n v="0.48737868715545"/>
    <n v="82"/>
    <n v="0.4953694984422087"/>
    <n v="18"/>
    <n v="0.4337899418874224"/>
    <n v="50"/>
    <n v="0.4618245619199805"/>
    <n v="76"/>
    <n v="0.4131772362305154"/>
    <n v="67"/>
    <n v="0.4410923334289577"/>
    <n v="1.116666666666667"/>
    <n v="77"/>
    <n v="0.5276765674600913"/>
    <n v="0.9625"/>
    <n v="73"/>
    <n v="0.4422950285586315"/>
    <n v="0.4294117647058823"/>
    <n v="0"/>
    <s v=""/>
    <n v="0"/>
    <n v="0"/>
    <s v=""/>
    <n v="0"/>
    <m/>
    <m/>
    <m/>
    <m/>
    <m/>
    <m/>
    <m/>
    <m/>
    <m/>
    <m/>
    <m/>
    <m/>
    <n v="50"/>
    <n v="14"/>
    <n v="25"/>
    <n v="200"/>
    <n v="200"/>
    <n v="0"/>
    <n v="1880736"/>
    <n v="167359.5"/>
    <n v="267150"/>
    <n v="0"/>
    <n v="18"/>
    <n v="192348"/>
    <n v="529447.0729468259"/>
    <n v="50"/>
    <n v="193"/>
    <n v="75"/>
    <n v="0"/>
    <n v="0"/>
    <n v="0"/>
    <n v="2329548"/>
    <n v="2307170.25"/>
    <n v="801450"/>
    <n v="0"/>
    <n v="18"/>
    <n v="192348"/>
    <n v="1588341.218840478"/>
    <n v="70"/>
    <n v="109"/>
    <n v="76"/>
    <n v="0"/>
    <n v="0"/>
    <n v="2484438"/>
    <n v="1164774"/>
    <n v="812136"/>
    <n v="0"/>
    <n v="18"/>
    <n v="192348"/>
    <n v="1915327.731092437"/>
    <n v="60"/>
    <n v="250"/>
    <n v="67"/>
    <n v="0"/>
    <n v="0"/>
    <n v="2988562.5"/>
    <n v="715962"/>
    <n v="0"/>
    <n v="0"/>
    <n v="18"/>
    <n v="192348"/>
    <n v="1688512.605042017"/>
    <n v="80"/>
    <n v="95"/>
    <n v="80"/>
    <m/>
    <n v="0"/>
    <n v="0"/>
    <n v="1015170"/>
    <n v="956339.9999999999"/>
    <n v="0"/>
    <n v="0"/>
    <n v="18"/>
    <n v="192348"/>
    <n v="2016134.453781513"/>
    <n v="170"/>
    <n v="91"/>
    <n v="73"/>
    <m/>
    <n v="0"/>
    <n v="0"/>
    <n v="972426"/>
    <n v="872660.2499999999"/>
    <n v="0"/>
    <n v="0"/>
    <n v="91"/>
    <n v="192348"/>
    <n v="1839722.68907563"/>
    <n v="100"/>
    <n v="18"/>
    <n v="0"/>
    <n v="200"/>
    <n v="200"/>
    <n v="0"/>
    <n v="192348"/>
    <n v="0"/>
    <n v="2311155"/>
    <n v="0"/>
    <n v="18"/>
    <n v="192348"/>
    <n v="0"/>
    <n v="84"/>
    <n v="18"/>
    <n v="84"/>
    <n v="200"/>
    <n v="200"/>
    <n v="0"/>
    <n v="192348"/>
    <n v="1004157"/>
    <n v="2390850"/>
    <n v="0"/>
    <n v="18"/>
    <n v="192348"/>
    <n v="2116941.176470588"/>
    <n v="70"/>
    <n v="0"/>
    <n v="70"/>
    <n v="0"/>
    <n v="0"/>
    <n v="401"/>
    <n v="0"/>
    <n v="836797.4999999999"/>
    <n v="0"/>
    <n v="4793654.249999999"/>
    <n v="401"/>
    <n v="4793654.249999999"/>
    <n v="1764117.647058824"/>
    <n v="120"/>
    <n v="331"/>
    <n v="120"/>
    <n v="0"/>
    <n v="0"/>
    <n v="0"/>
    <m/>
    <n v="3956856.75"/>
    <n v="1434510"/>
    <n v="0"/>
    <n v="0"/>
    <n v="331"/>
    <n v="3956856.75"/>
    <n v="2721680.672268908"/>
    <n v="100"/>
    <n v="211"/>
    <n v="100"/>
    <n v="200"/>
    <n v="200"/>
    <n v="2522346.75"/>
    <n v="1195425"/>
    <n v="2390850"/>
    <n v="2390850"/>
    <n v="411"/>
    <n v="4913196.749999999"/>
    <n v="2381470.588235294"/>
    <n v="140"/>
    <n v="311"/>
    <n v="140"/>
    <n v="0"/>
    <n v="0"/>
    <n v="3717771.75"/>
    <n v="1673595"/>
    <n v="0"/>
    <n v="311"/>
    <n v="3717771.75"/>
    <n v="3528235.294117647"/>
    <n v="60"/>
    <n v="171"/>
    <n v="60"/>
    <n v="0"/>
    <m/>
    <n v="2044176.75"/>
    <n v="641160"/>
    <n v="0"/>
    <n v="171"/>
    <n v="2044176.75"/>
    <n v="1512100.840336134"/>
  </r>
  <r>
    <m/>
    <x v="6"/>
    <x v="31"/>
    <x v="78"/>
    <s v="SIMJULZAMA-16"/>
    <x v="723"/>
    <x v="556"/>
    <x v="0"/>
    <x v="2"/>
    <n v="1"/>
    <x v="3"/>
    <n v="15"/>
    <m/>
    <n v="0"/>
    <n v="13680"/>
    <n v="205200"/>
    <n v="12.4"/>
    <n v="13547"/>
    <n v="33605.04201680672"/>
    <n v="33605.04201680672"/>
    <s v="Shenzhen"/>
    <s v="30/70"/>
    <n v="60"/>
    <n v="500"/>
    <n v="136"/>
    <n v="0.5779612536713732"/>
    <n v="45"/>
    <n v="0.6370719534951778"/>
    <n v="52"/>
    <n v="0.6239627392998967"/>
    <n v="104"/>
    <n v="0.5901523263093773"/>
    <n v="73"/>
    <n v="0.6071629012015104"/>
    <n v="179"/>
    <n v="0.5095377203121579"/>
    <n v="105"/>
    <n v="0.5645153249385556"/>
    <n v="51"/>
    <n v="0.6462935653680966"/>
    <n v="24"/>
    <n v="0.6061020780582232"/>
    <n v="76"/>
    <n v="0.5025075215428549"/>
    <n v="62"/>
    <n v="0.5170017610423406"/>
    <n v="158"/>
    <n v="0.510832168466666"/>
    <n v="16"/>
    <n v="0.4045596692376555"/>
    <n v="3"/>
    <n v="0.4520343324141245"/>
    <n v="6"/>
    <n v="0.3480683135762531"/>
    <n v="2"/>
    <s v=""/>
    <n v="0"/>
    <n v="0"/>
    <s v=""/>
    <n v="0"/>
    <n v="0"/>
    <s v=""/>
    <n v="0"/>
    <n v="12"/>
    <n v="0.592077730074673"/>
    <n v="0"/>
    <n v="0"/>
    <s v=""/>
    <n v="0"/>
    <m/>
    <m/>
    <m/>
    <m/>
    <m/>
    <m/>
    <m/>
    <m/>
    <m/>
    <m/>
    <m/>
    <m/>
    <n v="0"/>
    <n v="35"/>
    <n v="16"/>
    <n v="0"/>
    <n v="0"/>
    <n v="0"/>
    <n v="362520"/>
    <n v="449189.9999999999"/>
    <n v="218880"/>
    <n v="0"/>
    <n v="15"/>
    <n v="205200"/>
    <n v="451832.4977049644"/>
    <n v="19"/>
    <n v="21"/>
    <n v="4.5"/>
    <n v="0"/>
    <n v="0"/>
    <n v="0"/>
    <n v="171000"/>
    <n v="269513.9999999999"/>
    <n v="61560"/>
    <n v="0"/>
    <n v="15"/>
    <n v="205200"/>
    <n v="127077.8899795212"/>
    <n v="0"/>
    <n v="18"/>
    <n v="6"/>
    <n v="0"/>
    <n v="0"/>
    <n v="122274"/>
    <n v="246240"/>
    <n v="82080"/>
    <n v="0"/>
    <n v="15"/>
    <n v="205200"/>
    <n v="201630.2521008403"/>
    <n v="0"/>
    <n v="16"/>
    <n v="2"/>
    <n v="0"/>
    <n v="0"/>
    <n v="205344"/>
    <n v="27360"/>
    <n v="0"/>
    <n v="0"/>
    <n v="15"/>
    <n v="205200"/>
    <n v="67210.08403361344"/>
    <n v="1"/>
    <n v="15"/>
    <n v="1"/>
    <m/>
    <n v="0"/>
    <n v="0"/>
    <n v="205200"/>
    <n v="12834"/>
    <n v="0"/>
    <n v="0"/>
    <n v="15"/>
    <n v="205200"/>
    <n v="33605.04201680672"/>
    <n v="11"/>
    <n v="15"/>
    <n v="0"/>
    <m/>
    <n v="0"/>
    <n v="0"/>
    <n v="205200"/>
    <n v="0"/>
    <n v="0"/>
    <n v="0"/>
    <n v="15"/>
    <n v="205200"/>
    <n v="0"/>
    <n v="0"/>
    <n v="27"/>
    <n v="12"/>
    <n v="0"/>
    <n v="0"/>
    <n v="0"/>
    <n v="369360"/>
    <n v="154008"/>
    <n v="0"/>
    <n v="0"/>
    <n v="27"/>
    <n v="205200"/>
    <n v="403260.5042016807"/>
    <n v="0"/>
    <n v="15"/>
    <n v="0"/>
    <n v="0"/>
    <n v="0"/>
    <n v="0"/>
    <n v="205200"/>
    <n v="0"/>
    <n v="0"/>
    <n v="0"/>
    <n v="15"/>
    <n v="205200"/>
    <n v="0"/>
    <n v="0"/>
    <n v="15"/>
    <n v="0"/>
    <n v="0"/>
    <n v="0"/>
    <n v="0"/>
    <n v="192510"/>
    <n v="0"/>
    <n v="0"/>
    <n v="0"/>
    <n v="15"/>
    <n v="192510"/>
    <n v="0"/>
    <n v="0"/>
    <n v="15"/>
    <n v="0"/>
    <n v="0"/>
    <n v="0"/>
    <n v="0"/>
    <m/>
    <n v="192510"/>
    <n v="0"/>
    <n v="0"/>
    <n v="0"/>
    <n v="15"/>
    <n v="192510"/>
    <n v="0"/>
    <n v="0"/>
    <n v="15"/>
    <n v="0"/>
    <n v="0"/>
    <n v="0"/>
    <n v="192510"/>
    <n v="0"/>
    <n v="0"/>
    <n v="0"/>
    <n v="15"/>
    <n v="192510"/>
    <n v="0"/>
    <n v="0"/>
    <n v="15"/>
    <n v="0"/>
    <n v="0"/>
    <n v="0"/>
    <n v="192510"/>
    <n v="0"/>
    <n v="0"/>
    <n v="15"/>
    <n v="192510"/>
    <n v="0"/>
    <n v="0"/>
    <n v="15"/>
    <n v="0"/>
    <n v="0"/>
    <n v="0"/>
    <n v="192510"/>
    <n v="0"/>
    <n v="0"/>
    <n v="15"/>
    <n v="192510"/>
    <n v="0"/>
  </r>
  <r>
    <m/>
    <x v="6"/>
    <x v="31"/>
    <x v="78"/>
    <s v="SIMJULZAMA-24"/>
    <x v="724"/>
    <x v="557"/>
    <x v="0"/>
    <x v="4"/>
    <n v="1"/>
    <x v="377"/>
    <n v="291"/>
    <n v="250"/>
    <n v="3016250"/>
    <n v="14553"/>
    <n v="4234923"/>
    <n v="12.7"/>
    <n v="13874.75"/>
    <n v="33605.04201680672"/>
    <n v="29403.36134453782"/>
    <s v="Shenzhen"/>
    <s v="30/70"/>
    <n v="6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1"/>
    <n v="0.4129508715020092"/>
    <n v="52"/>
    <n v="0.3995559707096156"/>
    <n v="70"/>
    <n v="0.3996451820580705"/>
    <n v="0.875"/>
    <n v="128"/>
    <n v="0.5244211020889126"/>
    <n v="1.969230769230769"/>
    <n v="133"/>
    <n v="0.2710825624345525"/>
    <n v="1.108333333333333"/>
    <n v="63"/>
    <n v="0.5840491338493691"/>
    <n v="0.63"/>
    <n v="23"/>
    <n v="0.5641027407346036"/>
    <n v="0.2555555555555555"/>
    <m/>
    <m/>
    <m/>
    <m/>
    <m/>
    <m/>
    <m/>
    <m/>
    <m/>
    <m/>
    <m/>
    <m/>
    <n v="0"/>
    <n v="0"/>
    <n v="0"/>
    <n v="500"/>
    <n v="0"/>
    <n v="0"/>
    <n v="778585.5"/>
    <n v="0"/>
    <n v="0"/>
    <n v="0"/>
    <n v="291"/>
    <n v="4234923"/>
    <n v="0"/>
    <n v="10"/>
    <n v="0"/>
    <n v="1.5"/>
    <n v="0"/>
    <n v="200"/>
    <n v="0"/>
    <n v="1797295.5"/>
    <n v="0"/>
    <n v="21829.5"/>
    <n v="0"/>
    <n v="291"/>
    <n v="4234923"/>
    <n v="42359.29665984041"/>
    <n v="150"/>
    <n v="0"/>
    <n v="52"/>
    <n v="0"/>
    <n v="0"/>
    <n v="2629858.5"/>
    <n v="0"/>
    <n v="756756"/>
    <n v="0"/>
    <n v="291"/>
    <n v="4234923"/>
    <n v="1747462.18487395"/>
    <n v="80"/>
    <n v="446"/>
    <n v="70"/>
    <n v="0"/>
    <n v="0"/>
    <n v="5862446.999999999"/>
    <n v="1018710"/>
    <n v="0"/>
    <n v="0"/>
    <n v="291"/>
    <n v="4234923"/>
    <n v="2352352.94117647"/>
    <n v="65"/>
    <n v="419"/>
    <n v="65"/>
    <m/>
    <n v="0"/>
    <n v="0"/>
    <n v="6097707"/>
    <n v="854392.4999999999"/>
    <n v="0"/>
    <n v="0"/>
    <n v="291"/>
    <n v="4234923"/>
    <n v="2184327.731092437"/>
    <n v="120"/>
    <n v="424"/>
    <n v="133"/>
    <m/>
    <n v="0"/>
    <n v="0"/>
    <n v="6170472"/>
    <n v="1748218.5"/>
    <n v="0"/>
    <n v="0"/>
    <n v="424"/>
    <n v="4234923"/>
    <n v="4469470.588235294"/>
    <n v="100"/>
    <n v="354"/>
    <n v="63"/>
    <n v="0"/>
    <n v="250"/>
    <n v="0"/>
    <n v="5151762"/>
    <n v="828103.4999999999"/>
    <n v="0"/>
    <n v="0"/>
    <n v="354"/>
    <n v="4234923"/>
    <n v="2117117.647058824"/>
    <n v="90"/>
    <n v="291"/>
    <n v="90"/>
    <n v="0"/>
    <n v="0"/>
    <n v="0"/>
    <n v="4234923"/>
    <n v="1183005"/>
    <n v="0"/>
    <n v="0"/>
    <n v="291"/>
    <n v="4234923"/>
    <n v="3024453.781512605"/>
    <n v="80"/>
    <n v="201"/>
    <n v="80"/>
    <n v="0"/>
    <n v="250"/>
    <n v="0"/>
    <n v="2642044.5"/>
    <n v="1051560"/>
    <n v="0"/>
    <n v="0"/>
    <n v="201"/>
    <n v="2642044.5"/>
    <n v="2688403.361344538"/>
    <n v="150"/>
    <n v="121"/>
    <n v="121"/>
    <n v="0"/>
    <n v="0"/>
    <n v="0"/>
    <n v="250"/>
    <n v="1590484.5"/>
    <n v="1590484.5"/>
    <n v="0"/>
    <n v="3286125"/>
    <n v="121"/>
    <n v="4876609.499999999"/>
    <n v="3557806.722689076"/>
    <n v="120"/>
    <n v="0"/>
    <n v="120"/>
    <n v="500"/>
    <n v="500"/>
    <n v="0"/>
    <n v="1577340"/>
    <n v="6572249.999999999"/>
    <n v="6572249.999999999"/>
    <n v="500"/>
    <n v="6572249.999999999"/>
    <n v="3704823.529411765"/>
    <n v="125"/>
    <n v="380"/>
    <n v="125"/>
    <n v="0"/>
    <n v="0"/>
    <n v="4994909.999999999"/>
    <n v="1643062.5"/>
    <n v="0"/>
    <n v="380"/>
    <n v="4994909.999999999"/>
    <n v="4200630.25210084"/>
    <n v="100"/>
    <n v="255"/>
    <n v="100"/>
    <n v="0"/>
    <n v="0"/>
    <n v="3351847.5"/>
    <n v="1455300"/>
    <n v="0"/>
    <n v="255"/>
    <n v="3351847.5"/>
    <n v="3360504.201680672"/>
  </r>
  <r>
    <m/>
    <x v="6"/>
    <x v="31"/>
    <x v="78"/>
    <s v="SIMJULZBRU-30"/>
    <x v="725"/>
    <x v="558"/>
    <x v="0"/>
    <x v="1"/>
    <n v="1"/>
    <x v="378"/>
    <n v="8"/>
    <m/>
    <n v="0"/>
    <n v="21882"/>
    <n v="175056"/>
    <n v="20.47"/>
    <n v="20702.875"/>
    <n v="52932.7731092437"/>
    <n v="46210.08403361345"/>
    <s v="Shenzhen"/>
    <s v="30/70"/>
    <n v="60"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90"/>
    <n v="0.5732986125260063"/>
    <n v="144"/>
    <n v="0.5701395705101168"/>
    <n v="222"/>
    <n v="0.5766964845493994"/>
    <n v="26"/>
    <n v="0.4987993197379238"/>
    <n v="8"/>
    <n v="0.3933489359370988"/>
    <n v="152"/>
    <n v="0.4241494379294512"/>
    <n v="252"/>
    <n v="0.4434809646507291"/>
    <n v="1.008"/>
    <n v="187"/>
    <n v="0.5431597964225705"/>
    <n v="0.9350000000000001"/>
    <n v="442"/>
    <n v="0.3620916329905893"/>
    <n v="1.473333333333333"/>
    <n v="319"/>
    <n v="0.5196169749554327"/>
    <n v="1.276"/>
    <n v="45"/>
    <n v="0.5167247282017264"/>
    <n v="0.225"/>
    <m/>
    <m/>
    <m/>
    <m/>
    <m/>
    <m/>
    <m/>
    <m/>
    <m/>
    <m/>
    <m/>
    <m/>
    <n v="18"/>
    <n v="39"/>
    <n v="39"/>
    <n v="600"/>
    <n v="500"/>
    <n v="0"/>
    <n v="4442046"/>
    <n v="826271.5499999999"/>
    <n v="853398"/>
    <n v="0"/>
    <n v="8"/>
    <n v="175056"/>
    <n v="1734771.555681096"/>
    <n v="10"/>
    <n v="19"/>
    <n v="12"/>
    <n v="600"/>
    <n v="500"/>
    <n v="0"/>
    <n v="9102912"/>
    <n v="402542.5499999999"/>
    <n v="262584"/>
    <n v="0"/>
    <n v="8"/>
    <n v="175056"/>
    <n v="533775.8632864911"/>
    <n v="250"/>
    <n v="499"/>
    <n v="152"/>
    <n v="0"/>
    <n v="0"/>
    <n v="13077618"/>
    <n v="10919118"/>
    <n v="3326064"/>
    <n v="0"/>
    <n v="8"/>
    <n v="175056"/>
    <n v="8045781.512605043"/>
    <n v="250"/>
    <n v="910"/>
    <n v="252"/>
    <n v="600"/>
    <n v="0"/>
    <n v="19279669.5"/>
    <n v="5514264"/>
    <n v="12711870"/>
    <n v="0"/>
    <n v="8"/>
    <n v="175056"/>
    <n v="13339058.82352941"/>
    <n v="200"/>
    <n v="195"/>
    <n v="200"/>
    <m/>
    <n v="0"/>
    <n v="0"/>
    <n v="4266990"/>
    <n v="4237289.999999999"/>
    <n v="0"/>
    <n v="0"/>
    <n v="8"/>
    <n v="175056"/>
    <n v="10586554.62184874"/>
    <n v="300"/>
    <n v="450"/>
    <n v="442"/>
    <m/>
    <n v="300"/>
    <n v="0"/>
    <n v="9846900"/>
    <n v="9364410.899999999"/>
    <n v="0"/>
    <n v="0"/>
    <n v="450"/>
    <n v="175056"/>
    <n v="23396285.71428572"/>
    <n v="250"/>
    <n v="327"/>
    <n v="319"/>
    <n v="0"/>
    <n v="0"/>
    <n v="0"/>
    <n v="7155414"/>
    <n v="6758477.549999999"/>
    <n v="0"/>
    <n v="0"/>
    <n v="327"/>
    <n v="175056"/>
    <n v="16885554.62184874"/>
    <n v="200"/>
    <n v="8"/>
    <n v="200"/>
    <n v="0"/>
    <n v="300"/>
    <n v="0"/>
    <n v="175056"/>
    <n v="4237289.999999999"/>
    <n v="0"/>
    <n v="0"/>
    <n v="8"/>
    <n v="175056"/>
    <n v="10586554.62184874"/>
    <n v="150"/>
    <n v="0"/>
    <n v="150"/>
    <n v="600"/>
    <n v="300"/>
    <n v="300"/>
    <n v="0"/>
    <n v="3177967.5"/>
    <n v="12711870"/>
    <n v="6355934.999999999"/>
    <n v="300"/>
    <n v="6355934.999999999"/>
    <n v="7939915.966386556"/>
    <n v="350"/>
    <n v="150"/>
    <n v="150"/>
    <n v="600"/>
    <n v="300"/>
    <n v="300"/>
    <n v="0"/>
    <n v="3177967.5"/>
    <n v="3177967.5"/>
    <n v="12711870"/>
    <n v="6355934.999999999"/>
    <n v="450"/>
    <n v="9533902.499999998"/>
    <n v="6931512.605042017"/>
    <n v="200"/>
    <n v="300"/>
    <n v="200"/>
    <n v="0"/>
    <n v="300"/>
    <n v="6355934.999999999"/>
    <n v="4237289.999999999"/>
    <n v="0"/>
    <n v="4449154.499999999"/>
    <n v="600"/>
    <n v="10805089.5"/>
    <n v="9704117.647058824"/>
    <n v="250"/>
    <n v="400"/>
    <n v="250"/>
    <n v="1000"/>
    <n v="300"/>
    <n v="8474579.999999998"/>
    <n v="5296612.499999999"/>
    <n v="6355934.999999999"/>
    <n v="700"/>
    <n v="14830515"/>
    <n v="13233193.27731093"/>
    <n v="250"/>
    <n v="450"/>
    <n v="250"/>
    <n v="0"/>
    <n v="1000"/>
    <n v="9533902.499999998"/>
    <n v="5470500"/>
    <n v="21186450"/>
    <n v="1450"/>
    <n v="30720352.49999999"/>
    <n v="13233193.27731093"/>
  </r>
  <r>
    <m/>
    <x v="6"/>
    <x v="31"/>
    <x v="78"/>
    <s v="SIMJULZOPO-30"/>
    <x v="726"/>
    <x v="559"/>
    <x v="0"/>
    <x v="4"/>
    <n v="1"/>
    <x v="3"/>
    <n v="241"/>
    <m/>
    <n v="0"/>
    <n v="22470"/>
    <n v="5415270"/>
    <n v="19.6"/>
    <n v="20429.75"/>
    <n v="50411.76470588236"/>
    <n v="46210.08403361345"/>
    <s v="Shenzhen"/>
    <s v="30/70"/>
    <n v="6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0"/>
    <s v=""/>
    <n v="0"/>
    <s v=""/>
    <n v="0"/>
    <n v="24"/>
    <n v="0.4314251646870202"/>
    <n v="1.2"/>
    <n v="126"/>
    <n v="0.3718741089944811"/>
    <n v="0.84"/>
    <n v="89"/>
    <n v="0.5040140580587907"/>
    <n v="0.7416666666666667"/>
    <n v="16"/>
    <n v="0.2660456574473414"/>
    <n v="0.1066666666666667"/>
    <m/>
    <m/>
    <m/>
    <m/>
    <m/>
    <m/>
    <m/>
    <m/>
    <m/>
    <m/>
    <m/>
    <m/>
    <n v="0"/>
    <n v="0"/>
    <n v="0"/>
    <n v="0"/>
    <n v="0"/>
    <n v="0"/>
    <n v="0"/>
    <n v="0"/>
    <n v="0"/>
    <n v="0"/>
    <n v="241"/>
    <n v="5415270"/>
    <n v="0"/>
    <n v="0"/>
    <n v="0"/>
    <n v="0"/>
    <n v="0"/>
    <n v="0"/>
    <n v="0"/>
    <n v="0"/>
    <n v="0"/>
    <n v="0"/>
    <n v="0"/>
    <n v="241"/>
    <n v="5415270"/>
    <n v="0"/>
    <n v="0"/>
    <n v="0"/>
    <n v="0"/>
    <n v="0"/>
    <n v="0"/>
    <n v="405720"/>
    <n v="0"/>
    <n v="0"/>
    <n v="0"/>
    <n v="241"/>
    <n v="5415270"/>
    <n v="0"/>
    <n v="0"/>
    <n v="0"/>
    <n v="0"/>
    <n v="0"/>
    <n v="0"/>
    <n v="0"/>
    <n v="0"/>
    <n v="0"/>
    <n v="0"/>
    <n v="241"/>
    <n v="5415270"/>
    <n v="0"/>
    <n v="20"/>
    <n v="265"/>
    <n v="20"/>
    <m/>
    <n v="0"/>
    <n v="0"/>
    <n v="5954550"/>
    <n v="405720"/>
    <n v="0"/>
    <n v="0"/>
    <n v="241"/>
    <n v="5415270"/>
    <n v="1008235.294117647"/>
    <n v="150"/>
    <n v="367"/>
    <n v="126"/>
    <m/>
    <n v="500"/>
    <n v="0"/>
    <n v="8246490"/>
    <n v="2556036"/>
    <n v="0"/>
    <n v="0"/>
    <n v="367"/>
    <n v="5415270"/>
    <n v="6351882.352941177"/>
    <n v="120"/>
    <n v="330"/>
    <n v="89"/>
    <n v="0"/>
    <n v="0"/>
    <n v="0"/>
    <n v="7415100"/>
    <n v="1805454"/>
    <n v="0"/>
    <n v="0"/>
    <n v="330"/>
    <n v="5415270"/>
    <n v="4486647.05882353"/>
    <n v="150"/>
    <n v="241"/>
    <n v="150"/>
    <n v="600"/>
    <n v="300"/>
    <n v="0"/>
    <n v="5415270"/>
    <n v="3042900"/>
    <n v="12171600"/>
    <n v="0"/>
    <n v="241"/>
    <n v="5415270"/>
    <n v="7561764.705882354"/>
    <n v="150"/>
    <n v="91"/>
    <n v="150"/>
    <n v="700"/>
    <n v="700"/>
    <n v="0"/>
    <n v="1846026"/>
    <n v="3042900"/>
    <n v="14200200"/>
    <n v="0"/>
    <n v="91"/>
    <n v="1846026"/>
    <n v="7561764.705882354"/>
    <n v="300"/>
    <n v="700"/>
    <n v="300"/>
    <n v="0"/>
    <m/>
    <m/>
    <n v="700"/>
    <n v="14200200"/>
    <n v="6085800"/>
    <n v="0"/>
    <n v="14200200"/>
    <n v="700"/>
    <n v="28400400"/>
    <n v="13863025.21008403"/>
    <n v="200"/>
    <n v="400"/>
    <n v="200"/>
    <n v="0"/>
    <n v="300"/>
    <n v="8114400"/>
    <n v="4057200"/>
    <n v="0"/>
    <n v="6085800"/>
    <n v="700"/>
    <n v="14200200"/>
    <n v="9704117.647058824"/>
    <n v="250"/>
    <n v="500"/>
    <n v="250"/>
    <n v="600"/>
    <n v="200"/>
    <n v="10143000"/>
    <n v="5071500"/>
    <n v="4057200"/>
    <n v="700"/>
    <n v="14200200"/>
    <n v="12602941.17647059"/>
    <n v="200"/>
    <n v="450"/>
    <n v="200"/>
    <n v="0"/>
    <n v="600"/>
    <n v="9128700"/>
    <n v="4494000"/>
    <n v="12171600"/>
    <n v="1050"/>
    <n v="21300300"/>
    <n v="10082352.94117647"/>
  </r>
  <r>
    <m/>
    <x v="6"/>
    <x v="31"/>
    <x v="78"/>
    <s v="SIMJULZSAN-30"/>
    <x v="727"/>
    <x v="560"/>
    <x v="0"/>
    <x v="4"/>
    <n v="1"/>
    <x v="50"/>
    <n v="0"/>
    <m/>
    <n v="0"/>
    <n v="16278.25"/>
    <n v="0"/>
    <n v="15.8"/>
    <n v="16278.25"/>
    <n v="41037.6050420168"/>
    <n v="34881.96428571428"/>
    <s v="Shenzhen"/>
    <s v="30/70"/>
    <n v="60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0"/>
    <n v="8176499.999999999"/>
    <n v="0"/>
    <n v="0"/>
    <n v="0"/>
    <n v="0"/>
    <n v="80"/>
    <n v="0"/>
    <n v="0"/>
    <n v="0"/>
    <n v="500"/>
    <n v="500"/>
    <n v="0"/>
    <n v="0"/>
    <n v="0"/>
    <n v="0"/>
    <n v="8176499.999999999"/>
    <n v="500"/>
    <n v="8176499.999999999"/>
    <n v="0"/>
    <n v="80"/>
    <n v="500"/>
    <n v="80"/>
    <n v="0"/>
    <n v="0"/>
    <n v="8176499.999999999"/>
    <n v="1308240"/>
    <n v="0"/>
    <n v="0"/>
    <n v="500"/>
    <n v="8176499.999999999"/>
    <n v="2930085"/>
    <n v="150"/>
    <n v="420"/>
    <n v="150"/>
    <n v="600"/>
    <n v="600"/>
    <n v="6868259.999999999"/>
    <n v="2452950"/>
    <n v="9811799.999999998"/>
    <n v="1020"/>
    <n v="16680060"/>
    <n v="6155640.756302521"/>
    <n v="200"/>
    <n v="870"/>
    <n v="200"/>
    <n v="0"/>
    <m/>
    <n v="14227110"/>
    <n v="3255650"/>
    <n v="0"/>
    <n v="870"/>
    <n v="14227110"/>
    <n v="8207521.008403361"/>
  </r>
  <r>
    <m/>
    <x v="6"/>
    <x v="31"/>
    <x v="78"/>
    <s v="SIMJULZSIE-30"/>
    <x v="728"/>
    <x v="561"/>
    <x v="0"/>
    <x v="1"/>
    <n v="1"/>
    <x v="379"/>
    <n v="353"/>
    <n v="300"/>
    <n v="4816500"/>
    <n v="18577"/>
    <n v="6557681"/>
    <n v="16.9"/>
    <n v="16278.25"/>
    <n v="44529.41176470588"/>
    <n v="39487.3949579832"/>
    <s v="Shenzhen"/>
    <s v="30/70"/>
    <n v="60"/>
    <n v="500"/>
    <n v="15"/>
    <n v="0.7304498998230337"/>
    <n v="0"/>
    <s v=""/>
    <n v="124"/>
    <n v="0.5899141845106242"/>
    <n v="287"/>
    <n v="0.5821522247545584"/>
    <n v="194"/>
    <n v="0.5857411171425136"/>
    <n v="587"/>
    <n v="0.5409923865201275"/>
    <n v="43"/>
    <n v="0.6598645504396842"/>
    <n v="4"/>
    <n v="-0.06500368574009213"/>
    <n v="68"/>
    <n v="0.6335628627915589"/>
    <n v="519"/>
    <n v="0.557234842364603"/>
    <n v="284"/>
    <n v="0.6229241280038411"/>
    <n v="104"/>
    <n v="0.5851488178775485"/>
    <n v="172"/>
    <n v="0.4644423806820989"/>
    <n v="273"/>
    <n v="0.5070571991020399"/>
    <n v="589"/>
    <n v="0.4658224711614353"/>
    <n v="414"/>
    <n v="0.4630593727393481"/>
    <n v="1.035"/>
    <n v="313"/>
    <n v="0.5620204625795704"/>
    <n v="1.043333333333333"/>
    <n v="666"/>
    <n v="0.3956878735705275"/>
    <n v="1.48"/>
    <n v="270"/>
    <n v="0.5036549944660083"/>
    <n v="0.7714285714285715"/>
    <n v="106"/>
    <n v="0.4998209907974914"/>
    <n v="0.3028571428571429"/>
    <m/>
    <m/>
    <m/>
    <m/>
    <m/>
    <m/>
    <m/>
    <m/>
    <m/>
    <m/>
    <m/>
    <m/>
    <n v="300"/>
    <n v="1180"/>
    <n v="150"/>
    <n v="600"/>
    <n v="1500"/>
    <n v="0"/>
    <n v="21335684.5"/>
    <n v="20639970"/>
    <n v="2786550"/>
    <n v="0"/>
    <n v="353"/>
    <n v="6557681"/>
    <n v="5612951.062778053"/>
    <n v="250"/>
    <n v="1302"/>
    <n v="409.5"/>
    <n v="0"/>
    <n v="0"/>
    <n v="0"/>
    <n v="26240012.5"/>
    <n v="22773933"/>
    <n v="7607281.5"/>
    <n v="0"/>
    <n v="353"/>
    <n v="6557681"/>
    <n v="15323356.40138408"/>
    <n v="500"/>
    <n v="1009"/>
    <n v="589"/>
    <n v="0"/>
    <n v="0"/>
    <n v="23880181"/>
    <n v="18744193"/>
    <n v="10941853"/>
    <n v="0"/>
    <n v="353"/>
    <n v="6557681"/>
    <n v="26227823.52941176"/>
    <n v="400"/>
    <n v="965"/>
    <n v="414"/>
    <n v="500"/>
    <n v="0"/>
    <n v="16879297.5"/>
    <n v="7690878"/>
    <n v="8745749.999999998"/>
    <n v="0"/>
    <n v="353"/>
    <n v="6557681"/>
    <n v="18435176.47058823"/>
    <n v="300"/>
    <n v="666"/>
    <n v="300"/>
    <m/>
    <n v="0"/>
    <n v="0"/>
    <n v="12372282"/>
    <n v="5247449.999999999"/>
    <n v="0"/>
    <n v="0"/>
    <n v="353"/>
    <n v="6557681"/>
    <n v="13358823.52941176"/>
    <n v="450"/>
    <n v="1019"/>
    <n v="666"/>
    <m/>
    <n v="400"/>
    <n v="0"/>
    <n v="18929963"/>
    <n v="11649339"/>
    <n v="0"/>
    <n v="0"/>
    <n v="1019"/>
    <n v="6557681"/>
    <n v="29656588.23529412"/>
    <n v="350"/>
    <n v="623"/>
    <n v="270"/>
    <n v="0"/>
    <n v="600"/>
    <n v="0"/>
    <n v="11573471"/>
    <n v="4722704.999999999"/>
    <n v="0"/>
    <n v="0"/>
    <n v="623"/>
    <n v="6557681"/>
    <n v="12022941.17647059"/>
    <n v="350"/>
    <n v="353"/>
    <n v="350"/>
    <n v="600"/>
    <n v="500"/>
    <n v="0"/>
    <n v="6557681"/>
    <n v="6122024.999999999"/>
    <n v="10494900"/>
    <n v="0"/>
    <n v="353"/>
    <n v="6557681"/>
    <n v="15585294.11764706"/>
    <n v="300"/>
    <n v="3"/>
    <n v="300"/>
    <n v="1500"/>
    <n v="1200"/>
    <n v="500"/>
    <n v="52474.49999999999"/>
    <n v="5247449.999999999"/>
    <n v="26237250"/>
    <n v="8745749.999999998"/>
    <n v="503"/>
    <n v="8798224.499999998"/>
    <n v="13358823.52941176"/>
    <n v="600"/>
    <n v="903"/>
    <n v="600"/>
    <n v="0"/>
    <n v="0"/>
    <n v="0"/>
    <n v="700"/>
    <n v="15794824.5"/>
    <n v="10494900"/>
    <n v="0"/>
    <n v="12244050"/>
    <n v="903"/>
    <n v="28038874.49999999"/>
    <n v="23692436.97478992"/>
    <n v="350"/>
    <n v="303"/>
    <n v="350"/>
    <n v="0"/>
    <n v="600"/>
    <n v="5299924.499999999"/>
    <n v="6122024.999999999"/>
    <n v="0"/>
    <n v="7346429.999999998"/>
    <n v="903"/>
    <n v="12646354.5"/>
    <n v="14511617.64705883"/>
    <n v="500"/>
    <n v="553"/>
    <n v="500"/>
    <n v="1000"/>
    <n v="300"/>
    <n v="9672799.499999998"/>
    <n v="8745749.999999998"/>
    <n v="5247449.999999999"/>
    <n v="853"/>
    <n v="14920249.5"/>
    <n v="22264705.88235294"/>
    <n v="350"/>
    <n v="353"/>
    <n v="350"/>
    <n v="600"/>
    <n v="1000"/>
    <n v="6174499.499999999"/>
    <n v="6501950"/>
    <n v="17491500"/>
    <n v="1353"/>
    <n v="23665999.5"/>
    <n v="15585294.11764706"/>
  </r>
  <r>
    <m/>
    <x v="6"/>
    <x v="31"/>
    <x v="78"/>
    <s v="SIMJULZTOS-12"/>
    <x v="729"/>
    <x v="562"/>
    <x v="0"/>
    <x v="2"/>
    <n v="1"/>
    <x v="3"/>
    <n v="3"/>
    <m/>
    <n v="0"/>
    <n v="11026"/>
    <n v="33078"/>
    <n v="9.800000000000001"/>
    <n v="10706.5"/>
    <n v="29403.36134453782"/>
    <n v="29403.36134453782"/>
    <s v="Shenzhen"/>
    <s v="30/70"/>
    <n v="60"/>
    <n v="500"/>
    <n v="107"/>
    <n v="0.5733121640507809"/>
    <n v="53"/>
    <n v="0.6344073227219271"/>
    <n v="49"/>
    <n v="0.5913921904224078"/>
    <n v="49"/>
    <n v="0.5598669959497088"/>
    <n v="48"/>
    <n v="0.5640611062912055"/>
    <n v="86"/>
    <n v="0.4863161401262704"/>
    <n v="16"/>
    <n v="0.5930388503599276"/>
    <n v="17"/>
    <n v="0.5982315112540192"/>
    <n v="6"/>
    <s v=""/>
    <n v="5"/>
    <n v="0.4292958764680296"/>
    <n v="2"/>
    <s v=""/>
    <n v="0"/>
    <s v=""/>
    <n v="0"/>
    <s v=""/>
    <n v="6"/>
    <n v="0.4061877346838572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2"/>
    <n v="0"/>
    <n v="0"/>
    <n v="0"/>
    <n v="0"/>
    <n v="99234"/>
    <n v="20286"/>
    <n v="0"/>
    <n v="0"/>
    <n v="3"/>
    <n v="33078"/>
    <n v="0"/>
    <n v="0"/>
    <n v="7"/>
    <n v="9"/>
    <n v="0"/>
    <n v="0"/>
    <n v="0"/>
    <n v="99234"/>
    <n v="71001"/>
    <n v="99234"/>
    <n v="0"/>
    <n v="3"/>
    <n v="33078"/>
    <n v="222378.3631099499"/>
    <n v="0"/>
    <n v="7"/>
    <n v="0"/>
    <n v="0"/>
    <n v="0"/>
    <n v="0"/>
    <n v="77182"/>
    <n v="0"/>
    <n v="0"/>
    <n v="3"/>
    <n v="33078"/>
    <n v="0"/>
    <n v="0"/>
    <n v="2"/>
    <n v="0"/>
    <n v="0"/>
    <n v="0"/>
    <n v="20286"/>
    <n v="0"/>
    <n v="0"/>
    <n v="0"/>
    <n v="3"/>
    <n v="33078"/>
    <n v="0"/>
    <n v="0"/>
    <n v="3"/>
    <n v="0"/>
    <m/>
    <n v="0"/>
    <n v="0"/>
    <n v="33078"/>
    <n v="0"/>
    <n v="0"/>
    <n v="0"/>
    <n v="3"/>
    <n v="33078"/>
    <n v="0"/>
    <n v="0"/>
    <n v="3"/>
    <n v="0"/>
    <m/>
    <n v="0"/>
    <n v="0"/>
    <n v="33078"/>
    <n v="0"/>
    <n v="0"/>
    <n v="0"/>
    <n v="3"/>
    <n v="33078"/>
    <n v="0"/>
    <n v="0"/>
    <n v="3"/>
    <n v="0"/>
    <n v="0"/>
    <n v="0"/>
    <n v="0"/>
    <n v="33078"/>
    <n v="0"/>
    <n v="0"/>
    <n v="0"/>
    <n v="3"/>
    <n v="33078"/>
    <n v="0"/>
    <n v="0"/>
    <n v="3"/>
    <n v="0"/>
    <n v="0"/>
    <n v="0"/>
    <n v="0"/>
    <n v="33078"/>
    <n v="0"/>
    <n v="0"/>
    <n v="0"/>
    <n v="3"/>
    <n v="33078"/>
    <n v="0"/>
    <n v="0"/>
    <n v="3"/>
    <n v="0"/>
    <n v="0"/>
    <n v="0"/>
    <n v="0"/>
    <n v="30429"/>
    <n v="0"/>
    <n v="0"/>
    <n v="0"/>
    <n v="3"/>
    <n v="30429"/>
    <n v="0"/>
    <n v="0"/>
    <n v="3"/>
    <n v="0"/>
    <n v="0"/>
    <n v="0"/>
    <n v="0"/>
    <m/>
    <n v="30429"/>
    <n v="0"/>
    <n v="0"/>
    <n v="0"/>
    <n v="3"/>
    <n v="30429"/>
    <n v="0"/>
    <n v="0"/>
    <n v="3"/>
    <n v="0"/>
    <n v="0"/>
    <n v="0"/>
    <n v="30429"/>
    <n v="0"/>
    <n v="0"/>
    <n v="0"/>
    <n v="3"/>
    <n v="30429"/>
    <n v="0"/>
    <n v="0"/>
    <n v="3"/>
    <n v="0"/>
    <n v="0"/>
    <n v="0"/>
    <n v="30429"/>
    <n v="0"/>
    <n v="0"/>
    <n v="3"/>
    <n v="30429"/>
    <n v="0"/>
    <n v="0"/>
    <n v="3"/>
    <n v="0"/>
    <n v="0"/>
    <n v="0"/>
    <n v="30429"/>
    <n v="0"/>
    <n v="0"/>
    <n v="3"/>
    <n v="30429"/>
    <n v="0"/>
  </r>
  <r>
    <m/>
    <x v="6"/>
    <x v="31"/>
    <x v="79"/>
    <s v="SIMBOWAMA-4"/>
    <x v="730"/>
    <x v="563"/>
    <x v="0"/>
    <x v="0"/>
    <n v="1"/>
    <x v="380"/>
    <n v="159"/>
    <n v="100"/>
    <n v="245100"/>
    <n v="2432"/>
    <n v="386688"/>
    <n v="2.58"/>
    <n v="2818.65"/>
    <n v="8394.957983193277"/>
    <n v="7974.789915966387"/>
    <s v="Shenzhen"/>
    <s v="30/70"/>
    <n v="60"/>
    <n v="100"/>
    <n v="9"/>
    <n v="0.7516949244148967"/>
    <n v="15"/>
    <n v="0.7183171153333375"/>
    <n v="13"/>
    <n v="0.698142307722486"/>
    <n v="10"/>
    <n v="0.6761940089159396"/>
    <n v="11"/>
    <n v="0.6928748391683983"/>
    <n v="60"/>
    <n v="0.6549850828161131"/>
    <n v="14"/>
    <n v="0.6434742092334583"/>
    <n v="22"/>
    <n v="0.647936593208032"/>
    <n v="20"/>
    <n v="0.6662228862158014"/>
    <n v="35"/>
    <n v="0.6042687878754851"/>
    <n v="26"/>
    <n v="0.6332348113395835"/>
    <n v="26"/>
    <n v="0.6284360878592672"/>
    <n v="14"/>
    <n v="0.5872608449016067"/>
    <n v="17"/>
    <n v="0.5605487073443114"/>
    <n v="15"/>
    <n v="0.5637670312459392"/>
    <n v="14"/>
    <n v="0.5493628451756782"/>
    <n v="0.9333333333333333"/>
    <n v="14"/>
    <n v="0.7027327958920124"/>
    <n v="0.9333333333333333"/>
    <n v="37"/>
    <n v="0.6059076076340677"/>
    <n v="0.6166666666666667"/>
    <n v="25"/>
    <n v="0.6957635696999098"/>
    <n v="1.25"/>
    <n v="6"/>
    <n v="0.6950653319283456"/>
    <n v="0.3"/>
    <m/>
    <m/>
    <m/>
    <m/>
    <m/>
    <m/>
    <m/>
    <m/>
    <m/>
    <m/>
    <m/>
    <m/>
    <n v="20"/>
    <n v="42"/>
    <n v="15"/>
    <n v="100"/>
    <n v="100"/>
    <n v="0"/>
    <n v="134976"/>
    <n v="112152.6"/>
    <n v="36480"/>
    <n v="0"/>
    <n v="159"/>
    <n v="386688"/>
    <n v="105818.7981074783"/>
    <n v="20"/>
    <n v="79"/>
    <n v="25.5"/>
    <n v="0"/>
    <n v="0"/>
    <n v="0"/>
    <n v="132544"/>
    <n v="210953.7"/>
    <n v="62016"/>
    <n v="0"/>
    <n v="159"/>
    <n v="386688"/>
    <n v="179891.9567827131"/>
    <n v="25"/>
    <n v="150"/>
    <n v="15"/>
    <n v="0"/>
    <n v="0"/>
    <n v="110582.5"/>
    <n v="364800"/>
    <n v="36480"/>
    <n v="0"/>
    <n v="159"/>
    <n v="386688"/>
    <n v="125924.3697478992"/>
    <n v="15"/>
    <n v="138"/>
    <n v="14"/>
    <n v="0"/>
    <n v="0"/>
    <n v="368501.4"/>
    <n v="34048"/>
    <n v="0"/>
    <n v="0"/>
    <n v="159"/>
    <n v="386688"/>
    <n v="117529.4117647059"/>
    <n v="15"/>
    <n v="173"/>
    <n v="15"/>
    <m/>
    <n v="0"/>
    <n v="0"/>
    <n v="420736"/>
    <n v="40054.49999999999"/>
    <n v="0"/>
    <n v="0"/>
    <n v="159"/>
    <n v="386688"/>
    <n v="125924.3697478992"/>
    <n v="60"/>
    <n v="196"/>
    <n v="37"/>
    <m/>
    <n v="0"/>
    <n v="0"/>
    <n v="476672"/>
    <n v="98801.09999999999"/>
    <n v="0"/>
    <n v="0"/>
    <n v="196"/>
    <n v="386688"/>
    <n v="310613.4453781513"/>
    <n v="20"/>
    <n v="184"/>
    <n v="25"/>
    <n v="100"/>
    <n v="100"/>
    <n v="0"/>
    <n v="447488"/>
    <n v="66757.5"/>
    <n v="258128.9999999999"/>
    <n v="0"/>
    <n v="184"/>
    <n v="386688"/>
    <n v="209873.9495798319"/>
    <n v="20"/>
    <n v="159"/>
    <n v="20"/>
    <n v="0"/>
    <n v="0"/>
    <n v="0"/>
    <n v="386688"/>
    <n v="53405.99999999999"/>
    <n v="0"/>
    <n v="0"/>
    <n v="159"/>
    <n v="386688"/>
    <n v="167899.1596638655"/>
    <n v="20"/>
    <n v="139"/>
    <n v="20"/>
    <n v="0"/>
    <n v="0"/>
    <n v="0"/>
    <n v="371171.7"/>
    <n v="53405.99999999999"/>
    <n v="0"/>
    <n v="0"/>
    <n v="139"/>
    <n v="371171.7"/>
    <n v="167899.1596638655"/>
    <n v="35"/>
    <n v="119"/>
    <n v="35"/>
    <n v="0"/>
    <n v="0"/>
    <n v="0"/>
    <m/>
    <n v="317765.7"/>
    <n v="93460.49999999999"/>
    <n v="0"/>
    <n v="0"/>
    <n v="119"/>
    <n v="317765.7"/>
    <n v="279117.6470588236"/>
    <n v="30"/>
    <n v="84"/>
    <n v="30"/>
    <n v="0"/>
    <n v="0"/>
    <n v="224305.2"/>
    <n v="80108.99999999999"/>
    <n v="0"/>
    <n v="0"/>
    <n v="84"/>
    <n v="224305.2"/>
    <n v="251205.8823529412"/>
    <n v="35"/>
    <n v="54"/>
    <n v="35"/>
    <n v="0"/>
    <n v="0"/>
    <n v="144196.2"/>
    <n v="93460.49999999999"/>
    <n v="0"/>
    <n v="54"/>
    <n v="144196.2"/>
    <n v="293823.5294117647"/>
    <n v="18"/>
    <n v="19"/>
    <n v="18"/>
    <n v="0"/>
    <m/>
    <n v="50735.7"/>
    <n v="43776"/>
    <n v="0"/>
    <n v="19"/>
    <n v="50735.7"/>
    <n v="151109.243697479"/>
  </r>
  <r>
    <m/>
    <x v="6"/>
    <x v="31"/>
    <x v="79"/>
    <s v="SIMBOWSIE-4"/>
    <x v="731"/>
    <x v="564"/>
    <x v="0"/>
    <x v="0"/>
    <n v="0.7"/>
    <x v="381"/>
    <n v="62"/>
    <n v="202"/>
    <n v="368448"/>
    <n v="2477"/>
    <n v="153574"/>
    <n v="1.92"/>
    <n v="2097.6"/>
    <n v="6714.285714285715"/>
    <n v="6294.117647058823"/>
    <s v="Shenzhen"/>
    <s v="30/70"/>
    <n v="60"/>
    <n v="100"/>
    <n v="25"/>
    <n v="0.7477520316278906"/>
    <n v="22"/>
    <n v="0.7441493632361871"/>
    <n v="24"/>
    <n v="0.6999611754258345"/>
    <n v="40"/>
    <n v="0.6942568865366827"/>
    <n v="32"/>
    <n v="0.7029794654406355"/>
    <n v="87"/>
    <n v="0.6405704770122534"/>
    <n v="31"/>
    <n v="0.6699697308793889"/>
    <n v="18"/>
    <n v="0.6627799969054698"/>
    <n v="0"/>
    <s v=""/>
    <n v="28"/>
    <n v="0.7166386779442158"/>
    <n v="35"/>
    <n v="0.7062285151325445"/>
    <n v="40"/>
    <n v="0.720595277833041"/>
    <n v="15"/>
    <n v="0.5832217756330592"/>
    <n v="51"/>
    <n v="0.4951092188581881"/>
    <n v="84"/>
    <n v="0.5030144910762914"/>
    <n v="33"/>
    <n v="0.4064666560856902"/>
    <n v="0.825"/>
    <n v="2"/>
    <s v=""/>
    <n v="0.05714285714285714"/>
    <n v="1"/>
    <n v="0.6659863322530647"/>
    <n v="0.01111111111111111"/>
    <n v="27"/>
    <n v="0.5903301399324079"/>
    <n v="0.7714285714285715"/>
    <n v="10"/>
    <n v="0.6141992534937043"/>
    <n v="0.2857142857142857"/>
    <m/>
    <m/>
    <m/>
    <m/>
    <m/>
    <m/>
    <m/>
    <m/>
    <m/>
    <m/>
    <m/>
    <m/>
    <n v="30"/>
    <n v="41"/>
    <n v="20"/>
    <n v="100"/>
    <n v="100"/>
    <n v="0"/>
    <n v="447098.5"/>
    <n v="81475.2"/>
    <n v="49540"/>
    <n v="0"/>
    <n v="62"/>
    <n v="153574"/>
    <n v="112845.1380552221"/>
    <n v="30"/>
    <n v="129"/>
    <n v="76.5"/>
    <n v="100"/>
    <n v="100"/>
    <n v="0"/>
    <n v="479299.5"/>
    <n v="256348.8"/>
    <n v="189490.5"/>
    <n v="0"/>
    <n v="62"/>
    <n v="153574"/>
    <n v="431632.6530612246"/>
    <n v="35"/>
    <n v="116"/>
    <n v="84"/>
    <n v="0"/>
    <n v="0"/>
    <n v="338495.4"/>
    <n v="287332"/>
    <n v="208068"/>
    <n v="0"/>
    <n v="62"/>
    <n v="153574"/>
    <n v="564000"/>
    <n v="40"/>
    <n v="10"/>
    <n v="33"/>
    <n v="0"/>
    <n v="0"/>
    <n v="19872"/>
    <n v="81741"/>
    <n v="0"/>
    <n v="0"/>
    <n v="62"/>
    <n v="153574"/>
    <n v="221571.4285714286"/>
    <n v="35"/>
    <n v="64"/>
    <n v="24.5"/>
    <m/>
    <n v="0"/>
    <n v="0"/>
    <n v="158528"/>
    <n v="48686.39999999999"/>
    <n v="0"/>
    <n v="0"/>
    <n v="62"/>
    <n v="153574"/>
    <n v="164500"/>
    <n v="90"/>
    <n v="63"/>
    <n v="1"/>
    <m/>
    <n v="0"/>
    <n v="0"/>
    <n v="156051"/>
    <n v="1987.2"/>
    <n v="0"/>
    <n v="0"/>
    <n v="63"/>
    <n v="153574"/>
    <n v="6714.285714285715"/>
    <n v="35"/>
    <n v="89"/>
    <n v="27"/>
    <n v="100"/>
    <n v="100"/>
    <n v="0"/>
    <n v="220453"/>
    <n v="53654.39999999999"/>
    <n v="192096"/>
    <n v="0"/>
    <n v="89"/>
    <n v="153574"/>
    <n v="181285.7142857143"/>
    <n v="35"/>
    <n v="62"/>
    <n v="24.5"/>
    <n v="0"/>
    <n v="0"/>
    <n v="0"/>
    <n v="153574"/>
    <n v="48686.39999999999"/>
    <n v="0"/>
    <n v="0"/>
    <n v="62"/>
    <n v="153574"/>
    <n v="164500"/>
    <n v="30"/>
    <n v="37.5"/>
    <n v="21"/>
    <n v="0"/>
    <n v="100"/>
    <n v="0"/>
    <n v="74520"/>
    <n v="41731.2"/>
    <n v="0"/>
    <n v="0"/>
    <n v="37.5"/>
    <n v="74520"/>
    <n v="141000"/>
    <n v="35"/>
    <n v="16.5"/>
    <n v="16.5"/>
    <n v="0"/>
    <n v="0"/>
    <n v="0"/>
    <n v="100"/>
    <n v="32788.8"/>
    <n v="32788.8"/>
    <n v="0"/>
    <n v="198720"/>
    <n v="16.5"/>
    <n v="231508.8"/>
    <n v="103852.9411764706"/>
    <n v="35"/>
    <n v="0"/>
    <n v="24.5"/>
    <n v="0"/>
    <n v="0"/>
    <n v="0"/>
    <n v="48686.39999999999"/>
    <n v="0"/>
    <n v="0"/>
    <n v="0"/>
    <n v="0"/>
    <n v="161916.1764705883"/>
    <n v="40"/>
    <n v="0"/>
    <n v="28"/>
    <n v="0"/>
    <n v="0"/>
    <n v="0"/>
    <n v="55641.59999999999"/>
    <n v="0"/>
    <n v="0"/>
    <n v="0"/>
    <n v="188000"/>
    <n v="21"/>
    <n v="0"/>
    <n v="14.7"/>
    <n v="0"/>
    <m/>
    <n v="0"/>
    <n v="36411.9"/>
    <n v="0"/>
    <n v="0"/>
    <n v="0"/>
    <n v="98700"/>
  </r>
  <r>
    <m/>
    <x v="6"/>
    <x v="31"/>
    <x v="79"/>
    <s v="SIMBOWTAZ-4"/>
    <x v="732"/>
    <x v="565"/>
    <x v="0"/>
    <x v="5"/>
    <n v="0.8"/>
    <x v="382"/>
    <n v="171"/>
    <n v="148"/>
    <n v="201058"/>
    <n v="1549"/>
    <n v="264879"/>
    <n v="1.43"/>
    <n v="1562.275"/>
    <n v="8394.957983193277"/>
    <n v="7974.789915966387"/>
    <s v="Shenzhen"/>
    <s v="30/70"/>
    <n v="60"/>
    <n v="100"/>
    <n v="12"/>
    <n v="0.797765609974637"/>
    <n v="17"/>
    <n v="0.8000038835967958"/>
    <n v="37"/>
    <n v="0.7344210360412774"/>
    <n v="2"/>
    <n v="0.7472141372141372"/>
    <n v="17"/>
    <n v="0.7394198969702753"/>
    <n v="99"/>
    <n v="0.7071851699531327"/>
    <n v="32"/>
    <n v="0.7288902344798502"/>
    <n v="12"/>
    <n v="0.7309026362566661"/>
    <n v="7"/>
    <n v="0.7225726621735468"/>
    <n v="0"/>
    <s v=""/>
    <n v="0"/>
    <s v=""/>
    <n v="0"/>
    <s v=""/>
    <n v="0"/>
    <s v=""/>
    <n v="9"/>
    <n v="0.7795072296215743"/>
    <n v="30"/>
    <n v="0.7614970261620634"/>
    <n v="13"/>
    <n v="0.4125573658843701"/>
    <n v="0.4333333333333333"/>
    <n v="18"/>
    <n v="0.7898017654553176"/>
    <n v="0.6"/>
    <n v="42"/>
    <n v="0.7047793733345247"/>
    <n v="0.7"/>
    <n v="16"/>
    <n v="0.7948481702569427"/>
    <n v="0.4571428571428571"/>
    <n v="6"/>
    <n v="0.7986110554958956"/>
    <n v="0.15"/>
    <m/>
    <m/>
    <m/>
    <m/>
    <m/>
    <m/>
    <m/>
    <m/>
    <m/>
    <m/>
    <m/>
    <m/>
    <n v="35"/>
    <n v="3"/>
    <n v="10"/>
    <n v="150"/>
    <n v="150"/>
    <n v="0"/>
    <n v="82871.5"/>
    <n v="4440.15"/>
    <n v="15490"/>
    <n v="0"/>
    <n v="171"/>
    <n v="264879"/>
    <n v="70545.86540498552"/>
    <n v="30"/>
    <n v="153"/>
    <n v="13.5"/>
    <n v="0"/>
    <n v="0"/>
    <n v="0"/>
    <n v="87518.5"/>
    <n v="226447.65"/>
    <n v="20911.5"/>
    <n v="0"/>
    <n v="171"/>
    <n v="264879"/>
    <n v="95236.91829673047"/>
    <n v="50"/>
    <n v="192"/>
    <n v="30"/>
    <n v="0"/>
    <n v="0"/>
    <n v="102128.2"/>
    <n v="297408"/>
    <n v="46470"/>
    <n v="0"/>
    <n v="171"/>
    <n v="264879"/>
    <n v="251848.7394957983"/>
    <n v="30"/>
    <n v="161"/>
    <n v="13"/>
    <n v="0"/>
    <n v="0"/>
    <n v="238288.05"/>
    <n v="20137"/>
    <n v="0"/>
    <n v="0"/>
    <n v="171"/>
    <n v="264879"/>
    <n v="109134.4537815126"/>
    <n v="30"/>
    <n v="189"/>
    <n v="24"/>
    <m/>
    <n v="0"/>
    <n v="0"/>
    <n v="292761"/>
    <n v="35521.2"/>
    <n v="0"/>
    <n v="0"/>
    <n v="171"/>
    <n v="264879"/>
    <n v="201478.9915966386"/>
    <n v="60"/>
    <n v="213"/>
    <n v="42"/>
    <m/>
    <n v="0"/>
    <n v="0"/>
    <n v="329937"/>
    <n v="62162.1"/>
    <n v="0"/>
    <n v="0"/>
    <n v="213"/>
    <n v="264879"/>
    <n v="352588.2352941177"/>
    <n v="35"/>
    <n v="187"/>
    <n v="16"/>
    <n v="100"/>
    <n v="100"/>
    <n v="0"/>
    <n v="289663"/>
    <n v="23680.8"/>
    <n v="143071.5"/>
    <n v="0"/>
    <n v="187"/>
    <n v="264879"/>
    <n v="134319.3277310924"/>
    <n v="40"/>
    <n v="171"/>
    <n v="32"/>
    <n v="0"/>
    <n v="0"/>
    <n v="0"/>
    <n v="264879"/>
    <n v="47361.6"/>
    <n v="0"/>
    <n v="0"/>
    <n v="171"/>
    <n v="264879"/>
    <n v="268638.6554621849"/>
    <n v="40"/>
    <n v="139"/>
    <n v="32"/>
    <n v="0"/>
    <n v="0"/>
    <n v="0"/>
    <n v="205726.95"/>
    <n v="47361.6"/>
    <n v="0"/>
    <n v="0"/>
    <n v="139"/>
    <n v="205726.95"/>
    <n v="268638.6554621849"/>
    <n v="100"/>
    <n v="107"/>
    <n v="80"/>
    <n v="0"/>
    <n v="0"/>
    <n v="0"/>
    <m/>
    <n v="158365.35"/>
    <n v="118404"/>
    <n v="0"/>
    <n v="0"/>
    <n v="107"/>
    <n v="158365.35"/>
    <n v="637983.1932773109"/>
    <n v="80"/>
    <n v="27"/>
    <n v="64"/>
    <n v="0"/>
    <n v="0"/>
    <n v="39961.35"/>
    <n v="94723.2"/>
    <n v="0"/>
    <n v="0"/>
    <n v="27"/>
    <n v="39961.35"/>
    <n v="535905.8823529412"/>
    <n v="100"/>
    <n v="0"/>
    <n v="80"/>
    <n v="0"/>
    <n v="0"/>
    <n v="0"/>
    <n v="118404"/>
    <n v="0"/>
    <n v="0"/>
    <n v="0"/>
    <n v="671596.6386554622"/>
    <n v="48"/>
    <n v="0"/>
    <n v="38.40000000000001"/>
    <n v="0"/>
    <m/>
    <n v="0"/>
    <n v="59481.60000000001"/>
    <n v="0"/>
    <n v="0"/>
    <n v="0"/>
    <n v="322366.3865546219"/>
  </r>
  <r>
    <m/>
    <x v="6"/>
    <x v="31"/>
    <x v="79"/>
    <s v="SIMPLAMA-4"/>
    <x v="733"/>
    <x v="566"/>
    <x v="0"/>
    <x v="3"/>
    <n v="1.15"/>
    <x v="383"/>
    <n v="56"/>
    <m/>
    <n v="0"/>
    <n v="3799"/>
    <n v="212744"/>
    <n v="3.45"/>
    <n v="3769.125"/>
    <n v="7554.621848739496"/>
    <n v="7134.453781512605"/>
    <s v="Shenzhen"/>
    <s v="30/70"/>
    <n v="60"/>
    <n v="100"/>
    <n v="7"/>
    <n v="0.7452587393489276"/>
    <n v="14"/>
    <n v="0.7338526988208726"/>
    <n v="14"/>
    <n v="0.6923323205309811"/>
    <n v="15"/>
    <n v="0.7141699886565992"/>
    <n v="5"/>
    <n v="0.7317125897217169"/>
    <n v="34"/>
    <n v="0.6434761493519233"/>
    <n v="16"/>
    <n v="0.6899364030550991"/>
    <n v="13"/>
    <n v="0.687538485299364"/>
    <n v="15"/>
    <n v="0.6592963115428577"/>
    <n v="7"/>
    <n v="0.6366764809527974"/>
    <n v="46"/>
    <n v="0.6311388995605163"/>
    <n v="34"/>
    <n v="0.6527685233445758"/>
    <n v="24"/>
    <n v="0.3839088916640408"/>
    <n v="18"/>
    <n v="0.2629745895066902"/>
    <n v="43"/>
    <n v="0.3288896128852093"/>
    <n v="41"/>
    <n v="0.2326545914644554"/>
    <n v="1.025"/>
    <n v="33"/>
    <n v="0.4892732692864015"/>
    <n v="1.1"/>
    <n v="63"/>
    <n v="0.3871786758692022"/>
    <n v="1.26"/>
    <n v="29"/>
    <n v="0.485753440241013"/>
    <n v="0.9666666666666667"/>
    <n v="15"/>
    <n v="0.5116493079083048"/>
    <n v="0.5"/>
    <m/>
    <m/>
    <m/>
    <m/>
    <m/>
    <m/>
    <m/>
    <m/>
    <m/>
    <m/>
    <m/>
    <m/>
    <n v="20"/>
    <n v="341"/>
    <n v="15"/>
    <n v="0"/>
    <n v="0"/>
    <n v="0"/>
    <n v="322915"/>
    <n v="1217625.75"/>
    <n v="56985"/>
    <n v="0"/>
    <n v="56"/>
    <n v="212744"/>
    <n v="95226.32582444744"/>
    <n v="20"/>
    <n v="313"/>
    <n v="27"/>
    <n v="0"/>
    <n v="0"/>
    <n v="0"/>
    <n v="421689"/>
    <n v="1117644.75"/>
    <n v="102573"/>
    <n v="0"/>
    <n v="56"/>
    <n v="212744"/>
    <n v="171407.3864840054"/>
    <n v="25"/>
    <n v="256"/>
    <n v="43"/>
    <n v="0"/>
    <n v="0"/>
    <n v="442306.875"/>
    <n v="972544"/>
    <n v="163357"/>
    <n v="0"/>
    <n v="56"/>
    <n v="212744"/>
    <n v="324848.7394957984"/>
    <n v="40"/>
    <n v="212"/>
    <n v="41"/>
    <n v="0"/>
    <n v="0"/>
    <n v="756998.9999999999"/>
    <n v="155759"/>
    <n v="0"/>
    <n v="0"/>
    <n v="56"/>
    <n v="212744"/>
    <n v="309739.4957983193"/>
    <n v="30"/>
    <n v="89"/>
    <n v="34.5"/>
    <m/>
    <n v="0"/>
    <n v="0"/>
    <n v="338111"/>
    <n v="123190.875"/>
    <n v="0"/>
    <n v="0"/>
    <n v="56"/>
    <n v="212744"/>
    <n v="260634.4537815126"/>
    <n v="50"/>
    <n v="119"/>
    <n v="63"/>
    <m/>
    <n v="0"/>
    <n v="0"/>
    <n v="452081"/>
    <n v="224957.25"/>
    <n v="0"/>
    <n v="0"/>
    <n v="119"/>
    <n v="212744"/>
    <n v="475941.1764705883"/>
    <n v="30"/>
    <n v="85"/>
    <n v="29"/>
    <n v="0"/>
    <n v="0"/>
    <n v="0"/>
    <n v="322915"/>
    <n v="103551.75"/>
    <n v="0"/>
    <n v="0"/>
    <n v="85"/>
    <n v="212744"/>
    <n v="219084.0336134454"/>
    <n v="30"/>
    <n v="56"/>
    <n v="34.5"/>
    <n v="0"/>
    <n v="0"/>
    <n v="0"/>
    <n v="212744"/>
    <n v="123190.875"/>
    <n v="0"/>
    <n v="0"/>
    <n v="56"/>
    <n v="212744"/>
    <n v="260634.4537815126"/>
    <n v="30"/>
    <n v="21.5"/>
    <n v="34.5"/>
    <n v="0"/>
    <n v="0"/>
    <n v="0"/>
    <n v="76771.12499999999"/>
    <n v="123190.875"/>
    <n v="0"/>
    <n v="0"/>
    <n v="21.5"/>
    <n v="76771.12499999999"/>
    <n v="260634.4537815126"/>
    <n v="50"/>
    <n v="0"/>
    <n v="0"/>
    <n v="0"/>
    <n v="0"/>
    <n v="0"/>
    <m/>
    <n v="0"/>
    <n v="0"/>
    <n v="0"/>
    <n v="0"/>
    <n v="0"/>
    <n v="0"/>
    <n v="0"/>
    <n v="50"/>
    <n v="0"/>
    <n v="57.49999999999999"/>
    <n v="0"/>
    <n v="0"/>
    <n v="0"/>
    <n v="205318.1249999999"/>
    <n v="0"/>
    <n v="0"/>
    <n v="0"/>
    <n v="0"/>
    <n v="430742.6470588235"/>
    <n v="50"/>
    <n v="0"/>
    <n v="57.49999999999999"/>
    <n v="0"/>
    <n v="0"/>
    <n v="0"/>
    <n v="205318.1249999999"/>
    <n v="0"/>
    <n v="0"/>
    <n v="0"/>
    <n v="434390.756302521"/>
    <n v="30"/>
    <n v="0"/>
    <n v="34.5"/>
    <n v="0"/>
    <m/>
    <n v="0"/>
    <n v="131065.5"/>
    <n v="0"/>
    <n v="0"/>
    <n v="0"/>
    <n v="260634.4537815126"/>
  </r>
  <r>
    <m/>
    <x v="6"/>
    <x v="31"/>
    <x v="79"/>
    <s v="SIMPLSIE-4"/>
    <x v="734"/>
    <x v="567"/>
    <x v="0"/>
    <x v="3"/>
    <n v="1"/>
    <x v="384"/>
    <n v="24"/>
    <m/>
    <n v="0"/>
    <n v="3540"/>
    <n v="84960"/>
    <n v="3.45"/>
    <n v="3769.125"/>
    <n v="7554.621848739496"/>
    <n v="7134.453781512605"/>
    <s v="Shenzhen"/>
    <s v="30/70"/>
    <n v="60"/>
    <n v="100"/>
    <n v="7"/>
    <n v="0.6900715182085115"/>
    <n v="13"/>
    <n v="0.7430286239008331"/>
    <n v="15"/>
    <n v="0.6907734462097206"/>
    <n v="14"/>
    <n v="0.6688282517155032"/>
    <n v="8"/>
    <n v="0.7108078303699985"/>
    <n v="48"/>
    <n v="0.6464019835623636"/>
    <n v="15"/>
    <n v="0.6728789446065698"/>
    <n v="28"/>
    <n v="0.6877689981002784"/>
    <n v="15"/>
    <n v="0.7116284555140296"/>
    <n v="38"/>
    <n v="0.6584102236122436"/>
    <n v="27"/>
    <n v="0.6403113638643343"/>
    <n v="86"/>
    <n v="0.6139961166127977"/>
    <n v="17"/>
    <n v="0.4683630115363542"/>
    <n v="43"/>
    <n v="0.375454146735984"/>
    <n v="87"/>
    <n v="0.3722314478877476"/>
    <n v="61"/>
    <n v="0.3531544071907889"/>
    <n v="1.525"/>
    <n v="45"/>
    <n v="0.5230741335721057"/>
    <n v="1.5"/>
    <n v="48"/>
    <n v="0.3125384856409469"/>
    <n v="0.96"/>
    <n v="42"/>
    <n v="0.525021950080427"/>
    <n v="1.2"/>
    <n v="5"/>
    <n v="0.5208067237846624"/>
    <n v="0.1428571428571428"/>
    <m/>
    <m/>
    <m/>
    <m/>
    <m/>
    <m/>
    <m/>
    <m/>
    <m/>
    <m/>
    <m/>
    <m/>
    <n v="35"/>
    <n v="376"/>
    <n v="35"/>
    <n v="0"/>
    <n v="0"/>
    <n v="0"/>
    <n v="660210"/>
    <n v="1342602"/>
    <n v="123900"/>
    <n v="0"/>
    <n v="24"/>
    <n v="84960"/>
    <n v="222194.760257044"/>
    <n v="30"/>
    <n v="352"/>
    <n v="64.5"/>
    <n v="0"/>
    <n v="0"/>
    <n v="0"/>
    <n v="752250"/>
    <n v="1256904"/>
    <n v="228330"/>
    <n v="0"/>
    <n v="24"/>
    <n v="84960"/>
    <n v="409473.201045124"/>
    <n v="35"/>
    <n v="290"/>
    <n v="87"/>
    <n v="0"/>
    <n v="0"/>
    <n v="631042.5"/>
    <n v="1026600"/>
    <n v="307980"/>
    <n v="0"/>
    <n v="24"/>
    <n v="84960"/>
    <n v="657252.1008403362"/>
    <n v="40"/>
    <n v="198"/>
    <n v="61"/>
    <n v="0"/>
    <n v="0"/>
    <n v="707008.4999999999"/>
    <n v="215940"/>
    <n v="0"/>
    <n v="0"/>
    <n v="24"/>
    <n v="84960"/>
    <n v="460831.9327731093"/>
    <n v="30"/>
    <n v="69"/>
    <n v="30"/>
    <m/>
    <n v="0"/>
    <n v="0"/>
    <n v="244260"/>
    <n v="107122.5"/>
    <n v="0"/>
    <n v="0"/>
    <n v="24"/>
    <n v="84960"/>
    <n v="226638.6554621849"/>
    <n v="50"/>
    <n v="72"/>
    <n v="48"/>
    <m/>
    <n v="0"/>
    <n v="0"/>
    <n v="254880"/>
    <n v="171396"/>
    <n v="0"/>
    <n v="0"/>
    <n v="72"/>
    <n v="84960"/>
    <n v="362621.8487394959"/>
    <n v="35"/>
    <n v="66"/>
    <n v="42"/>
    <n v="0"/>
    <n v="0"/>
    <n v="0"/>
    <n v="233640"/>
    <n v="149971.5"/>
    <n v="0"/>
    <n v="0"/>
    <n v="66"/>
    <n v="84960"/>
    <n v="317294.1176470589"/>
    <n v="35"/>
    <n v="24"/>
    <n v="35"/>
    <n v="0"/>
    <n v="0"/>
    <n v="0"/>
    <n v="84960"/>
    <n v="124976.25"/>
    <n v="0"/>
    <n v="0"/>
    <n v="24"/>
    <n v="84960"/>
    <n v="264411.7647058823"/>
    <n v="30"/>
    <n v="0"/>
    <n v="30"/>
    <n v="200"/>
    <n v="200"/>
    <n v="0"/>
    <n v="0"/>
    <n v="107122.5"/>
    <n v="714149.9999999999"/>
    <n v="0"/>
    <n v="0"/>
    <n v="0"/>
    <n v="226638.6554621849"/>
    <n v="50"/>
    <n v="200"/>
    <n v="50"/>
    <n v="0"/>
    <n v="0"/>
    <n v="0"/>
    <n v="200"/>
    <n v="714149.9999999999"/>
    <n v="178537.5"/>
    <n v="0"/>
    <n v="714149.9999999999"/>
    <n v="200"/>
    <n v="1428300"/>
    <n v="356722.6890756303"/>
    <n v="40"/>
    <n v="150"/>
    <n v="40"/>
    <n v="0"/>
    <n v="0"/>
    <n v="535612.4999999999"/>
    <n v="142830"/>
    <n v="0"/>
    <n v="0"/>
    <n v="150"/>
    <n v="535612.4999999999"/>
    <n v="299647.0588235295"/>
    <n v="80"/>
    <n v="110"/>
    <n v="80"/>
    <n v="0"/>
    <n v="0"/>
    <n v="392782.4999999999"/>
    <n v="285659.9999999999"/>
    <n v="0"/>
    <n v="110"/>
    <n v="392782.4999999999"/>
    <n v="604369.7478991597"/>
    <n v="24"/>
    <n v="30"/>
    <n v="24"/>
    <n v="0"/>
    <m/>
    <n v="107122.5"/>
    <n v="84960"/>
    <n v="0"/>
    <n v="30"/>
    <n v="107122.5"/>
    <n v="181310.9243697479"/>
  </r>
  <r>
    <m/>
    <x v="6"/>
    <x v="31"/>
    <x v="79"/>
    <s v="SIMTAZPAL-2"/>
    <x v="735"/>
    <x v="568"/>
    <x v="0"/>
    <x v="2"/>
    <n v="1.5"/>
    <x v="3"/>
    <n v="16"/>
    <m/>
    <n v="0"/>
    <n v="1430"/>
    <n v="22880"/>
    <n v="0.86"/>
    <n v="939.55"/>
    <n v="4193.27731092437"/>
    <n v="3773.109243697479"/>
    <s v="Shenzhen"/>
    <s v="30/70"/>
    <n v="60"/>
    <n v="100"/>
    <n v="0"/>
    <s v=""/>
    <n v="5"/>
    <n v="0.7664276472591078"/>
    <n v="15"/>
    <n v="0.7569283335373802"/>
    <n v="7"/>
    <n v="0.7256805479452055"/>
    <n v="3"/>
    <n v="0.7443010368251699"/>
    <n v="66"/>
    <n v="0.731800225631571"/>
    <n v="31"/>
    <n v="0.6554160706184821"/>
    <n v="72"/>
    <n v="0.6284688200266807"/>
    <n v="50"/>
    <n v="0.6431586827042223"/>
    <n v="54"/>
    <n v="0.5451891891891891"/>
    <n v="28"/>
    <n v="0.6421097604576332"/>
    <n v="46"/>
    <n v="0.6313047148342275"/>
    <n v="16"/>
    <n v="0.7159598850190109"/>
    <n v="12"/>
    <n v="0.5736857926881828"/>
    <n v="32"/>
    <n v="0.4855394173295048"/>
    <n v="27"/>
    <n v="0.3225103238194065"/>
    <n v="1.35"/>
    <n v="3"/>
    <n v="0.6589118236472946"/>
    <n v="0.2"/>
    <n v="0"/>
    <s v=""/>
    <n v="0"/>
    <n v="0"/>
    <s v=""/>
    <n v="0"/>
    <n v="0"/>
    <s v=""/>
    <n v="0"/>
    <m/>
    <m/>
    <m/>
    <m/>
    <m/>
    <m/>
    <m/>
    <m/>
    <m/>
    <m/>
    <m/>
    <m/>
    <n v="15"/>
    <n v="106"/>
    <n v="15"/>
    <n v="0"/>
    <n v="0"/>
    <n v="0"/>
    <n v="92950"/>
    <n v="94350.59999999999"/>
    <n v="21450"/>
    <n v="0"/>
    <n v="16"/>
    <n v="22880"/>
    <n v="52856.43669232399"/>
    <n v="15"/>
    <n v="94"/>
    <n v="18"/>
    <n v="0"/>
    <n v="0"/>
    <n v="0"/>
    <n v="110110"/>
    <n v="83669.39999999999"/>
    <n v="25740"/>
    <n v="0"/>
    <n v="16"/>
    <n v="22880"/>
    <n v="63427.7240307888"/>
    <n v="20"/>
    <n v="79"/>
    <n v="32"/>
    <n v="0"/>
    <n v="0"/>
    <n v="104397.25"/>
    <n v="112970"/>
    <n v="45760"/>
    <n v="0"/>
    <n v="16"/>
    <n v="22880"/>
    <n v="134184.8739495798"/>
    <n v="20"/>
    <n v="39"/>
    <n v="27"/>
    <n v="0"/>
    <n v="0"/>
    <n v="34713.89999999999"/>
    <n v="38610"/>
    <n v="0"/>
    <n v="0"/>
    <n v="16"/>
    <n v="22880"/>
    <n v="113218.487394958"/>
    <n v="15"/>
    <n v="19"/>
    <n v="22.5"/>
    <m/>
    <n v="0"/>
    <n v="0"/>
    <n v="27170"/>
    <n v="20027.25"/>
    <n v="0"/>
    <n v="0"/>
    <n v="16"/>
    <n v="22880"/>
    <n v="94348.73949579832"/>
    <n v="59"/>
    <n v="16"/>
    <n v="0"/>
    <m/>
    <n v="0"/>
    <n v="0"/>
    <n v="22880"/>
    <n v="0"/>
    <n v="0"/>
    <n v="0"/>
    <n v="16"/>
    <n v="22880"/>
    <n v="0"/>
    <n v="28"/>
    <n v="16"/>
    <n v="0"/>
    <n v="0"/>
    <n v="0"/>
    <n v="0"/>
    <n v="22880"/>
    <n v="0"/>
    <n v="0"/>
    <n v="0"/>
    <n v="16"/>
    <n v="22880"/>
    <n v="0"/>
    <n v="72"/>
    <n v="16"/>
    <n v="108"/>
    <n v="0"/>
    <n v="0"/>
    <n v="0"/>
    <n v="22880"/>
    <n v="96130.79999999999"/>
    <n v="0"/>
    <n v="0"/>
    <n v="16"/>
    <n v="22880"/>
    <n v="452873.9495798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6"/>
    <x v="31"/>
    <x v="79"/>
    <s v="SIMTAZSIE-4"/>
    <x v="736"/>
    <x v="569"/>
    <x v="0"/>
    <x v="5"/>
    <n v="0.9"/>
    <x v="385"/>
    <n v="15"/>
    <n v="192"/>
    <n v="182400"/>
    <n v="1476"/>
    <n v="22140"/>
    <n v="1"/>
    <n v="1092.5"/>
    <n v="8394.957983193277"/>
    <n v="7974.789915966387"/>
    <s v="Shenzhen"/>
    <s v="30/70"/>
    <n v="60"/>
    <n v="100"/>
    <n v="44"/>
    <n v="0.7996455085556221"/>
    <n v="25"/>
    <n v="0.7666021406990658"/>
    <n v="68"/>
    <n v="0.7010109250986871"/>
    <n v="72"/>
    <n v="0.7382749007496345"/>
    <n v="62"/>
    <n v="0.748583295775832"/>
    <n v="26"/>
    <n v="0.6143995855738413"/>
    <n v="1"/>
    <n v="0.8073915315315314"/>
    <n v="0"/>
    <s v=""/>
    <n v="1"/>
    <n v="0.724913235794488"/>
    <n v="87"/>
    <n v="0.6485152378812425"/>
    <n v="111"/>
    <n v="0.761997755331089"/>
    <n v="98"/>
    <n v="0.6470512834228458"/>
    <n v="2"/>
    <n v="0.7382609900164449"/>
    <n v="25"/>
    <n v="0.6499386854196211"/>
    <n v="62"/>
    <n v="0.6583185767403085"/>
    <n v="41"/>
    <n v="0.6624950938964913"/>
    <n v="1.171428571428571"/>
    <n v="46"/>
    <n v="0.8128953181375882"/>
    <n v="1.022222222222222"/>
    <n v="25"/>
    <n v="0.5821292141295593"/>
    <n v="0.3846153846153846"/>
    <n v="9"/>
    <s v=""/>
    <n v="1.285714285714286"/>
    <n v="1"/>
    <n v="0.8046729699666295"/>
    <n v="0.025"/>
    <m/>
    <m/>
    <m/>
    <m/>
    <m/>
    <m/>
    <m/>
    <m/>
    <m/>
    <m/>
    <m/>
    <m/>
    <n v="60"/>
    <n v="5"/>
    <n v="15"/>
    <n v="100"/>
    <n v="100"/>
    <n v="0"/>
    <n v="169002"/>
    <n v="5175"/>
    <n v="22140"/>
    <n v="0"/>
    <n v="15"/>
    <n v="22140"/>
    <n v="105818.7981074783"/>
    <n v="50"/>
    <n v="100"/>
    <n v="37.5"/>
    <n v="0"/>
    <n v="0"/>
    <n v="0"/>
    <n v="207378"/>
    <n v="103500"/>
    <n v="55350"/>
    <n v="0"/>
    <n v="15"/>
    <n v="22140"/>
    <n v="264546.9952686957"/>
    <n v="70"/>
    <n v="171"/>
    <n v="62"/>
    <n v="0"/>
    <n v="0"/>
    <n v="193945.5"/>
    <n v="252396"/>
    <n v="91512"/>
    <n v="0"/>
    <n v="15"/>
    <n v="22140"/>
    <n v="520487.3949579832"/>
    <n v="35"/>
    <n v="101"/>
    <n v="41"/>
    <n v="200"/>
    <n v="0"/>
    <n v="104535"/>
    <n v="60516"/>
    <n v="207000"/>
    <n v="0"/>
    <n v="15"/>
    <n v="22140"/>
    <n v="344193.2773109244"/>
    <n v="45"/>
    <n v="61"/>
    <n v="40.5"/>
    <m/>
    <n v="0"/>
    <n v="0"/>
    <n v="90036"/>
    <n v="41917.5"/>
    <n v="0"/>
    <n v="0"/>
    <n v="15"/>
    <n v="22140"/>
    <n v="339995.7983193277"/>
    <n v="65"/>
    <n v="40"/>
    <n v="25"/>
    <m/>
    <n v="0"/>
    <n v="0"/>
    <n v="59040"/>
    <n v="25875"/>
    <n v="0"/>
    <n v="0"/>
    <n v="40"/>
    <n v="22140"/>
    <n v="209873.9495798319"/>
    <n v="7"/>
    <n v="24"/>
    <n v="9"/>
    <n v="0"/>
    <n v="0"/>
    <n v="0"/>
    <n v="35424"/>
    <n v="9315"/>
    <n v="0"/>
    <n v="0"/>
    <n v="24"/>
    <n v="22140"/>
    <n v="75554.62184873949"/>
    <n v="40"/>
    <n v="15"/>
    <n v="36"/>
    <n v="0"/>
    <n v="0"/>
    <n v="0"/>
    <n v="22140"/>
    <n v="37260"/>
    <n v="0"/>
    <n v="0"/>
    <n v="15"/>
    <n v="22140"/>
    <n v="302218.487394958"/>
    <n v="35"/>
    <n v="0"/>
    <n v="31.5"/>
    <n v="0"/>
    <n v="192"/>
    <n v="102"/>
    <n v="0"/>
    <n v="32602.5"/>
    <n v="0"/>
    <n v="105570"/>
    <n v="102"/>
    <n v="105570"/>
    <n v="264441.1764705883"/>
    <n v="120"/>
    <n v="70.5"/>
    <n v="70.5"/>
    <n v="0"/>
    <n v="0"/>
    <n v="0"/>
    <n v="90"/>
    <n v="72967.5"/>
    <n v="72967.5"/>
    <n v="0"/>
    <n v="93150"/>
    <n v="70.5"/>
    <n v="166117.5"/>
    <n v="562222.6890756303"/>
    <n v="115"/>
    <n v="0"/>
    <n v="103.5"/>
    <n v="0"/>
    <n v="0"/>
    <n v="0"/>
    <n v="107122.5"/>
    <n v="0"/>
    <n v="0"/>
    <n v="0"/>
    <n v="0"/>
    <n v="866660.2941176471"/>
    <n v="150"/>
    <n v="0"/>
    <n v="135"/>
    <n v="0"/>
    <n v="0"/>
    <n v="0"/>
    <n v="139725"/>
    <n v="0"/>
    <n v="0"/>
    <n v="0"/>
    <n v="1133319.327731092"/>
    <n v="69"/>
    <n v="0"/>
    <n v="62.1"/>
    <n v="0"/>
    <m/>
    <n v="0"/>
    <n v="91659.60000000001"/>
    <n v="0"/>
    <n v="0"/>
    <n v="0"/>
    <n v="521326.8907563025"/>
  </r>
  <r>
    <m/>
    <x v="7"/>
    <x v="32"/>
    <x v="80"/>
    <s v="TCAFSKIFL"/>
    <x v="737"/>
    <x v="570"/>
    <x v="0"/>
    <x v="4"/>
    <n v="1"/>
    <x v="3"/>
    <n v="0"/>
    <m/>
    <n v="0"/>
    <n v="13680"/>
    <n v="0"/>
    <n v="12"/>
    <n v="13680"/>
    <n v="34487.3949579832"/>
    <n v="29314.28571428572"/>
    <s v="Shenzhen"/>
    <s v="30/70"/>
    <n v="30"/>
    <n v="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35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0"/>
    <n v="0"/>
    <n v="300"/>
    <n v="300"/>
    <n v="300"/>
    <n v="0"/>
    <n v="0"/>
    <n v="0"/>
    <n v="3726000"/>
    <n v="3726000"/>
    <n v="300"/>
    <n v="3726000"/>
    <n v="0"/>
    <n v="80"/>
    <n v="300"/>
    <n v="80"/>
    <n v="0"/>
    <n v="0"/>
    <n v="3726000"/>
    <n v="993599.9999999999"/>
    <n v="0"/>
    <n v="0"/>
    <n v="300"/>
    <n v="3726000"/>
    <n v="2462400"/>
    <n v="150"/>
    <n v="220"/>
    <n v="150"/>
    <n v="0"/>
    <n v="0"/>
    <n v="2732400"/>
    <n v="1863000"/>
    <n v="0"/>
    <n v="220"/>
    <n v="2732400"/>
    <n v="5173109.243697479"/>
    <n v="48"/>
    <n v="70"/>
    <m/>
    <n v="0"/>
    <m/>
    <n v="869399.9999999999"/>
    <n v="0"/>
    <n v="0"/>
    <n v="70"/>
    <n v="869399.9999999999"/>
    <n v="0"/>
  </r>
  <r>
    <m/>
    <x v="7"/>
    <x v="32"/>
    <x v="80"/>
    <s v="TCRANEBL"/>
    <x v="738"/>
    <x v="571"/>
    <x v="0"/>
    <x v="3"/>
    <n v="1"/>
    <x v="386"/>
    <n v="113"/>
    <m/>
    <n v="0"/>
    <n v="8071"/>
    <n v="912023"/>
    <n v="10.5"/>
    <n v="11471.25"/>
    <n v="25201.68067226891"/>
    <n v="25201.68067226891"/>
    <s v="Shenzhen"/>
    <s v="30/70"/>
    <n v="30"/>
    <n v="300"/>
    <n v="0"/>
    <s v=""/>
    <n v="0"/>
    <s v=""/>
    <n v="0"/>
    <s v=""/>
    <n v="0"/>
    <s v=""/>
    <n v="0"/>
    <s v=""/>
    <n v="0"/>
    <s v=""/>
    <n v="0"/>
    <s v=""/>
    <n v="0"/>
    <s v=""/>
    <n v="4"/>
    <n v="0.4648588328160987"/>
    <n v="11"/>
    <n v="0.4600805940819176"/>
    <n v="40"/>
    <n v="0.463191638463531"/>
    <n v="77"/>
    <n v="0.4933046366567703"/>
    <n v="53"/>
    <n v="0.4580261944529597"/>
    <n v="60"/>
    <n v="0.4750293083440701"/>
    <n v="35"/>
    <n v="0.5411403686288025"/>
    <n v="26"/>
    <n v="0.5988416707539203"/>
    <n v="0.4333333333333333"/>
    <n v="36"/>
    <n v="0.7300217011104385"/>
    <n v="0.72"/>
    <n v="64"/>
    <n v="0.5173093714910647"/>
    <n v="0.8"/>
    <n v="66"/>
    <n v="0.6890421458621716"/>
    <n v="1.32"/>
    <n v="50"/>
    <n v="0.6498684214676574"/>
    <n v="1"/>
    <m/>
    <m/>
    <m/>
    <m/>
    <m/>
    <m/>
    <m/>
    <m/>
    <m/>
    <m/>
    <m/>
    <m/>
    <n v="30"/>
    <n v="120"/>
    <n v="55"/>
    <n v="0"/>
    <m/>
    <n v="0"/>
    <n v="1452780"/>
    <n v="1304100"/>
    <n v="443905"/>
    <n v="0"/>
    <n v="113"/>
    <n v="912023"/>
    <n v="1164783.560483017"/>
    <n v="40"/>
    <n v="91"/>
    <n v="90"/>
    <n v="150"/>
    <n v="150"/>
    <n v="0"/>
    <n v="1218721"/>
    <n v="988942.5"/>
    <n v="726390"/>
    <n v="0"/>
    <n v="113"/>
    <n v="912023"/>
    <n v="1906009.462608573"/>
    <n v="50"/>
    <n v="20"/>
    <n v="35"/>
    <n v="0"/>
    <n v="0"/>
    <n v="1035706"/>
    <n v="161420"/>
    <n v="282485"/>
    <n v="0"/>
    <n v="113"/>
    <n v="912023"/>
    <n v="882058.8235294118"/>
    <n v="60"/>
    <n v="158"/>
    <n v="26"/>
    <n v="0"/>
    <n v="0"/>
    <n v="1717065"/>
    <n v="209846"/>
    <n v="0"/>
    <n v="0"/>
    <n v="113"/>
    <n v="912023"/>
    <n v="655243.6974789916"/>
    <n v="50"/>
    <n v="149"/>
    <n v="50"/>
    <m/>
    <n v="0"/>
    <n v="0"/>
    <n v="1202579"/>
    <n v="543375"/>
    <n v="0"/>
    <n v="0"/>
    <n v="113"/>
    <n v="912023"/>
    <n v="1260084.033613445"/>
    <n v="80"/>
    <n v="177"/>
    <n v="64"/>
    <m/>
    <n v="0"/>
    <n v="0"/>
    <n v="1428567"/>
    <n v="695520"/>
    <n v="0"/>
    <n v="0"/>
    <n v="177"/>
    <n v="912023"/>
    <n v="1612907.56302521"/>
    <n v="50"/>
    <n v="179"/>
    <n v="66"/>
    <n v="200"/>
    <n v="200"/>
    <n v="0"/>
    <n v="1444709"/>
    <n v="717255"/>
    <n v="2101050"/>
    <n v="0"/>
    <n v="179"/>
    <n v="912023"/>
    <n v="1663310.924369748"/>
    <n v="50"/>
    <n v="113"/>
    <n v="50"/>
    <n v="0"/>
    <n v="0"/>
    <n v="0"/>
    <n v="912023"/>
    <n v="543375"/>
    <n v="0"/>
    <n v="0"/>
    <n v="113"/>
    <n v="912023"/>
    <n v="1260084.033613445"/>
    <n v="50"/>
    <n v="63"/>
    <n v="50"/>
    <n v="200"/>
    <n v="200"/>
    <n v="0"/>
    <n v="684652.5"/>
    <n v="543375"/>
    <n v="2173500"/>
    <n v="0"/>
    <n v="63"/>
    <n v="684652.5"/>
    <n v="1260084.033613445"/>
    <n v="120"/>
    <n v="213"/>
    <n v="120"/>
    <n v="0"/>
    <n v="0"/>
    <n v="0"/>
    <n v="200"/>
    <n v="2314777.5"/>
    <n v="1304100"/>
    <n v="0"/>
    <n v="2173500"/>
    <n v="213"/>
    <n v="4488277.5"/>
    <n v="3024201.680672269"/>
    <n v="80"/>
    <n v="93"/>
    <n v="80"/>
    <n v="0"/>
    <n v="0"/>
    <n v="1010677.5"/>
    <n v="869400"/>
    <n v="0"/>
    <n v="0"/>
    <n v="93"/>
    <n v="1010677.5"/>
    <n v="2116941.176470588"/>
    <n v="150"/>
    <n v="13"/>
    <n v="150"/>
    <n v="300"/>
    <n v="300"/>
    <n v="141277.5"/>
    <n v="1630125"/>
    <n v="3260250"/>
    <n v="313"/>
    <n v="3401527.5"/>
    <n v="3780252.100840336"/>
    <n v="48"/>
    <n v="163"/>
    <n v="48"/>
    <n v="0"/>
    <m/>
    <n v="1771402.5"/>
    <n v="387408"/>
    <n v="0"/>
    <n v="163"/>
    <n v="1771402.5"/>
    <n v="1209680.672268908"/>
  </r>
  <r>
    <m/>
    <x v="7"/>
    <x v="32"/>
    <x v="81"/>
    <s v="TCALSCAEGL-PP"/>
    <x v="739"/>
    <x v="572"/>
    <x v="0"/>
    <x v="4"/>
    <n v="1"/>
    <x v="3"/>
    <n v="0"/>
    <m/>
    <n v="0"/>
    <n v="37050"/>
    <n v="0"/>
    <n v="32.5"/>
    <n v="37050"/>
    <n v="93403.36134453781"/>
    <n v="79392.85714285714"/>
    <s v="Shenzhen"/>
    <s v="30/70"/>
    <n v="30"/>
    <n v="1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5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0"/>
    <n v="0"/>
    <n v="500"/>
    <n v="500"/>
    <n v="500"/>
    <n v="0"/>
    <n v="0"/>
    <n v="0"/>
    <n v="16818750"/>
    <n v="16818750"/>
    <n v="500"/>
    <n v="16818750"/>
    <n v="0"/>
    <n v="100"/>
    <n v="500"/>
    <n v="100"/>
    <n v="0"/>
    <n v="0"/>
    <n v="16818750"/>
    <n v="3363750"/>
    <n v="0"/>
    <n v="0"/>
    <n v="500"/>
    <n v="16818750"/>
    <n v="8336250.000000001"/>
    <n v="200"/>
    <n v="400"/>
    <n v="200"/>
    <n v="0"/>
    <n v="0"/>
    <n v="13455000"/>
    <n v="6727500"/>
    <n v="0"/>
    <n v="400"/>
    <n v="13455000"/>
    <n v="18680672.26890756"/>
    <n v="60"/>
    <n v="200"/>
    <n v="60"/>
    <n v="0"/>
    <m/>
    <n v="6727500"/>
    <n v="2223000"/>
    <n v="0"/>
    <n v="200"/>
    <n v="6727500"/>
    <n v="5604201.680672269"/>
  </r>
  <r>
    <m/>
    <x v="7"/>
    <x v="32"/>
    <x v="82"/>
    <s v="TCMULTSTY5N1"/>
    <x v="740"/>
    <x v="573"/>
    <x v="0"/>
    <x v="1"/>
    <n v="1"/>
    <x v="387"/>
    <n v="35"/>
    <m/>
    <n v="0"/>
    <n v="21659"/>
    <n v="758065"/>
    <n v="24"/>
    <n v="26220"/>
    <n v="63016.80672268908"/>
    <n v="50411.76470588236"/>
    <s v="Shenzhen"/>
    <s v="30/70"/>
    <n v="55"/>
    <n v="10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04"/>
    <n v="0.5472591925288702"/>
    <n v="436"/>
    <n v="0.5489405516099732"/>
    <n v="5"/>
    <n v="0.4920603551172509"/>
    <n v="36"/>
    <n v="0.5444518669704542"/>
    <n v="193"/>
    <n v="0.5213176010433438"/>
    <n v="250"/>
    <n v="0.5064971721382822"/>
    <n v="1.25"/>
    <n v="297"/>
    <n v="0.5891167711112202"/>
    <n v="1.08"/>
    <n v="496"/>
    <n v="0.3542039418961432"/>
    <n v="1.24"/>
    <n v="197"/>
    <n v="0.5899415151830845"/>
    <n v="0.985"/>
    <n v="5"/>
    <n v="0.7458331787883188"/>
    <n v="0.04310344827586207"/>
    <m/>
    <m/>
    <m/>
    <m/>
    <m/>
    <m/>
    <m/>
    <m/>
    <m/>
    <m/>
    <m/>
    <m/>
    <n v="0"/>
    <n v="2"/>
    <n v="0"/>
    <n v="0"/>
    <m/>
    <n v="0"/>
    <n v="5349773"/>
    <n v="49679.99999999999"/>
    <n v="0"/>
    <n v="0"/>
    <n v="35"/>
    <n v="758065"/>
    <n v="0"/>
    <n v="70"/>
    <n v="490"/>
    <n v="54"/>
    <n v="0"/>
    <n v="498"/>
    <n v="0"/>
    <n v="10764523"/>
    <n v="12171600"/>
    <n v="1169586"/>
    <n v="0"/>
    <n v="35"/>
    <n v="758065"/>
    <n v="2859586.187416143"/>
    <n v="200"/>
    <n v="441"/>
    <n v="193"/>
    <n v="0"/>
    <n v="0"/>
    <n v="16425937"/>
    <n v="9551619"/>
    <n v="4180187"/>
    <n v="0"/>
    <n v="35"/>
    <n v="758065"/>
    <n v="12162243.69747899"/>
    <n v="200"/>
    <n v="1163"/>
    <n v="250"/>
    <n v="2000"/>
    <n v="0"/>
    <n v="28888920"/>
    <n v="5414750"/>
    <n v="49679999.99999999"/>
    <n v="0"/>
    <n v="35"/>
    <n v="758065"/>
    <n v="15754201.68067227"/>
    <n v="275"/>
    <n v="332"/>
    <n v="275"/>
    <m/>
    <n v="0"/>
    <n v="0"/>
    <n v="7190788"/>
    <n v="6830999.999999999"/>
    <n v="0"/>
    <n v="0"/>
    <n v="35"/>
    <n v="758065"/>
    <n v="17329621.8487395"/>
    <n v="400"/>
    <n v="531"/>
    <n v="496"/>
    <m/>
    <n v="0"/>
    <n v="0"/>
    <n v="11500929"/>
    <n v="12320640"/>
    <n v="0"/>
    <n v="0"/>
    <n v="531"/>
    <n v="758065"/>
    <n v="31256336.13445378"/>
    <n v="200"/>
    <n v="232"/>
    <n v="197"/>
    <n v="0"/>
    <n v="0"/>
    <n v="0"/>
    <n v="5024888"/>
    <n v="4893479.999999999"/>
    <n v="0"/>
    <n v="0"/>
    <n v="232"/>
    <n v="758065"/>
    <n v="12414310.92436975"/>
    <n v="116"/>
    <n v="35"/>
    <n v="116"/>
    <n v="0"/>
    <n v="0"/>
    <n v="0"/>
    <n v="758065"/>
    <n v="2881440"/>
    <n v="0"/>
    <n v="0"/>
    <n v="35"/>
    <n v="758065"/>
    <n v="7309949.579831933"/>
    <n v="180"/>
    <n v="0"/>
    <n v="180"/>
    <n v="2000"/>
    <n v="2000"/>
    <n v="0"/>
    <n v="0"/>
    <n v="4471199.999999999"/>
    <n v="49679999.99999999"/>
    <n v="0"/>
    <n v="0"/>
    <n v="0"/>
    <n v="11343025.21008403"/>
    <n v="500"/>
    <n v="2000"/>
    <n v="500"/>
    <n v="0"/>
    <n v="0"/>
    <n v="0"/>
    <n v="2000"/>
    <n v="49679999.99999999"/>
    <n v="12420000"/>
    <n v="0"/>
    <n v="49679999.99999999"/>
    <n v="2000"/>
    <n v="99359999.99999999"/>
    <n v="25205882.35294118"/>
    <n v="250"/>
    <n v="1500"/>
    <n v="250"/>
    <n v="0"/>
    <n v="0"/>
    <n v="37259999.99999999"/>
    <n v="6209999.999999999"/>
    <n v="0"/>
    <n v="0"/>
    <n v="1500"/>
    <n v="37259999.99999999"/>
    <n v="13233088.23529412"/>
    <n v="500"/>
    <n v="1250"/>
    <n v="500"/>
    <n v="0"/>
    <n v="0"/>
    <n v="31050000"/>
    <n v="12420000"/>
    <n v="0"/>
    <n v="1250"/>
    <n v="31050000"/>
    <n v="31508403.36134454"/>
    <n v="150"/>
    <n v="750"/>
    <n v="150"/>
    <n v="0"/>
    <m/>
    <n v="18630000"/>
    <n v="3248850"/>
    <n v="0"/>
    <n v="750"/>
    <n v="18630000"/>
    <n v="9452521.008403361"/>
  </r>
  <r>
    <m/>
    <x v="7"/>
    <x v="32"/>
    <x v="82"/>
    <s v="TCMULTSTY5N1-BG"/>
    <x v="741"/>
    <x v="574"/>
    <x v="0"/>
    <x v="4"/>
    <n v="0.8"/>
    <x v="388"/>
    <n v="7"/>
    <m/>
    <n v="0"/>
    <n v="21706"/>
    <n v="151942"/>
    <n v="24"/>
    <n v="26220"/>
    <n v="63016.80672268908"/>
    <n v="46210.08403361345"/>
    <s v="Shenzhen"/>
    <s v="30/70"/>
    <n v="55"/>
    <n v="10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n v="0"/>
    <n v="0"/>
    <n v="0"/>
    <n v="0"/>
    <n v="0"/>
    <n v="0"/>
    <n v="0"/>
    <s v=""/>
    <n v="3"/>
    <n v="0.450862651262548"/>
    <n v="33"/>
    <n v="0.465696288175996"/>
    <n v="0.66"/>
    <n v="111"/>
    <n v="0.5886560688230491"/>
    <n v="1.3875"/>
    <n v="222"/>
    <n v="0.3721960697185687"/>
    <n v="1.11"/>
    <n v="391"/>
    <n v="0.5672546703904103"/>
    <n v="3.91"/>
    <n v="206"/>
    <n v="0.5066958684518832"/>
    <n v="1.144444444444444"/>
    <m/>
    <m/>
    <m/>
    <m/>
    <m/>
    <m/>
    <m/>
    <m/>
    <m/>
    <m/>
    <m/>
    <m/>
    <m/>
    <m/>
    <m/>
    <m/>
    <m/>
    <m/>
    <m/>
    <m/>
    <m/>
    <m/>
    <m/>
    <m/>
    <m/>
    <n v="0"/>
    <n v="0"/>
    <n v="0"/>
    <m/>
    <m/>
    <n v="0"/>
    <m/>
    <m/>
    <m/>
    <m/>
    <n v="7"/>
    <n v="151942"/>
    <m/>
    <n v="0"/>
    <n v="0"/>
    <n v="3"/>
    <m/>
    <n v="0"/>
    <m/>
    <n v="0"/>
    <m/>
    <n v="0"/>
    <n v="7"/>
    <n v="151942"/>
    <n v="189050.4201680672"/>
    <n v="50"/>
    <n v="961"/>
    <n v="33"/>
    <n v="0"/>
    <n v="0"/>
    <n v="23871240"/>
    <n v="716298"/>
    <n v="0"/>
    <n v="0"/>
    <n v="7"/>
    <n v="151942"/>
    <n v="2079554.62184874"/>
    <n v="80"/>
    <n v="118"/>
    <n v="64"/>
    <m/>
    <n v="0"/>
    <n v="0"/>
    <n v="2561308"/>
    <n v="1589760"/>
    <n v="0"/>
    <n v="0"/>
    <n v="7"/>
    <n v="151942"/>
    <n v="4033075.630252101"/>
    <n v="200"/>
    <n v="229"/>
    <n v="222"/>
    <m/>
    <n v="0"/>
    <n v="0"/>
    <n v="4970674"/>
    <n v="5514479.999999999"/>
    <n v="0"/>
    <n v="0"/>
    <n v="229"/>
    <n v="151942"/>
    <n v="13989731.09243697"/>
    <n v="100"/>
    <n v="398"/>
    <n v="391"/>
    <n v="0"/>
    <n v="0"/>
    <n v="0"/>
    <n v="8638988"/>
    <n v="9712439.999999998"/>
    <n v="0"/>
    <n v="0"/>
    <n v="398"/>
    <n v="151942"/>
    <n v="24639571.42857143"/>
    <n v="180"/>
    <n v="7"/>
    <n v="144"/>
    <n v="0"/>
    <n v="0"/>
    <n v="0"/>
    <n v="151942"/>
    <n v="3576960"/>
    <n v="0"/>
    <n v="0"/>
    <n v="7"/>
    <n v="151942"/>
    <n v="9074420.168067228"/>
    <n v="100"/>
    <n v="0"/>
    <n v="80"/>
    <n v="1000"/>
    <n v="1000"/>
    <n v="0"/>
    <n v="0"/>
    <n v="1987200"/>
    <n v="24840000"/>
    <n v="0"/>
    <n v="0"/>
    <n v="0"/>
    <n v="5041344.537815127"/>
    <n v="200"/>
    <n v="1000"/>
    <n v="160"/>
    <n v="0"/>
    <n v="0"/>
    <n v="0"/>
    <n v="1000"/>
    <n v="24840000"/>
    <n v="3974400"/>
    <n v="0"/>
    <n v="24840000"/>
    <n v="1000"/>
    <n v="49679999.99999999"/>
    <n v="7393613.445378152"/>
    <n v="200"/>
    <n v="840"/>
    <n v="160"/>
    <n v="0"/>
    <n v="0"/>
    <n v="20865600"/>
    <n v="3974400"/>
    <n v="0"/>
    <n v="0"/>
    <n v="840"/>
    <n v="20865600"/>
    <n v="7763294.117647059"/>
    <n v="300"/>
    <n v="680"/>
    <n v="240"/>
    <n v="0"/>
    <n v="0"/>
    <n v="16891200"/>
    <n v="5961599.999999999"/>
    <n v="0"/>
    <n v="680"/>
    <n v="16891200"/>
    <n v="15124033.61344538"/>
    <n v="120"/>
    <n v="440"/>
    <n v="96"/>
    <n v="0"/>
    <m/>
    <n v="10929600"/>
    <n v="2083776"/>
    <n v="0"/>
    <n v="440"/>
    <n v="10929600"/>
    <n v="6049613.445378152"/>
  </r>
  <r>
    <m/>
    <x v="8"/>
    <x v="19"/>
    <x v="83"/>
    <s v="MTBOBLOV420"/>
    <x v="742"/>
    <x v="575"/>
    <x v="0"/>
    <x v="4"/>
    <n v="0.5"/>
    <x v="389"/>
    <n v="330"/>
    <m/>
    <n v="0"/>
    <n v="1967"/>
    <n v="649110"/>
    <n v="1.96"/>
    <n v="2141.3"/>
    <n v="8394.957983193277"/>
    <n v="6714.285714285715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97"/>
    <n v="0.5323451771860951"/>
    <n v="18"/>
    <n v="0.4448695586632593"/>
    <n v="0.175609756097561"/>
    <n v="11"/>
    <n v="0.7070000000000001"/>
    <n v="0.55"/>
    <n v="15"/>
    <n v="0.3007949934330464"/>
    <n v="0.3"/>
    <n v="23"/>
    <n v="0.6630468172998685"/>
    <n v="0.92"/>
    <n v="6"/>
    <n v="0.6610345160511706"/>
    <n v="0.24"/>
    <m/>
    <m/>
    <m/>
    <m/>
    <m/>
    <m/>
    <m/>
    <m/>
    <m/>
    <m/>
    <m/>
    <m/>
    <n v="0"/>
    <n v="0"/>
    <n v="0"/>
    <n v="0"/>
    <n v="0"/>
    <n v="0"/>
    <n v="190799"/>
    <n v="0"/>
    <n v="0"/>
    <n v="0"/>
    <n v="330"/>
    <n v="649110"/>
    <n v="0"/>
    <n v="0"/>
    <n v="0"/>
    <n v="0"/>
    <n v="500"/>
    <n v="500"/>
    <n v="0"/>
    <n v="226205"/>
    <n v="0"/>
    <n v="0"/>
    <n v="0"/>
    <n v="330"/>
    <n v="649110"/>
    <n v="0"/>
    <n v="110.5"/>
    <n v="427"/>
    <n v="97"/>
    <n v="0"/>
    <n v="0"/>
    <n v="246491"/>
    <n v="839909"/>
    <n v="190799"/>
    <n v="0"/>
    <n v="330"/>
    <n v="649110"/>
    <n v="814310.9243697479"/>
    <n v="102.5"/>
    <n v="404"/>
    <n v="18"/>
    <n v="0"/>
    <n v="0"/>
    <n v="819554.3999999999"/>
    <n v="35406"/>
    <n v="0"/>
    <n v="0"/>
    <n v="330"/>
    <n v="649110"/>
    <n v="151109.243697479"/>
    <n v="20"/>
    <n v="341"/>
    <n v="10"/>
    <m/>
    <n v="0"/>
    <n v="0"/>
    <n v="670747"/>
    <n v="20286"/>
    <n v="0"/>
    <n v="0"/>
    <n v="330"/>
    <n v="649110"/>
    <n v="83949.57983193277"/>
    <n v="50"/>
    <n v="345"/>
    <n v="15"/>
    <m/>
    <n v="0"/>
    <n v="0"/>
    <n v="678615"/>
    <n v="30429"/>
    <n v="0"/>
    <n v="0"/>
    <n v="345"/>
    <n v="649110"/>
    <n v="125924.3697478992"/>
    <n v="25"/>
    <n v="353"/>
    <n v="23"/>
    <n v="0"/>
    <n v="0"/>
    <n v="0"/>
    <n v="694351"/>
    <n v="46657.8"/>
    <n v="0"/>
    <n v="0"/>
    <n v="353"/>
    <n v="649110"/>
    <n v="193084.0336134454"/>
    <n v="25"/>
    <n v="330"/>
    <n v="12.5"/>
    <n v="0"/>
    <n v="0"/>
    <n v="0"/>
    <n v="649110"/>
    <n v="25357.5"/>
    <n v="0"/>
    <n v="0"/>
    <n v="330"/>
    <n v="649110"/>
    <n v="104936.974789916"/>
    <n v="26.6666666666667"/>
    <n v="317.5"/>
    <n v="13.33333333333335"/>
    <n v="0"/>
    <n v="0"/>
    <n v="0"/>
    <n v="644080.5"/>
    <n v="27048.00000000003"/>
    <n v="0"/>
    <n v="0"/>
    <n v="317.5"/>
    <n v="644080.5"/>
    <n v="111932.7731092438"/>
    <n v="50"/>
    <n v="304.1666666666666"/>
    <n v="25"/>
    <n v="0"/>
    <n v="0"/>
    <n v="0"/>
    <m/>
    <n v="617032.4999999999"/>
    <n v="50715"/>
    <n v="0"/>
    <n v="0"/>
    <n v="304.1666666666666"/>
    <n v="617032.4999999999"/>
    <n v="167857.1428571429"/>
    <n v="60"/>
    <n v="279.1666666666666"/>
    <n v="30"/>
    <n v="0"/>
    <n v="0"/>
    <n v="566317.4999999999"/>
    <n v="60858"/>
    <n v="0"/>
    <n v="0"/>
    <n v="279.1666666666666"/>
    <n v="566317.4999999999"/>
    <n v="211500"/>
    <n v="80"/>
    <n v="249.1666666666666"/>
    <n v="40"/>
    <n v="0"/>
    <n v="0"/>
    <n v="505459.4999999999"/>
    <n v="81144"/>
    <n v="0"/>
    <n v="249.1666666666666"/>
    <n v="505459.4999999999"/>
    <n v="335798.3193277311"/>
    <n v="36"/>
    <n v="209.1666666666666"/>
    <n v="18"/>
    <n v="0"/>
    <m/>
    <n v="424315.4999999999"/>
    <n v="35406"/>
    <n v="0"/>
    <n v="209.1666666666666"/>
    <n v="424315.4999999999"/>
    <n v="151109.243697479"/>
  </r>
  <r>
    <m/>
    <x v="8"/>
    <x v="19"/>
    <x v="83"/>
    <s v="MTBOBPET420"/>
    <x v="743"/>
    <x v="576"/>
    <x v="0"/>
    <x v="4"/>
    <n v="0.5"/>
    <x v="390"/>
    <n v="382"/>
    <m/>
    <n v="0"/>
    <n v="1967"/>
    <n v="751394"/>
    <n v="1.96"/>
    <n v="2141.3"/>
    <n v="8394.957983193277"/>
    <n v="6714.285714285715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96"/>
    <n v="0.5466369515859452"/>
    <n v="4"/>
    <n v="0.4360731352354291"/>
    <n v="0.03902439024390244"/>
    <n v="2"/>
    <n v="0.1111600531611923"/>
    <n v="0.1666666666666667"/>
    <n v="9"/>
    <n v="0.4954552880949787"/>
    <n v="0.36"/>
    <n v="9"/>
    <n v="0.6597378452592473"/>
    <n v="0.45"/>
    <n v="1"/>
    <n v="0.707"/>
    <n v="0.05"/>
    <m/>
    <m/>
    <m/>
    <m/>
    <m/>
    <m/>
    <m/>
    <m/>
    <m/>
    <m/>
    <m/>
    <m/>
    <n v="0"/>
    <n v="0"/>
    <n v="0"/>
    <n v="0"/>
    <n v="0"/>
    <n v="0"/>
    <n v="188832"/>
    <n v="0"/>
    <n v="0"/>
    <n v="0"/>
    <n v="382"/>
    <n v="751394"/>
    <n v="0"/>
    <n v="0"/>
    <n v="0"/>
    <n v="0"/>
    <n v="500"/>
    <n v="500"/>
    <n v="0"/>
    <n v="196700"/>
    <n v="0"/>
    <n v="0"/>
    <n v="0"/>
    <n v="382"/>
    <n v="751394"/>
    <n v="0"/>
    <n v="110.5"/>
    <n v="478"/>
    <n v="96"/>
    <n v="0"/>
    <n v="0"/>
    <n v="208871.6"/>
    <n v="940226"/>
    <n v="188832"/>
    <n v="0"/>
    <n v="382"/>
    <n v="751394"/>
    <n v="805915.9663865545"/>
    <n v="102.5"/>
    <n v="404"/>
    <n v="4"/>
    <n v="0"/>
    <n v="0"/>
    <n v="819554.3999999999"/>
    <n v="7868"/>
    <n v="0"/>
    <n v="0"/>
    <n v="382"/>
    <n v="751394"/>
    <n v="33579.83193277311"/>
    <n v="12"/>
    <n v="384"/>
    <n v="6"/>
    <m/>
    <n v="0"/>
    <n v="0"/>
    <n v="755328"/>
    <n v="12171.6"/>
    <n v="0"/>
    <n v="0"/>
    <n v="382"/>
    <n v="751394"/>
    <n v="50369.74789915966"/>
    <n v="25"/>
    <n v="391"/>
    <n v="9"/>
    <m/>
    <n v="0"/>
    <n v="0"/>
    <n v="769097"/>
    <n v="18257.4"/>
    <n v="0"/>
    <n v="0"/>
    <n v="391"/>
    <n v="751394"/>
    <n v="75554.62184873949"/>
    <n v="20"/>
    <n v="391"/>
    <n v="9"/>
    <n v="0"/>
    <n v="0"/>
    <n v="0"/>
    <n v="769097"/>
    <n v="18257.4"/>
    <n v="0"/>
    <n v="0"/>
    <n v="391"/>
    <n v="751394"/>
    <n v="75554.62184873949"/>
    <n v="20"/>
    <n v="382"/>
    <n v="10"/>
    <n v="0"/>
    <n v="0"/>
    <n v="0"/>
    <n v="751394"/>
    <n v="20286"/>
    <n v="0"/>
    <n v="0"/>
    <n v="382"/>
    <n v="751394"/>
    <n v="83949.57983193277"/>
    <n v="28"/>
    <n v="372"/>
    <n v="14"/>
    <n v="0"/>
    <n v="0"/>
    <n v="0"/>
    <n v="754639.2"/>
    <n v="28400.4"/>
    <n v="0"/>
    <n v="0"/>
    <n v="372"/>
    <n v="754639.2"/>
    <n v="117529.4117647059"/>
    <n v="50"/>
    <n v="358"/>
    <n v="25"/>
    <n v="0"/>
    <n v="0"/>
    <n v="0"/>
    <m/>
    <n v="726238.7999999999"/>
    <n v="50715"/>
    <n v="0"/>
    <n v="0"/>
    <n v="358"/>
    <n v="726238.7999999999"/>
    <n v="167857.1428571429"/>
    <n v="40"/>
    <n v="333"/>
    <n v="20"/>
    <n v="0"/>
    <n v="0"/>
    <n v="675523.7999999999"/>
    <n v="40572"/>
    <n v="0"/>
    <n v="0"/>
    <n v="333"/>
    <n v="675523.7999999999"/>
    <n v="141000"/>
    <n v="76"/>
    <n v="313"/>
    <n v="38"/>
    <n v="0"/>
    <n v="0"/>
    <n v="634951.7999999999"/>
    <n v="77086.8"/>
    <n v="0"/>
    <n v="313"/>
    <n v="634951.7999999999"/>
    <n v="319008.4033613445"/>
    <n v="24"/>
    <n v="275"/>
    <n v="12"/>
    <n v="0"/>
    <m/>
    <n v="557865"/>
    <n v="23604"/>
    <n v="0"/>
    <n v="275"/>
    <n v="557865"/>
    <n v="100739.4957983193"/>
  </r>
  <r>
    <m/>
    <x v="8"/>
    <x v="19"/>
    <x v="83"/>
    <s v="MTBOHWMON420"/>
    <x v="744"/>
    <x v="577"/>
    <x v="0"/>
    <x v="4"/>
    <n v="0.5"/>
    <x v="391"/>
    <n v="282"/>
    <m/>
    <n v="0"/>
    <n v="1967"/>
    <n v="554694"/>
    <n v="1.96"/>
    <n v="2141.3"/>
    <n v="8394.957983193277"/>
    <n v="6714.285714285715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06"/>
    <n v="0.5331447458092476"/>
    <n v="27"/>
    <n v="0.4138570918576592"/>
    <n v="0.2634146341463415"/>
    <n v="28"/>
    <n v="0.7007745787702968"/>
    <n v="1.4"/>
    <n v="28"/>
    <n v="0.4207015387929557"/>
    <n v="0.5600000000000001"/>
    <n v="20"/>
    <n v="0.665140200286123"/>
    <n v="0.8"/>
    <n v="11"/>
    <n v="0.667264280175756"/>
    <n v="0.44"/>
    <m/>
    <m/>
    <m/>
    <m/>
    <m/>
    <m/>
    <m/>
    <m/>
    <m/>
    <m/>
    <m/>
    <m/>
    <n v="0"/>
    <n v="0"/>
    <n v="0"/>
    <n v="0"/>
    <n v="0"/>
    <n v="0"/>
    <n v="208502"/>
    <n v="0"/>
    <n v="0"/>
    <n v="0"/>
    <n v="282"/>
    <n v="554694"/>
    <n v="0"/>
    <n v="0"/>
    <n v="0"/>
    <n v="0"/>
    <n v="500"/>
    <n v="500"/>
    <n v="0"/>
    <n v="261611"/>
    <n v="0"/>
    <n v="0"/>
    <n v="0"/>
    <n v="282"/>
    <n v="554694"/>
    <n v="0"/>
    <n v="110.5"/>
    <n v="388"/>
    <n v="106"/>
    <n v="0"/>
    <n v="0"/>
    <n v="281897"/>
    <n v="763196"/>
    <n v="208502"/>
    <n v="0"/>
    <n v="282"/>
    <n v="554694"/>
    <n v="889865.5462184873"/>
    <n v="102.5"/>
    <n v="395"/>
    <n v="27"/>
    <n v="0"/>
    <n v="0"/>
    <n v="801297"/>
    <n v="53109"/>
    <n v="0"/>
    <n v="0"/>
    <n v="282"/>
    <n v="554694"/>
    <n v="226663.8655462185"/>
    <n v="20"/>
    <n v="310"/>
    <n v="10"/>
    <m/>
    <n v="0"/>
    <n v="0"/>
    <n v="609770"/>
    <n v="20286"/>
    <n v="0"/>
    <n v="0"/>
    <n v="282"/>
    <n v="554694"/>
    <n v="83949.57983193277"/>
    <n v="50"/>
    <n v="310"/>
    <n v="28"/>
    <m/>
    <n v="0"/>
    <n v="0"/>
    <n v="609770"/>
    <n v="56800.8"/>
    <n v="0"/>
    <n v="0"/>
    <n v="310"/>
    <n v="554694"/>
    <n v="235058.8235294117"/>
    <n v="25"/>
    <n v="302"/>
    <n v="20"/>
    <n v="0"/>
    <n v="0"/>
    <n v="0"/>
    <n v="594034"/>
    <n v="40572"/>
    <n v="0"/>
    <n v="0"/>
    <n v="302"/>
    <n v="554694"/>
    <n v="167899.1596638655"/>
    <n v="25"/>
    <n v="282"/>
    <n v="12.5"/>
    <n v="0"/>
    <n v="0"/>
    <n v="0"/>
    <n v="554694"/>
    <n v="25357.5"/>
    <n v="0"/>
    <n v="0"/>
    <n v="282"/>
    <n v="554694"/>
    <n v="104936.974789916"/>
    <n v="26.6666666666667"/>
    <n v="269.5"/>
    <n v="13.33333333333335"/>
    <n v="0"/>
    <n v="0"/>
    <n v="0"/>
    <n v="546707.7"/>
    <n v="27048.00000000003"/>
    <n v="0"/>
    <n v="0"/>
    <n v="269.5"/>
    <n v="546707.7"/>
    <n v="111932.7731092438"/>
    <n v="50"/>
    <n v="256.1666666666666"/>
    <n v="25"/>
    <n v="0"/>
    <n v="0"/>
    <n v="0"/>
    <m/>
    <n v="519659.6999999999"/>
    <n v="50715"/>
    <n v="0"/>
    <n v="0"/>
    <n v="256.1666666666666"/>
    <n v="519659.6999999999"/>
    <n v="167857.1428571429"/>
    <n v="60"/>
    <n v="231.1666666666666"/>
    <n v="30"/>
    <n v="0"/>
    <n v="0"/>
    <n v="468944.6999999999"/>
    <n v="60858"/>
    <n v="0"/>
    <n v="0"/>
    <n v="231.1666666666666"/>
    <n v="468944.6999999999"/>
    <n v="211500"/>
    <n v="80"/>
    <n v="201.1666666666666"/>
    <n v="40"/>
    <n v="0"/>
    <n v="0"/>
    <n v="408086.6999999999"/>
    <n v="81144"/>
    <n v="0"/>
    <n v="201.1666666666666"/>
    <n v="408086.6999999999"/>
    <n v="335798.3193277311"/>
    <n v="36"/>
    <n v="161.1666666666666"/>
    <n v="18"/>
    <n v="0"/>
    <m/>
    <n v="326942.6999999999"/>
    <n v="35406"/>
    <n v="0"/>
    <n v="161.1666666666666"/>
    <n v="326942.6999999999"/>
    <n v="151109.243697479"/>
  </r>
  <r>
    <m/>
    <x v="8"/>
    <x v="19"/>
    <x v="83"/>
    <s v="MTBOHWRAC420"/>
    <x v="745"/>
    <x v="578"/>
    <x v="0"/>
    <x v="4"/>
    <n v="0.6"/>
    <x v="392"/>
    <n v="320"/>
    <m/>
    <n v="0"/>
    <n v="1967"/>
    <n v="629440"/>
    <n v="1.96"/>
    <n v="2141.3"/>
    <n v="8394.957983193277"/>
    <n v="6714.285714285715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05"/>
    <n v="0.523661505911024"/>
    <n v="14"/>
    <n v="0.4460510428463608"/>
    <n v="0.1365853658536585"/>
    <n v="11"/>
    <n v="0.7070135396518376"/>
    <n v="0.55"/>
    <n v="27"/>
    <n v="0.2169726260683087"/>
    <n v="0.6"/>
    <n v="18"/>
    <n v="0.6597378452592473"/>
    <n v="0.72"/>
    <n v="2"/>
    <n v="0.665140200286123"/>
    <n v="0.08"/>
    <m/>
    <m/>
    <m/>
    <m/>
    <m/>
    <m/>
    <m/>
    <m/>
    <m/>
    <m/>
    <m/>
    <m/>
    <n v="0"/>
    <n v="0"/>
    <n v="0"/>
    <n v="0"/>
    <n v="0"/>
    <n v="0"/>
    <n v="206535"/>
    <n v="0"/>
    <n v="0"/>
    <n v="0"/>
    <n v="320"/>
    <n v="629440"/>
    <n v="0"/>
    <n v="0"/>
    <n v="0"/>
    <n v="0"/>
    <n v="0"/>
    <n v="0"/>
    <n v="0"/>
    <n v="234073"/>
    <n v="0"/>
    <n v="0"/>
    <n v="0"/>
    <n v="320"/>
    <n v="629440"/>
    <n v="0"/>
    <n v="110.5"/>
    <n v="425"/>
    <n v="105"/>
    <n v="0"/>
    <n v="0"/>
    <n v="258416.2"/>
    <n v="835975"/>
    <n v="206535"/>
    <n v="0"/>
    <n v="320"/>
    <n v="629440"/>
    <n v="881470.5882352941"/>
    <n v="102.5"/>
    <n v="395"/>
    <n v="14"/>
    <n v="0"/>
    <n v="0"/>
    <n v="801297"/>
    <n v="27538"/>
    <n v="0"/>
    <n v="0"/>
    <n v="320"/>
    <n v="629440"/>
    <n v="117529.4117647059"/>
    <n v="20"/>
    <n v="331"/>
    <n v="12"/>
    <m/>
    <n v="0"/>
    <n v="0"/>
    <n v="651077"/>
    <n v="24343.2"/>
    <n v="0"/>
    <n v="0"/>
    <n v="320"/>
    <n v="629440"/>
    <n v="100739.4957983193"/>
    <n v="45"/>
    <n v="347"/>
    <n v="27"/>
    <m/>
    <n v="0"/>
    <n v="0"/>
    <n v="682549"/>
    <n v="54772.2"/>
    <n v="0"/>
    <n v="0"/>
    <n v="347"/>
    <n v="629440"/>
    <n v="226663.8655462185"/>
    <n v="25"/>
    <n v="338"/>
    <n v="18"/>
    <n v="0"/>
    <n v="0"/>
    <n v="0"/>
    <n v="664846"/>
    <n v="36514.8"/>
    <n v="0"/>
    <n v="0"/>
    <n v="338"/>
    <n v="629440"/>
    <n v="151109.243697479"/>
    <n v="25"/>
    <n v="320"/>
    <n v="15"/>
    <n v="0"/>
    <n v="0"/>
    <n v="0"/>
    <n v="629440"/>
    <n v="30429"/>
    <n v="0"/>
    <n v="0"/>
    <n v="320"/>
    <n v="629440"/>
    <n v="125924.3697478992"/>
    <n v="26.6666666666667"/>
    <n v="305"/>
    <n v="16.00000000000002"/>
    <n v="0"/>
    <n v="0"/>
    <n v="0"/>
    <n v="618723"/>
    <n v="32457.60000000003"/>
    <n v="0"/>
    <n v="0"/>
    <n v="305"/>
    <n v="618723"/>
    <n v="134319.3277310926"/>
    <n v="50"/>
    <n v="289"/>
    <n v="30"/>
    <n v="0"/>
    <n v="0"/>
    <n v="0"/>
    <m/>
    <n v="586265.4"/>
    <n v="60858"/>
    <n v="0"/>
    <n v="0"/>
    <n v="289"/>
    <n v="586265.4"/>
    <n v="201428.5714285714"/>
    <n v="60"/>
    <n v="259"/>
    <n v="36"/>
    <n v="0"/>
    <n v="0"/>
    <n v="525407.4"/>
    <n v="73029.59999999999"/>
    <n v="0"/>
    <n v="0"/>
    <n v="259"/>
    <n v="525407.4"/>
    <n v="253800"/>
    <n v="80"/>
    <n v="223"/>
    <n v="48"/>
    <n v="0"/>
    <n v="0"/>
    <n v="452377.8"/>
    <n v="97372.79999999999"/>
    <n v="0"/>
    <n v="223"/>
    <n v="452377.8"/>
    <n v="402957.9831932773"/>
    <n v="36"/>
    <n v="175"/>
    <n v="21.6"/>
    <n v="0"/>
    <m/>
    <n v="355005"/>
    <n v="42487.2"/>
    <n v="0"/>
    <n v="175"/>
    <n v="355005"/>
    <n v="181331.0924369748"/>
  </r>
  <r>
    <m/>
    <x v="8"/>
    <x v="19"/>
    <x v="83"/>
    <s v="MTBOTBARDEP"/>
    <x v="746"/>
    <x v="579"/>
    <x v="0"/>
    <x v="4"/>
    <n v="1"/>
    <x v="50"/>
    <n v="0"/>
    <m/>
    <n v="0"/>
    <n v="4305.599999999999"/>
    <n v="0"/>
    <n v="4.68"/>
    <n v="4305.599999999999"/>
    <n v="10854.4537815126"/>
    <n v="9226.285714285714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8"/>
    <x v="19"/>
    <x v="83"/>
    <s v="MTBOTBARDEP"/>
    <x v="747"/>
    <x v="580"/>
    <x v="0"/>
    <x v="4"/>
    <n v="1"/>
    <x v="50"/>
    <n v="0"/>
    <m/>
    <n v="0"/>
    <n v="4305.599999999999"/>
    <n v="0"/>
    <n v="4.68"/>
    <n v="4305.599999999999"/>
    <n v="10854.4537815126"/>
    <n v="9226.285714285714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8"/>
    <x v="19"/>
    <x v="83"/>
    <s v="MTBOTBARDEP"/>
    <x v="748"/>
    <x v="581"/>
    <x v="0"/>
    <x v="4"/>
    <n v="1"/>
    <x v="50"/>
    <n v="0"/>
    <m/>
    <n v="0"/>
    <n v="4305.599999999999"/>
    <n v="0"/>
    <n v="4.68"/>
    <n v="4305.599999999999"/>
    <n v="10854.4537815126"/>
    <n v="9226.285714285714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8"/>
    <x v="19"/>
    <x v="83"/>
    <s v="MTBOTBARDEP"/>
    <x v="749"/>
    <x v="582"/>
    <x v="0"/>
    <x v="4"/>
    <n v="1"/>
    <x v="50"/>
    <n v="0"/>
    <m/>
    <n v="0"/>
    <n v="4305.599999999999"/>
    <n v="0"/>
    <n v="4.68"/>
    <n v="4305.599999999999"/>
    <n v="10854.4537815126"/>
    <n v="9226.285714285714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8"/>
    <x v="19"/>
    <x v="83"/>
    <s v="MTBOTBARED2"/>
    <x v="750"/>
    <x v="583"/>
    <x v="0"/>
    <x v="4"/>
    <n v="1"/>
    <x v="50"/>
    <n v="0"/>
    <m/>
    <n v="0"/>
    <n v="4038.8"/>
    <n v="0"/>
    <n v="4.39"/>
    <n v="4038.8"/>
    <n v="10181.8487394958"/>
    <n v="8654.571428571429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8"/>
    <x v="19"/>
    <x v="83"/>
    <s v="MTBOTBARED2"/>
    <x v="751"/>
    <x v="584"/>
    <x v="0"/>
    <x v="4"/>
    <n v="1"/>
    <x v="50"/>
    <n v="0"/>
    <m/>
    <n v="0"/>
    <n v="4038.8"/>
    <n v="0"/>
    <n v="4.39"/>
    <n v="4038.8"/>
    <n v="10181.8487394958"/>
    <n v="8654.571428571429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8"/>
    <x v="19"/>
    <x v="83"/>
    <s v="MTBOTBARED2"/>
    <x v="752"/>
    <x v="585"/>
    <x v="0"/>
    <x v="4"/>
    <n v="1"/>
    <x v="50"/>
    <n v="0"/>
    <m/>
    <n v="0"/>
    <n v="4038.8"/>
    <n v="0"/>
    <n v="4.39"/>
    <n v="4038.8"/>
    <n v="10181.8487394958"/>
    <n v="8654.571428571429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8"/>
    <x v="19"/>
    <x v="83"/>
    <s v="MTBOTBARSUM"/>
    <x v="753"/>
    <x v="586"/>
    <x v="0"/>
    <x v="4"/>
    <n v="1"/>
    <x v="50"/>
    <n v="0"/>
    <m/>
    <n v="0"/>
    <n v="4103.2"/>
    <n v="0"/>
    <n v="4.46"/>
    <n v="4103.2"/>
    <n v="10344.20168067227"/>
    <n v="8792.571428571428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8"/>
    <x v="19"/>
    <x v="83"/>
    <s v="MTBOTBARSUM"/>
    <x v="754"/>
    <x v="587"/>
    <x v="0"/>
    <x v="4"/>
    <n v="1"/>
    <x v="50"/>
    <n v="0"/>
    <m/>
    <n v="0"/>
    <n v="4103.2"/>
    <n v="0"/>
    <n v="4.46"/>
    <n v="4103.2"/>
    <n v="10344.20168067227"/>
    <n v="8792.571428571428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8"/>
    <x v="19"/>
    <x v="83"/>
    <s v="MTBOTBARSUM"/>
    <x v="755"/>
    <x v="588"/>
    <x v="0"/>
    <x v="4"/>
    <n v="1"/>
    <x v="50"/>
    <n v="0"/>
    <m/>
    <n v="0"/>
    <n v="4103.2"/>
    <n v="0"/>
    <n v="4.46"/>
    <n v="4103.2"/>
    <n v="10344.20168067227"/>
    <n v="8792.571428571428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8"/>
    <x v="19"/>
    <x v="83"/>
    <s v="MTBOTBARTUM"/>
    <x v="756"/>
    <x v="589"/>
    <x v="0"/>
    <x v="4"/>
    <n v="1"/>
    <x v="50"/>
    <n v="0"/>
    <m/>
    <n v="0"/>
    <n v="3275.2"/>
    <n v="0"/>
    <n v="3.56"/>
    <n v="3275.2"/>
    <n v="8256.806722689076"/>
    <n v="7018.285714285715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8"/>
    <x v="19"/>
    <x v="83"/>
    <s v="MTBOTBARTUM"/>
    <x v="757"/>
    <x v="590"/>
    <x v="0"/>
    <x v="4"/>
    <n v="1"/>
    <x v="50"/>
    <n v="0"/>
    <m/>
    <n v="0"/>
    <n v="3275.2"/>
    <n v="0"/>
    <n v="3.56"/>
    <n v="3275.2"/>
    <n v="8256.806722689076"/>
    <n v="7018.285714285715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8"/>
    <x v="19"/>
    <x v="83"/>
    <s v="MTBOTBARTUM"/>
    <x v="758"/>
    <x v="591"/>
    <x v="0"/>
    <x v="4"/>
    <n v="1"/>
    <x v="50"/>
    <n v="0"/>
    <m/>
    <n v="0"/>
    <n v="3275.2"/>
    <n v="0"/>
    <n v="3.56"/>
    <n v="3275.2"/>
    <n v="8256.806722689076"/>
    <n v="7018.285714285715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8"/>
    <x v="19"/>
    <x v="83"/>
    <s v="MTHWLGBT590"/>
    <x v="759"/>
    <x v="592"/>
    <x v="0"/>
    <x v="4"/>
    <n v="1"/>
    <x v="50"/>
    <n v="0"/>
    <m/>
    <n v="0"/>
    <n v="4002"/>
    <n v="0"/>
    <n v="4.35"/>
    <n v="4002"/>
    <n v="10089.0756302521"/>
    <n v="8575.714285714284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0"/>
    <n v="0"/>
    <n v="1200"/>
    <n v="0"/>
    <n v="0"/>
    <n v="0"/>
    <n v="0"/>
    <n v="5402699.999999999"/>
    <n v="0"/>
    <n v="0"/>
    <n v="0"/>
    <n v="0"/>
    <n v="12106890.75630252"/>
    <n v="8"/>
    <n v="0"/>
    <n v="8"/>
    <n v="0"/>
    <n v="0"/>
    <n v="1250"/>
    <n v="0"/>
    <n v="36017.99999999999"/>
    <n v="0"/>
    <n v="5627812.499999999"/>
    <n v="1250"/>
    <n v="5627812.499999999"/>
    <n v="80712.6050420168"/>
    <n v="12"/>
    <n v="1242"/>
    <n v="12"/>
    <n v="0"/>
    <n v="0"/>
    <n v="0"/>
    <m/>
    <n v="5591794.499999999"/>
    <n v="54026.99999999999"/>
    <n v="0"/>
    <n v="0"/>
    <n v="1242"/>
    <n v="5591794.499999999"/>
    <n v="102908.5714285714"/>
    <n v="10"/>
    <n v="1230"/>
    <n v="10"/>
    <n v="0"/>
    <n v="0"/>
    <n v="5537767.499999999"/>
    <n v="45022.49999999999"/>
    <n v="0"/>
    <n v="0"/>
    <n v="1230"/>
    <n v="5537767.499999999"/>
    <n v="90044.99999999999"/>
    <n v="20"/>
    <n v="1220"/>
    <n v="20"/>
    <n v="0"/>
    <n v="0"/>
    <n v="5492744.999999999"/>
    <n v="90044.99999999999"/>
    <n v="0"/>
    <n v="1220"/>
    <n v="5492744.999999999"/>
    <n v="201781.512605042"/>
    <n v="6"/>
    <n v="1200"/>
    <n v="6"/>
    <n v="0"/>
    <m/>
    <n v="5402699.999999999"/>
    <n v="24012"/>
    <n v="0"/>
    <n v="1200"/>
    <n v="5402699.999999999"/>
    <n v="60534.4537815126"/>
  </r>
  <r>
    <m/>
    <x v="8"/>
    <x v="19"/>
    <x v="83"/>
    <s v="MTHWLGBT590"/>
    <x v="760"/>
    <x v="593"/>
    <x v="0"/>
    <x v="4"/>
    <n v="1"/>
    <x v="50"/>
    <n v="0"/>
    <m/>
    <n v="0"/>
    <n v="4002"/>
    <n v="0"/>
    <n v="4.35"/>
    <n v="4002"/>
    <n v="10089.0756302521"/>
    <n v="8575.714285714284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0"/>
    <n v="0"/>
    <n v="1200"/>
    <n v="0"/>
    <n v="0"/>
    <n v="0"/>
    <n v="0"/>
    <n v="5402699.999999999"/>
    <n v="0"/>
    <n v="0"/>
    <n v="0"/>
    <n v="0"/>
    <n v="12106890.75630252"/>
    <n v="15"/>
    <n v="0"/>
    <n v="15"/>
    <n v="0"/>
    <n v="0"/>
    <n v="1300"/>
    <n v="0"/>
    <n v="67533.74999999999"/>
    <n v="0"/>
    <n v="5852924.999999999"/>
    <n v="1300"/>
    <n v="5852924.999999999"/>
    <n v="151336.1344537815"/>
    <n v="25"/>
    <n v="1285"/>
    <n v="25"/>
    <n v="0"/>
    <n v="0"/>
    <n v="0"/>
    <m/>
    <n v="5785391.249999999"/>
    <n v="112556.25"/>
    <n v="0"/>
    <n v="0"/>
    <n v="1285"/>
    <n v="5785391.249999999"/>
    <n v="214392.8571428571"/>
    <n v="20"/>
    <n v="1260"/>
    <n v="20"/>
    <n v="0"/>
    <n v="0"/>
    <n v="5672834.999999999"/>
    <n v="90044.99999999999"/>
    <n v="0"/>
    <n v="0"/>
    <n v="1260"/>
    <n v="5672834.999999999"/>
    <n v="180090"/>
    <n v="40"/>
    <n v="1240"/>
    <n v="40"/>
    <n v="0"/>
    <n v="0"/>
    <n v="5582789.999999999"/>
    <n v="180090"/>
    <n v="0"/>
    <n v="1240"/>
    <n v="5582789.999999999"/>
    <n v="403563.025210084"/>
    <n v="12"/>
    <n v="1200"/>
    <n v="12"/>
    <n v="0"/>
    <m/>
    <n v="5402699.999999999"/>
    <n v="48023.99999999999"/>
    <n v="0"/>
    <n v="1200"/>
    <n v="5402699.999999999"/>
    <n v="121068.9075630252"/>
  </r>
  <r>
    <m/>
    <x v="8"/>
    <x v="19"/>
    <x v="83"/>
    <s v="MTHWLGBT750"/>
    <x v="761"/>
    <x v="594"/>
    <x v="0"/>
    <x v="4"/>
    <n v="1"/>
    <x v="50"/>
    <n v="0"/>
    <m/>
    <n v="0"/>
    <n v="4038.8"/>
    <n v="0"/>
    <n v="4.39"/>
    <n v="4038.8"/>
    <n v="10181.8487394958"/>
    <n v="8654.571428571429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0"/>
    <n v="2000"/>
    <n v="0"/>
    <n v="0"/>
    <n v="0"/>
    <n v="0"/>
    <n v="9087299.999999998"/>
    <n v="0"/>
    <n v="0"/>
    <n v="0"/>
    <n v="0"/>
    <n v="20363697.4789916"/>
    <n v="30"/>
    <n v="0"/>
    <n v="30"/>
    <n v="0"/>
    <n v="0"/>
    <n v="2195"/>
    <n v="0"/>
    <n v="136309.5"/>
    <n v="0"/>
    <n v="9973311.749999996"/>
    <n v="2195"/>
    <n v="9973311.749999996"/>
    <n v="305455.462184874"/>
    <n v="50"/>
    <n v="2165"/>
    <n v="50"/>
    <n v="0"/>
    <n v="0"/>
    <n v="0"/>
    <m/>
    <n v="9837002.249999998"/>
    <n v="227182.4999999999"/>
    <n v="0"/>
    <n v="0"/>
    <n v="2165"/>
    <n v="9837002.249999998"/>
    <n v="432728.5714285715"/>
    <n v="40"/>
    <n v="2115"/>
    <n v="40"/>
    <n v="0"/>
    <n v="0"/>
    <n v="9609819.749999998"/>
    <n v="181745.9999999999"/>
    <n v="0"/>
    <n v="0"/>
    <n v="2115"/>
    <n v="9609819.749999998"/>
    <n v="363492.0000000001"/>
    <n v="80"/>
    <n v="2075"/>
    <n v="80"/>
    <n v="0"/>
    <n v="0"/>
    <n v="9428073.749999998"/>
    <n v="363491.9999999999"/>
    <n v="0"/>
    <n v="2075"/>
    <n v="9428073.749999998"/>
    <n v="814547.8991596639"/>
    <n v="24"/>
    <n v="1995"/>
    <n v="24"/>
    <n v="0"/>
    <m/>
    <n v="9064581.749999998"/>
    <n v="96931.2"/>
    <n v="0"/>
    <n v="1995"/>
    <n v="9064581.749999998"/>
    <n v="244364.3697478992"/>
  </r>
  <r>
    <m/>
    <x v="8"/>
    <x v="19"/>
    <x v="83"/>
    <s v="MTHWLGBT750"/>
    <x v="762"/>
    <x v="595"/>
    <x v="0"/>
    <x v="4"/>
    <n v="1"/>
    <x v="50"/>
    <n v="0"/>
    <m/>
    <n v="0"/>
    <n v="4038.8"/>
    <n v="0"/>
    <n v="4.39"/>
    <n v="4038.8"/>
    <n v="10181.8487394958"/>
    <n v="8654.571428571429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0"/>
    <n v="0"/>
    <n v="1200"/>
    <n v="0"/>
    <n v="0"/>
    <n v="0"/>
    <n v="0"/>
    <n v="5452379.999999998"/>
    <n v="0"/>
    <n v="0"/>
    <n v="0"/>
    <n v="0"/>
    <n v="12218218.48739496"/>
    <n v="8"/>
    <n v="0"/>
    <n v="8"/>
    <n v="0"/>
    <n v="0"/>
    <n v="1242"/>
    <n v="0"/>
    <n v="36349.19999999999"/>
    <n v="0"/>
    <n v="5643213.299999999"/>
    <n v="1242"/>
    <n v="5643213.299999999"/>
    <n v="81454.78991596639"/>
    <n v="12"/>
    <n v="1234"/>
    <n v="12"/>
    <n v="0"/>
    <n v="0"/>
    <n v="0"/>
    <m/>
    <n v="5606864.099999999"/>
    <n v="54523.79999999999"/>
    <n v="0"/>
    <n v="0"/>
    <n v="1234"/>
    <n v="5606864.099999999"/>
    <n v="103854.8571428572"/>
    <n v="10"/>
    <n v="1222"/>
    <n v="10"/>
    <n v="0"/>
    <n v="0"/>
    <n v="5552340.299999999"/>
    <n v="45436.49999999999"/>
    <n v="0"/>
    <n v="0"/>
    <n v="1222"/>
    <n v="5552340.299999999"/>
    <n v="90873.00000000001"/>
    <n v="20"/>
    <n v="1212"/>
    <n v="20"/>
    <n v="0"/>
    <n v="0"/>
    <n v="5506903.799999999"/>
    <n v="90872.99999999997"/>
    <n v="0"/>
    <n v="1212"/>
    <n v="5506903.799999999"/>
    <n v="203636.974789916"/>
    <n v="6"/>
    <n v="1192"/>
    <n v="6"/>
    <n v="0"/>
    <m/>
    <n v="5416030.799999999"/>
    <n v="24232.8"/>
    <n v="0"/>
    <n v="1192"/>
    <n v="5416030.799999999"/>
    <n v="61091.0924369748"/>
  </r>
  <r>
    <m/>
    <x v="8"/>
    <x v="19"/>
    <x v="83"/>
    <s v="MTHWLGBT750"/>
    <x v="763"/>
    <x v="596"/>
    <x v="0"/>
    <x v="4"/>
    <n v="1"/>
    <x v="50"/>
    <n v="0"/>
    <m/>
    <n v="0"/>
    <n v="4038.8"/>
    <n v="0"/>
    <n v="4.39"/>
    <n v="4038.8"/>
    <n v="10181.8487394958"/>
    <n v="8654.571428571429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0"/>
    <n v="0"/>
    <n v="1200"/>
    <n v="0"/>
    <n v="0"/>
    <n v="0"/>
    <n v="0"/>
    <n v="5452379.999999998"/>
    <n v="0"/>
    <n v="0"/>
    <n v="0"/>
    <n v="0"/>
    <n v="12218218.48739496"/>
    <n v="8"/>
    <n v="0"/>
    <n v="8"/>
    <n v="0"/>
    <n v="0"/>
    <n v="1243"/>
    <n v="0"/>
    <n v="36349.19999999999"/>
    <n v="0"/>
    <n v="5647756.949999998"/>
    <n v="1243"/>
    <n v="5647756.949999998"/>
    <n v="81454.78991596639"/>
    <n v="12"/>
    <n v="1235"/>
    <n v="12"/>
    <n v="0"/>
    <n v="0"/>
    <n v="0"/>
    <m/>
    <n v="5611407.749999998"/>
    <n v="54523.79999999999"/>
    <n v="0"/>
    <n v="0"/>
    <n v="1235"/>
    <n v="5611407.749999998"/>
    <n v="103854.8571428572"/>
    <n v="10"/>
    <n v="1223"/>
    <n v="10"/>
    <n v="0"/>
    <n v="0"/>
    <n v="5556883.949999998"/>
    <n v="45436.49999999999"/>
    <n v="0"/>
    <n v="0"/>
    <n v="1223"/>
    <n v="5556883.949999998"/>
    <n v="90873.00000000001"/>
    <n v="20"/>
    <n v="1213"/>
    <n v="20"/>
    <n v="0"/>
    <n v="0"/>
    <n v="5511447.449999998"/>
    <n v="90872.99999999997"/>
    <n v="0"/>
    <n v="1213"/>
    <n v="5511447.449999998"/>
    <n v="203636.974789916"/>
    <n v="6"/>
    <n v="1193"/>
    <n v="6"/>
    <n v="0"/>
    <m/>
    <n v="5420574.449999998"/>
    <n v="24232.8"/>
    <n v="0"/>
    <n v="1193"/>
    <n v="5420574.449999998"/>
    <n v="61091.0924369748"/>
  </r>
  <r>
    <m/>
    <x v="8"/>
    <x v="19"/>
    <x v="83"/>
    <s v="MTHWLGVT590"/>
    <x v="764"/>
    <x v="597"/>
    <x v="0"/>
    <x v="4"/>
    <n v="1"/>
    <x v="50"/>
    <n v="0"/>
    <m/>
    <n v="0"/>
    <n v="4002"/>
    <n v="0"/>
    <n v="4.35"/>
    <n v="4002"/>
    <n v="10089.0756302521"/>
    <n v="8575.714285714284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0"/>
    <n v="0"/>
    <n v="1200"/>
    <n v="0"/>
    <n v="0"/>
    <n v="0"/>
    <n v="0"/>
    <n v="5402699.999999999"/>
    <n v="0"/>
    <n v="0"/>
    <n v="0"/>
    <n v="0"/>
    <n v="12106890.75630252"/>
    <n v="8"/>
    <n v="0"/>
    <n v="8"/>
    <n v="0"/>
    <n v="0"/>
    <n v="1250"/>
    <n v="0"/>
    <n v="36017.99999999999"/>
    <n v="0"/>
    <n v="5627812.499999999"/>
    <n v="1250"/>
    <n v="5627812.499999999"/>
    <n v="80712.6050420168"/>
    <n v="12"/>
    <n v="1242"/>
    <n v="12"/>
    <n v="0"/>
    <n v="0"/>
    <n v="0"/>
    <m/>
    <n v="5591794.499999999"/>
    <n v="54026.99999999999"/>
    <n v="0"/>
    <n v="0"/>
    <n v="1242"/>
    <n v="5591794.499999999"/>
    <n v="102908.5714285714"/>
    <n v="10"/>
    <n v="1230"/>
    <n v="10"/>
    <n v="0"/>
    <n v="0"/>
    <n v="5537767.499999999"/>
    <n v="45022.49999999999"/>
    <n v="0"/>
    <n v="0"/>
    <n v="1230"/>
    <n v="5537767.499999999"/>
    <n v="90044.99999999999"/>
    <n v="20"/>
    <n v="1220"/>
    <n v="20"/>
    <n v="0"/>
    <n v="0"/>
    <n v="5492744.999999999"/>
    <n v="90044.99999999999"/>
    <n v="0"/>
    <n v="1220"/>
    <n v="5492744.999999999"/>
    <n v="201781.512605042"/>
    <n v="6"/>
    <n v="1200"/>
    <n v="6"/>
    <n v="0"/>
    <m/>
    <n v="5402699.999999999"/>
    <n v="24012"/>
    <n v="0"/>
    <n v="1200"/>
    <n v="5402699.999999999"/>
    <n v="60534.4537815126"/>
  </r>
  <r>
    <m/>
    <x v="8"/>
    <x v="19"/>
    <x v="83"/>
    <s v="MTHWLGVT590"/>
    <x v="765"/>
    <x v="598"/>
    <x v="0"/>
    <x v="4"/>
    <n v="1"/>
    <x v="50"/>
    <n v="0"/>
    <m/>
    <n v="0"/>
    <n v="4002"/>
    <n v="0"/>
    <n v="4.35"/>
    <n v="4002"/>
    <n v="10089.0756302521"/>
    <n v="8575.714285714284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0"/>
    <n v="0"/>
    <n v="1200"/>
    <n v="0"/>
    <n v="0"/>
    <n v="0"/>
    <n v="0"/>
    <n v="5402699.999999999"/>
    <n v="0"/>
    <n v="0"/>
    <n v="0"/>
    <n v="0"/>
    <n v="12106890.75630252"/>
    <n v="15"/>
    <n v="0"/>
    <n v="15"/>
    <n v="0"/>
    <n v="0"/>
    <n v="1300"/>
    <n v="0"/>
    <n v="67533.74999999999"/>
    <n v="0"/>
    <n v="5852924.999999999"/>
    <n v="1300"/>
    <n v="5852924.999999999"/>
    <n v="151336.1344537815"/>
    <n v="25"/>
    <n v="1285"/>
    <n v="25"/>
    <n v="0"/>
    <n v="0"/>
    <n v="0"/>
    <m/>
    <n v="5785391.249999999"/>
    <n v="112556.25"/>
    <n v="0"/>
    <n v="0"/>
    <n v="1285"/>
    <n v="5785391.249999999"/>
    <n v="214392.8571428571"/>
    <n v="20"/>
    <n v="1260"/>
    <n v="20"/>
    <n v="0"/>
    <n v="0"/>
    <n v="5672834.999999999"/>
    <n v="90044.99999999999"/>
    <n v="0"/>
    <n v="0"/>
    <n v="1260"/>
    <n v="5672834.999999999"/>
    <n v="180090"/>
    <n v="40"/>
    <n v="1240"/>
    <n v="40"/>
    <n v="0"/>
    <n v="0"/>
    <n v="5582789.999999999"/>
    <n v="180090"/>
    <n v="0"/>
    <n v="1240"/>
    <n v="5582789.999999999"/>
    <n v="403563.025210084"/>
    <n v="12"/>
    <n v="1200"/>
    <n v="12"/>
    <n v="0"/>
    <m/>
    <n v="5402699.999999999"/>
    <n v="48023.99999999999"/>
    <n v="0"/>
    <n v="1200"/>
    <n v="5402699.999999999"/>
    <n v="121068.9075630252"/>
  </r>
  <r>
    <m/>
    <x v="8"/>
    <x v="19"/>
    <x v="83"/>
    <s v="MTHWLGVT590"/>
    <x v="766"/>
    <x v="599"/>
    <x v="0"/>
    <x v="4"/>
    <n v="1"/>
    <x v="50"/>
    <n v="0"/>
    <m/>
    <n v="0"/>
    <n v="4002"/>
    <n v="0"/>
    <n v="4.35"/>
    <n v="4002"/>
    <n v="10089.0756302521"/>
    <n v="8575.714285714284"/>
    <s v="Ningbo"/>
    <s v="20/80"/>
    <n v="45"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0"/>
    <n v="0"/>
    <n v="1200"/>
    <n v="0"/>
    <n v="0"/>
    <n v="0"/>
    <n v="0"/>
    <n v="5402699.999999999"/>
    <n v="0"/>
    <n v="0"/>
    <n v="0"/>
    <n v="0"/>
    <n v="12106890.75630252"/>
    <n v="8"/>
    <n v="0"/>
    <n v="8"/>
    <n v="0"/>
    <n v="0"/>
    <n v="1250"/>
    <n v="0"/>
    <n v="36017.99999999999"/>
    <n v="0"/>
    <n v="5627812.499999999"/>
    <n v="1250"/>
    <n v="5627812.499999999"/>
    <n v="80712.6050420168"/>
    <n v="12"/>
    <n v="1242"/>
    <n v="12"/>
    <n v="0"/>
    <n v="0"/>
    <n v="0"/>
    <m/>
    <n v="5591794.499999999"/>
    <n v="54026.99999999999"/>
    <n v="0"/>
    <n v="0"/>
    <n v="1242"/>
    <n v="5591794.499999999"/>
    <n v="102908.5714285714"/>
    <n v="10"/>
    <n v="1230"/>
    <n v="10"/>
    <n v="0"/>
    <n v="0"/>
    <n v="5537767.499999999"/>
    <n v="45022.49999999999"/>
    <n v="0"/>
    <n v="0"/>
    <n v="1230"/>
    <n v="5537767.499999999"/>
    <n v="90044.99999999999"/>
    <n v="20"/>
    <n v="1220"/>
    <n v="20"/>
    <n v="0"/>
    <n v="0"/>
    <n v="5492744.999999999"/>
    <n v="90044.99999999999"/>
    <n v="0"/>
    <n v="1220"/>
    <n v="5492744.999999999"/>
    <n v="201781.512605042"/>
    <n v="6"/>
    <n v="1200"/>
    <n v="6"/>
    <n v="0"/>
    <m/>
    <n v="5402699.999999999"/>
    <n v="24012"/>
    <n v="0"/>
    <n v="1200"/>
    <n v="5402699.999999999"/>
    <n v="60534.4537815126"/>
  </r>
  <r>
    <m/>
    <x v="8"/>
    <x v="19"/>
    <x v="44"/>
    <s v="MTBOBBA450"/>
    <x v="767"/>
    <x v="600"/>
    <x v="0"/>
    <x v="4"/>
    <n v="0.7"/>
    <x v="393"/>
    <n v="831"/>
    <m/>
    <n v="0"/>
    <n v="3389"/>
    <n v="2816259"/>
    <n v="3.53"/>
    <n v="3856.525"/>
    <n v="14277.31092436975"/>
    <n v="10075.63025210084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065"/>
    <n v="0.5408343208789334"/>
    <n v="11"/>
    <n v="0.5920862919008502"/>
    <n v="0.1047619047619048"/>
    <n v="13"/>
    <n v="0.6721502316884805"/>
    <n v="0.8666666666666667"/>
    <n v="19"/>
    <n v="0.33889090336914"/>
    <n v="0.76"/>
    <n v="16"/>
    <n v="0.656525947062456"/>
    <n v="0.8"/>
    <n v="2"/>
    <n v="0.5969326870221379"/>
    <n v="0.1"/>
    <m/>
    <m/>
    <m/>
    <m/>
    <m/>
    <m/>
    <m/>
    <m/>
    <m/>
    <m/>
    <m/>
    <m/>
    <n v="0"/>
    <n v="0"/>
    <n v="0"/>
    <n v="0"/>
    <n v="0"/>
    <n v="0"/>
    <n v="3609285"/>
    <n v="0"/>
    <n v="0"/>
    <n v="0"/>
    <n v="831"/>
    <n v="2816259"/>
    <n v="0"/>
    <n v="0"/>
    <n v="0"/>
    <n v="0"/>
    <n v="1880"/>
    <n v="1880"/>
    <n v="0"/>
    <n v="3646564"/>
    <n v="0"/>
    <n v="0"/>
    <n v="0"/>
    <n v="831"/>
    <n v="2816259"/>
    <n v="0"/>
    <n v="1481"/>
    <n v="1896"/>
    <n v="1065"/>
    <n v="0"/>
    <n v="0"/>
    <n v="3684926.275"/>
    <n v="6425544"/>
    <n v="3609285"/>
    <n v="0"/>
    <n v="831"/>
    <n v="2816259"/>
    <n v="15205336.13445378"/>
    <n v="105"/>
    <n v="816"/>
    <n v="11"/>
    <n v="0"/>
    <n v="0"/>
    <n v="2981296.8"/>
    <n v="37279"/>
    <n v="0"/>
    <n v="0"/>
    <n v="831"/>
    <n v="2816259"/>
    <n v="157050.4201680672"/>
    <n v="15"/>
    <n v="844"/>
    <n v="10.5"/>
    <m/>
    <n v="0"/>
    <n v="0"/>
    <n v="2860316"/>
    <n v="38362.27499999999"/>
    <n v="0"/>
    <n v="0"/>
    <n v="831"/>
    <n v="2816259"/>
    <n v="149911.7647058824"/>
    <n v="25"/>
    <n v="850"/>
    <n v="19"/>
    <m/>
    <n v="0"/>
    <n v="0"/>
    <n v="2880650"/>
    <n v="69417.45"/>
    <n v="0"/>
    <n v="0"/>
    <n v="850"/>
    <n v="2816259"/>
    <n v="271268.9075630252"/>
    <n v="20"/>
    <n v="847"/>
    <n v="16"/>
    <n v="0"/>
    <n v="0"/>
    <n v="0"/>
    <n v="2870483"/>
    <n v="58456.8"/>
    <n v="0"/>
    <n v="0"/>
    <n v="847"/>
    <n v="2816259"/>
    <n v="228436.974789916"/>
    <n v="20"/>
    <n v="831"/>
    <n v="14"/>
    <n v="0"/>
    <n v="0"/>
    <n v="0"/>
    <n v="2816259"/>
    <n v="51149.7"/>
    <n v="0"/>
    <n v="0"/>
    <n v="831"/>
    <n v="2816259"/>
    <n v="199882.3529411765"/>
    <n v="28"/>
    <n v="817"/>
    <n v="19.6"/>
    <n v="0"/>
    <n v="0"/>
    <n v="0"/>
    <n v="2984950.35"/>
    <n v="71609.57999999999"/>
    <n v="0"/>
    <n v="0"/>
    <n v="817"/>
    <n v="2984950.35"/>
    <n v="279835.294117647"/>
    <n v="50"/>
    <n v="797.4"/>
    <n v="35"/>
    <n v="0"/>
    <n v="0"/>
    <n v="0"/>
    <m/>
    <n v="2913340.77"/>
    <n v="127874.25"/>
    <n v="0"/>
    <n v="0"/>
    <n v="797.4"/>
    <n v="2913340.77"/>
    <n v="352647.0588235294"/>
    <n v="40"/>
    <n v="762.4"/>
    <n v="28"/>
    <n v="0"/>
    <n v="0"/>
    <n v="2785466.52"/>
    <n v="102299.4"/>
    <n v="0"/>
    <n v="0"/>
    <n v="762.4"/>
    <n v="2785466.52"/>
    <n v="296223.5294117647"/>
    <n v="84"/>
    <n v="734.4"/>
    <n v="58.8"/>
    <n v="0"/>
    <n v="0"/>
    <n v="2683167.12"/>
    <n v="214828.74"/>
    <n v="0"/>
    <n v="734.4"/>
    <n v="2683167.12"/>
    <n v="839505.8823529412"/>
    <n v="24"/>
    <n v="675.6"/>
    <n v="16.8"/>
    <n v="0"/>
    <m/>
    <n v="2468338.38"/>
    <n v="56935.19999999999"/>
    <n v="0"/>
    <n v="675.6"/>
    <n v="2468338.38"/>
    <n v="239858.8235294117"/>
  </r>
  <r>
    <m/>
    <x v="8"/>
    <x v="19"/>
    <x v="44"/>
    <s v="MTBOBIC450"/>
    <x v="768"/>
    <x v="601"/>
    <x v="0"/>
    <x v="4"/>
    <n v="0.6"/>
    <x v="394"/>
    <n v="848"/>
    <m/>
    <n v="0"/>
    <n v="3389"/>
    <n v="2873872"/>
    <n v="3.53"/>
    <n v="3856.525"/>
    <n v="14277.31092436975"/>
    <n v="10075.63025210084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071"/>
    <n v="0.5399770803262575"/>
    <n v="6"/>
    <n v="0.5094766479566779"/>
    <n v="0.05714285714285714"/>
    <n v="5"/>
    <n v="0.689540415704388"/>
    <n v="0.3333333333333333"/>
    <n v="12"/>
    <n v="0.5000014030780023"/>
    <n v="0.48"/>
    <n v="7"/>
    <n v="0.6537906588824021"/>
    <n v="0.35"/>
    <n v="8"/>
    <n v="0.5963252002002002"/>
    <n v="0.4"/>
    <m/>
    <m/>
    <m/>
    <m/>
    <m/>
    <m/>
    <m/>
    <m/>
    <m/>
    <m/>
    <m/>
    <m/>
    <n v="0"/>
    <n v="0"/>
    <n v="0"/>
    <n v="0"/>
    <n v="0"/>
    <n v="0"/>
    <n v="3629619"/>
    <n v="0"/>
    <n v="0"/>
    <n v="0"/>
    <n v="848"/>
    <n v="2873872"/>
    <n v="0"/>
    <n v="0"/>
    <n v="0"/>
    <n v="0"/>
    <n v="1880"/>
    <n v="1880"/>
    <n v="0"/>
    <n v="3649953"/>
    <n v="0"/>
    <n v="0"/>
    <n v="0"/>
    <n v="848"/>
    <n v="2873872"/>
    <n v="0"/>
    <n v="1481"/>
    <n v="1919"/>
    <n v="1071"/>
    <n v="0"/>
    <n v="0"/>
    <n v="3682834.95"/>
    <n v="6503491"/>
    <n v="3629619"/>
    <n v="0"/>
    <n v="848"/>
    <n v="2873872"/>
    <n v="15291000"/>
    <n v="105"/>
    <n v="809"/>
    <n v="6"/>
    <n v="0"/>
    <n v="0"/>
    <n v="2955721.95"/>
    <n v="20334"/>
    <n v="0"/>
    <n v="0"/>
    <n v="848"/>
    <n v="2873872"/>
    <n v="85663.8655462185"/>
    <n v="15"/>
    <n v="853"/>
    <n v="9"/>
    <m/>
    <n v="0"/>
    <n v="0"/>
    <n v="2890817"/>
    <n v="32881.95"/>
    <n v="0"/>
    <n v="0"/>
    <n v="848"/>
    <n v="2873872"/>
    <n v="128495.7983193277"/>
    <n v="25"/>
    <n v="860"/>
    <n v="12"/>
    <m/>
    <n v="0"/>
    <n v="0"/>
    <n v="2914540"/>
    <n v="43842.6"/>
    <n v="0"/>
    <n v="0"/>
    <n v="860"/>
    <n v="2873872"/>
    <n v="171327.731092437"/>
    <n v="20"/>
    <n v="855"/>
    <n v="7"/>
    <n v="0"/>
    <n v="0"/>
    <n v="0"/>
    <n v="2897595"/>
    <n v="25574.85"/>
    <n v="0"/>
    <n v="0"/>
    <n v="855"/>
    <n v="2873872"/>
    <n v="99941.17647058824"/>
    <n v="20"/>
    <n v="848"/>
    <n v="12"/>
    <n v="0"/>
    <n v="0"/>
    <n v="0"/>
    <n v="2873872"/>
    <n v="43842.6"/>
    <n v="0"/>
    <n v="0"/>
    <n v="848"/>
    <n v="2873872"/>
    <n v="171327.731092437"/>
    <n v="28"/>
    <n v="836"/>
    <n v="16.8"/>
    <n v="0"/>
    <n v="0"/>
    <n v="0"/>
    <n v="3054367.8"/>
    <n v="61379.64"/>
    <n v="0"/>
    <n v="0"/>
    <n v="836"/>
    <n v="3054367.8"/>
    <n v="239858.8235294118"/>
    <n v="50"/>
    <n v="819.2"/>
    <n v="30"/>
    <n v="0"/>
    <n v="0"/>
    <n v="0"/>
    <m/>
    <n v="2992988.16"/>
    <n v="109606.5"/>
    <n v="0"/>
    <n v="0"/>
    <n v="819.2"/>
    <n v="2992988.16"/>
    <n v="302268.9075630252"/>
    <n v="40"/>
    <n v="789.2"/>
    <n v="24"/>
    <n v="0"/>
    <n v="0"/>
    <n v="2883381.66"/>
    <n v="87685.2"/>
    <n v="0"/>
    <n v="0"/>
    <n v="789.2"/>
    <n v="2883381.66"/>
    <n v="253905.8823529412"/>
    <n v="84"/>
    <n v="765.2"/>
    <n v="50.4"/>
    <n v="0"/>
    <n v="0"/>
    <n v="2795696.46"/>
    <n v="184138.92"/>
    <n v="0"/>
    <n v="765.2"/>
    <n v="2795696.46"/>
    <n v="719576.4705882353"/>
    <n v="24"/>
    <n v="714.8000000000001"/>
    <n v="14.4"/>
    <n v="0"/>
    <m/>
    <n v="2611557.54"/>
    <n v="48801.6"/>
    <n v="0"/>
    <n v="714.8000000000001"/>
    <n v="2611557.54"/>
    <n v="205593.2773109244"/>
  </r>
  <r>
    <m/>
    <x v="8"/>
    <x v="19"/>
    <x v="44"/>
    <s v="MTBOBINS590"/>
    <x v="769"/>
    <x v="602"/>
    <x v="0"/>
    <x v="4"/>
    <n v="0.6"/>
    <x v="395"/>
    <n v="678"/>
    <m/>
    <n v="0"/>
    <n v="4029"/>
    <n v="2731662"/>
    <n v="4.19"/>
    <n v="4577.575"/>
    <n v="16798.31932773109"/>
    <n v="12596.63865546219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892"/>
    <n v="0.5484063548479642"/>
    <n v="8"/>
    <n v="0.5023290560178235"/>
    <n v="0.08421052631578947"/>
    <n v="13"/>
    <n v="0.6804880149275153"/>
    <n v="0.65"/>
    <n v="22"/>
    <n v="0.4860733415154976"/>
    <n v="0.4888888888888889"/>
    <n v="17"/>
    <n v="0.6484198766337402"/>
    <n v="0.68"/>
    <n v="8"/>
    <n v="0.6478573264781491"/>
    <n v="0.32"/>
    <m/>
    <m/>
    <m/>
    <m/>
    <m/>
    <m/>
    <m/>
    <m/>
    <m/>
    <m/>
    <m/>
    <m/>
    <n v="0"/>
    <n v="0"/>
    <n v="0"/>
    <n v="0"/>
    <n v="0"/>
    <n v="0"/>
    <n v="3593868"/>
    <n v="0"/>
    <n v="0"/>
    <n v="0"/>
    <n v="678"/>
    <n v="2731662"/>
    <n v="0"/>
    <n v="0"/>
    <n v="0"/>
    <n v="0"/>
    <n v="1580"/>
    <n v="1580"/>
    <n v="0"/>
    <n v="3626100"/>
    <n v="0"/>
    <n v="0"/>
    <n v="0"/>
    <n v="678"/>
    <n v="2731662"/>
    <n v="0"/>
    <n v="1219"/>
    <n v="1570"/>
    <n v="892"/>
    <n v="0"/>
    <n v="0"/>
    <n v="3678139.8"/>
    <n v="6325530"/>
    <n v="3593868"/>
    <n v="0"/>
    <n v="678"/>
    <n v="2731662"/>
    <n v="14984100.84033613"/>
    <n v="95"/>
    <n v="687"/>
    <n v="8"/>
    <n v="0"/>
    <n v="0"/>
    <n v="2979278.55"/>
    <n v="32232"/>
    <n v="0"/>
    <n v="0"/>
    <n v="678"/>
    <n v="2731662"/>
    <n v="134386.5546218487"/>
    <n v="20"/>
    <n v="691"/>
    <n v="12"/>
    <m/>
    <n v="0"/>
    <n v="0"/>
    <n v="2784039"/>
    <n v="52039.8"/>
    <n v="0"/>
    <n v="0"/>
    <n v="678"/>
    <n v="2731662"/>
    <n v="201579.8319327731"/>
    <n v="45"/>
    <n v="700"/>
    <n v="22"/>
    <m/>
    <n v="0"/>
    <n v="0"/>
    <n v="2820300"/>
    <n v="95406.30000000002"/>
    <n v="0"/>
    <n v="0"/>
    <n v="700"/>
    <n v="2731662"/>
    <n v="369563.025210084"/>
    <n v="25"/>
    <n v="695"/>
    <n v="17"/>
    <n v="0"/>
    <n v="0"/>
    <n v="0"/>
    <n v="2800155"/>
    <n v="73723.05"/>
    <n v="0"/>
    <n v="0"/>
    <n v="695"/>
    <n v="2731662"/>
    <n v="285571.4285714286"/>
    <n v="25"/>
    <n v="678"/>
    <n v="15"/>
    <n v="0"/>
    <n v="0"/>
    <n v="0"/>
    <n v="2731662"/>
    <n v="65049.75000000001"/>
    <n v="0"/>
    <n v="0"/>
    <n v="678"/>
    <n v="2731662"/>
    <n v="251974.7899159664"/>
    <n v="26.6666666666667"/>
    <n v="663"/>
    <n v="16.00000000000002"/>
    <n v="0"/>
    <n v="0"/>
    <n v="0"/>
    <n v="2875198.95"/>
    <n v="69386.40000000008"/>
    <n v="0"/>
    <n v="0"/>
    <n v="663"/>
    <n v="2875198.95"/>
    <n v="268773.1092436978"/>
    <n v="50"/>
    <n v="647"/>
    <n v="30"/>
    <n v="0"/>
    <n v="0"/>
    <n v="0"/>
    <m/>
    <n v="2805812.55"/>
    <n v="130099.5"/>
    <n v="0"/>
    <n v="0"/>
    <n v="647"/>
    <n v="2805812.55"/>
    <n v="377899.1596638656"/>
    <n v="60"/>
    <n v="617"/>
    <n v="36"/>
    <n v="0"/>
    <n v="0"/>
    <n v="2675713.05"/>
    <n v="156119.4"/>
    <n v="0"/>
    <n v="0"/>
    <n v="617"/>
    <n v="2675713.05"/>
    <n v="476152.9411764707"/>
    <n v="80"/>
    <n v="581"/>
    <n v="48"/>
    <n v="0"/>
    <n v="0"/>
    <n v="2519593.65"/>
    <n v="208159.2"/>
    <n v="0"/>
    <n v="581"/>
    <n v="2519593.65"/>
    <n v="806319.3277310925"/>
    <n v="36"/>
    <n v="533"/>
    <n v="21.6"/>
    <n v="0"/>
    <m/>
    <n v="2311434.45"/>
    <n v="87026.39999999999"/>
    <n v="0"/>
    <n v="533"/>
    <n v="2311434.45"/>
    <n v="362843.6974789916"/>
  </r>
  <r>
    <m/>
    <x v="8"/>
    <x v="19"/>
    <x v="44"/>
    <s v="MTBOBMA450"/>
    <x v="770"/>
    <x v="603"/>
    <x v="0"/>
    <x v="4"/>
    <n v="0.6"/>
    <x v="396"/>
    <n v="898"/>
    <m/>
    <n v="0"/>
    <n v="3389"/>
    <n v="3043322"/>
    <n v="3.53"/>
    <n v="3856.525"/>
    <n v="14277.31092436975"/>
    <n v="10075.63025210084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058"/>
    <n v="0.5411527364386812"/>
    <n v="4"/>
    <n v="0.5805507990038141"/>
    <n v="0.0380952380952381"/>
    <n v="5"/>
    <n v="0.6398749843730467"/>
    <n v="0.3333333333333333"/>
    <n v="6"/>
    <n v="0.5109942387381845"/>
    <n v="0.24"/>
    <n v="5"/>
    <n v="0.6636805671392827"/>
    <n v="0.25"/>
    <n v="1"/>
    <n v="0.6636805671392827"/>
    <n v="0.05"/>
    <m/>
    <m/>
    <m/>
    <m/>
    <m/>
    <m/>
    <m/>
    <m/>
    <m/>
    <m/>
    <m/>
    <m/>
    <n v="0"/>
    <n v="0"/>
    <n v="0"/>
    <n v="0"/>
    <n v="0"/>
    <n v="0"/>
    <n v="3585562"/>
    <n v="0"/>
    <n v="0"/>
    <n v="0"/>
    <n v="898"/>
    <n v="3043322"/>
    <n v="0"/>
    <n v="0"/>
    <n v="0"/>
    <n v="0"/>
    <n v="1880"/>
    <n v="1880"/>
    <n v="0"/>
    <n v="3599118"/>
    <n v="0"/>
    <n v="0"/>
    <n v="0"/>
    <n v="898"/>
    <n v="3043322"/>
    <n v="0"/>
    <n v="1481"/>
    <n v="1956"/>
    <n v="1058"/>
    <n v="0"/>
    <n v="0"/>
    <n v="3631999.95"/>
    <n v="6628884"/>
    <n v="3585562"/>
    <n v="0"/>
    <n v="898"/>
    <n v="3043322"/>
    <n v="15105394.95798319"/>
    <n v="105"/>
    <n v="822"/>
    <n v="4"/>
    <n v="0"/>
    <n v="0"/>
    <n v="3003218.1"/>
    <n v="13556"/>
    <n v="0"/>
    <n v="0"/>
    <n v="898"/>
    <n v="3043322"/>
    <n v="57109.243697479"/>
    <n v="15"/>
    <n v="903"/>
    <n v="9"/>
    <m/>
    <n v="0"/>
    <n v="0"/>
    <n v="3060267"/>
    <n v="32881.95"/>
    <n v="0"/>
    <n v="0"/>
    <n v="898"/>
    <n v="3043322"/>
    <n v="128495.7983193277"/>
    <n v="25"/>
    <n v="904"/>
    <n v="6"/>
    <m/>
    <n v="0"/>
    <n v="0"/>
    <n v="3063656"/>
    <n v="21921.3"/>
    <n v="0"/>
    <n v="0"/>
    <n v="904"/>
    <n v="3043322"/>
    <n v="85663.8655462185"/>
    <n v="20"/>
    <n v="903"/>
    <n v="5"/>
    <n v="0"/>
    <n v="0"/>
    <n v="0"/>
    <n v="3060267"/>
    <n v="18267.75"/>
    <n v="0"/>
    <n v="0"/>
    <n v="903"/>
    <n v="3043322"/>
    <n v="71386.55462184874"/>
    <n v="20"/>
    <n v="898"/>
    <n v="12"/>
    <n v="0"/>
    <n v="0"/>
    <n v="0"/>
    <n v="3043322"/>
    <n v="43842.6"/>
    <n v="0"/>
    <n v="0"/>
    <n v="898"/>
    <n v="3043322"/>
    <n v="171327.731092437"/>
    <n v="28"/>
    <n v="886"/>
    <n v="16.8"/>
    <n v="0"/>
    <n v="0"/>
    <n v="0"/>
    <n v="3237045.3"/>
    <n v="61379.64"/>
    <n v="0"/>
    <n v="0"/>
    <n v="886"/>
    <n v="3237045.3"/>
    <n v="239858.8235294118"/>
    <n v="50"/>
    <n v="869.2"/>
    <n v="30"/>
    <n v="0"/>
    <n v="0"/>
    <n v="0"/>
    <m/>
    <n v="3175665.66"/>
    <n v="109606.5"/>
    <n v="0"/>
    <n v="0"/>
    <n v="869.2"/>
    <n v="3175665.66"/>
    <n v="302268.9075630252"/>
    <n v="40"/>
    <n v="839.2"/>
    <n v="24"/>
    <n v="0"/>
    <n v="0"/>
    <n v="3066059.16"/>
    <n v="87685.2"/>
    <n v="0"/>
    <n v="0"/>
    <n v="839.2"/>
    <n v="3066059.16"/>
    <n v="253905.8823529412"/>
    <n v="84"/>
    <n v="815.2"/>
    <n v="50.4"/>
    <n v="0"/>
    <n v="0"/>
    <n v="2978373.96"/>
    <n v="184138.92"/>
    <n v="0"/>
    <n v="815.2"/>
    <n v="2978373.96"/>
    <n v="719576.4705882353"/>
    <n v="24"/>
    <n v="764.8000000000001"/>
    <n v="14.4"/>
    <n v="0"/>
    <m/>
    <n v="2794235.04"/>
    <n v="48801.6"/>
    <n v="0"/>
    <n v="764.8000000000001"/>
    <n v="2794235.04"/>
    <n v="205593.2773109244"/>
  </r>
  <r>
    <m/>
    <x v="8"/>
    <x v="19"/>
    <x v="44"/>
    <s v="MTBOBSHI590"/>
    <x v="771"/>
    <x v="604"/>
    <x v="0"/>
    <x v="4"/>
    <n v="0.5"/>
    <x v="397"/>
    <n v="756"/>
    <m/>
    <n v="0"/>
    <n v="4029"/>
    <n v="3045924"/>
    <n v="4.19"/>
    <n v="4577.575"/>
    <n v="16798.31932773109"/>
    <n v="12596.63865546219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878"/>
    <n v="0.5482985020975533"/>
    <n v="1"/>
    <n v="0.5016575499608081"/>
    <n v="0.01052631578947368"/>
    <n v="3"/>
    <n v="0.7001575984990619"/>
    <n v="0.25"/>
    <n v="5"/>
    <n v="0.5534595037627598"/>
    <n v="0.2"/>
    <n v="3"/>
    <n v="0.6309107005388761"/>
    <n v="0.15"/>
    <n v="1"/>
    <n v="0.600160967472894"/>
    <n v="0.05"/>
    <m/>
    <m/>
    <m/>
    <m/>
    <m/>
    <m/>
    <m/>
    <m/>
    <m/>
    <m/>
    <m/>
    <m/>
    <n v="0"/>
    <n v="0"/>
    <n v="0"/>
    <n v="0"/>
    <n v="0"/>
    <n v="0"/>
    <n v="3537462"/>
    <n v="0"/>
    <n v="0"/>
    <n v="0"/>
    <n v="756"/>
    <n v="3045924"/>
    <n v="0"/>
    <n v="0"/>
    <n v="0"/>
    <n v="0"/>
    <n v="1580"/>
    <n v="1580"/>
    <n v="0"/>
    <n v="3541491"/>
    <n v="0"/>
    <n v="0"/>
    <n v="0"/>
    <n v="756"/>
    <n v="3045924"/>
    <n v="0"/>
    <n v="1219"/>
    <n v="1634"/>
    <n v="878"/>
    <n v="0"/>
    <n v="0"/>
    <n v="3567510.9"/>
    <n v="6583386"/>
    <n v="3537462"/>
    <n v="0"/>
    <n v="756"/>
    <n v="3045924"/>
    <n v="14748924.3697479"/>
    <n v="95"/>
    <n v="702"/>
    <n v="1"/>
    <n v="0"/>
    <n v="0"/>
    <n v="3044328.3"/>
    <n v="4029"/>
    <n v="0"/>
    <n v="0"/>
    <n v="756"/>
    <n v="3045924"/>
    <n v="16798.31932773109"/>
    <n v="12"/>
    <n v="759"/>
    <n v="6"/>
    <m/>
    <n v="0"/>
    <n v="0"/>
    <n v="3058011"/>
    <n v="26019.9"/>
    <n v="0"/>
    <n v="0"/>
    <n v="756"/>
    <n v="3045924"/>
    <n v="100789.9159663866"/>
    <n v="25"/>
    <n v="761"/>
    <n v="5"/>
    <m/>
    <n v="0"/>
    <n v="0"/>
    <n v="3066069"/>
    <n v="21683.25"/>
    <n v="0"/>
    <n v="0"/>
    <n v="761"/>
    <n v="3045924"/>
    <n v="83991.59663865546"/>
    <n v="20"/>
    <n v="759"/>
    <n v="3"/>
    <n v="0"/>
    <n v="0"/>
    <n v="0"/>
    <n v="3058011"/>
    <n v="13009.95"/>
    <n v="0"/>
    <n v="0"/>
    <n v="759"/>
    <n v="3045924"/>
    <n v="50394.95798319328"/>
    <n v="20"/>
    <n v="756"/>
    <n v="10"/>
    <n v="0"/>
    <n v="0"/>
    <n v="0"/>
    <n v="3045924"/>
    <n v="43366.50000000001"/>
    <n v="0"/>
    <n v="0"/>
    <n v="756"/>
    <n v="3045924"/>
    <n v="167983.1932773109"/>
    <n v="28"/>
    <n v="746"/>
    <n v="14"/>
    <n v="0"/>
    <n v="0"/>
    <n v="0"/>
    <n v="3235140.9"/>
    <n v="60713.10000000001"/>
    <n v="0"/>
    <n v="0"/>
    <n v="746"/>
    <n v="3235140.9"/>
    <n v="235176.4705882353"/>
    <n v="50"/>
    <n v="732"/>
    <n v="25"/>
    <n v="0"/>
    <n v="0"/>
    <n v="0"/>
    <m/>
    <n v="3174427.8"/>
    <n v="108416.25"/>
    <n v="0"/>
    <n v="0"/>
    <n v="732"/>
    <n v="3174427.8"/>
    <n v="314915.9663865546"/>
    <n v="40"/>
    <n v="707"/>
    <n v="20"/>
    <n v="0"/>
    <n v="0"/>
    <n v="3066011.55"/>
    <n v="86733.00000000001"/>
    <n v="0"/>
    <n v="0"/>
    <n v="707"/>
    <n v="3066011.55"/>
    <n v="264529.4117647059"/>
    <n v="76"/>
    <n v="687"/>
    <n v="38"/>
    <n v="0"/>
    <n v="0"/>
    <n v="2979278.55"/>
    <n v="164792.7"/>
    <n v="0"/>
    <n v="687"/>
    <n v="2979278.55"/>
    <n v="638336.1344537815"/>
    <n v="24"/>
    <n v="649"/>
    <n v="12"/>
    <n v="0"/>
    <m/>
    <n v="2814485.850000001"/>
    <n v="48348"/>
    <n v="0"/>
    <n v="649"/>
    <n v="2814485.850000001"/>
    <n v="201579.8319327731"/>
  </r>
  <r>
    <m/>
    <x v="8"/>
    <x v="19"/>
    <x v="44"/>
    <s v="MTBOHWCL450"/>
    <x v="772"/>
    <x v="605"/>
    <x v="0"/>
    <x v="4"/>
    <n v="0.5"/>
    <x v="398"/>
    <n v="388"/>
    <m/>
    <n v="0"/>
    <n v="3510"/>
    <n v="1361880"/>
    <n v="3.67"/>
    <n v="4009.475"/>
    <n v="14277.31092436975"/>
    <n v="10075.63025210084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93"/>
    <n v="0.5671926528337849"/>
    <n v="5"/>
    <n v="0.5186830425028427"/>
    <n v="0.04761904761904762"/>
    <n v="1"/>
    <n v="0.6784557351809083"/>
    <n v="0.08333333333333333"/>
    <n v="9"/>
    <n v="0.4988910496719774"/>
    <n v="0.36"/>
    <n v="1"/>
    <n v="0.6516713928273561"/>
    <n v="0.05"/>
    <n v="1"/>
    <n v="0.6516713928273561"/>
    <n v="0.05"/>
    <m/>
    <m/>
    <m/>
    <m/>
    <m/>
    <m/>
    <m/>
    <m/>
    <m/>
    <m/>
    <m/>
    <m/>
    <n v="0"/>
    <n v="0"/>
    <n v="0"/>
    <n v="0"/>
    <n v="0"/>
    <n v="0"/>
    <n v="326430"/>
    <n v="0"/>
    <n v="0"/>
    <n v="0"/>
    <n v="388"/>
    <n v="1361880"/>
    <n v="0"/>
    <n v="0"/>
    <n v="0"/>
    <n v="0"/>
    <n v="500"/>
    <n v="500"/>
    <n v="0"/>
    <n v="343980"/>
    <n v="0"/>
    <n v="0"/>
    <n v="0"/>
    <n v="388"/>
    <n v="1361880"/>
    <n v="0"/>
    <n v="101"/>
    <n v="481"/>
    <n v="93"/>
    <n v="0"/>
    <n v="0"/>
    <n v="366770.7"/>
    <n v="1688310"/>
    <n v="326430"/>
    <n v="0"/>
    <n v="388"/>
    <n v="1361880"/>
    <n v="1327789.915966387"/>
    <n v="105"/>
    <n v="408"/>
    <n v="5"/>
    <n v="0"/>
    <n v="0"/>
    <n v="1549767.6"/>
    <n v="17550"/>
    <n v="0"/>
    <n v="0"/>
    <n v="388"/>
    <n v="1361880"/>
    <n v="71386.55462184874"/>
    <n v="12"/>
    <n v="389"/>
    <n v="6"/>
    <m/>
    <n v="0"/>
    <n v="0"/>
    <n v="1365390"/>
    <n v="22790.7"/>
    <n v="0"/>
    <n v="0"/>
    <n v="388"/>
    <n v="1361880"/>
    <n v="85663.8655462185"/>
    <n v="25"/>
    <n v="397"/>
    <n v="9"/>
    <m/>
    <n v="0"/>
    <n v="0"/>
    <n v="1393470"/>
    <n v="34186.05"/>
    <n v="0"/>
    <n v="0"/>
    <n v="397"/>
    <n v="1361880"/>
    <n v="128495.7983193277"/>
    <n v="20"/>
    <n v="389"/>
    <n v="1"/>
    <n v="0"/>
    <n v="0"/>
    <n v="0"/>
    <n v="1365390"/>
    <n v="3798.45"/>
    <n v="0"/>
    <n v="0"/>
    <n v="389"/>
    <n v="1361880"/>
    <n v="14277.31092436975"/>
    <n v="20"/>
    <n v="388"/>
    <n v="10"/>
    <n v="0"/>
    <n v="0"/>
    <n v="0"/>
    <n v="1361880"/>
    <n v="37984.5"/>
    <n v="0"/>
    <n v="0"/>
    <n v="388"/>
    <n v="1361880"/>
    <n v="142773.1092436975"/>
    <n v="28"/>
    <n v="378"/>
    <n v="14"/>
    <n v="0"/>
    <n v="0"/>
    <n v="0"/>
    <n v="1435814.1"/>
    <n v="53178.3"/>
    <n v="0"/>
    <n v="0"/>
    <n v="378"/>
    <n v="1435814.1"/>
    <n v="199882.3529411765"/>
    <n v="50"/>
    <n v="364"/>
    <n v="25"/>
    <n v="0"/>
    <n v="0"/>
    <n v="0"/>
    <m/>
    <n v="1382635.8"/>
    <n v="94961.25"/>
    <n v="0"/>
    <n v="0"/>
    <n v="364"/>
    <n v="1382635.8"/>
    <n v="251890.756302521"/>
    <n v="40"/>
    <n v="339"/>
    <n v="20"/>
    <n v="0"/>
    <n v="0"/>
    <n v="1287674.55"/>
    <n v="75969"/>
    <n v="0"/>
    <n v="0"/>
    <n v="339"/>
    <n v="1287674.55"/>
    <n v="211588.2352941177"/>
    <n v="84"/>
    <n v="319"/>
    <n v="42"/>
    <n v="0"/>
    <n v="0"/>
    <n v="1211705.55"/>
    <n v="159534.9"/>
    <n v="0"/>
    <n v="319"/>
    <n v="1211705.55"/>
    <n v="599647.0588235295"/>
    <n v="24"/>
    <n v="277"/>
    <n v="12"/>
    <n v="0"/>
    <m/>
    <n v="1052170.65"/>
    <n v="42120"/>
    <n v="0"/>
    <n v="277"/>
    <n v="1052170.65"/>
    <n v="171327.731092437"/>
  </r>
  <r>
    <m/>
    <x v="8"/>
    <x v="19"/>
    <x v="44"/>
    <s v="MTBOHWCOM590"/>
    <x v="773"/>
    <x v="606"/>
    <x v="0"/>
    <x v="4"/>
    <n v="0.5"/>
    <x v="399"/>
    <n v="366"/>
    <m/>
    <n v="0"/>
    <n v="4166"/>
    <n v="1524756"/>
    <n v="4.35"/>
    <n v="4752.375"/>
    <n v="16798.31932773109"/>
    <n v="12596.63865546219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24"/>
    <n v="0.5744470259583604"/>
    <n v="3"/>
    <n v="0.5756240862247693"/>
    <n v="0.03157894736842105"/>
    <n v="1"/>
    <n v="0.6899618511569731"/>
    <n v="0.08333333333333333"/>
    <n v="9"/>
    <n v="0.4573710306406685"/>
    <n v="0.36"/>
    <n v="1"/>
    <n v="0.6183602771362586"/>
    <n v="0.05"/>
    <n v="0"/>
    <s v=""/>
    <n v="0"/>
    <m/>
    <m/>
    <m/>
    <m/>
    <m/>
    <m/>
    <m/>
    <m/>
    <m/>
    <m/>
    <m/>
    <m/>
    <n v="0"/>
    <n v="0"/>
    <n v="0"/>
    <n v="0"/>
    <n v="0"/>
    <n v="0"/>
    <n v="516584"/>
    <n v="0"/>
    <n v="0"/>
    <n v="0"/>
    <n v="366"/>
    <n v="1524756"/>
    <n v="0"/>
    <n v="0"/>
    <n v="0"/>
    <n v="0"/>
    <n v="500"/>
    <n v="500"/>
    <n v="0"/>
    <n v="529082"/>
    <n v="0"/>
    <n v="0"/>
    <n v="0"/>
    <n v="366"/>
    <n v="1524756"/>
    <n v="0"/>
    <n v="139"/>
    <n v="490"/>
    <n v="124"/>
    <n v="0"/>
    <n v="0"/>
    <n v="556095.5"/>
    <n v="2041340"/>
    <n v="516584"/>
    <n v="0"/>
    <n v="366"/>
    <n v="1524756"/>
    <n v="2082991.596638656"/>
    <n v="95"/>
    <n v="376"/>
    <n v="3"/>
    <n v="0"/>
    <n v="0"/>
    <n v="1692846"/>
    <n v="12498"/>
    <n v="0"/>
    <n v="0"/>
    <n v="366"/>
    <n v="1524756"/>
    <n v="50394.95798319328"/>
    <n v="12"/>
    <n v="367"/>
    <n v="6"/>
    <m/>
    <n v="0"/>
    <n v="0"/>
    <n v="1528922"/>
    <n v="27013.49999999999"/>
    <n v="0"/>
    <n v="0"/>
    <n v="366"/>
    <n v="1524756"/>
    <n v="100789.9159663866"/>
    <n v="25"/>
    <n v="375"/>
    <n v="9"/>
    <m/>
    <n v="0"/>
    <n v="0"/>
    <n v="1562250"/>
    <n v="40520.24999999999"/>
    <n v="0"/>
    <n v="0"/>
    <n v="375"/>
    <n v="1524756"/>
    <n v="151184.8739495798"/>
    <n v="20"/>
    <n v="367"/>
    <n v="1"/>
    <n v="0"/>
    <n v="0"/>
    <n v="0"/>
    <n v="1528922"/>
    <n v="4502.249999999999"/>
    <n v="0"/>
    <n v="0"/>
    <n v="367"/>
    <n v="1524756"/>
    <n v="16798.31932773109"/>
    <n v="20"/>
    <n v="366"/>
    <n v="10"/>
    <n v="0"/>
    <n v="0"/>
    <n v="0"/>
    <n v="1524756"/>
    <n v="45022.49999999999"/>
    <n v="0"/>
    <n v="0"/>
    <n v="366"/>
    <n v="1524756"/>
    <n v="167983.1932773109"/>
    <n v="28"/>
    <n v="356"/>
    <n v="14"/>
    <n v="0"/>
    <n v="0"/>
    <n v="0"/>
    <n v="1602801"/>
    <n v="63031.49999999999"/>
    <n v="0"/>
    <n v="0"/>
    <n v="356"/>
    <n v="1602801"/>
    <n v="235176.4705882353"/>
    <n v="50"/>
    <n v="342"/>
    <n v="25"/>
    <n v="0"/>
    <n v="0"/>
    <n v="0"/>
    <m/>
    <n v="1539769.5"/>
    <n v="112556.25"/>
    <n v="0"/>
    <n v="0"/>
    <n v="342"/>
    <n v="1539769.5"/>
    <n v="314915.9663865546"/>
    <n v="40"/>
    <n v="317"/>
    <n v="20"/>
    <n v="0"/>
    <n v="0"/>
    <n v="1427213.25"/>
    <n v="90044.99999999999"/>
    <n v="0"/>
    <n v="0"/>
    <n v="317"/>
    <n v="1427213.25"/>
    <n v="264529.4117647059"/>
    <n v="76"/>
    <n v="297"/>
    <n v="38"/>
    <n v="0"/>
    <n v="0"/>
    <n v="1337168.25"/>
    <n v="171085.5"/>
    <n v="0"/>
    <n v="297"/>
    <n v="1337168.25"/>
    <n v="638336.1344537815"/>
    <n v="24"/>
    <n v="259"/>
    <n v="12"/>
    <n v="0"/>
    <m/>
    <n v="1166082.75"/>
    <n v="49992"/>
    <n v="0"/>
    <n v="259"/>
    <n v="1166082.75"/>
    <n v="201579.8319327731"/>
  </r>
  <r>
    <m/>
    <x v="8"/>
    <x v="19"/>
    <x v="44"/>
    <s v="MTBOHWFA590"/>
    <x v="774"/>
    <x v="607"/>
    <x v="0"/>
    <x v="4"/>
    <n v="0.5"/>
    <x v="400"/>
    <n v="374"/>
    <m/>
    <n v="0"/>
    <n v="4166"/>
    <n v="1558084"/>
    <n v="4.35"/>
    <n v="4752.375"/>
    <n v="16798.31932773109"/>
    <n v="12596.63865546219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24"/>
    <n v="0.5716902127212369"/>
    <n v="0"/>
    <s v=""/>
    <n v="0"/>
    <n v="0"/>
    <s v=""/>
    <n v="0"/>
    <n v="1"/>
    <n v="0.4293150684931507"/>
    <n v="0.04"/>
    <n v="0"/>
    <s v=""/>
    <n v="0"/>
    <n v="0"/>
    <s v=""/>
    <n v="0"/>
    <m/>
    <m/>
    <m/>
    <m/>
    <m/>
    <m/>
    <m/>
    <m/>
    <m/>
    <m/>
    <m/>
    <m/>
    <n v="0"/>
    <n v="0"/>
    <n v="0"/>
    <n v="0"/>
    <n v="0"/>
    <n v="0"/>
    <n v="516584"/>
    <n v="0"/>
    <n v="0"/>
    <n v="0"/>
    <n v="374"/>
    <n v="1558084"/>
    <n v="0"/>
    <n v="0"/>
    <n v="0"/>
    <n v="0"/>
    <n v="500"/>
    <n v="500"/>
    <n v="0"/>
    <n v="516584"/>
    <n v="0"/>
    <n v="0"/>
    <n v="0"/>
    <n v="374"/>
    <n v="1558084"/>
    <n v="0"/>
    <n v="139"/>
    <n v="498"/>
    <n v="124"/>
    <n v="0"/>
    <n v="0"/>
    <n v="543597.5"/>
    <n v="2074668"/>
    <n v="516584"/>
    <n v="0"/>
    <n v="374"/>
    <n v="1558084"/>
    <n v="2082991.596638656"/>
    <n v="95"/>
    <n v="376"/>
    <n v="0"/>
    <n v="0"/>
    <n v="0"/>
    <n v="1692846"/>
    <n v="0"/>
    <n v="0"/>
    <n v="0"/>
    <n v="374"/>
    <n v="1558084"/>
    <n v="0"/>
    <n v="12"/>
    <n v="374"/>
    <n v="6"/>
    <m/>
    <n v="0"/>
    <n v="0"/>
    <n v="1558084"/>
    <n v="27013.49999999999"/>
    <n v="0"/>
    <n v="0"/>
    <n v="374"/>
    <n v="1558084"/>
    <n v="100789.9159663866"/>
    <n v="25"/>
    <n v="375"/>
    <n v="1"/>
    <m/>
    <n v="0"/>
    <n v="0"/>
    <n v="1562250"/>
    <n v="4502.249999999999"/>
    <n v="0"/>
    <n v="0"/>
    <n v="375"/>
    <n v="1558084"/>
    <n v="16798.31932773109"/>
    <n v="20"/>
    <n v="374"/>
    <n v="0"/>
    <n v="0"/>
    <n v="0"/>
    <n v="0"/>
    <n v="1558084"/>
    <n v="0"/>
    <n v="0"/>
    <n v="0"/>
    <n v="374"/>
    <n v="1558084"/>
    <n v="0"/>
    <n v="20"/>
    <n v="374"/>
    <n v="10"/>
    <n v="0"/>
    <n v="0"/>
    <n v="0"/>
    <n v="1558084"/>
    <n v="45022.49999999999"/>
    <n v="0"/>
    <n v="0"/>
    <n v="374"/>
    <n v="1558084"/>
    <n v="167983.1932773109"/>
    <n v="28"/>
    <n v="364"/>
    <n v="14"/>
    <n v="0"/>
    <n v="0"/>
    <n v="0"/>
    <n v="1638819"/>
    <n v="63031.49999999999"/>
    <n v="0"/>
    <n v="0"/>
    <n v="364"/>
    <n v="1638819"/>
    <n v="235176.4705882353"/>
    <n v="50"/>
    <n v="350"/>
    <n v="25"/>
    <n v="0"/>
    <n v="0"/>
    <n v="0"/>
    <m/>
    <n v="1575787.5"/>
    <n v="112556.25"/>
    <n v="0"/>
    <n v="0"/>
    <n v="350"/>
    <n v="1575787.5"/>
    <n v="314915.9663865546"/>
    <n v="40"/>
    <n v="325"/>
    <n v="20"/>
    <n v="0"/>
    <n v="0"/>
    <n v="1463231.25"/>
    <n v="90044.99999999999"/>
    <n v="0"/>
    <n v="0"/>
    <n v="325"/>
    <n v="1463231.25"/>
    <n v="264529.4117647059"/>
    <n v="76"/>
    <n v="305"/>
    <n v="38"/>
    <n v="0"/>
    <n v="0"/>
    <n v="1373186.25"/>
    <n v="171085.5"/>
    <n v="0"/>
    <n v="305"/>
    <n v="1373186.25"/>
    <n v="638336.1344537815"/>
    <n v="24"/>
    <n v="267"/>
    <n v="12"/>
    <n v="0"/>
    <m/>
    <n v="1202100.75"/>
    <n v="49992"/>
    <n v="0"/>
    <n v="267"/>
    <n v="1202100.75"/>
    <n v="201579.8319327731"/>
  </r>
  <r>
    <m/>
    <x v="8"/>
    <x v="19"/>
    <x v="44"/>
    <s v="MTBOHWRA450"/>
    <x v="775"/>
    <x v="608"/>
    <x v="0"/>
    <x v="4"/>
    <n v="0.7"/>
    <x v="401"/>
    <n v="345"/>
    <m/>
    <n v="0"/>
    <n v="3510"/>
    <n v="1210950"/>
    <n v="3.67"/>
    <n v="4009.475"/>
    <n v="14277.31092436975"/>
    <n v="10075.63025210084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00"/>
    <n v="0.5668056290567977"/>
    <n v="9"/>
    <n v="0.5102131173407699"/>
    <n v="0.08571428571428572"/>
    <n v="6"/>
    <n v="0.6784557351809084"/>
    <n v="0.5"/>
    <n v="27"/>
    <n v="0.4287674804456032"/>
    <n v="1.08"/>
    <n v="10"/>
    <n v="0.626765236818588"/>
    <n v="0.5"/>
    <n v="2"/>
    <n v="0.3242129105322764"/>
    <n v="0.1"/>
    <m/>
    <m/>
    <m/>
    <m/>
    <m/>
    <m/>
    <m/>
    <m/>
    <m/>
    <m/>
    <m/>
    <m/>
    <n v="0"/>
    <n v="0"/>
    <n v="0"/>
    <n v="0"/>
    <n v="0"/>
    <n v="0"/>
    <n v="351000"/>
    <n v="0"/>
    <n v="0"/>
    <n v="0"/>
    <n v="345"/>
    <n v="1210950"/>
    <n v="0"/>
    <n v="0"/>
    <n v="0"/>
    <n v="0"/>
    <n v="500"/>
    <n v="500"/>
    <n v="0"/>
    <n v="382590"/>
    <n v="0"/>
    <n v="0"/>
    <n v="0"/>
    <n v="345"/>
    <n v="1210950"/>
    <n v="0"/>
    <n v="101"/>
    <n v="445"/>
    <n v="100"/>
    <n v="0"/>
    <n v="0"/>
    <n v="414496.98"/>
    <n v="1561950"/>
    <n v="351000"/>
    <n v="0"/>
    <n v="345"/>
    <n v="1210950"/>
    <n v="1427731.092436975"/>
    <n v="105"/>
    <n v="400"/>
    <n v="9"/>
    <n v="0"/>
    <n v="0"/>
    <n v="1519380"/>
    <n v="31590"/>
    <n v="0"/>
    <n v="0"/>
    <n v="345"/>
    <n v="1210950"/>
    <n v="128495.7983193277"/>
    <n v="12"/>
    <n v="351"/>
    <n v="8.399999999999999"/>
    <m/>
    <n v="0"/>
    <n v="0"/>
    <n v="1232010"/>
    <n v="31906.97999999999"/>
    <n v="0"/>
    <n v="0"/>
    <n v="345"/>
    <n v="1210950"/>
    <n v="119929.4117647059"/>
    <n v="25"/>
    <n v="372"/>
    <n v="27"/>
    <m/>
    <n v="0"/>
    <n v="0"/>
    <n v="1305720"/>
    <n v="102558.15"/>
    <n v="0"/>
    <n v="0"/>
    <n v="372"/>
    <n v="1210950"/>
    <n v="385487.3949579832"/>
    <n v="20"/>
    <n v="355"/>
    <n v="10"/>
    <n v="0"/>
    <n v="0"/>
    <n v="0"/>
    <n v="1246050"/>
    <n v="37984.5"/>
    <n v="0"/>
    <n v="0"/>
    <n v="355"/>
    <n v="1210950"/>
    <n v="142773.1092436975"/>
    <n v="20"/>
    <n v="345"/>
    <n v="14"/>
    <n v="0"/>
    <n v="0"/>
    <n v="0"/>
    <n v="1210950"/>
    <n v="53178.3"/>
    <n v="0"/>
    <n v="0"/>
    <n v="345"/>
    <n v="1210950"/>
    <n v="199882.3529411765"/>
    <n v="28"/>
    <n v="331"/>
    <n v="19.6"/>
    <n v="0"/>
    <n v="0"/>
    <n v="0"/>
    <n v="1257286.95"/>
    <n v="74449.62"/>
    <n v="0"/>
    <n v="0"/>
    <n v="331"/>
    <n v="1257286.95"/>
    <n v="279835.294117647"/>
    <n v="50"/>
    <n v="311.4"/>
    <n v="35"/>
    <n v="0"/>
    <n v="0"/>
    <n v="0"/>
    <m/>
    <n v="1182837.33"/>
    <n v="132945.75"/>
    <n v="0"/>
    <n v="0"/>
    <n v="311.4"/>
    <n v="1182837.33"/>
    <n v="352647.0588235294"/>
    <n v="40"/>
    <n v="276.4"/>
    <n v="28"/>
    <n v="0"/>
    <n v="0"/>
    <n v="1049891.58"/>
    <n v="106356.6"/>
    <n v="0"/>
    <n v="0"/>
    <n v="276.4"/>
    <n v="1049891.58"/>
    <n v="296223.5294117647"/>
    <n v="84"/>
    <n v="248.4"/>
    <n v="58.8"/>
    <n v="0"/>
    <n v="0"/>
    <n v="943534.9799999999"/>
    <n v="223348.86"/>
    <n v="0"/>
    <n v="248.4"/>
    <n v="943534.9799999999"/>
    <n v="839505.8823529412"/>
    <n v="24"/>
    <n v="189.6"/>
    <n v="16.8"/>
    <n v="0"/>
    <m/>
    <n v="720186.1199999999"/>
    <n v="58967.99999999999"/>
    <n v="0"/>
    <n v="189.6"/>
    <n v="720186.1199999999"/>
    <n v="239858.8235294117"/>
  </r>
  <r>
    <m/>
    <x v="8"/>
    <x v="19"/>
    <x v="44"/>
    <s v="MTBOHWTR450"/>
    <x v="776"/>
    <x v="609"/>
    <x v="0"/>
    <x v="4"/>
    <n v="0.6"/>
    <x v="402"/>
    <n v="361"/>
    <m/>
    <n v="0"/>
    <n v="3510"/>
    <n v="1267110"/>
    <n v="3.67"/>
    <n v="4009.475"/>
    <n v="14277.31092436975"/>
    <n v="10075.63025210084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95"/>
    <n v="0.5672735223015335"/>
    <n v="6"/>
    <n v="0.4834762651844393"/>
    <n v="0.05714285714285714"/>
    <n v="6"/>
    <n v="0.6784557351809084"/>
    <n v="0.5"/>
    <n v="18"/>
    <n v="0.4643143485825402"/>
    <n v="0.72"/>
    <n v="12"/>
    <n v="0.6457685783350532"/>
    <n v="0.6"/>
    <n v="3"/>
    <n v="0.6911626531266175"/>
    <n v="0.15"/>
    <m/>
    <m/>
    <m/>
    <m/>
    <m/>
    <m/>
    <m/>
    <m/>
    <m/>
    <m/>
    <m/>
    <m/>
    <n v="0"/>
    <n v="0"/>
    <n v="0"/>
    <n v="0"/>
    <n v="0"/>
    <n v="0"/>
    <n v="333450"/>
    <n v="0"/>
    <n v="0"/>
    <n v="0"/>
    <n v="361"/>
    <n v="1267110"/>
    <n v="0"/>
    <n v="0"/>
    <n v="0"/>
    <n v="0"/>
    <n v="500"/>
    <n v="500"/>
    <n v="0"/>
    <n v="354510"/>
    <n v="0"/>
    <n v="0"/>
    <n v="0"/>
    <n v="361"/>
    <n v="1267110"/>
    <n v="0"/>
    <n v="101"/>
    <n v="456"/>
    <n v="95"/>
    <n v="0"/>
    <n v="0"/>
    <n v="381858.84"/>
    <n v="1600560"/>
    <n v="333450"/>
    <n v="0"/>
    <n v="361"/>
    <n v="1267110"/>
    <n v="1356344.537815126"/>
    <n v="105"/>
    <n v="406"/>
    <n v="6"/>
    <n v="0"/>
    <n v="0"/>
    <n v="1542170.7"/>
    <n v="21060"/>
    <n v="0"/>
    <n v="0"/>
    <n v="361"/>
    <n v="1267110"/>
    <n v="85663.8655462185"/>
    <n v="12"/>
    <n v="367"/>
    <n v="7.199999999999999"/>
    <m/>
    <n v="0"/>
    <n v="0"/>
    <n v="1288170"/>
    <n v="27348.84"/>
    <n v="0"/>
    <n v="0"/>
    <n v="361"/>
    <n v="1267110"/>
    <n v="102796.6386554622"/>
    <n v="25"/>
    <n v="379"/>
    <n v="18"/>
    <m/>
    <n v="0"/>
    <n v="0"/>
    <n v="1330290"/>
    <n v="68372.09999999999"/>
    <n v="0"/>
    <n v="0"/>
    <n v="379"/>
    <n v="1267110"/>
    <n v="256991.5966386555"/>
    <n v="20"/>
    <n v="373"/>
    <n v="12"/>
    <n v="0"/>
    <n v="0"/>
    <n v="0"/>
    <n v="1309230"/>
    <n v="45581.39999999999"/>
    <n v="0"/>
    <n v="0"/>
    <n v="373"/>
    <n v="1267110"/>
    <n v="171327.731092437"/>
    <n v="20"/>
    <n v="361"/>
    <n v="12"/>
    <n v="0"/>
    <n v="0"/>
    <n v="0"/>
    <n v="1267110"/>
    <n v="45581.39999999999"/>
    <n v="0"/>
    <n v="0"/>
    <n v="361"/>
    <n v="1267110"/>
    <n v="171327.731092437"/>
    <n v="28"/>
    <n v="349"/>
    <n v="16.8"/>
    <n v="0"/>
    <n v="0"/>
    <n v="0"/>
    <n v="1325659.05"/>
    <n v="63813.96"/>
    <n v="0"/>
    <n v="0"/>
    <n v="349"/>
    <n v="1325659.05"/>
    <n v="239858.8235294118"/>
    <n v="50"/>
    <n v="332.2"/>
    <n v="30"/>
    <n v="0"/>
    <n v="0"/>
    <n v="0"/>
    <m/>
    <n v="1261845.09"/>
    <n v="113953.5"/>
    <n v="0"/>
    <n v="0"/>
    <n v="332.2"/>
    <n v="1261845.09"/>
    <n v="302268.9075630252"/>
    <n v="40"/>
    <n v="302.2"/>
    <n v="24"/>
    <n v="0"/>
    <n v="0"/>
    <n v="1147891.59"/>
    <n v="91162.79999999999"/>
    <n v="0"/>
    <n v="0"/>
    <n v="302.2"/>
    <n v="1147891.59"/>
    <n v="253905.8823529412"/>
    <n v="84"/>
    <n v="278.2"/>
    <n v="50.4"/>
    <n v="0"/>
    <n v="0"/>
    <n v="1056728.79"/>
    <n v="191441.88"/>
    <n v="0"/>
    <n v="278.2"/>
    <n v="1056728.79"/>
    <n v="719576.4705882353"/>
    <n v="24"/>
    <n v="227.8"/>
    <n v="14.4"/>
    <n v="0"/>
    <m/>
    <n v="865286.9099999999"/>
    <n v="50543.99999999999"/>
    <n v="0"/>
    <n v="227.8"/>
    <n v="865286.9099999999"/>
    <n v="205593.2773109244"/>
  </r>
  <r>
    <m/>
    <x v="8"/>
    <x v="19"/>
    <x v="44"/>
    <s v="MTVTUMBDR590"/>
    <x v="777"/>
    <x v="610"/>
    <x v="0"/>
    <x v="4"/>
    <n v="0.5"/>
    <x v="403"/>
    <n v="418"/>
    <m/>
    <n v="0"/>
    <n v="4434"/>
    <n v="1853412"/>
    <n v="4.59"/>
    <n v="5014.575"/>
    <n v="18478.99159663866"/>
    <n v="14277.31092436975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484"/>
    <n v="0.5540130746278542"/>
    <n v="12"/>
    <n v="0.5598872356482754"/>
    <n v="0.12"/>
    <n v="19"/>
    <n v="0.7049958212187916"/>
    <n v="0.95"/>
    <n v="21"/>
    <n v="0.4771870830075771"/>
    <n v="0.42"/>
    <n v="37"/>
    <n v="0.6296605777311521"/>
    <n v="1.48"/>
    <n v="19"/>
    <n v="0.6126561956647734"/>
    <n v="0.76"/>
    <m/>
    <m/>
    <m/>
    <m/>
    <m/>
    <m/>
    <m/>
    <m/>
    <m/>
    <m/>
    <m/>
    <m/>
    <n v="0"/>
    <n v="0"/>
    <n v="0"/>
    <n v="0"/>
    <n v="0"/>
    <n v="0"/>
    <n v="2146056"/>
    <n v="0"/>
    <n v="0"/>
    <n v="0"/>
    <n v="418"/>
    <n v="1853412"/>
    <n v="0"/>
    <n v="0"/>
    <n v="0"/>
    <n v="0"/>
    <n v="1000"/>
    <n v="1000"/>
    <n v="0"/>
    <n v="2199264"/>
    <n v="0"/>
    <n v="0"/>
    <n v="0"/>
    <n v="418"/>
    <n v="1853412"/>
    <n v="0"/>
    <n v="620"/>
    <n v="902"/>
    <n v="484"/>
    <n v="0"/>
    <n v="0"/>
    <n v="2246770.5"/>
    <n v="3999468"/>
    <n v="2146056"/>
    <n v="0"/>
    <n v="418"/>
    <n v="1853412"/>
    <n v="8943831.93277311"/>
    <n v="100"/>
    <n v="516"/>
    <n v="12"/>
    <n v="0"/>
    <n v="0"/>
    <n v="2451335.4"/>
    <n v="53208"/>
    <n v="0"/>
    <n v="0"/>
    <n v="418"/>
    <n v="1853412"/>
    <n v="221747.8991596639"/>
    <n v="20"/>
    <n v="437"/>
    <n v="10"/>
    <m/>
    <n v="0"/>
    <n v="0"/>
    <n v="1937658"/>
    <n v="47506.5"/>
    <n v="0"/>
    <n v="0"/>
    <n v="418"/>
    <n v="1853412"/>
    <n v="184789.9159663866"/>
    <n v="50"/>
    <n v="439"/>
    <n v="21"/>
    <m/>
    <n v="0"/>
    <n v="0"/>
    <n v="1946526"/>
    <n v="99763.64999999999"/>
    <n v="0"/>
    <n v="0"/>
    <n v="439"/>
    <n v="1853412"/>
    <n v="388058.8235294118"/>
    <n v="25"/>
    <n v="455"/>
    <n v="37"/>
    <n v="0"/>
    <n v="0"/>
    <n v="0"/>
    <n v="2017470"/>
    <n v="175774.05"/>
    <n v="0"/>
    <n v="0"/>
    <n v="455"/>
    <n v="1853412"/>
    <n v="683722.6890756304"/>
    <n v="25"/>
    <n v="418"/>
    <n v="12.5"/>
    <n v="0"/>
    <n v="0"/>
    <n v="0"/>
    <n v="1853412"/>
    <n v="59383.12499999999"/>
    <n v="0"/>
    <n v="0"/>
    <n v="418"/>
    <n v="1853412"/>
    <n v="230987.3949579832"/>
    <n v="26.6666666666667"/>
    <n v="405.5"/>
    <n v="13.33333333333335"/>
    <n v="0"/>
    <n v="0"/>
    <n v="0"/>
    <n v="1926388.575"/>
    <n v="63342.00000000007"/>
    <n v="0"/>
    <n v="0"/>
    <n v="405.5"/>
    <n v="1926388.575"/>
    <n v="246386.5546218491"/>
    <n v="50"/>
    <n v="392.1666666666666"/>
    <n v="25"/>
    <n v="0"/>
    <n v="0"/>
    <n v="0"/>
    <m/>
    <n v="1863046.575"/>
    <n v="118766.25"/>
    <n v="0"/>
    <n v="0"/>
    <n v="392.1666666666666"/>
    <n v="1863046.575"/>
    <n v="356932.7731092437"/>
    <n v="60"/>
    <n v="367.1666666666666"/>
    <n v="30"/>
    <n v="0"/>
    <n v="0"/>
    <n v="1744280.325"/>
    <n v="142519.5"/>
    <n v="0"/>
    <n v="0"/>
    <n v="367.1666666666666"/>
    <n v="1744280.325"/>
    <n v="449735.2941176471"/>
    <n v="80"/>
    <n v="337.1666666666666"/>
    <n v="40"/>
    <n v="0"/>
    <n v="0"/>
    <n v="1601760.825"/>
    <n v="190026"/>
    <n v="0"/>
    <n v="337.1666666666666"/>
    <n v="1601760.825"/>
    <n v="739159.6638655463"/>
    <n v="36"/>
    <n v="297.1666666666666"/>
    <n v="18"/>
    <n v="0"/>
    <m/>
    <n v="1411734.825"/>
    <n v="79812"/>
    <n v="0"/>
    <n v="297.1666666666666"/>
    <n v="1411734.825"/>
    <n v="332621.8487394959"/>
  </r>
  <r>
    <m/>
    <x v="8"/>
    <x v="19"/>
    <x v="44"/>
    <s v="MTVTUMBLO590"/>
    <x v="778"/>
    <x v="611"/>
    <x v="0"/>
    <x v="4"/>
    <n v="0.6"/>
    <x v="404"/>
    <n v="430"/>
    <m/>
    <n v="0"/>
    <n v="4434"/>
    <n v="1906620"/>
    <n v="4.59"/>
    <n v="5014.575"/>
    <n v="18478.99159663866"/>
    <n v="14277.31092436975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471"/>
    <n v="0.5557638060020383"/>
    <n v="14"/>
    <n v="0.5088677340493073"/>
    <n v="0.14"/>
    <n v="27"/>
    <n v="0.6989778970501225"/>
    <n v="1.35"/>
    <n v="25"/>
    <n v="0.5193241759300288"/>
    <n v="0.5555555555555556"/>
    <n v="42"/>
    <n v="0.6247768995540023"/>
    <n v="1.68"/>
    <n v="17"/>
    <n v="0.6010391851621224"/>
    <n v="0.68"/>
    <m/>
    <m/>
    <m/>
    <m/>
    <m/>
    <m/>
    <m/>
    <m/>
    <m/>
    <m/>
    <m/>
    <m/>
    <n v="0"/>
    <n v="0"/>
    <n v="0"/>
    <n v="0"/>
    <n v="0"/>
    <n v="0"/>
    <n v="2088414"/>
    <n v="0"/>
    <n v="0"/>
    <n v="0"/>
    <n v="430"/>
    <n v="1906620"/>
    <n v="0"/>
    <n v="0"/>
    <n v="0"/>
    <n v="0"/>
    <n v="1000"/>
    <n v="1000"/>
    <n v="0"/>
    <n v="2150490"/>
    <n v="0"/>
    <n v="0"/>
    <n v="0"/>
    <n v="430"/>
    <n v="1906620"/>
    <n v="0"/>
    <n v="620"/>
    <n v="901"/>
    <n v="471"/>
    <n v="0"/>
    <n v="0"/>
    <n v="2207497.8"/>
    <n v="3995034"/>
    <n v="2088414"/>
    <n v="0"/>
    <n v="430"/>
    <n v="1906620"/>
    <n v="8703605.042016808"/>
    <n v="100"/>
    <n v="530"/>
    <n v="14"/>
    <n v="0"/>
    <n v="0"/>
    <n v="2517844.5"/>
    <n v="62076"/>
    <n v="0"/>
    <n v="0"/>
    <n v="430"/>
    <n v="1906620"/>
    <n v="258705.8823529412"/>
    <n v="20"/>
    <n v="457"/>
    <n v="12"/>
    <m/>
    <n v="0"/>
    <n v="0"/>
    <n v="2026338"/>
    <n v="57007.8"/>
    <n v="0"/>
    <n v="0"/>
    <n v="430"/>
    <n v="1906620"/>
    <n v="221747.8991596639"/>
    <n v="45"/>
    <n v="455"/>
    <n v="25"/>
    <m/>
    <n v="0"/>
    <n v="0"/>
    <n v="2017470"/>
    <n v="118766.25"/>
    <n v="0"/>
    <n v="0"/>
    <n v="455"/>
    <n v="1906620"/>
    <n v="461974.7899159665"/>
    <n v="25"/>
    <n v="472"/>
    <n v="42"/>
    <n v="0"/>
    <n v="0"/>
    <n v="0"/>
    <n v="2092848"/>
    <n v="199527.3"/>
    <n v="0"/>
    <n v="0"/>
    <n v="472"/>
    <n v="1906620"/>
    <n v="776117.6470588236"/>
    <n v="25"/>
    <n v="430"/>
    <n v="15"/>
    <n v="0"/>
    <n v="0"/>
    <n v="0"/>
    <n v="1906620"/>
    <n v="71259.75"/>
    <n v="0"/>
    <n v="0"/>
    <n v="430"/>
    <n v="1906620"/>
    <n v="277184.8739495799"/>
    <n v="26.6666666666667"/>
    <n v="415"/>
    <n v="16.00000000000002"/>
    <n v="0"/>
    <n v="0"/>
    <n v="0"/>
    <n v="1971519.75"/>
    <n v="76010.40000000008"/>
    <n v="0"/>
    <n v="0"/>
    <n v="415"/>
    <n v="1971519.75"/>
    <n v="295663.8655462189"/>
    <n v="50"/>
    <n v="399"/>
    <n v="30"/>
    <n v="0"/>
    <n v="0"/>
    <n v="0"/>
    <m/>
    <n v="1895509.35"/>
    <n v="142519.5"/>
    <n v="0"/>
    <n v="0"/>
    <n v="399"/>
    <n v="1895509.35"/>
    <n v="428319.3277310925"/>
    <n v="60"/>
    <n v="369"/>
    <n v="36"/>
    <n v="0"/>
    <n v="0"/>
    <n v="1752989.85"/>
    <n v="171023.4"/>
    <n v="0"/>
    <n v="0"/>
    <n v="369"/>
    <n v="1752989.85"/>
    <n v="539682.3529411765"/>
    <n v="80"/>
    <n v="333"/>
    <n v="48"/>
    <n v="0"/>
    <n v="0"/>
    <n v="1581966.45"/>
    <n v="228031.2"/>
    <n v="0"/>
    <n v="333"/>
    <n v="1581966.45"/>
    <n v="886991.5966386555"/>
    <n v="36"/>
    <n v="285"/>
    <n v="21.6"/>
    <n v="0"/>
    <m/>
    <n v="1353935.25"/>
    <n v="95774.39999999999"/>
    <n v="0"/>
    <n v="285"/>
    <n v="1353935.25"/>
    <n v="399146.218487395"/>
  </r>
  <r>
    <m/>
    <x v="8"/>
    <x v="19"/>
    <x v="44"/>
    <s v="MTVTUMBPR590"/>
    <x v="779"/>
    <x v="612"/>
    <x v="0"/>
    <x v="4"/>
    <n v="1"/>
    <x v="405"/>
    <n v="90"/>
    <m/>
    <n v="0"/>
    <n v="4434"/>
    <n v="399060"/>
    <n v="4.59"/>
    <n v="5014.575"/>
    <n v="18478.99159663866"/>
    <n v="14277.31092436975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530"/>
    <n v="0.5655907711300493"/>
    <n v="81"/>
    <n v="0.5506740275568434"/>
    <n v="0.8100000000000001"/>
    <n v="69"/>
    <n v="0.6980897797386054"/>
    <n v="0.9857142857142858"/>
    <n v="100"/>
    <n v="0.5177402983271309"/>
    <n v="1.25"/>
    <n v="94"/>
    <n v="0.6345392245000221"/>
    <n v="0.7833333333333333"/>
    <n v="39"/>
    <n v="0.6498067085311686"/>
    <n v="0.78"/>
    <m/>
    <m/>
    <m/>
    <m/>
    <m/>
    <m/>
    <m/>
    <m/>
    <m/>
    <m/>
    <m/>
    <m/>
    <n v="0"/>
    <n v="0"/>
    <n v="0"/>
    <n v="0"/>
    <n v="0"/>
    <n v="0"/>
    <n v="2350020"/>
    <n v="0"/>
    <n v="0"/>
    <n v="0"/>
    <n v="90"/>
    <n v="399060"/>
    <n v="0"/>
    <n v="0"/>
    <n v="0"/>
    <n v="0"/>
    <n v="1000"/>
    <n v="1000"/>
    <n v="0"/>
    <n v="2709174"/>
    <n v="0"/>
    <n v="0"/>
    <n v="0"/>
    <n v="90"/>
    <n v="399060"/>
    <n v="0"/>
    <n v="620"/>
    <n v="620"/>
    <n v="530"/>
    <n v="0"/>
    <n v="0"/>
    <n v="3041719.5"/>
    <n v="2749080"/>
    <n v="2350020"/>
    <n v="0"/>
    <n v="90"/>
    <n v="399060"/>
    <n v="9793865.546218488"/>
    <n v="100"/>
    <n v="453"/>
    <n v="81"/>
    <n v="0"/>
    <n v="0"/>
    <n v="2152044.45"/>
    <n v="359154"/>
    <n v="0"/>
    <n v="0"/>
    <n v="90"/>
    <n v="399060"/>
    <n v="1496798.319327731"/>
    <n v="70"/>
    <n v="159"/>
    <n v="70"/>
    <m/>
    <n v="0"/>
    <n v="0"/>
    <n v="705006"/>
    <n v="332545.5"/>
    <n v="0"/>
    <n v="0"/>
    <n v="90"/>
    <n v="399060"/>
    <n v="1293529.411764706"/>
    <n v="80"/>
    <n v="190"/>
    <n v="100"/>
    <m/>
    <n v="0"/>
    <n v="0"/>
    <n v="842460"/>
    <n v="475064.9999999999"/>
    <n v="0"/>
    <n v="0"/>
    <n v="190"/>
    <n v="399060"/>
    <n v="1847899.159663866"/>
    <n v="120"/>
    <n v="184"/>
    <n v="94"/>
    <n v="0"/>
    <n v="0"/>
    <n v="0"/>
    <n v="815856"/>
    <n v="446561.1"/>
    <n v="0"/>
    <n v="0"/>
    <n v="184"/>
    <n v="399060"/>
    <n v="1737025.210084034"/>
    <n v="50"/>
    <n v="90"/>
    <n v="50"/>
    <n v="0"/>
    <n v="0"/>
    <n v="0"/>
    <n v="399060"/>
    <n v="237532.5"/>
    <n v="0"/>
    <n v="0"/>
    <n v="90"/>
    <n v="399060"/>
    <n v="923949.5798319329"/>
    <n v="60"/>
    <n v="40"/>
    <n v="60"/>
    <n v="0"/>
    <n v="0"/>
    <n v="0"/>
    <n v="190026"/>
    <n v="285039"/>
    <n v="0"/>
    <n v="0"/>
    <n v="40"/>
    <n v="190026"/>
    <n v="1108739.49579832"/>
    <n v="150"/>
    <n v="0"/>
    <n v="0"/>
    <n v="0"/>
    <n v="0"/>
    <n v="0"/>
    <m/>
    <n v="0"/>
    <n v="0"/>
    <n v="0"/>
    <n v="0"/>
    <n v="0"/>
    <n v="0"/>
    <n v="0"/>
    <n v="80"/>
    <n v="0"/>
    <n v="80"/>
    <n v="0"/>
    <n v="0"/>
    <n v="0"/>
    <n v="380052"/>
    <n v="0"/>
    <n v="0"/>
    <n v="0"/>
    <n v="0"/>
    <n v="1199294.117647059"/>
    <n v="200"/>
    <n v="0"/>
    <n v="200"/>
    <n v="0"/>
    <n v="0"/>
    <n v="0"/>
    <n v="950129.9999999999"/>
    <n v="0"/>
    <n v="0"/>
    <n v="0"/>
    <n v="3695798.319327732"/>
    <n v="48"/>
    <n v="0"/>
    <n v="48"/>
    <n v="0"/>
    <m/>
    <n v="0"/>
    <n v="212832"/>
    <n v="0"/>
    <n v="0"/>
    <n v="0"/>
    <n v="886991.5966386555"/>
  </r>
  <r>
    <m/>
    <x v="8"/>
    <x v="19"/>
    <x v="44"/>
    <s v="MTVTUMBVI590"/>
    <x v="780"/>
    <x v="613"/>
    <x v="0"/>
    <x v="4"/>
    <n v="0.6"/>
    <x v="406"/>
    <n v="489"/>
    <m/>
    <n v="0"/>
    <n v="4434"/>
    <n v="2168226"/>
    <n v="4.59"/>
    <n v="5014.575"/>
    <n v="18478.99159663866"/>
    <n v="14277.31092436975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461"/>
    <n v="0.556045143670203"/>
    <n v="10"/>
    <n v="0.4838374297564882"/>
    <n v="0.1"/>
    <n v="7"/>
    <n v="0.6868155685576189"/>
    <n v="0.5833333333333334"/>
    <n v="17"/>
    <n v="0.5390186295906089"/>
    <n v="0.68"/>
    <n v="20"/>
    <n v="0.6408340367597005"/>
    <n v="1"/>
    <n v="7"/>
    <n v="0.6480073382254836"/>
    <n v="0.35"/>
    <m/>
    <m/>
    <m/>
    <m/>
    <m/>
    <m/>
    <m/>
    <m/>
    <m/>
    <m/>
    <m/>
    <m/>
    <n v="0"/>
    <n v="0"/>
    <n v="0"/>
    <n v="0"/>
    <n v="0"/>
    <n v="0"/>
    <n v="2044074"/>
    <n v="0"/>
    <n v="0"/>
    <n v="0"/>
    <n v="489"/>
    <n v="2168226"/>
    <n v="0"/>
    <n v="0"/>
    <n v="0"/>
    <n v="0"/>
    <n v="1000"/>
    <n v="1000"/>
    <n v="0"/>
    <n v="2088414"/>
    <n v="0"/>
    <n v="0"/>
    <n v="0"/>
    <n v="489"/>
    <n v="2168226"/>
    <n v="0"/>
    <n v="620"/>
    <n v="950"/>
    <n v="461"/>
    <n v="0"/>
    <n v="0"/>
    <n v="2122618.68"/>
    <n v="4212300"/>
    <n v="2044074"/>
    <n v="0"/>
    <n v="489"/>
    <n v="2168226"/>
    <n v="8518815.126050422"/>
    <n v="100"/>
    <n v="530"/>
    <n v="10"/>
    <n v="0"/>
    <n v="0"/>
    <n v="2517844.5"/>
    <n v="44340"/>
    <n v="0"/>
    <n v="0"/>
    <n v="489"/>
    <n v="2168226"/>
    <n v="184789.9159663866"/>
    <n v="12"/>
    <n v="496"/>
    <n v="7.199999999999999"/>
    <m/>
    <n v="0"/>
    <n v="0"/>
    <n v="2199264"/>
    <n v="34204.67999999999"/>
    <n v="0"/>
    <n v="0"/>
    <n v="489"/>
    <n v="2168226"/>
    <n v="133048.7394957983"/>
    <n v="25"/>
    <n v="506"/>
    <n v="17"/>
    <m/>
    <n v="0"/>
    <n v="0"/>
    <n v="2243604"/>
    <n v="80761.04999999999"/>
    <n v="0"/>
    <n v="0"/>
    <n v="506"/>
    <n v="2168226"/>
    <n v="314142.8571428572"/>
    <n v="20"/>
    <n v="509"/>
    <n v="20"/>
    <n v="0"/>
    <n v="0"/>
    <n v="0"/>
    <n v="2256906"/>
    <n v="95013"/>
    <n v="0"/>
    <n v="0"/>
    <n v="509"/>
    <n v="2168226"/>
    <n v="369579.8319327732"/>
    <n v="20"/>
    <n v="489"/>
    <n v="12"/>
    <n v="0"/>
    <n v="0"/>
    <n v="0"/>
    <n v="2168226"/>
    <n v="57007.8"/>
    <n v="0"/>
    <n v="0"/>
    <n v="489"/>
    <n v="2168226"/>
    <n v="221747.8991596639"/>
    <n v="28"/>
    <n v="477"/>
    <n v="16.8"/>
    <n v="0"/>
    <n v="0"/>
    <n v="0"/>
    <n v="2266060.05"/>
    <n v="79810.92"/>
    <n v="0"/>
    <n v="0"/>
    <n v="477"/>
    <n v="2266060.05"/>
    <n v="310447.0588235295"/>
    <n v="50"/>
    <n v="460.2"/>
    <n v="30"/>
    <n v="0"/>
    <n v="0"/>
    <n v="0"/>
    <m/>
    <n v="2186249.13"/>
    <n v="142519.5"/>
    <n v="0"/>
    <n v="0"/>
    <n v="460.2"/>
    <n v="2186249.13"/>
    <n v="428319.3277310925"/>
    <n v="40"/>
    <n v="430.2"/>
    <n v="24"/>
    <n v="0"/>
    <n v="0"/>
    <n v="2043729.63"/>
    <n v="114015.6"/>
    <n v="0"/>
    <n v="0"/>
    <n v="430.2"/>
    <n v="2043729.63"/>
    <n v="359788.2352941177"/>
    <n v="80"/>
    <n v="406.2"/>
    <n v="48"/>
    <n v="0"/>
    <n v="0"/>
    <n v="1929714.03"/>
    <n v="228031.2"/>
    <n v="0"/>
    <n v="406.2"/>
    <n v="1929714.03"/>
    <n v="886991.5966386555"/>
    <n v="24"/>
    <n v="358.2"/>
    <n v="14.4"/>
    <n v="0"/>
    <m/>
    <n v="1701682.83"/>
    <n v="63849.59999999999"/>
    <n v="0"/>
    <n v="358.2"/>
    <n v="1701682.83"/>
    <n v="266097.4789915967"/>
  </r>
  <r>
    <m/>
    <x v="8"/>
    <x v="33"/>
    <x v="66"/>
    <s v="MTTCBFRI450"/>
    <x v="781"/>
    <x v="614"/>
    <x v="0"/>
    <x v="4"/>
    <n v="0.6"/>
    <x v="407"/>
    <n v="180"/>
    <m/>
    <n v="0"/>
    <n v="4417"/>
    <n v="795060"/>
    <n v="4.65"/>
    <n v="5080.125"/>
    <n v="18478.99159663866"/>
    <n v="14277.31092436975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214"/>
    <n v="0.5847827954338202"/>
    <n v="33"/>
    <n v="0.5328329008573642"/>
    <n v="0.4125"/>
    <n v="17"/>
    <n v="0.6843788370105052"/>
    <n v="0.68"/>
    <n v="18"/>
    <n v="0.5242140023129614"/>
    <n v="0.5142857142857142"/>
    <n v="19"/>
    <n v="0.6462713371328985"/>
    <n v="0.76"/>
    <n v="13"/>
    <n v="0.6485472762715961"/>
    <n v="0.52"/>
    <m/>
    <m/>
    <m/>
    <m/>
    <m/>
    <m/>
    <m/>
    <m/>
    <m/>
    <m/>
    <m/>
    <m/>
    <n v="0"/>
    <n v="0"/>
    <n v="0"/>
    <n v="0"/>
    <n v="0"/>
    <n v="0"/>
    <n v="945238"/>
    <n v="0"/>
    <n v="0"/>
    <n v="0"/>
    <n v="180"/>
    <n v="795060"/>
    <n v="0"/>
    <n v="0"/>
    <n v="0"/>
    <n v="0"/>
    <n v="500"/>
    <n v="500"/>
    <n v="0"/>
    <n v="1090999"/>
    <n v="0"/>
    <n v="0"/>
    <n v="0"/>
    <n v="180"/>
    <n v="795060"/>
    <n v="0"/>
    <n v="196"/>
    <n v="394"/>
    <n v="214"/>
    <n v="0"/>
    <n v="0"/>
    <n v="1163190.25"/>
    <n v="1740298"/>
    <n v="945238"/>
    <n v="0"/>
    <n v="180"/>
    <n v="795060"/>
    <n v="3954504.201680673"/>
    <n v="80"/>
    <n v="286"/>
    <n v="33"/>
    <n v="0"/>
    <n v="0"/>
    <n v="1376446.5"/>
    <n v="145761"/>
    <n v="0"/>
    <n v="0"/>
    <n v="180"/>
    <n v="795060"/>
    <n v="609806.7226890757"/>
    <n v="25"/>
    <n v="197"/>
    <n v="15"/>
    <m/>
    <n v="0"/>
    <n v="0"/>
    <n v="870149"/>
    <n v="72191.25"/>
    <n v="0"/>
    <n v="0"/>
    <n v="180"/>
    <n v="795060"/>
    <n v="277184.8739495799"/>
    <n v="35"/>
    <n v="198"/>
    <n v="18"/>
    <m/>
    <n v="0"/>
    <n v="0"/>
    <n v="874566"/>
    <n v="86629.5"/>
    <n v="0"/>
    <n v="0"/>
    <n v="198"/>
    <n v="795060"/>
    <n v="332621.8487394959"/>
    <n v="25"/>
    <n v="199"/>
    <n v="19"/>
    <n v="0"/>
    <n v="0"/>
    <n v="0"/>
    <n v="878983"/>
    <n v="91442.25"/>
    <n v="0"/>
    <n v="0"/>
    <n v="199"/>
    <n v="795060"/>
    <n v="351100.8403361345"/>
    <n v="25"/>
    <n v="180"/>
    <n v="15"/>
    <n v="0"/>
    <n v="0"/>
    <n v="0"/>
    <n v="795060"/>
    <n v="72191.25"/>
    <n v="0"/>
    <n v="0"/>
    <n v="180"/>
    <n v="795060"/>
    <n v="277184.8739495799"/>
    <n v="20"/>
    <n v="165"/>
    <n v="12"/>
    <n v="0"/>
    <n v="0"/>
    <n v="0"/>
    <n v="794103.75"/>
    <n v="57753"/>
    <n v="0"/>
    <n v="0"/>
    <n v="165"/>
    <n v="794103.75"/>
    <n v="221747.8991596639"/>
    <n v="25"/>
    <n v="153"/>
    <n v="15"/>
    <n v="0"/>
    <n v="0"/>
    <n v="0"/>
    <m/>
    <n v="736350.75"/>
    <n v="72191.25"/>
    <n v="0"/>
    <n v="0"/>
    <n v="153"/>
    <n v="736350.75"/>
    <n v="214159.6638655462"/>
    <n v="20"/>
    <n v="138"/>
    <n v="12"/>
    <n v="0"/>
    <n v="0"/>
    <n v="664159.5"/>
    <n v="57753"/>
    <n v="0"/>
    <n v="0"/>
    <n v="138"/>
    <n v="664159.5"/>
    <n v="179894.1176470589"/>
    <n v="30"/>
    <n v="126"/>
    <n v="18"/>
    <n v="0"/>
    <n v="0"/>
    <n v="606406.5"/>
    <n v="86629.5"/>
    <n v="0"/>
    <n v="126"/>
    <n v="606406.5"/>
    <n v="332621.8487394959"/>
    <n v="12"/>
    <n v="108"/>
    <n v="7.199999999999999"/>
    <n v="0"/>
    <m/>
    <n v="519777"/>
    <n v="31802.4"/>
    <n v="0"/>
    <n v="108"/>
    <n v="519777"/>
    <n v="133048.7394957983"/>
  </r>
  <r>
    <m/>
    <x v="8"/>
    <x v="33"/>
    <x v="66"/>
    <s v="MTTCBFUN450"/>
    <x v="782"/>
    <x v="615"/>
    <x v="0"/>
    <x v="4"/>
    <n v="0.6"/>
    <x v="408"/>
    <n v="233"/>
    <m/>
    <n v="0"/>
    <n v="4417"/>
    <n v="1029161"/>
    <n v="4.65"/>
    <n v="5080.125"/>
    <n v="18478.99159663866"/>
    <n v="14277.31092436975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97"/>
    <n v="0.5715115029753602"/>
    <n v="21"/>
    <n v="0.4780035372192268"/>
    <n v="0.2625"/>
    <n v="17"/>
    <n v="0.7078482490272373"/>
    <n v="0.85"/>
    <n v="16"/>
    <n v="0.3419798025260907"/>
    <n v="0.5333333333333333"/>
    <n v="14"/>
    <n v="0.6493795863909272"/>
    <n v="0.5600000000000001"/>
    <n v="7"/>
    <n v="0.6530016976327454"/>
    <n v="0.28"/>
    <m/>
    <m/>
    <m/>
    <m/>
    <m/>
    <m/>
    <m/>
    <m/>
    <m/>
    <m/>
    <m/>
    <m/>
    <n v="0"/>
    <n v="0"/>
    <n v="0"/>
    <n v="0"/>
    <n v="0"/>
    <n v="0"/>
    <n v="870149"/>
    <n v="0"/>
    <n v="0"/>
    <n v="0"/>
    <n v="233"/>
    <n v="1029161"/>
    <n v="0"/>
    <n v="0"/>
    <n v="0"/>
    <n v="0"/>
    <n v="500"/>
    <n v="500"/>
    <n v="0"/>
    <n v="962906"/>
    <n v="0"/>
    <n v="0"/>
    <n v="0"/>
    <n v="233"/>
    <n v="1029161"/>
    <n v="0"/>
    <n v="196"/>
    <n v="430"/>
    <n v="197"/>
    <n v="0"/>
    <n v="0"/>
    <n v="1020659"/>
    <n v="1899310"/>
    <n v="870149"/>
    <n v="0"/>
    <n v="233"/>
    <n v="1029161"/>
    <n v="3640361.344537816"/>
    <n v="80"/>
    <n v="301"/>
    <n v="21"/>
    <n v="0"/>
    <n v="0"/>
    <n v="1448637.75"/>
    <n v="92757"/>
    <n v="0"/>
    <n v="0"/>
    <n v="233"/>
    <n v="1029161"/>
    <n v="388058.8235294118"/>
    <n v="20"/>
    <n v="250"/>
    <n v="12"/>
    <m/>
    <n v="0"/>
    <n v="0"/>
    <n v="1104250"/>
    <n v="57753"/>
    <n v="0"/>
    <n v="0"/>
    <n v="233"/>
    <n v="1029161"/>
    <n v="221747.8991596639"/>
    <n v="30"/>
    <n v="249"/>
    <n v="16"/>
    <m/>
    <n v="0"/>
    <n v="0"/>
    <n v="1099833"/>
    <n v="77004"/>
    <n v="0"/>
    <n v="0"/>
    <n v="249"/>
    <n v="1029161"/>
    <n v="295663.8655462185"/>
    <n v="25"/>
    <n v="247"/>
    <n v="14"/>
    <n v="0"/>
    <n v="0"/>
    <n v="0"/>
    <n v="1090999"/>
    <n v="67378.5"/>
    <n v="0"/>
    <n v="0"/>
    <n v="247"/>
    <n v="1029161"/>
    <n v="258705.8823529412"/>
    <n v="25"/>
    <n v="233"/>
    <n v="15"/>
    <n v="0"/>
    <n v="0"/>
    <n v="0"/>
    <n v="1029161"/>
    <n v="72191.25"/>
    <n v="0"/>
    <n v="0"/>
    <n v="233"/>
    <n v="1029161"/>
    <n v="277184.8739495799"/>
    <n v="20"/>
    <n v="218"/>
    <n v="12"/>
    <n v="0"/>
    <n v="0"/>
    <n v="0"/>
    <n v="1049179.5"/>
    <n v="57753"/>
    <n v="0"/>
    <n v="0"/>
    <n v="218"/>
    <n v="1049179.5"/>
    <n v="221747.8991596639"/>
    <n v="25"/>
    <n v="206"/>
    <n v="15"/>
    <n v="0"/>
    <n v="0"/>
    <n v="0"/>
    <m/>
    <n v="991426.5"/>
    <n v="72191.25"/>
    <n v="0"/>
    <n v="0"/>
    <n v="206"/>
    <n v="991426.5"/>
    <n v="214159.6638655462"/>
    <n v="20"/>
    <n v="191"/>
    <n v="12"/>
    <n v="0"/>
    <n v="0"/>
    <n v="919235.25"/>
    <n v="57753"/>
    <n v="0"/>
    <n v="0"/>
    <n v="191"/>
    <n v="919235.25"/>
    <n v="179894.1176470589"/>
    <n v="30"/>
    <n v="179"/>
    <n v="18"/>
    <n v="0"/>
    <n v="0"/>
    <n v="861482.25"/>
    <n v="86629.5"/>
    <n v="0"/>
    <n v="179"/>
    <n v="861482.25"/>
    <n v="332621.8487394959"/>
    <n v="12"/>
    <n v="161"/>
    <n v="7.199999999999999"/>
    <n v="0"/>
    <m/>
    <n v="774852.75"/>
    <n v="31802.4"/>
    <n v="0"/>
    <n v="161"/>
    <n v="774852.75"/>
    <n v="133048.7394957983"/>
  </r>
  <r>
    <m/>
    <x v="8"/>
    <x v="33"/>
    <x v="66"/>
    <s v="MTTCHWCLA330"/>
    <x v="783"/>
    <x v="616"/>
    <x v="0"/>
    <x v="4"/>
    <n v="0.6"/>
    <x v="409"/>
    <n v="240"/>
    <m/>
    <n v="0"/>
    <n v="3351"/>
    <n v="804240"/>
    <n v="3.56"/>
    <n v="3889.3"/>
    <n v="14277.31092436975"/>
    <n v="10075.63025210084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92"/>
    <n v="0.5791032596282121"/>
    <n v="22"/>
    <n v="0.4954177380941869"/>
    <n v="0.275"/>
    <n v="14"/>
    <n v="0.6980086226482457"/>
    <n v="0.7"/>
    <n v="16"/>
    <n v="0.3424446568673541"/>
    <n v="0.3555555555555556"/>
    <n v="13"/>
    <n v="0.6586873156342182"/>
    <n v="0.52"/>
    <n v="3"/>
    <n v="0.5569434465390171"/>
    <n v="0.12"/>
    <m/>
    <m/>
    <m/>
    <m/>
    <m/>
    <m/>
    <m/>
    <m/>
    <m/>
    <m/>
    <m/>
    <m/>
    <n v="0"/>
    <n v="0"/>
    <n v="0"/>
    <n v="0"/>
    <n v="0"/>
    <n v="0"/>
    <n v="643392"/>
    <n v="0"/>
    <n v="0"/>
    <n v="0"/>
    <n v="240"/>
    <n v="804240"/>
    <n v="0"/>
    <n v="0"/>
    <n v="0"/>
    <n v="0"/>
    <n v="500"/>
    <n v="500"/>
    <n v="0"/>
    <n v="717114"/>
    <n v="0"/>
    <n v="0"/>
    <n v="0"/>
    <n v="240"/>
    <n v="804240"/>
    <n v="0"/>
    <n v="196"/>
    <n v="432"/>
    <n v="192"/>
    <n v="0"/>
    <n v="0"/>
    <n v="761329.2"/>
    <n v="1447632"/>
    <n v="643392"/>
    <n v="0"/>
    <n v="240"/>
    <n v="804240"/>
    <n v="2741243.697478992"/>
    <n v="80"/>
    <n v="308"/>
    <n v="22"/>
    <n v="0"/>
    <n v="0"/>
    <n v="1134856.8"/>
    <n v="73722"/>
    <n v="0"/>
    <n v="0"/>
    <n v="240"/>
    <n v="804240"/>
    <n v="314100.8403361345"/>
    <n v="20"/>
    <n v="254"/>
    <n v="12"/>
    <m/>
    <n v="0"/>
    <n v="0"/>
    <n v="851154"/>
    <n v="44215.2"/>
    <n v="0"/>
    <n v="0"/>
    <n v="240"/>
    <n v="804240"/>
    <n v="171327.731092437"/>
    <n v="45"/>
    <n v="256"/>
    <n v="16"/>
    <m/>
    <n v="0"/>
    <n v="0"/>
    <n v="857856"/>
    <n v="58953.6"/>
    <n v="0"/>
    <n v="0"/>
    <n v="256"/>
    <n v="804240"/>
    <n v="228436.974789916"/>
    <n v="25"/>
    <n v="253"/>
    <n v="13"/>
    <n v="0"/>
    <n v="0"/>
    <n v="0"/>
    <n v="847803"/>
    <n v="47899.8"/>
    <n v="0"/>
    <n v="0"/>
    <n v="253"/>
    <n v="804240"/>
    <n v="185605.0420168068"/>
    <n v="25"/>
    <n v="240"/>
    <n v="15"/>
    <n v="0"/>
    <n v="0"/>
    <n v="0"/>
    <n v="804240"/>
    <n v="55269"/>
    <n v="0"/>
    <n v="0"/>
    <n v="240"/>
    <n v="804240"/>
    <n v="214159.6638655462"/>
    <n v="26.6666666666667"/>
    <n v="225"/>
    <n v="16.00000000000002"/>
    <n v="0"/>
    <n v="0"/>
    <n v="0"/>
    <n v="829035"/>
    <n v="58953.60000000006"/>
    <n v="0"/>
    <n v="0"/>
    <n v="225"/>
    <n v="829035"/>
    <n v="228436.9747899162"/>
    <n v="50"/>
    <n v="209"/>
    <n v="30"/>
    <n v="0"/>
    <n v="0"/>
    <n v="0"/>
    <m/>
    <n v="770081.3999999999"/>
    <n v="110538"/>
    <n v="0"/>
    <n v="0"/>
    <n v="209"/>
    <n v="770081.3999999999"/>
    <n v="302268.9075630252"/>
    <n v="60"/>
    <n v="179"/>
    <n v="36"/>
    <n v="0"/>
    <n v="0"/>
    <n v="659543.3999999999"/>
    <n v="132645.6"/>
    <n v="0"/>
    <n v="0"/>
    <n v="179"/>
    <n v="659543.3999999999"/>
    <n v="380858.8235294118"/>
    <n v="80"/>
    <n v="143"/>
    <n v="48"/>
    <n v="0"/>
    <n v="0"/>
    <n v="526897.7999999999"/>
    <n v="176860.8"/>
    <n v="0"/>
    <n v="143"/>
    <n v="526897.7999999999"/>
    <n v="685310.924369748"/>
    <n v="36"/>
    <n v="94.99999999999997"/>
    <n v="21.6"/>
    <n v="0"/>
    <m/>
    <n v="350036.9999999999"/>
    <n v="72381.59999999999"/>
    <n v="0"/>
    <n v="94.99999999999997"/>
    <n v="350036.9999999999"/>
    <n v="308389.9159663866"/>
  </r>
  <r>
    <m/>
    <x v="8"/>
    <x v="33"/>
    <x v="66"/>
    <s v="MTTCHWTRU330"/>
    <x v="784"/>
    <x v="617"/>
    <x v="0"/>
    <x v="4"/>
    <n v="0.8"/>
    <x v="410"/>
    <n v="251"/>
    <m/>
    <n v="0"/>
    <n v="3351"/>
    <n v="841101"/>
    <n v="3.56"/>
    <n v="3889.3"/>
    <n v="14277.31092436975"/>
    <n v="10075.63025210084"/>
    <s v="Ningbo"/>
    <s v="30/70"/>
    <n v="30"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92"/>
    <n v="0.5920665471002617"/>
    <n v="14"/>
    <n v="0.5372553068043814"/>
    <n v="0.175"/>
    <n v="21"/>
    <n v="0.6963643615478331"/>
    <n v="1.75"/>
    <n v="11"/>
    <n v="0.2331175805113508"/>
    <n v="0.44"/>
    <n v="8"/>
    <n v="0.6444656212035087"/>
    <n v="0.4"/>
    <n v="2"/>
    <n v="0.5895800524934383"/>
    <n v="0.1"/>
    <m/>
    <m/>
    <m/>
    <m/>
    <m/>
    <m/>
    <m/>
    <m/>
    <m/>
    <m/>
    <m/>
    <m/>
    <n v="0"/>
    <n v="0"/>
    <n v="0"/>
    <n v="0"/>
    <n v="0"/>
    <n v="0"/>
    <n v="643392"/>
    <n v="0"/>
    <n v="0"/>
    <n v="0"/>
    <n v="251"/>
    <n v="841101"/>
    <n v="0"/>
    <n v="0"/>
    <n v="0"/>
    <n v="0"/>
    <n v="0"/>
    <n v="0"/>
    <n v="0"/>
    <n v="690306"/>
    <n v="0"/>
    <n v="0"/>
    <n v="0"/>
    <n v="251"/>
    <n v="841101"/>
    <n v="0"/>
    <n v="196"/>
    <n v="443"/>
    <n v="192"/>
    <n v="0"/>
    <n v="0"/>
    <n v="725678.16"/>
    <n v="1484493"/>
    <n v="643392"/>
    <n v="0"/>
    <n v="251"/>
    <n v="841101"/>
    <n v="2741243.697478992"/>
    <n v="80"/>
    <n v="307"/>
    <n v="14"/>
    <n v="0"/>
    <n v="0"/>
    <n v="1131172.2"/>
    <n v="46914"/>
    <n v="0"/>
    <n v="0"/>
    <n v="251"/>
    <n v="841101"/>
    <n v="199882.3529411765"/>
    <n v="12"/>
    <n v="272"/>
    <n v="9.600000000000001"/>
    <m/>
    <n v="0"/>
    <n v="0"/>
    <n v="911472"/>
    <n v="35372.16"/>
    <n v="0"/>
    <n v="0"/>
    <n v="251"/>
    <n v="841101"/>
    <n v="137062.1848739496"/>
    <n v="25"/>
    <n v="262"/>
    <n v="11"/>
    <m/>
    <n v="0"/>
    <n v="0"/>
    <n v="877962"/>
    <n v="40530.6"/>
    <n v="0"/>
    <n v="0"/>
    <n v="262"/>
    <n v="841101"/>
    <n v="157050.4201680672"/>
    <n v="20"/>
    <n v="259"/>
    <n v="8"/>
    <n v="0"/>
    <n v="0"/>
    <n v="0"/>
    <n v="867909"/>
    <n v="29476.8"/>
    <n v="0"/>
    <n v="0"/>
    <n v="259"/>
    <n v="841101"/>
    <n v="114218.487394958"/>
    <n v="20"/>
    <n v="251"/>
    <n v="16"/>
    <n v="0"/>
    <n v="0"/>
    <n v="0"/>
    <n v="841101"/>
    <n v="58953.6"/>
    <n v="0"/>
    <n v="0"/>
    <n v="251"/>
    <n v="841101"/>
    <n v="228436.974789916"/>
    <n v="28"/>
    <n v="235"/>
    <n v="22.4"/>
    <n v="0"/>
    <n v="0"/>
    <n v="0"/>
    <n v="865881"/>
    <n v="82535.04000000001"/>
    <n v="0"/>
    <n v="0"/>
    <n v="235"/>
    <n v="865881"/>
    <n v="319811.7647058824"/>
    <n v="50"/>
    <n v="212.6"/>
    <n v="40"/>
    <n v="0"/>
    <n v="0"/>
    <n v="0"/>
    <m/>
    <n v="783345.96"/>
    <n v="147384"/>
    <n v="0"/>
    <n v="0"/>
    <n v="212.6"/>
    <n v="783345.96"/>
    <n v="403025.2100840336"/>
    <n v="40"/>
    <n v="172.6"/>
    <n v="32"/>
    <n v="0"/>
    <n v="0"/>
    <n v="635961.96"/>
    <n v="117907.2"/>
    <n v="0"/>
    <n v="0"/>
    <n v="172.6"/>
    <n v="635961.96"/>
    <n v="338541.1764705883"/>
    <n v="76"/>
    <n v="140.6"/>
    <n v="60.8"/>
    <n v="0"/>
    <n v="0"/>
    <n v="518054.76"/>
    <n v="224023.68"/>
    <n v="0"/>
    <n v="140.6"/>
    <n v="518054.76"/>
    <n v="868060.5042016808"/>
    <n v="24"/>
    <n v="79.79999999999998"/>
    <n v="19.2"/>
    <n v="0"/>
    <m/>
    <n v="294031.08"/>
    <n v="64339.20000000001"/>
    <n v="0"/>
    <n v="79.79999999999998"/>
    <n v="294031.08"/>
    <n v="274124.3697478992"/>
  </r>
  <r>
    <m/>
    <x v="9"/>
    <x v="34"/>
    <x v="84"/>
    <n v="1656603353038"/>
    <x v="785"/>
    <x v="618"/>
    <x v="0"/>
    <x v="0"/>
    <n v="1"/>
    <x v="411"/>
    <n v="2"/>
    <m/>
    <n v="0"/>
    <n v="9119"/>
    <n v="18238"/>
    <n v="8.800000000000001"/>
    <n v="9614"/>
    <n v="18478.99159663866"/>
    <n v="16798.31932773109"/>
    <s v="Shenzhen"/>
    <s v="30/70"/>
    <n v="30"/>
    <n v="200"/>
    <n v="43"/>
    <n v="0.5455896175760754"/>
    <n v="35"/>
    <n v="0.5613793294961564"/>
    <n v="31"/>
    <n v="0.545263103964974"/>
    <n v="35"/>
    <n v="0.5505583295578989"/>
    <n v="23"/>
    <n v="0.5284134261887491"/>
    <n v="67"/>
    <n v="0.5112633408393769"/>
    <n v="21"/>
    <n v="0.560924119308756"/>
    <n v="24"/>
    <n v="0.5216269415112617"/>
    <n v="24"/>
    <n v="0.5445366870082914"/>
    <n v="51"/>
    <n v="0.4311843867737427"/>
    <n v="22"/>
    <n v="0.4653023525273672"/>
    <n v="49"/>
    <n v="0.447618040722954"/>
    <n v="46"/>
    <n v="0.3761672743247022"/>
    <n v="46"/>
    <n v="0.3441896325403472"/>
    <n v="25"/>
    <n v="0.28912101886262"/>
    <n v="24"/>
    <n v="0.3106460326914695"/>
    <n v="1.2"/>
    <n v="17"/>
    <n v="0.4924507136037332"/>
    <n v="0.5666666666666667"/>
    <n v="3"/>
    <n v="0.2198098559353955"/>
    <n v="0.1"/>
    <n v="0"/>
    <s v=""/>
    <n v="0"/>
    <n v="0"/>
    <s v=""/>
    <n v="0"/>
    <m/>
    <m/>
    <m/>
    <m/>
    <m/>
    <m/>
    <m/>
    <m/>
    <m/>
    <m/>
    <m/>
    <m/>
    <n v="30"/>
    <n v="173"/>
    <n v="30"/>
    <n v="0"/>
    <m/>
    <n v="0"/>
    <n v="1130756"/>
    <n v="1575684"/>
    <n v="273570"/>
    <n v="0"/>
    <n v="2"/>
    <n v="18238"/>
    <n v="465856.9310076973"/>
    <n v="25"/>
    <n v="120"/>
    <n v="69"/>
    <n v="0"/>
    <m/>
    <n v="0"/>
    <n v="1076042"/>
    <n v="1092960"/>
    <n v="629211"/>
    <n v="0"/>
    <n v="2"/>
    <n v="18238"/>
    <n v="1071470.941317704"/>
    <n v="25"/>
    <n v="83"/>
    <n v="25"/>
    <n v="0"/>
    <n v="0"/>
    <n v="720071"/>
    <n v="756877"/>
    <n v="227975"/>
    <n v="0"/>
    <n v="2"/>
    <n v="18238"/>
    <n v="461974.7899159665"/>
    <n v="20"/>
    <n v="57"/>
    <n v="24"/>
    <n v="0"/>
    <n v="0"/>
    <n v="519156"/>
    <n v="218856"/>
    <n v="0"/>
    <n v="0"/>
    <n v="2"/>
    <n v="18238"/>
    <n v="443495.7983193278"/>
    <n v="30"/>
    <n v="19"/>
    <n v="30"/>
    <m/>
    <n v="0"/>
    <n v="0"/>
    <n v="173261"/>
    <n v="273240"/>
    <n v="0"/>
    <n v="0"/>
    <n v="2"/>
    <n v="18238"/>
    <n v="554369.7478991598"/>
    <n v="30"/>
    <n v="5"/>
    <n v="3"/>
    <m/>
    <n v="0"/>
    <n v="0"/>
    <n v="45595"/>
    <n v="27324"/>
    <n v="0"/>
    <n v="0"/>
    <n v="5"/>
    <n v="18238"/>
    <n v="55436.97478991597"/>
    <n v="30"/>
    <n v="2"/>
    <n v="0"/>
    <n v="0"/>
    <n v="0"/>
    <n v="0"/>
    <n v="18238"/>
    <n v="0"/>
    <n v="0"/>
    <n v="0"/>
    <n v="2"/>
    <n v="18238"/>
    <n v="0"/>
    <n v="30"/>
    <n v="2"/>
    <n v="30"/>
    <n v="0"/>
    <n v="0"/>
    <n v="0"/>
    <n v="18238"/>
    <n v="273240"/>
    <n v="0"/>
    <n v="0"/>
    <n v="2"/>
    <n v="18238"/>
    <n v="554369.7478991598"/>
    <n v="30"/>
    <n v="0"/>
    <n v="30"/>
    <n v="200"/>
    <n v="200"/>
    <n v="0"/>
    <n v="0"/>
    <n v="273240"/>
    <n v="1821600"/>
    <n v="0"/>
    <n v="0"/>
    <n v="0"/>
    <n v="554369.7478991598"/>
    <n v="50"/>
    <n v="200"/>
    <n v="50"/>
    <n v="0"/>
    <n v="0"/>
    <n v="0"/>
    <n v="200"/>
    <n v="1821600"/>
    <n v="455400"/>
    <n v="0"/>
    <n v="1821600"/>
    <n v="200"/>
    <n v="3643200"/>
    <n v="839915.9663865546"/>
    <n v="40"/>
    <n v="150"/>
    <n v="40"/>
    <m/>
    <n v="0"/>
    <n v="1366200"/>
    <n v="364320"/>
    <n v="0"/>
    <n v="0"/>
    <n v="150"/>
    <n v="1366200"/>
    <n v="705529.4117647059"/>
    <n v="30"/>
    <n v="110"/>
    <n v="30"/>
    <n v="0"/>
    <n v="0"/>
    <n v="1001880"/>
    <n v="273240"/>
    <n v="0"/>
    <n v="110"/>
    <n v="1001880"/>
    <n v="554369.7478991598"/>
    <n v="24"/>
    <n v="80"/>
    <n v="24"/>
    <n v="0"/>
    <m/>
    <n v="728640"/>
    <n v="218856"/>
    <n v="0"/>
    <n v="80"/>
    <n v="728640"/>
    <n v="443495.7983193278"/>
  </r>
  <r>
    <m/>
    <x v="9"/>
    <x v="34"/>
    <x v="84"/>
    <n v="1660859424566"/>
    <x v="786"/>
    <x v="619"/>
    <x v="0"/>
    <x v="3"/>
    <n v="1"/>
    <x v="412"/>
    <n v="63"/>
    <m/>
    <n v="0"/>
    <n v="5130"/>
    <n v="323190"/>
    <n v="4.6"/>
    <n v="5025.5"/>
    <n v="16798.31932773109"/>
    <n v="15957.98319327731"/>
    <s v="Shenzhen"/>
    <s v="30/70"/>
    <n v="30"/>
    <n v="50"/>
    <n v="73"/>
    <n v="0.7060935127262874"/>
    <n v="105"/>
    <n v="0.6918436499213516"/>
    <n v="128"/>
    <n v="0.7059143231137999"/>
    <n v="87"/>
    <n v="0.7058247189716886"/>
    <n v="89"/>
    <n v="0.7323109796353429"/>
    <n v="315"/>
    <n v="0.6961104089701383"/>
    <n v="53"/>
    <n v="0.7233520966187303"/>
    <n v="45"/>
    <n v="0.7172913996252385"/>
    <n v="41"/>
    <n v="0.7123889397812037"/>
    <n v="257"/>
    <n v="0.6753021000729068"/>
    <n v="290"/>
    <n v="0.6906688260438979"/>
    <n v="11"/>
    <n v="0.6900200982173827"/>
    <n v="29"/>
    <n v="0.4464346920366481"/>
    <n v="127"/>
    <n v="0.4509123665283804"/>
    <n v="205"/>
    <n v="0.423328309611386"/>
    <n v="281"/>
    <n v="0.3768685941747415"/>
    <n v="1.405"/>
    <n v="250"/>
    <n v="0.7092869642588142"/>
    <n v="1"/>
    <n v="12"/>
    <n v="0.315799054725885"/>
    <n v="0.04"/>
    <n v="0"/>
    <s v=""/>
    <n v="0"/>
    <n v="0"/>
    <s v=""/>
    <n v="0"/>
    <m/>
    <m/>
    <m/>
    <m/>
    <m/>
    <m/>
    <m/>
    <m/>
    <m/>
    <m/>
    <m/>
    <m/>
    <n v="150"/>
    <n v="29"/>
    <n v="150"/>
    <n v="200"/>
    <n v="200"/>
    <n v="0"/>
    <n v="2798415"/>
    <n v="138069"/>
    <n v="769500"/>
    <n v="0"/>
    <n v="63"/>
    <n v="323190"/>
    <n v="2117435.209377869"/>
    <n v="150"/>
    <n v="201"/>
    <n v="190.5"/>
    <n v="165"/>
    <n v="165"/>
    <n v="0"/>
    <n v="3470445"/>
    <n v="956961"/>
    <n v="977265"/>
    <n v="0"/>
    <n v="63"/>
    <n v="323190"/>
    <n v="2689142.715909894"/>
    <n v="150"/>
    <n v="172"/>
    <n v="205"/>
    <n v="0"/>
    <n v="0"/>
    <n v="3683430"/>
    <n v="882360"/>
    <n v="1051650"/>
    <n v="0"/>
    <n v="63"/>
    <n v="323190"/>
    <n v="3443655.462184874"/>
    <n v="200"/>
    <n v="498"/>
    <n v="281"/>
    <n v="500"/>
    <n v="0"/>
    <n v="2370978"/>
    <n v="1441530"/>
    <n v="2380500"/>
    <n v="0"/>
    <n v="63"/>
    <n v="323190"/>
    <n v="4720327.731092437"/>
    <n v="250"/>
    <n v="313"/>
    <n v="250"/>
    <m/>
    <n v="0"/>
    <n v="0"/>
    <n v="1605690"/>
    <n v="1190250"/>
    <n v="0"/>
    <n v="0"/>
    <n v="63"/>
    <n v="323190"/>
    <n v="4199579.831932773"/>
    <n v="300"/>
    <n v="75"/>
    <n v="12"/>
    <m/>
    <n v="0"/>
    <n v="0"/>
    <n v="384750"/>
    <n v="57132"/>
    <n v="0"/>
    <n v="0"/>
    <n v="75"/>
    <n v="323190"/>
    <n v="201579.8319327731"/>
    <n v="300"/>
    <n v="63"/>
    <n v="0"/>
    <n v="300"/>
    <n v="300"/>
    <n v="0"/>
    <n v="323190"/>
    <n v="0"/>
    <n v="1380690"/>
    <n v="0"/>
    <n v="63"/>
    <n v="323190"/>
    <n v="0"/>
    <n v="300"/>
    <n v="63"/>
    <n v="300"/>
    <n v="200"/>
    <n v="200"/>
    <n v="0"/>
    <n v="323190"/>
    <n v="1428300"/>
    <n v="952200"/>
    <n v="0"/>
    <n v="63"/>
    <n v="323190"/>
    <n v="5039495.798319328"/>
    <n v="300"/>
    <n v="0"/>
    <n v="300"/>
    <n v="450"/>
    <n v="450"/>
    <n v="326"/>
    <n v="0"/>
    <n v="1428300"/>
    <n v="2142450"/>
    <n v="1552086"/>
    <n v="326"/>
    <n v="1552086"/>
    <n v="5039495.798319328"/>
    <n v="300"/>
    <n v="150"/>
    <n v="150"/>
    <n v="0"/>
    <n v="0"/>
    <n v="0"/>
    <n v="124"/>
    <n v="714150"/>
    <n v="714150"/>
    <n v="0"/>
    <n v="590364"/>
    <n v="150"/>
    <n v="1304514"/>
    <n v="2393697.478991597"/>
    <n v="300"/>
    <n v="0"/>
    <n v="300"/>
    <n v="300"/>
    <n v="300"/>
    <n v="0"/>
    <n v="1428300"/>
    <n v="1428300"/>
    <n v="1428300"/>
    <n v="300"/>
    <n v="1428300"/>
    <n v="5026764.705882354"/>
    <n v="300"/>
    <n v="0"/>
    <n v="300"/>
    <n v="300"/>
    <n v="300"/>
    <n v="0"/>
    <n v="1428300"/>
    <n v="1428300"/>
    <n v="300"/>
    <n v="1428300"/>
    <n v="5039495.798319328"/>
    <n v="180"/>
    <n v="0"/>
    <n v="180"/>
    <n v="0"/>
    <m/>
    <n v="0"/>
    <n v="923400"/>
    <n v="0"/>
    <n v="0"/>
    <n v="0"/>
    <n v="3023697.478991597"/>
  </r>
  <r>
    <m/>
    <x v="9"/>
    <x v="34"/>
    <x v="84"/>
    <s v="XRCOBMOT-BS"/>
    <x v="787"/>
    <x v="620"/>
    <x v="0"/>
    <x v="4"/>
    <n v="1"/>
    <x v="3"/>
    <n v="142"/>
    <m/>
    <n v="0"/>
    <n v="4813"/>
    <n v="683446"/>
    <n v="4.6"/>
    <n v="5025.5"/>
    <n v="12669.32773109244"/>
    <n v="10768.92857142857"/>
    <s v="Shenzhen"/>
    <s v="30/70"/>
    <n v="30"/>
    <n v="50"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n v="0"/>
    <s v=""/>
    <n v="0"/>
    <n v="0"/>
    <s v=""/>
    <n v="0"/>
    <n v="5"/>
    <n v="0.5910320305025204"/>
    <n v="0"/>
    <n v="2"/>
    <n v="0.6179426284189459"/>
    <n v="0.05"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42"/>
    <n v="683446"/>
    <n v="0"/>
    <n v="0"/>
    <n v="0"/>
    <n v="0"/>
    <n v="0"/>
    <n v="0"/>
    <n v="0"/>
    <n v="0"/>
    <n v="0"/>
    <n v="0"/>
    <n v="142"/>
    <n v="683446"/>
    <n v="0"/>
    <n v="0"/>
    <n v="0"/>
    <n v="0"/>
    <n v="0"/>
    <n v="0"/>
    <n v="0"/>
    <n v="0"/>
    <n v="0"/>
    <n v="0"/>
    <n v="142"/>
    <n v="683446"/>
    <n v="0"/>
    <n v="0"/>
    <n v="142"/>
    <n v="0"/>
    <m/>
    <n v="0"/>
    <n v="0"/>
    <n v="683446"/>
    <n v="0"/>
    <n v="0"/>
    <n v="0"/>
    <n v="142"/>
    <n v="683446"/>
    <n v="0"/>
    <n v="0"/>
    <n v="142"/>
    <n v="0"/>
    <m/>
    <n v="0"/>
    <n v="0"/>
    <n v="683446"/>
    <n v="0"/>
    <n v="0"/>
    <n v="0"/>
    <n v="142"/>
    <n v="683446"/>
    <n v="0"/>
    <n v="0"/>
    <n v="147"/>
    <n v="5"/>
    <n v="150"/>
    <n v="150"/>
    <n v="0"/>
    <n v="707511"/>
    <n v="23805"/>
    <n v="690344.9999999999"/>
    <n v="0"/>
    <n v="147"/>
    <n v="683446"/>
    <n v="63346.63865546219"/>
    <n v="40"/>
    <n v="142"/>
    <n v="40"/>
    <n v="0"/>
    <n v="0"/>
    <n v="0"/>
    <n v="683446"/>
    <n v="190440"/>
    <n v="0"/>
    <n v="0"/>
    <n v="142"/>
    <n v="683446"/>
    <n v="506773.1092436975"/>
    <n v="60"/>
    <n v="102"/>
    <n v="60"/>
    <n v="120"/>
    <n v="120"/>
    <n v="171"/>
    <n v="485622"/>
    <n v="285660"/>
    <n v="571320"/>
    <n v="814131"/>
    <n v="273"/>
    <n v="1299753"/>
    <n v="760159.6638655462"/>
    <n v="80"/>
    <n v="213"/>
    <n v="80"/>
    <n v="0"/>
    <n v="0"/>
    <n v="0"/>
    <n v="0"/>
    <n v="1014093"/>
    <n v="380880"/>
    <n v="0"/>
    <n v="0"/>
    <n v="213"/>
    <n v="1014093"/>
    <n v="861514.2857142857"/>
    <n v="60"/>
    <n v="133"/>
    <n v="60"/>
    <n v="100"/>
    <n v="100"/>
    <n v="633213"/>
    <n v="285660"/>
    <n v="476100"/>
    <n v="476100"/>
    <n v="233"/>
    <n v="1109313"/>
    <n v="678442.4999999999"/>
    <n v="70"/>
    <n v="173"/>
    <n v="70"/>
    <n v="0"/>
    <n v="0"/>
    <n v="823653"/>
    <n v="333270"/>
    <n v="0"/>
    <n v="173"/>
    <n v="823653"/>
    <n v="886852.9411764706"/>
    <n v="36"/>
    <n v="103"/>
    <n v="36"/>
    <n v="0"/>
    <m/>
    <n v="490383"/>
    <n v="173268"/>
    <n v="0"/>
    <n v="103"/>
    <n v="490383"/>
    <n v="456095.7983193277"/>
  </r>
  <r>
    <m/>
    <x v="9"/>
    <x v="34"/>
    <x v="84"/>
    <s v="XRCOBSUV-BS"/>
    <x v="788"/>
    <x v="621"/>
    <x v="0"/>
    <x v="4"/>
    <n v="1"/>
    <x v="3"/>
    <n v="95"/>
    <m/>
    <n v="0"/>
    <n v="6174"/>
    <n v="586530"/>
    <n v="4.6"/>
    <n v="5025.5"/>
    <n v="12669.32773109244"/>
    <n v="10768.92857142857"/>
    <s v="Shenzhen"/>
    <s v="30/70"/>
    <n v="30"/>
    <n v="50"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n v="0"/>
    <s v=""/>
    <n v="0"/>
    <n v="0"/>
    <s v=""/>
    <n v="0"/>
    <n v="31"/>
    <n v="0.6931218558601498"/>
    <n v="3.1"/>
    <n v="12"/>
    <n v="0.6883232804242513"/>
    <n v="0.3"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95"/>
    <n v="586530"/>
    <n v="0"/>
    <n v="0"/>
    <n v="0"/>
    <n v="0"/>
    <n v="0"/>
    <n v="0"/>
    <n v="0"/>
    <n v="0"/>
    <n v="0"/>
    <n v="0"/>
    <n v="95"/>
    <n v="586530"/>
    <n v="0"/>
    <n v="0"/>
    <n v="0"/>
    <n v="0"/>
    <n v="0"/>
    <n v="0"/>
    <n v="0"/>
    <n v="0"/>
    <n v="0"/>
    <n v="0"/>
    <n v="95"/>
    <n v="586530"/>
    <n v="0"/>
    <n v="0"/>
    <n v="95"/>
    <n v="0"/>
    <m/>
    <n v="0"/>
    <n v="0"/>
    <n v="586530"/>
    <n v="0"/>
    <n v="0"/>
    <n v="0"/>
    <n v="95"/>
    <n v="586530"/>
    <n v="0"/>
    <n v="0"/>
    <n v="95"/>
    <n v="0"/>
    <m/>
    <n v="0"/>
    <n v="0"/>
    <n v="586530"/>
    <n v="0"/>
    <n v="0"/>
    <n v="0"/>
    <n v="95"/>
    <n v="586530"/>
    <n v="0"/>
    <n v="10"/>
    <n v="126"/>
    <n v="31"/>
    <n v="150"/>
    <n v="150"/>
    <n v="0"/>
    <n v="777924"/>
    <n v="147591"/>
    <n v="690344.9999999999"/>
    <n v="0"/>
    <n v="126"/>
    <n v="586530"/>
    <n v="392749.1596638655"/>
    <n v="40"/>
    <n v="95"/>
    <n v="40"/>
    <n v="0"/>
    <n v="0"/>
    <n v="0"/>
    <n v="586530"/>
    <n v="190440"/>
    <n v="0"/>
    <n v="0"/>
    <n v="95"/>
    <n v="586530"/>
    <n v="506773.1092436975"/>
    <n v="60"/>
    <n v="55"/>
    <n v="60"/>
    <n v="150"/>
    <n v="150"/>
    <n v="74"/>
    <n v="261855"/>
    <n v="285660"/>
    <n v="714150"/>
    <n v="352314"/>
    <n v="129"/>
    <n v="614169"/>
    <n v="760159.6638655462"/>
    <n v="100"/>
    <n v="145"/>
    <n v="100"/>
    <n v="0"/>
    <n v="0"/>
    <n v="0"/>
    <n v="76"/>
    <n v="690345"/>
    <n v="476100"/>
    <n v="0"/>
    <n v="361836"/>
    <n v="145"/>
    <n v="1052181"/>
    <n v="1076892.857142857"/>
    <n v="80"/>
    <n v="45"/>
    <n v="80"/>
    <m/>
    <n v="0"/>
    <n v="214245"/>
    <n v="380880"/>
    <n v="0"/>
    <n v="0"/>
    <n v="45"/>
    <n v="214245"/>
    <n v="904590"/>
    <n v="90"/>
    <n v="0"/>
    <n v="90"/>
    <n v="0"/>
    <n v="0"/>
    <n v="0"/>
    <n v="428490"/>
    <n v="0"/>
    <n v="0"/>
    <n v="0"/>
    <n v="1140239.495798319"/>
    <n v="48"/>
    <n v="0"/>
    <n v="48"/>
    <n v="0"/>
    <m/>
    <n v="0"/>
    <n v="296352"/>
    <n v="0"/>
    <n v="0"/>
    <n v="0"/>
    <n v="608127.7310924369"/>
  </r>
  <r>
    <m/>
    <x v="9"/>
    <x v="34"/>
    <x v="84"/>
    <s v="XRFUNCASUN-BK"/>
    <x v="789"/>
    <x v="622"/>
    <x v="0"/>
    <x v="4"/>
    <n v="1"/>
    <x v="413"/>
    <n v="58"/>
    <m/>
    <n v="0"/>
    <n v="24128"/>
    <n v="1399424"/>
    <n v="20"/>
    <n v="21850"/>
    <n v="50411.76470588236"/>
    <n v="50411.76470588236"/>
    <s v="Ningbo"/>
    <s v="30/70"/>
    <n v="30"/>
    <n v="1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0"/>
    <n v="0.2386503847968029"/>
    <n v="2"/>
    <n v="12"/>
    <n v="0.5897632518931275"/>
    <n v="0.6"/>
    <n v="11"/>
    <n v="0.3695769821355006"/>
    <n v="0.275"/>
    <n v="4"/>
    <n v="0.4778610656482997"/>
    <n v="0.2666666666666667"/>
    <n v="4"/>
    <n v="0.51938750484369"/>
    <n v="0.2666666666666667"/>
    <m/>
    <m/>
    <m/>
    <m/>
    <m/>
    <m/>
    <m/>
    <m/>
    <m/>
    <m/>
    <m/>
    <m/>
    <n v="0"/>
    <n v="0"/>
    <n v="0"/>
    <n v="0"/>
    <m/>
    <n v="0"/>
    <n v="0"/>
    <n v="0"/>
    <n v="0"/>
    <n v="0"/>
    <n v="58"/>
    <n v="1399424"/>
    <n v="0"/>
    <n v="5"/>
    <n v="0"/>
    <n v="0"/>
    <n v="100"/>
    <n v="100"/>
    <n v="0"/>
    <n v="241280"/>
    <n v="0"/>
    <n v="0"/>
    <n v="0"/>
    <n v="58"/>
    <n v="1399424"/>
    <n v="0"/>
    <n v="0"/>
    <n v="0"/>
    <n v="0"/>
    <n v="0"/>
    <n v="0"/>
    <n v="655280"/>
    <n v="0"/>
    <n v="0"/>
    <n v="0"/>
    <n v="58"/>
    <n v="1399424"/>
    <n v="0"/>
    <n v="5"/>
    <n v="100"/>
    <n v="10"/>
    <n v="0"/>
    <n v="0"/>
    <n v="2070000"/>
    <n v="241280"/>
    <n v="0"/>
    <n v="0"/>
    <n v="58"/>
    <n v="1399424"/>
    <n v="504117.6470588236"/>
    <n v="20"/>
    <n v="70"/>
    <n v="20"/>
    <m/>
    <n v="0"/>
    <n v="0"/>
    <n v="1688960"/>
    <n v="414000"/>
    <n v="0"/>
    <n v="0"/>
    <n v="58"/>
    <n v="1399424"/>
    <n v="1008235.294117647"/>
    <n v="40"/>
    <n v="69"/>
    <n v="11"/>
    <m/>
    <n v="0"/>
    <n v="0"/>
    <n v="1664832"/>
    <n v="227700"/>
    <n v="0"/>
    <n v="0"/>
    <n v="69"/>
    <n v="1399424"/>
    <n v="554529.4117647059"/>
    <n v="15"/>
    <n v="62"/>
    <n v="4"/>
    <n v="100"/>
    <n v="0"/>
    <n v="0"/>
    <n v="1495936"/>
    <n v="82800"/>
    <n v="2001000"/>
    <n v="0"/>
    <n v="62"/>
    <n v="1399424"/>
    <n v="201647.0588235294"/>
    <n v="15"/>
    <n v="58"/>
    <n v="15"/>
    <n v="0"/>
    <n v="100"/>
    <n v="0"/>
    <n v="1399424"/>
    <n v="310500"/>
    <n v="0"/>
    <n v="0"/>
    <n v="58"/>
    <n v="1399424"/>
    <n v="756176.4705882353"/>
    <n v="15"/>
    <n v="43"/>
    <n v="15"/>
    <n v="0"/>
    <n v="0"/>
    <n v="100"/>
    <n v="890100"/>
    <n v="310500"/>
    <n v="0"/>
    <n v="2070000"/>
    <n v="143"/>
    <n v="2960100"/>
    <n v="756176.4705882353"/>
    <n v="25"/>
    <n v="128"/>
    <n v="25"/>
    <n v="0"/>
    <n v="0"/>
    <n v="0"/>
    <m/>
    <n v="2649600"/>
    <n v="517500"/>
    <n v="0"/>
    <n v="0"/>
    <n v="128"/>
    <n v="2649600"/>
    <n v="1260294.117647059"/>
    <n v="20"/>
    <n v="103"/>
    <n v="20"/>
    <m/>
    <n v="0"/>
    <n v="2132100"/>
    <n v="414000"/>
    <n v="0"/>
    <n v="0"/>
    <n v="103"/>
    <n v="2132100"/>
    <n v="1058647.058823529"/>
    <n v="30"/>
    <n v="83"/>
    <n v="30"/>
    <n v="0"/>
    <n v="0"/>
    <n v="1718100"/>
    <n v="621000"/>
    <n v="0"/>
    <n v="83"/>
    <n v="1718100"/>
    <n v="1512352.941176471"/>
    <n v="12"/>
    <n v="53"/>
    <n v="12"/>
    <n v="0"/>
    <m/>
    <n v="1097100"/>
    <n v="289536"/>
    <n v="0"/>
    <n v="53"/>
    <n v="1097100"/>
    <n v="604941.1764705883"/>
  </r>
  <r>
    <m/>
    <x v="9"/>
    <x v="34"/>
    <x v="84"/>
    <s v="XRPISUNIS3-BK"/>
    <x v="790"/>
    <x v="623"/>
    <x v="0"/>
    <x v="4"/>
    <n v="1"/>
    <x v="3"/>
    <n v="153"/>
    <m/>
    <n v="0"/>
    <n v="4605"/>
    <n v="704565"/>
    <n v="3"/>
    <n v="3277.5"/>
    <n v="8262.605042016805"/>
    <n v="10915.96638655462"/>
    <s v="Shenzhen"/>
    <s v="30/70"/>
    <n v="30"/>
    <n v="100"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1"/>
    <n v="0.2000720945020768"/>
    <n v="0"/>
    <s v=""/>
    <n v="0"/>
    <n v="2"/>
    <n v="0.5108424416450537"/>
    <n v="0.06666666666666667"/>
    <n v="11"/>
    <n v="0.4841789446256716"/>
    <n v="0.275"/>
    <n v="20"/>
    <n v="0.5332248670020648"/>
    <n v="1.666666666666667"/>
    <n v="13"/>
    <n v="0.4832728706250593"/>
    <n v="0.8666666666666667"/>
    <m/>
    <m/>
    <m/>
    <m/>
    <m/>
    <m/>
    <m/>
    <m/>
    <m/>
    <m/>
    <m/>
    <m/>
    <n v="0"/>
    <n v="0"/>
    <n v="0"/>
    <n v="0"/>
    <m/>
    <n v="0"/>
    <n v="4605"/>
    <n v="0"/>
    <n v="0"/>
    <n v="0"/>
    <n v="153"/>
    <n v="704565"/>
    <n v="0"/>
    <n v="5"/>
    <n v="0"/>
    <n v="0"/>
    <n v="100"/>
    <n v="100"/>
    <n v="0"/>
    <n v="4605"/>
    <n v="0"/>
    <n v="0"/>
    <n v="0"/>
    <n v="153"/>
    <n v="704565"/>
    <n v="0"/>
    <n v="0"/>
    <n v="0"/>
    <n v="1"/>
    <n v="0"/>
    <n v="0"/>
    <n v="97754.99999999999"/>
    <n v="0"/>
    <n v="4605"/>
    <n v="0"/>
    <n v="153"/>
    <n v="704565"/>
    <n v="8262.605042016805"/>
    <n v="10"/>
    <n v="95"/>
    <n v="0"/>
    <n v="0"/>
    <n v="0"/>
    <n v="294974.9999999999"/>
    <n v="0"/>
    <n v="0"/>
    <n v="0"/>
    <n v="153"/>
    <n v="704565"/>
    <n v="0"/>
    <n v="30"/>
    <n v="155"/>
    <n v="30"/>
    <m/>
    <n v="0"/>
    <n v="0"/>
    <n v="713775"/>
    <n v="93149.99999999999"/>
    <n v="0"/>
    <n v="0"/>
    <n v="153"/>
    <n v="704565"/>
    <n v="247878.1512605041"/>
    <n v="40"/>
    <n v="164"/>
    <n v="11"/>
    <m/>
    <n v="0"/>
    <n v="0"/>
    <n v="755220"/>
    <n v="34154.99999999999"/>
    <n v="0"/>
    <n v="0"/>
    <n v="164"/>
    <n v="704565"/>
    <n v="90888.65546218485"/>
    <n v="12"/>
    <n v="173"/>
    <n v="20"/>
    <n v="100"/>
    <n v="100"/>
    <n v="0"/>
    <n v="796665"/>
    <n v="62099.99999999999"/>
    <n v="300149.9999999999"/>
    <n v="0"/>
    <n v="173"/>
    <n v="704565"/>
    <n v="165252.1008403361"/>
    <n v="15"/>
    <n v="153"/>
    <n v="15"/>
    <n v="0"/>
    <n v="0"/>
    <n v="0"/>
    <n v="704565"/>
    <n v="46574.99999999999"/>
    <n v="0"/>
    <n v="0"/>
    <n v="153"/>
    <n v="704565"/>
    <n v="123939.0756302521"/>
    <n v="20"/>
    <n v="138"/>
    <n v="20"/>
    <n v="100"/>
    <n v="100"/>
    <n v="0"/>
    <n v="428489.9999999999"/>
    <n v="62099.99999999999"/>
    <n v="310499.9999999999"/>
    <n v="0"/>
    <n v="138"/>
    <n v="428489.9999999999"/>
    <n v="165252.1008403361"/>
    <n v="20"/>
    <n v="218"/>
    <n v="20"/>
    <n v="0"/>
    <n v="0"/>
    <n v="0"/>
    <n v="100"/>
    <n v="676889.9999999999"/>
    <n v="62099.99999999999"/>
    <n v="0"/>
    <n v="310499.9999999999"/>
    <n v="218"/>
    <n v="987389.9999999998"/>
    <n v="218319.3277310925"/>
    <n v="20"/>
    <n v="198"/>
    <n v="20"/>
    <m/>
    <n v="0"/>
    <n v="614789.9999999999"/>
    <n v="62099.99999999999"/>
    <n v="0"/>
    <n v="0"/>
    <n v="198"/>
    <n v="614789.9999999999"/>
    <n v="229235.2941176471"/>
    <n v="25"/>
    <n v="178"/>
    <n v="25"/>
    <n v="0"/>
    <n v="0"/>
    <n v="552689.9999999999"/>
    <n v="77624.99999999999"/>
    <n v="0"/>
    <n v="178"/>
    <n v="552689.9999999999"/>
    <n v="206565.1260504201"/>
    <n v="12"/>
    <n v="153"/>
    <n v="12"/>
    <n v="0"/>
    <m/>
    <n v="475064.9999999999"/>
    <n v="55260"/>
    <n v="0"/>
    <n v="153"/>
    <n v="475064.9999999999"/>
    <n v="99151.26050420167"/>
  </r>
  <r>
    <m/>
    <x v="9"/>
    <x v="34"/>
    <x v="84"/>
    <s v="XRPISUNIS-BK"/>
    <x v="791"/>
    <x v="624"/>
    <x v="0"/>
    <x v="5"/>
    <n v="1"/>
    <x v="414"/>
    <n v="187"/>
    <m/>
    <n v="0"/>
    <n v="3471"/>
    <n v="649077"/>
    <n v="3"/>
    <n v="3277.5"/>
    <n v="8394.957983193277"/>
    <n v="8394.957983193277"/>
    <s v="Shenzhen"/>
    <s v="30/70"/>
    <n v="30"/>
    <n v="100"/>
    <n v="0"/>
    <s v=""/>
    <n v="0"/>
    <s v=""/>
    <n v="0"/>
    <s v=""/>
    <n v="0"/>
    <s v=""/>
    <n v="0"/>
    <s v=""/>
    <n v="3"/>
    <n v="0.6753666587266478"/>
    <n v="8"/>
    <n v="0.616404578522858"/>
    <n v="16"/>
    <n v="0.6038610773710469"/>
    <n v="24"/>
    <n v="0.616404335496689"/>
    <n v="21"/>
    <n v="0.5772880394859256"/>
    <n v="14"/>
    <n v="0.5497430468655184"/>
    <n v="11"/>
    <n v="0.6376866404009748"/>
    <n v="0"/>
    <s v=""/>
    <n v="7"/>
    <n v="0.5526208536793983"/>
    <n v="17"/>
    <n v="0.4082650153622752"/>
    <n v="12"/>
    <n v="0.4785860955431097"/>
    <n v="0.3428571428571429"/>
    <n v="17"/>
    <n v="0.6255770733926759"/>
    <n v="0.425"/>
    <n v="41"/>
    <n v="0.4359721786874229"/>
    <n v="0.82"/>
    <n v="15"/>
    <n v="0.5563687556727487"/>
    <n v="0.6"/>
    <n v="2"/>
    <n v="0.5405962180200222"/>
    <n v="0.08"/>
    <m/>
    <m/>
    <m/>
    <m/>
    <m/>
    <m/>
    <m/>
    <m/>
    <m/>
    <m/>
    <m/>
    <m/>
    <n v="30"/>
    <n v="1"/>
    <n v="30"/>
    <n v="100"/>
    <n v="100"/>
    <n v="0"/>
    <n v="199582.5"/>
    <n v="3105"/>
    <n v="104130"/>
    <n v="0"/>
    <n v="187"/>
    <n v="649077"/>
    <n v="211637.5962149566"/>
    <n v="25"/>
    <n v="101"/>
    <n v="10.5"/>
    <n v="45"/>
    <n v="45"/>
    <n v="0"/>
    <n v="137104.5"/>
    <n v="313604.9999999999"/>
    <n v="36445.5"/>
    <n v="0"/>
    <n v="187"/>
    <n v="649077"/>
    <n v="74073.15867523479"/>
    <n v="30"/>
    <n v="140"/>
    <n v="17"/>
    <n v="0"/>
    <n v="0"/>
    <n v="224859"/>
    <n v="485940"/>
    <n v="59007"/>
    <n v="0"/>
    <n v="187"/>
    <n v="649077"/>
    <n v="142714.2857142857"/>
    <n v="35"/>
    <n v="168"/>
    <n v="12"/>
    <n v="50"/>
    <n v="0"/>
    <n v="521639.9999999999"/>
    <n v="41652"/>
    <n v="155250"/>
    <n v="0"/>
    <n v="187"/>
    <n v="649077"/>
    <n v="100739.4957983193"/>
    <n v="40"/>
    <n v="204"/>
    <n v="40"/>
    <m/>
    <n v="0"/>
    <n v="0"/>
    <n v="708084"/>
    <n v="124200"/>
    <n v="0"/>
    <n v="0"/>
    <n v="187"/>
    <n v="649077"/>
    <n v="335798.3193277311"/>
    <n v="50"/>
    <n v="228"/>
    <n v="41"/>
    <m/>
    <n v="0"/>
    <n v="0"/>
    <n v="791388"/>
    <n v="127305"/>
    <n v="0"/>
    <n v="0"/>
    <n v="228"/>
    <n v="649077"/>
    <n v="344193.2773109244"/>
    <n v="25"/>
    <n v="202"/>
    <n v="15"/>
    <n v="100"/>
    <n v="100"/>
    <n v="0"/>
    <n v="701142"/>
    <n v="46574.99999999999"/>
    <n v="300149.9999999999"/>
    <n v="0"/>
    <n v="202"/>
    <n v="649077"/>
    <n v="125924.3697478992"/>
    <n v="25"/>
    <n v="187"/>
    <n v="25"/>
    <n v="0"/>
    <n v="0"/>
    <n v="0"/>
    <n v="649077"/>
    <n v="77624.99999999999"/>
    <n v="0"/>
    <n v="0"/>
    <n v="187"/>
    <n v="649077"/>
    <n v="209873.9495798319"/>
    <n v="20"/>
    <n v="162"/>
    <n v="20"/>
    <n v="0"/>
    <n v="0"/>
    <n v="0"/>
    <n v="503009.9999999999"/>
    <n v="62099.99999999999"/>
    <n v="0"/>
    <n v="0"/>
    <n v="162"/>
    <n v="503009.9999999999"/>
    <n v="167899.1596638655"/>
    <n v="30"/>
    <n v="142"/>
    <n v="30"/>
    <n v="0"/>
    <n v="0"/>
    <n v="0"/>
    <m/>
    <n v="440909.9999999999"/>
    <n v="93149.99999999999"/>
    <n v="0"/>
    <n v="0"/>
    <n v="142"/>
    <n v="440909.9999999999"/>
    <n v="251848.7394957983"/>
    <n v="30"/>
    <n v="112"/>
    <n v="30"/>
    <m/>
    <n v="0"/>
    <n v="347759.9999999999"/>
    <n v="93149.99999999999"/>
    <n v="0"/>
    <n v="0"/>
    <n v="112"/>
    <n v="347759.9999999999"/>
    <n v="264441.1764705883"/>
    <n v="30"/>
    <n v="82"/>
    <n v="30"/>
    <n v="0"/>
    <n v="0"/>
    <n v="254610"/>
    <n v="93149.99999999999"/>
    <n v="0"/>
    <n v="82"/>
    <n v="254610"/>
    <n v="251848.7394957983"/>
    <n v="18"/>
    <n v="52"/>
    <n v="18"/>
    <n v="0"/>
    <m/>
    <n v="161460"/>
    <n v="62478"/>
    <n v="0"/>
    <n v="52"/>
    <n v="161460"/>
    <n v="151109.243697479"/>
  </r>
  <r>
    <m/>
    <x v="9"/>
    <x v="34"/>
    <x v="85"/>
    <s v="XRCADCANRR"/>
    <x v="792"/>
    <x v="625"/>
    <x v="0"/>
    <x v="4"/>
    <n v="1"/>
    <x v="3"/>
    <n v="6"/>
    <m/>
    <n v="0"/>
    <n v="6563"/>
    <n v="39378"/>
    <n v="7.15"/>
    <n v="8193.75"/>
    <n v="33605.04201680672"/>
    <n v="29403.36134453782"/>
    <s v="Shenzhen"/>
    <s v="30/70"/>
    <n v="30"/>
    <n v="100"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80"/>
    <n v="0.599676725225437"/>
    <n v="1.6"/>
    <n v="59"/>
    <n v="0.7967695564542804"/>
    <n v="0.6555555555555556"/>
    <n v="83"/>
    <n v="0.5233212424824455"/>
    <n v="0.6916666666666667"/>
    <n v="60"/>
    <n v="0.7525626983065572"/>
    <n v="1"/>
    <n v="0"/>
    <s v=""/>
    <n v="0"/>
    <m/>
    <m/>
    <m/>
    <m/>
    <m/>
    <m/>
    <m/>
    <m/>
    <m/>
    <m/>
    <m/>
    <m/>
    <n v="0"/>
    <n v="0"/>
    <n v="0"/>
    <n v="0"/>
    <m/>
    <n v="0"/>
    <n v="0"/>
    <n v="0"/>
    <n v="0"/>
    <n v="0"/>
    <n v="6"/>
    <n v="39378"/>
    <n v="0"/>
    <n v="5"/>
    <n v="0"/>
    <n v="0"/>
    <n v="300"/>
    <n v="300"/>
    <n v="0"/>
    <n v="525040"/>
    <n v="0"/>
    <n v="0"/>
    <n v="0"/>
    <n v="6"/>
    <n v="39378"/>
    <n v="0"/>
    <n v="0"/>
    <n v="0"/>
    <n v="0"/>
    <n v="0"/>
    <n v="0"/>
    <n v="1191062.5"/>
    <n v="0"/>
    <n v="0"/>
    <n v="0"/>
    <n v="6"/>
    <n v="39378"/>
    <n v="0"/>
    <n v="50"/>
    <n v="297"/>
    <n v="80"/>
    <n v="0"/>
    <n v="0"/>
    <n v="2197874.25"/>
    <n v="525040"/>
    <n v="0"/>
    <n v="0"/>
    <n v="6"/>
    <n v="39378"/>
    <n v="2688403.361344538"/>
    <n v="90"/>
    <n v="65"/>
    <n v="90"/>
    <m/>
    <n v="0"/>
    <n v="0"/>
    <n v="426595"/>
    <n v="666022.4999999999"/>
    <n v="0"/>
    <n v="0"/>
    <n v="6"/>
    <n v="39378"/>
    <n v="3024453.781512605"/>
    <n v="120"/>
    <n v="89"/>
    <n v="83"/>
    <m/>
    <n v="0"/>
    <n v="0"/>
    <n v="584107"/>
    <n v="614220.7499999999"/>
    <n v="0"/>
    <n v="0"/>
    <n v="89"/>
    <n v="39378"/>
    <n v="2789218.487394958"/>
    <n v="60"/>
    <n v="66"/>
    <n v="60"/>
    <n v="0"/>
    <n v="0"/>
    <n v="0"/>
    <n v="433158"/>
    <n v="444014.9999999999"/>
    <n v="0"/>
    <n v="0"/>
    <n v="66"/>
    <n v="39378"/>
    <n v="2016302.521008403"/>
    <n v="60"/>
    <n v="6"/>
    <n v="60"/>
    <n v="300"/>
    <n v="300"/>
    <n v="0"/>
    <n v="39378"/>
    <n v="444014.9999999999"/>
    <n v="2220075"/>
    <n v="0"/>
    <n v="6"/>
    <n v="39378"/>
    <n v="2016302.521008403"/>
    <n v="60"/>
    <n v="0"/>
    <n v="60"/>
    <n v="0"/>
    <n v="0"/>
    <n v="300"/>
    <n v="0"/>
    <n v="444014.9999999999"/>
    <n v="0"/>
    <n v="2220075"/>
    <n v="300"/>
    <n v="2220075"/>
    <n v="2016302.521008403"/>
    <n v="120"/>
    <n v="240"/>
    <n v="120"/>
    <n v="0"/>
    <n v="0"/>
    <n v="0"/>
    <m/>
    <n v="1776060"/>
    <n v="888029.9999999999"/>
    <n v="0"/>
    <n v="0"/>
    <n v="240"/>
    <n v="1776060"/>
    <n v="3528403.361344538"/>
    <n v="100"/>
    <n v="120"/>
    <n v="100"/>
    <n v="300"/>
    <n v="300"/>
    <n v="888029.9999999999"/>
    <n v="740024.9999999999"/>
    <n v="2220075"/>
    <n v="2220075"/>
    <n v="420"/>
    <n v="3108105"/>
    <n v="3087352.941176471"/>
    <n v="140"/>
    <n v="320"/>
    <n v="140"/>
    <n v="0"/>
    <n v="0"/>
    <n v="2368080"/>
    <n v="1036035"/>
    <n v="0"/>
    <n v="320"/>
    <n v="2368080"/>
    <n v="4704705.882352941"/>
    <n v="60"/>
    <n v="180"/>
    <n v="60"/>
    <n v="0"/>
    <m/>
    <n v="1332045"/>
    <n v="393780"/>
    <n v="0"/>
    <n v="180"/>
    <n v="1332045"/>
    <n v="2016302.521008403"/>
  </r>
  <r>
    <m/>
    <x v="9"/>
    <x v="35"/>
    <x v="86"/>
    <n v="1650301031879"/>
    <x v="793"/>
    <x v="626"/>
    <x v="0"/>
    <x v="1"/>
    <n v="1"/>
    <x v="415"/>
    <n v="63"/>
    <m/>
    <n v="0"/>
    <n v="21562"/>
    <n v="1358406"/>
    <n v="20.7"/>
    <n v="22614.75"/>
    <n v="50411.76470588236"/>
    <n v="42008.40336134454"/>
    <s v="Shenzhen"/>
    <s v="30/70"/>
    <n v="30"/>
    <n v="50"/>
    <n v="144"/>
    <n v="0.6339830818051353"/>
    <n v="35"/>
    <n v="0.6408014365584193"/>
    <n v="30"/>
    <n v="0.6422292627397198"/>
    <n v="23"/>
    <n v="0.6330330866763336"/>
    <n v="20"/>
    <n v="0.5985315245047542"/>
    <n v="89"/>
    <n v="0.5444348762068717"/>
    <n v="74"/>
    <n v="0.5775629207935132"/>
    <n v="59"/>
    <n v="0.5740015813307741"/>
    <n v="37"/>
    <n v="0.6436125089000008"/>
    <n v="124"/>
    <n v="0.4992182194206518"/>
    <n v="84"/>
    <n v="0.5281594043559832"/>
    <n v="88"/>
    <n v="0.5874985101312075"/>
    <n v="190"/>
    <n v="0.4947672927725921"/>
    <n v="74"/>
    <n v="0.4741857262576297"/>
    <n v="70"/>
    <n v="0.4320063059245902"/>
    <n v="39"/>
    <n v="0.4886727096619335"/>
    <n v="0.8666666666666667"/>
    <n v="34"/>
    <n v="0.645443821537024"/>
    <n v="0.7555555555555555"/>
    <n v="86"/>
    <n v="0.3998917813932771"/>
    <n v="1.228571428571429"/>
    <n v="0"/>
    <s v=""/>
    <n v="0"/>
    <n v="0"/>
    <s v=""/>
    <n v="0"/>
    <m/>
    <m/>
    <m/>
    <m/>
    <m/>
    <m/>
    <m/>
    <m/>
    <m/>
    <m/>
    <m/>
    <m/>
    <n v="120"/>
    <n v="189"/>
    <n v="120"/>
    <n v="100"/>
    <n v="100"/>
    <n v="0"/>
    <n v="6490162"/>
    <n v="4049230.5"/>
    <n v="2587440"/>
    <n v="0"/>
    <n v="63"/>
    <n v="1358406"/>
    <n v="5083539.29807217"/>
    <n v="75"/>
    <n v="98"/>
    <n v="111"/>
    <n v="143"/>
    <n v="143"/>
    <n v="0"/>
    <n v="4743640"/>
    <n v="2099601"/>
    <n v="2393382"/>
    <n v="0"/>
    <n v="63"/>
    <n v="1358406"/>
    <n v="4702273.850716759"/>
    <n v="60"/>
    <n v="185"/>
    <n v="70"/>
    <n v="0"/>
    <n v="0"/>
    <n v="3314360.5"/>
    <n v="3988970"/>
    <n v="1509340"/>
    <n v="0"/>
    <n v="63"/>
    <n v="1358406"/>
    <n v="3528823.529411765"/>
    <n v="45"/>
    <n v="141"/>
    <n v="39"/>
    <n v="15"/>
    <n v="0"/>
    <n v="3020854.5"/>
    <n v="840918"/>
    <n v="321367.5"/>
    <n v="0"/>
    <n v="63"/>
    <n v="1358406"/>
    <n v="1966058.823529412"/>
    <n v="45"/>
    <n v="97"/>
    <n v="45"/>
    <m/>
    <n v="0"/>
    <n v="0"/>
    <n v="2091514"/>
    <n v="964102.5"/>
    <n v="0"/>
    <n v="0"/>
    <n v="63"/>
    <n v="1358406"/>
    <n v="2268529.411764706"/>
    <n v="70"/>
    <n v="149"/>
    <n v="86"/>
    <m/>
    <n v="0"/>
    <n v="0"/>
    <n v="3212738"/>
    <n v="1842507"/>
    <n v="0"/>
    <n v="0"/>
    <n v="149"/>
    <n v="1358406"/>
    <n v="4335411.764705882"/>
    <n v="65"/>
    <n v="63"/>
    <n v="0"/>
    <n v="100"/>
    <n v="100"/>
    <n v="0"/>
    <n v="1358406"/>
    <n v="0"/>
    <n v="2071035"/>
    <n v="0"/>
    <n v="63"/>
    <n v="1358406"/>
    <n v="0"/>
    <n v="75"/>
    <n v="63"/>
    <n v="75"/>
    <n v="150"/>
    <n v="150"/>
    <n v="0"/>
    <n v="1358406"/>
    <n v="1606837.5"/>
    <n v="3213675"/>
    <n v="0"/>
    <n v="63"/>
    <n v="1358406"/>
    <n v="3780882.352941177"/>
    <n v="70"/>
    <n v="0"/>
    <n v="70"/>
    <n v="0"/>
    <n v="0"/>
    <n v="150"/>
    <n v="0"/>
    <n v="1499715"/>
    <n v="0"/>
    <n v="3213675"/>
    <n v="150"/>
    <n v="3213675"/>
    <n v="3528823.529411765"/>
    <n v="90"/>
    <n v="80"/>
    <n v="80"/>
    <n v="100"/>
    <n v="100"/>
    <n v="100"/>
    <n v="0"/>
    <n v="1713960"/>
    <n v="1713960"/>
    <n v="2142450"/>
    <n v="2142450"/>
    <n v="180"/>
    <n v="3856410"/>
    <n v="3360672.268907563"/>
    <n v="80"/>
    <n v="100"/>
    <n v="80"/>
    <m/>
    <n v="0"/>
    <n v="2142450"/>
    <n v="1713960"/>
    <n v="0"/>
    <n v="0"/>
    <n v="100"/>
    <n v="2142450"/>
    <n v="3528705.882352942"/>
    <n v="100"/>
    <n v="20"/>
    <n v="100"/>
    <n v="0"/>
    <n v="0"/>
    <n v="428490"/>
    <n v="2142450"/>
    <n v="0"/>
    <n v="20"/>
    <n v="428490"/>
    <n v="5041176.470588236"/>
    <n v="48"/>
    <n v="0"/>
    <n v="48"/>
    <n v="0"/>
    <m/>
    <n v="0"/>
    <n v="1034976"/>
    <n v="0"/>
    <n v="0"/>
    <n v="0"/>
    <n v="2419764.705882353"/>
  </r>
  <r>
    <m/>
    <x v="9"/>
    <x v="35"/>
    <x v="86"/>
    <n v="1650302273911"/>
    <x v="794"/>
    <x v="627"/>
    <x v="0"/>
    <x v="3"/>
    <n v="0.75"/>
    <x v="416"/>
    <n v="170"/>
    <m/>
    <n v="0"/>
    <n v="40901"/>
    <n v="6953170"/>
    <n v="36.5"/>
    <n v="39876.25"/>
    <n v="75621.84873949581"/>
    <n v="71420.1680672269"/>
    <s v="Shenzhen"/>
    <s v="30/70"/>
    <n v="30"/>
    <n v="20"/>
    <n v="67"/>
    <n v="0.4703708414033077"/>
    <n v="29"/>
    <n v="0.4835990928374311"/>
    <n v="2"/>
    <n v="0.4433990498224863"/>
    <n v="4"/>
    <n v="0.5293592249331894"/>
    <n v="0"/>
    <n v="0.5352422493305564"/>
    <n v="5"/>
    <n v="0.468841183036534"/>
    <n v="2"/>
    <n v="0.5192132867132867"/>
    <n v="4"/>
    <n v="0.5380416094800254"/>
    <n v="8"/>
    <n v="0.5449031004283483"/>
    <n v="11"/>
    <n v="0.4636773335311862"/>
    <n v="11"/>
    <n v="0.4924432511437863"/>
    <n v="28"/>
    <n v="0.4765712427860154"/>
    <n v="67"/>
    <n v="0.3675324528599697"/>
    <n v="23"/>
    <n v="0.3460229249968597"/>
    <n v="3"/>
    <n v="0.3154628760894732"/>
    <n v="0"/>
    <s v=""/>
    <n v="0"/>
    <n v="1"/>
    <n v="0.2849792531120332"/>
    <n v="0.1"/>
    <n v="5"/>
    <n v="0.253304363626127"/>
    <n v="0.3333333333333333"/>
    <n v="0"/>
    <s v=""/>
    <n v="0"/>
    <n v="0"/>
    <s v=""/>
    <n v="0"/>
    <m/>
    <m/>
    <m/>
    <m/>
    <m/>
    <m/>
    <m/>
    <m/>
    <m/>
    <m/>
    <m/>
    <m/>
    <n v="50"/>
    <n v="166"/>
    <n v="50"/>
    <n v="50"/>
    <n v="50"/>
    <n v="0"/>
    <n v="3578837.5"/>
    <n v="6271065"/>
    <n v="2045050"/>
    <n v="0"/>
    <n v="170"/>
    <n v="6953170"/>
    <n v="3177388.602499824"/>
    <n v="10"/>
    <n v="81"/>
    <n v="34.5"/>
    <n v="0"/>
    <n v="0"/>
    <n v="0"/>
    <n v="1533787.5"/>
    <n v="3059977.5"/>
    <n v="1411084.5"/>
    <n v="0"/>
    <n v="170"/>
    <n v="6953170"/>
    <n v="2192398.135724878"/>
    <n v="20"/>
    <n v="71"/>
    <n v="3"/>
    <n v="0"/>
    <n v="0"/>
    <n v="406034.25"/>
    <n v="2903971"/>
    <n v="122703"/>
    <n v="0"/>
    <n v="170"/>
    <n v="6953170"/>
    <n v="226865.5462184874"/>
    <n v="4"/>
    <n v="71"/>
    <n v="0"/>
    <n v="0"/>
    <n v="0"/>
    <n v="2682202.5"/>
    <n v="0"/>
    <n v="0"/>
    <n v="0"/>
    <n v="170"/>
    <n v="6953170"/>
    <n v="0"/>
    <n v="10"/>
    <n v="171"/>
    <n v="7.5"/>
    <m/>
    <n v="0"/>
    <n v="0"/>
    <n v="6994071"/>
    <n v="283331.25"/>
    <n v="0"/>
    <n v="0"/>
    <n v="170"/>
    <n v="6953170"/>
    <n v="567163.8655462186"/>
    <n v="15"/>
    <n v="175"/>
    <n v="5"/>
    <m/>
    <n v="0"/>
    <n v="0"/>
    <n v="7157675"/>
    <n v="188887.5"/>
    <n v="0"/>
    <n v="0"/>
    <n v="175"/>
    <n v="6953170"/>
    <n v="378109.243697479"/>
    <n v="10"/>
    <n v="170"/>
    <n v="0"/>
    <n v="100"/>
    <n v="100"/>
    <n v="0"/>
    <n v="6953170"/>
    <n v="0"/>
    <n v="3651825"/>
    <n v="0"/>
    <n v="170"/>
    <n v="6953170"/>
    <n v="0"/>
    <n v="10"/>
    <n v="170"/>
    <n v="7.5"/>
    <n v="0"/>
    <n v="0"/>
    <n v="0"/>
    <n v="6953170"/>
    <n v="283331.25"/>
    <n v="0"/>
    <n v="0"/>
    <n v="170"/>
    <n v="6953170"/>
    <n v="567163.8655462186"/>
    <n v="15"/>
    <n v="162.5"/>
    <n v="11.25"/>
    <n v="0"/>
    <n v="0"/>
    <n v="0"/>
    <n v="6138843.75"/>
    <n v="424996.875"/>
    <n v="0"/>
    <n v="0"/>
    <n v="162.5"/>
    <n v="6138843.75"/>
    <n v="850745.7983193279"/>
    <n v="30"/>
    <n v="151.25"/>
    <n v="22.5"/>
    <n v="0"/>
    <n v="0"/>
    <n v="0"/>
    <m/>
    <n v="5713846.875"/>
    <n v="849993.75"/>
    <n v="0"/>
    <n v="0"/>
    <n v="151.25"/>
    <n v="5713846.875"/>
    <n v="1606953.781512605"/>
    <n v="25"/>
    <n v="128.75"/>
    <n v="18.75"/>
    <m/>
    <n v="0"/>
    <n v="4863853.125"/>
    <n v="708328.125"/>
    <n v="0"/>
    <n v="0"/>
    <n v="128.75"/>
    <n v="4863853.125"/>
    <n v="1406084.55882353"/>
    <n v="40"/>
    <n v="110"/>
    <n v="30"/>
    <n v="0"/>
    <n v="0"/>
    <n v="4155525"/>
    <n v="1133325"/>
    <n v="0"/>
    <n v="110"/>
    <n v="4155525"/>
    <n v="2268655.462184874"/>
    <n v="15"/>
    <n v="80"/>
    <n v="11.25"/>
    <n v="0"/>
    <m/>
    <n v="3022200"/>
    <n v="460136.25"/>
    <n v="0"/>
    <n v="80"/>
    <n v="3022200"/>
    <n v="850745.7983193279"/>
  </r>
  <r>
    <m/>
    <x v="9"/>
    <x v="35"/>
    <x v="86"/>
    <s v="XRBARRUN"/>
    <x v="795"/>
    <x v="628"/>
    <x v="0"/>
    <x v="4"/>
    <n v="1"/>
    <x v="3"/>
    <n v="0"/>
    <m/>
    <n v="0"/>
    <n v="18709.35"/>
    <n v="0"/>
    <n v="18.7"/>
    <n v="18709.35"/>
    <n v="47166.42857142857"/>
    <n v="40091.46428571428"/>
    <s v="Shenzhen"/>
    <s v="30/71"/>
    <n v="30"/>
    <n v="100"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100"/>
    <n v="0"/>
    <n v="0"/>
    <n v="0"/>
    <n v="0"/>
    <n v="1870935"/>
    <n v="0"/>
    <n v="0"/>
    <n v="0"/>
    <n v="0"/>
    <n v="10"/>
    <n v="0"/>
    <n v="10"/>
    <n v="0"/>
    <n v="100"/>
    <n v="0"/>
    <n v="0"/>
    <n v="193545"/>
    <n v="0"/>
    <n v="0"/>
    <n v="0"/>
    <n v="0"/>
    <n v="471664.2857142857"/>
    <n v="20"/>
    <n v="0"/>
    <n v="20"/>
    <n v="0"/>
    <n v="0"/>
    <n v="100"/>
    <n v="0"/>
    <n v="387090"/>
    <n v="0"/>
    <n v="1935450"/>
    <n v="100"/>
    <n v="1935450"/>
    <n v="943328.5714285715"/>
    <n v="35"/>
    <n v="80"/>
    <n v="35"/>
    <n v="0"/>
    <n v="0"/>
    <n v="0"/>
    <m/>
    <n v="1548360"/>
    <n v="677407.5"/>
    <n v="0"/>
    <n v="0"/>
    <n v="80"/>
    <n v="1548360"/>
    <n v="1403201.25"/>
    <n v="30"/>
    <n v="45"/>
    <n v="30"/>
    <m/>
    <n v="0"/>
    <n v="870952.5"/>
    <n v="580635"/>
    <n v="0"/>
    <n v="0"/>
    <n v="45"/>
    <n v="870952.5"/>
    <n v="1262881.125"/>
    <n v="45"/>
    <n v="15"/>
    <n v="45"/>
    <n v="0"/>
    <n v="0"/>
    <n v="290317.5"/>
    <n v="870952.5"/>
    <n v="0"/>
    <n v="15"/>
    <n v="290317.5"/>
    <n v="2122489.285714286"/>
    <n v="18"/>
    <n v="0"/>
    <n v="18"/>
    <n v="0"/>
    <m/>
    <n v="0"/>
    <n v="336768.3"/>
    <n v="0"/>
    <n v="0"/>
    <n v="0"/>
    <n v="848995.7142857143"/>
  </r>
  <r>
    <m/>
    <x v="9"/>
    <x v="35"/>
    <x v="86"/>
    <s v="XRBARRUN"/>
    <x v="796"/>
    <x v="629"/>
    <x v="0"/>
    <x v="4"/>
    <n v="1"/>
    <x v="3"/>
    <n v="0"/>
    <m/>
    <n v="0"/>
    <n v="19459.725"/>
    <n v="0"/>
    <n v="19.45"/>
    <n v="19459.725"/>
    <n v="49058.13025210084"/>
    <n v="41699.41071428571"/>
    <s v="Shenzhen"/>
    <s v="30/72"/>
    <n v="30"/>
    <n v="100"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100"/>
    <n v="0"/>
    <n v="0"/>
    <n v="0"/>
    <n v="0"/>
    <n v="1945972.5"/>
    <n v="0"/>
    <n v="0"/>
    <n v="0"/>
    <n v="0"/>
    <n v="10"/>
    <n v="0"/>
    <n v="10"/>
    <n v="0"/>
    <n v="100"/>
    <n v="0"/>
    <n v="0"/>
    <n v="201307.5"/>
    <n v="0"/>
    <n v="0"/>
    <n v="0"/>
    <n v="0"/>
    <n v="490581.3025210084"/>
    <n v="20"/>
    <n v="0"/>
    <n v="20"/>
    <n v="0"/>
    <n v="0"/>
    <n v="100"/>
    <n v="0"/>
    <n v="402615"/>
    <n v="0"/>
    <n v="2013075"/>
    <n v="100"/>
    <n v="2013075"/>
    <n v="981162.6050420168"/>
    <n v="35"/>
    <n v="80"/>
    <n v="35"/>
    <n v="0"/>
    <n v="0"/>
    <n v="0"/>
    <m/>
    <n v="1610460"/>
    <n v="704576.25"/>
    <n v="0"/>
    <n v="0"/>
    <n v="80"/>
    <n v="1610460"/>
    <n v="1459479.375"/>
    <n v="30"/>
    <n v="45"/>
    <n v="30"/>
    <m/>
    <n v="0"/>
    <n v="905883.75"/>
    <n v="603922.5"/>
    <n v="0"/>
    <n v="0"/>
    <n v="45"/>
    <n v="905883.75"/>
    <n v="1313531.4375"/>
    <n v="45"/>
    <n v="15"/>
    <n v="45"/>
    <n v="0"/>
    <n v="0"/>
    <n v="301961.25"/>
    <n v="905883.75"/>
    <n v="0"/>
    <n v="15"/>
    <n v="301961.25"/>
    <n v="2207615.861344538"/>
    <n v="18"/>
    <n v="0"/>
    <n v="18"/>
    <n v="0"/>
    <m/>
    <n v="0"/>
    <n v="350275.05"/>
    <n v="0"/>
    <n v="0"/>
    <n v="0"/>
    <n v="883046.3445378151"/>
  </r>
  <r>
    <m/>
    <x v="9"/>
    <x v="35"/>
    <x v="86"/>
    <s v="XRBARRUN"/>
    <x v="797"/>
    <x v="630"/>
    <x v="0"/>
    <x v="4"/>
    <n v="1"/>
    <x v="3"/>
    <n v="0"/>
    <m/>
    <n v="0"/>
    <n v="20110.05"/>
    <n v="0"/>
    <n v="20.1"/>
    <n v="20110.05"/>
    <n v="50697.6050420168"/>
    <n v="43092.96428571428"/>
    <s v="Shenzhen"/>
    <s v="30/73"/>
    <n v="30"/>
    <n v="100"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100"/>
    <n v="0"/>
    <n v="0"/>
    <n v="0"/>
    <n v="0"/>
    <n v="2011005"/>
    <n v="0"/>
    <n v="0"/>
    <n v="0"/>
    <n v="0"/>
    <n v="10"/>
    <n v="0"/>
    <n v="10"/>
    <n v="0"/>
    <n v="100"/>
    <n v="0"/>
    <n v="0"/>
    <n v="208035"/>
    <n v="0"/>
    <n v="0"/>
    <n v="0"/>
    <n v="0"/>
    <n v="506976.050420168"/>
    <n v="20"/>
    <n v="0"/>
    <n v="20"/>
    <n v="0"/>
    <n v="0"/>
    <n v="100"/>
    <n v="0"/>
    <n v="416070"/>
    <n v="0"/>
    <n v="2080350"/>
    <n v="100"/>
    <n v="2080350"/>
    <n v="1013952.100840336"/>
    <n v="35"/>
    <n v="80"/>
    <n v="35"/>
    <n v="0"/>
    <n v="0"/>
    <n v="0"/>
    <m/>
    <n v="1664280"/>
    <n v="728122.5"/>
    <n v="0"/>
    <n v="0"/>
    <n v="80"/>
    <n v="1664280"/>
    <n v="1508253.75"/>
    <n v="30"/>
    <n v="45"/>
    <n v="30"/>
    <m/>
    <n v="0"/>
    <n v="936157.5"/>
    <n v="624105"/>
    <n v="0"/>
    <n v="0"/>
    <n v="45"/>
    <n v="936157.5"/>
    <n v="1357428.375"/>
    <n v="45"/>
    <n v="15"/>
    <n v="45"/>
    <n v="0"/>
    <n v="0"/>
    <n v="312052.5"/>
    <n v="936157.5"/>
    <n v="0"/>
    <n v="15"/>
    <n v="312052.5"/>
    <n v="2281392.226890756"/>
    <n v="18"/>
    <n v="0"/>
    <n v="18"/>
    <n v="0"/>
    <m/>
    <n v="0"/>
    <n v="361980.9"/>
    <n v="0"/>
    <n v="0"/>
    <n v="0"/>
    <n v="912556.8907563025"/>
  </r>
  <r>
    <m/>
    <x v="9"/>
    <x v="35"/>
    <x v="86"/>
    <s v="XRBOLBL-410"/>
    <x v="798"/>
    <x v="631"/>
    <x v="0"/>
    <x v="4"/>
    <n v="1"/>
    <x v="3"/>
    <n v="0"/>
    <m/>
    <n v="0"/>
    <n v="28224"/>
    <n v="0"/>
    <n v="24.7578947368421"/>
    <n v="28224"/>
    <n v="71152.94117647059"/>
    <n v="60480"/>
    <s v="Shenzhen"/>
    <s v="30/70"/>
    <n v="30"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100"/>
    <n v="100"/>
    <n v="100"/>
    <n v="0"/>
    <n v="0"/>
    <n v="0"/>
    <n v="2562442.105263158"/>
    <n v="2562442.105263158"/>
    <n v="100"/>
    <n v="2562442.105263158"/>
    <n v="0"/>
    <n v="30"/>
    <n v="100"/>
    <n v="30"/>
    <m/>
    <n v="0"/>
    <n v="2562442.105263158"/>
    <n v="768732.6315789473"/>
    <n v="0"/>
    <n v="0"/>
    <n v="100"/>
    <n v="2562442.105263158"/>
    <n v="1905120"/>
    <n v="50"/>
    <n v="70"/>
    <n v="50"/>
    <n v="0"/>
    <n v="0"/>
    <n v="1793709.47368421"/>
    <n v="1281221.052631579"/>
    <n v="0"/>
    <n v="70"/>
    <n v="1793709.47368421"/>
    <n v="3557647.058823529"/>
    <n v="18"/>
    <n v="20"/>
    <n v="18"/>
    <n v="0"/>
    <m/>
    <n v="512488.4210526315"/>
    <n v="508032"/>
    <n v="0"/>
    <n v="20"/>
    <n v="512488.4210526315"/>
    <n v="1280752.941176471"/>
  </r>
  <r>
    <m/>
    <x v="9"/>
    <x v="35"/>
    <x v="86"/>
    <s v="XRBOLBL-430"/>
    <x v="799"/>
    <x v="632"/>
    <x v="0"/>
    <x v="4"/>
    <n v="1"/>
    <x v="3"/>
    <n v="0"/>
    <m/>
    <n v="0"/>
    <n v="30576"/>
    <n v="0"/>
    <n v="26.82105263157895"/>
    <n v="30576"/>
    <n v="77082.35294117649"/>
    <n v="65520.00000000001"/>
    <s v="Shenzhen"/>
    <s v="30/70"/>
    <n v="30"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100"/>
    <n v="100"/>
    <n v="100"/>
    <n v="0"/>
    <n v="0"/>
    <n v="0"/>
    <n v="2775978.947368422"/>
    <n v="2775978.947368422"/>
    <n v="100"/>
    <n v="2775978.947368422"/>
    <n v="0"/>
    <n v="30"/>
    <n v="100"/>
    <n v="30"/>
    <m/>
    <n v="0"/>
    <n v="2775978.947368422"/>
    <n v="832793.6842105264"/>
    <n v="0"/>
    <n v="0"/>
    <n v="100"/>
    <n v="2775978.947368422"/>
    <n v="2063880"/>
    <n v="50"/>
    <n v="70"/>
    <n v="50"/>
    <n v="0"/>
    <n v="0"/>
    <n v="1943185.263157895"/>
    <n v="1387989.473684211"/>
    <n v="0"/>
    <n v="70"/>
    <n v="1943185.263157895"/>
    <n v="3854117.647058825"/>
    <n v="18"/>
    <n v="20"/>
    <n v="18"/>
    <n v="0"/>
    <m/>
    <n v="555195.7894736843"/>
    <n v="550368.0000000001"/>
    <n v="0"/>
    <n v="20"/>
    <n v="555195.7894736843"/>
    <n v="1387482.352941177"/>
  </r>
  <r>
    <m/>
    <x v="9"/>
    <x v="35"/>
    <x v="86"/>
    <s v="XRPARREQ-BK"/>
    <x v="800"/>
    <x v="633"/>
    <x v="0"/>
    <x v="3"/>
    <n v="0.75"/>
    <x v="417"/>
    <n v="131"/>
    <m/>
    <n v="0"/>
    <n v="38774"/>
    <n v="5079394"/>
    <n v="36.5"/>
    <n v="39876.25"/>
    <n v="73385.70378151261"/>
    <n v="67218.48739495799"/>
    <s v="Shenzhen"/>
    <s v="30/70"/>
    <n v="30"/>
    <n v="20"/>
    <m/>
    <m/>
    <m/>
    <m/>
    <m/>
    <m/>
    <m/>
    <m/>
    <m/>
    <m/>
    <m/>
    <m/>
    <m/>
    <m/>
    <m/>
    <m/>
    <m/>
    <m/>
    <n v="0"/>
    <n v="0"/>
    <n v="0"/>
    <n v="0"/>
    <n v="0"/>
    <n v="0"/>
    <n v="0"/>
    <s v=""/>
    <n v="3"/>
    <n v="0.4109238314816869"/>
    <n v="5"/>
    <n v="0.367966956386854"/>
    <n v="4"/>
    <n v="0.4553143085602709"/>
    <n v="0.6666666666666666"/>
    <n v="2"/>
    <n v="0.5193155537035107"/>
    <n v="0.1333333333333333"/>
    <n v="5"/>
    <n v="0.3576530564678462"/>
    <n v="0.3333333333333333"/>
    <n v="10"/>
    <n v="0.4217124953001629"/>
    <n v="1.25"/>
    <n v="6"/>
    <n v="0.3819582340345714"/>
    <n v="0.75"/>
    <m/>
    <m/>
    <m/>
    <m/>
    <m/>
    <m/>
    <m/>
    <m/>
    <m/>
    <m/>
    <m/>
    <m/>
    <m/>
    <m/>
    <m/>
    <m/>
    <m/>
    <m/>
    <m/>
    <m/>
    <m/>
    <m/>
    <m/>
    <m/>
    <m/>
    <n v="10"/>
    <n v="134"/>
    <n v="4.5"/>
    <n v="0"/>
    <n v="0"/>
    <n v="0"/>
    <n v="523449"/>
    <n v="5062185"/>
    <n v="174483"/>
    <n v="0"/>
    <n v="131"/>
    <n v="5079394"/>
    <n v="277508.9638796696"/>
    <n v="10"/>
    <n v="63"/>
    <n v="5"/>
    <n v="0"/>
    <n v="0"/>
    <n v="773962.875"/>
    <n v="2442762"/>
    <n v="193870"/>
    <n v="0"/>
    <n v="131"/>
    <n v="5079394"/>
    <n v="366928.5189075631"/>
    <n v="6"/>
    <n v="58"/>
    <n v="4"/>
    <n v="0"/>
    <n v="0"/>
    <n v="2191095"/>
    <n v="155096"/>
    <n v="0"/>
    <n v="0"/>
    <n v="131"/>
    <n v="5079394"/>
    <n v="293542.8151260504"/>
    <n v="15"/>
    <n v="133"/>
    <n v="11.25"/>
    <m/>
    <n v="0"/>
    <n v="0"/>
    <n v="5156942"/>
    <n v="424996.875"/>
    <n v="0"/>
    <n v="0"/>
    <n v="131"/>
    <n v="5079394"/>
    <n v="825589.1675420168"/>
    <n v="15"/>
    <n v="136"/>
    <n v="5"/>
    <m/>
    <n v="0"/>
    <n v="0"/>
    <n v="5273264"/>
    <n v="188887.5"/>
    <n v="0"/>
    <n v="0"/>
    <n v="136"/>
    <n v="5079394"/>
    <n v="366928.5189075631"/>
    <n v="8"/>
    <n v="141"/>
    <n v="10"/>
    <n v="0"/>
    <n v="0"/>
    <n v="0"/>
    <n v="5467134"/>
    <n v="377775"/>
    <n v="0"/>
    <n v="0"/>
    <n v="141"/>
    <n v="5079394"/>
    <n v="733857.0378151261"/>
    <n v="8"/>
    <n v="131"/>
    <n v="6"/>
    <n v="50"/>
    <n v="50"/>
    <n v="0"/>
    <n v="5079394"/>
    <n v="226665"/>
    <n v="1888875"/>
    <n v="0"/>
    <n v="131"/>
    <n v="5079394"/>
    <n v="440314.2226890756"/>
    <n v="10"/>
    <n v="125"/>
    <n v="7.5"/>
    <n v="0"/>
    <n v="0"/>
    <n v="51"/>
    <n v="4722187.5"/>
    <n v="283331.25"/>
    <n v="0"/>
    <n v="1926652.5"/>
    <n v="176"/>
    <n v="6648840"/>
    <n v="550392.7783613446"/>
    <n v="20"/>
    <n v="168.5"/>
    <n v="15"/>
    <n v="0"/>
    <n v="0"/>
    <n v="0"/>
    <m/>
    <n v="6365508.75"/>
    <n v="566662.5"/>
    <n v="0"/>
    <n v="0"/>
    <n v="168.5"/>
    <n v="6365508.75"/>
    <n v="1008277.31092437"/>
    <n v="15"/>
    <n v="153.5"/>
    <n v="11.25"/>
    <m/>
    <n v="0"/>
    <n v="5798846.25"/>
    <n v="424996.875"/>
    <n v="0"/>
    <n v="0"/>
    <n v="153.5"/>
    <n v="5798846.25"/>
    <n v="794018.3823529413"/>
    <n v="25"/>
    <n v="142.25"/>
    <n v="18.75"/>
    <n v="0"/>
    <n v="0"/>
    <n v="5373849.375"/>
    <n v="708328.125"/>
    <n v="0"/>
    <n v="142.25"/>
    <n v="5373849.375"/>
    <n v="1375981.945903362"/>
    <n v="9"/>
    <n v="123.5"/>
    <n v="6.75"/>
    <n v="0"/>
    <m/>
    <n v="4665521.25"/>
    <n v="261724.5"/>
    <n v="0"/>
    <n v="123.5"/>
    <n v="4665521.25"/>
    <n v="495353.5005252101"/>
  </r>
  <r>
    <m/>
    <x v="9"/>
    <x v="35"/>
    <x v="87"/>
    <n v="69746014453052"/>
    <x v="801"/>
    <x v="634"/>
    <x v="0"/>
    <x v="8"/>
    <n v="1"/>
    <x v="3"/>
    <n v="1"/>
    <m/>
    <n v="0"/>
    <n v="7100"/>
    <n v="7100"/>
    <n v="5"/>
    <n v="5462.5"/>
    <n v="16798.31932773109"/>
    <n v="16798.31932773109"/>
    <s v="Shenzhen"/>
    <s v="30/70"/>
    <n v="30"/>
    <n v="500"/>
    <n v="400"/>
    <n v="0.4973377276121546"/>
    <n v="0"/>
    <s v=""/>
    <n v="3"/>
    <n v="0.3063770118852721"/>
    <n v="208"/>
    <n v="0.437886041042142"/>
    <n v="135"/>
    <n v="0.4411385224377903"/>
    <n v="42"/>
    <n v="0.4025875905567981"/>
    <n v="166"/>
    <n v="0.4282564560717154"/>
    <n v="177"/>
    <n v="0.439282662400492"/>
    <n v="55"/>
    <n v="0.4459141483594701"/>
    <n v="506"/>
    <n v="0.4469711577274674"/>
    <n v="5"/>
    <n v="0.5073316658329164"/>
    <n v="0"/>
    <s v=""/>
    <n v="500"/>
    <n v="0.4817293233082707"/>
    <n v="0"/>
    <s v=""/>
    <n v="0"/>
    <s v=""/>
    <n v="1000"/>
    <n v="0.466180977443609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n v="0"/>
    <n v="0"/>
    <n v="0"/>
    <n v="0"/>
    <m/>
    <n v="0"/>
    <n v="0"/>
    <n v="0"/>
    <n v="0"/>
    <n v="0"/>
    <n v="1"/>
    <n v="7100"/>
    <n v="0"/>
    <n v="0"/>
    <n v="0"/>
    <n v="0"/>
    <n v="0"/>
    <m/>
    <n v="0"/>
    <n v="7100000"/>
    <n v="0"/>
    <n v="0"/>
    <n v="0"/>
    <n v="1"/>
    <n v="7100"/>
    <n v="0"/>
    <n v="0"/>
    <n v="0"/>
    <n v="0"/>
    <n v="0"/>
    <n v="0"/>
    <n v="7100000"/>
    <n v="0"/>
    <n v="0"/>
    <n v="0"/>
    <n v="1"/>
    <n v="7100"/>
    <n v="0"/>
    <n v="0"/>
    <n v="1000"/>
    <n v="1000"/>
    <n v="0"/>
    <n v="0"/>
    <n v="5175000"/>
    <n v="7100000"/>
    <n v="0"/>
    <n v="0"/>
    <n v="1"/>
    <n v="7100"/>
    <n v="16798319.32773109"/>
    <n v="0"/>
    <n v="1"/>
    <n v="0"/>
    <m/>
    <n v="0"/>
    <n v="0"/>
    <n v="7100"/>
    <n v="0"/>
    <n v="0"/>
    <n v="0"/>
    <n v="1"/>
    <n v="7100"/>
    <n v="0"/>
    <n v="0"/>
    <n v="1"/>
    <n v="0"/>
    <m/>
    <n v="0"/>
    <n v="0"/>
    <n v="7100"/>
    <n v="0"/>
    <n v="0"/>
    <n v="0"/>
    <n v="1"/>
    <n v="7100"/>
    <n v="0"/>
    <n v="0"/>
    <n v="1"/>
    <n v="0"/>
    <n v="0"/>
    <n v="0"/>
    <n v="0"/>
    <n v="7100"/>
    <n v="0"/>
    <n v="0"/>
    <n v="0"/>
    <n v="1"/>
    <n v="7100"/>
    <n v="0"/>
    <n v="0"/>
    <n v="1"/>
    <n v="0"/>
    <n v="0"/>
    <n v="0"/>
    <n v="0"/>
    <n v="7100"/>
    <n v="0"/>
    <n v="0"/>
    <n v="0"/>
    <n v="1"/>
    <n v="7100"/>
    <n v="0"/>
    <n v="0"/>
    <n v="1"/>
    <n v="0"/>
    <n v="0"/>
    <n v="0"/>
    <n v="0"/>
    <n v="5175"/>
    <n v="0"/>
    <n v="0"/>
    <n v="0"/>
    <n v="1"/>
    <n v="5175"/>
    <n v="0"/>
    <n v="0"/>
    <n v="1"/>
    <n v="0"/>
    <n v="0"/>
    <n v="0"/>
    <n v="0"/>
    <m/>
    <n v="5175"/>
    <n v="0"/>
    <n v="0"/>
    <n v="0"/>
    <n v="1"/>
    <n v="5175"/>
    <n v="0"/>
    <n v="0"/>
    <n v="1"/>
    <n v="0"/>
    <m/>
    <n v="0"/>
    <n v="5175"/>
    <n v="0"/>
    <n v="0"/>
    <n v="0"/>
    <n v="1"/>
    <n v="5175"/>
    <n v="0"/>
    <n v="0"/>
    <n v="1"/>
    <n v="0"/>
    <n v="0"/>
    <n v="0"/>
    <n v="5175"/>
    <n v="0"/>
    <n v="0"/>
    <n v="1"/>
    <n v="5175"/>
    <n v="0"/>
    <n v="0"/>
    <n v="1"/>
    <n v="0"/>
    <n v="0"/>
    <m/>
    <n v="5175"/>
    <n v="0"/>
    <n v="0"/>
    <n v="1"/>
    <n v="5175"/>
    <n v="0"/>
  </r>
  <r>
    <m/>
    <x v="9"/>
    <x v="35"/>
    <x v="88"/>
    <n v="1650302269777"/>
    <x v="802"/>
    <x v="635"/>
    <x v="0"/>
    <x v="1"/>
    <n v="1"/>
    <x v="418"/>
    <n v="16"/>
    <m/>
    <n v="0"/>
    <n v="67224"/>
    <n v="1075584"/>
    <n v="65"/>
    <n v="71012.5"/>
    <n v="151252.1008403361"/>
    <n v="142848.7394957983"/>
    <s v="Ningbo"/>
    <s v="30/70"/>
    <n v="30"/>
    <n v="30"/>
    <n v="35"/>
    <n v="0.3575820836909914"/>
    <n v="6"/>
    <n v="0.4944474205440408"/>
    <n v="12"/>
    <n v="0.4400036301458442"/>
    <n v="6"/>
    <n v="0.498588479875184"/>
    <n v="2"/>
    <n v="0.4435125973642084"/>
    <n v="11"/>
    <n v="0.4110692010514124"/>
    <n v="11"/>
    <n v="0.416873022262537"/>
    <n v="25"/>
    <n v="0.4033291433599396"/>
    <n v="31"/>
    <n v="0.4030835696761289"/>
    <n v="49"/>
    <n v="0.3920126437098757"/>
    <n v="25"/>
    <n v="0.4673179290269078"/>
    <n v="49"/>
    <n v="0.4846145303276726"/>
    <n v="60"/>
    <n v="0.4460172675453156"/>
    <n v="24"/>
    <n v="0.4385889946039188"/>
    <n v="11"/>
    <n v="0.4500000255496771"/>
    <n v="7"/>
    <n v="0.5121308031803288"/>
    <n v="0.7"/>
    <n v="9"/>
    <n v="0.5752944201849792"/>
    <n v="0.9"/>
    <n v="7"/>
    <n v="0.4563608447555738"/>
    <n v="0.35"/>
    <n v="0"/>
    <s v=""/>
    <n v="0"/>
    <n v="0"/>
    <s v=""/>
    <n v="0"/>
    <m/>
    <m/>
    <m/>
    <m/>
    <m/>
    <m/>
    <m/>
    <m/>
    <m/>
    <m/>
    <m/>
    <m/>
    <n v="40"/>
    <n v="76"/>
    <n v="40"/>
    <n v="50"/>
    <n v="50"/>
    <n v="0"/>
    <n v="5848488"/>
    <n v="5112900"/>
    <n v="2688960"/>
    <n v="0"/>
    <n v="16"/>
    <n v="1075584"/>
    <n v="5084104.229927266"/>
    <n v="20"/>
    <n v="23"/>
    <n v="36"/>
    <n v="25"/>
    <n v="25"/>
    <n v="0"/>
    <n v="3630096"/>
    <n v="1547325"/>
    <n v="2420064"/>
    <n v="0"/>
    <n v="16"/>
    <n v="1075584"/>
    <n v="4575693.806934539"/>
    <n v="15"/>
    <n v="23"/>
    <n v="11"/>
    <n v="0"/>
    <n v="0"/>
    <n v="1882782"/>
    <n v="1546152"/>
    <n v="739464"/>
    <n v="0"/>
    <n v="16"/>
    <n v="1075584"/>
    <n v="1663773.109243698"/>
    <n v="10"/>
    <n v="20"/>
    <n v="7"/>
    <n v="10"/>
    <n v="0"/>
    <n v="1345500"/>
    <n v="470568"/>
    <n v="672750"/>
    <n v="0"/>
    <n v="16"/>
    <n v="1075584"/>
    <n v="1058764.705882353"/>
    <n v="10"/>
    <n v="25"/>
    <n v="10"/>
    <m/>
    <n v="0"/>
    <n v="0"/>
    <n v="1680600"/>
    <n v="672750"/>
    <n v="0"/>
    <n v="0"/>
    <n v="16"/>
    <n v="1075584"/>
    <n v="1512521.008403362"/>
    <n v="20"/>
    <n v="23"/>
    <n v="7"/>
    <m/>
    <n v="0"/>
    <n v="0"/>
    <n v="1546152"/>
    <n v="470925"/>
    <n v="0"/>
    <n v="0"/>
    <n v="23"/>
    <n v="1075584"/>
    <n v="1058764.705882353"/>
    <n v="10"/>
    <n v="16"/>
    <n v="0"/>
    <n v="30"/>
    <n v="30"/>
    <n v="0"/>
    <n v="1075584"/>
    <n v="0"/>
    <n v="1950975"/>
    <n v="0"/>
    <n v="16"/>
    <n v="1075584"/>
    <n v="0"/>
    <n v="15"/>
    <n v="16"/>
    <n v="15"/>
    <n v="20"/>
    <n v="20"/>
    <n v="0"/>
    <n v="1075584"/>
    <n v="1009125"/>
    <n v="1345500"/>
    <n v="0"/>
    <n v="16"/>
    <n v="1075584"/>
    <n v="2268781.512605042"/>
    <n v="30"/>
    <n v="1"/>
    <n v="30"/>
    <n v="30"/>
    <n v="30"/>
    <n v="20"/>
    <n v="67275"/>
    <n v="2018250"/>
    <n v="2018250"/>
    <n v="1345500"/>
    <n v="21"/>
    <n v="1412775"/>
    <n v="4537563.025210084"/>
    <n v="40"/>
    <n v="10"/>
    <n v="10"/>
    <n v="50"/>
    <n v="50"/>
    <n v="50"/>
    <n v="10"/>
    <n v="672750"/>
    <n v="672750"/>
    <n v="3363750"/>
    <n v="4036500"/>
    <n v="60"/>
    <n v="4709250"/>
    <n v="1428487.394957983"/>
    <n v="30"/>
    <n v="50"/>
    <n v="30"/>
    <m/>
    <n v="0"/>
    <n v="3363750"/>
    <n v="2018250"/>
    <n v="0"/>
    <n v="0"/>
    <n v="50"/>
    <n v="3363750"/>
    <n v="4499735.294117647"/>
    <n v="50"/>
    <n v="20"/>
    <n v="50"/>
    <n v="0"/>
    <n v="0"/>
    <n v="1345500"/>
    <n v="3363750"/>
    <n v="0"/>
    <n v="20"/>
    <n v="1345500"/>
    <n v="7562605.042016807"/>
    <n v="18"/>
    <n v="0"/>
    <n v="18"/>
    <n v="0"/>
    <m/>
    <n v="0"/>
    <n v="1210032"/>
    <n v="0"/>
    <n v="0"/>
    <n v="0"/>
    <n v="2722537.815126051"/>
  </r>
  <r>
    <m/>
    <x v="9"/>
    <x v="35"/>
    <x v="88"/>
    <s v="XRTOLLAT270-CL"/>
    <x v="803"/>
    <x v="636"/>
    <x v="0"/>
    <x v="4"/>
    <n v="1"/>
    <x v="3"/>
    <n v="0"/>
    <m/>
    <n v="0"/>
    <n v="188100"/>
    <n v="0"/>
    <n v="165"/>
    <n v="188100"/>
    <n v="474201.6806722689"/>
    <n v="403071.4285714286"/>
    <s v="Shenzhen"/>
    <s v="30/70"/>
    <n v="30"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10"/>
    <n v="10"/>
    <n v="0"/>
    <n v="0"/>
    <n v="341550"/>
    <n v="1707750"/>
    <n v="0"/>
    <n v="0"/>
    <n v="0"/>
    <n v="948403.3613445378"/>
    <n v="5"/>
    <n v="10"/>
    <n v="5"/>
    <n v="0"/>
    <n v="0"/>
    <n v="0"/>
    <n v="10"/>
    <n v="1707750"/>
    <n v="853875"/>
    <n v="0"/>
    <n v="1707750"/>
    <n v="10"/>
    <n v="3415500"/>
    <n v="2015357.142857143"/>
    <n v="8"/>
    <n v="5"/>
    <n v="8"/>
    <m/>
    <n v="0"/>
    <n v="853875"/>
    <n v="1366200"/>
    <n v="0"/>
    <n v="0"/>
    <n v="5"/>
    <n v="853875"/>
    <n v="3385800"/>
    <n v="10"/>
    <n v="0"/>
    <n v="10"/>
    <n v="0"/>
    <n v="0"/>
    <n v="0"/>
    <n v="1707750"/>
    <n v="0"/>
    <n v="0"/>
    <n v="0"/>
    <n v="4742016.806722689"/>
    <n v="4.8"/>
    <n v="0"/>
    <n v="4.8"/>
    <n v="0"/>
    <m/>
    <n v="0"/>
    <n v="902880"/>
    <n v="0"/>
    <n v="0"/>
    <n v="0"/>
    <n v="2276168.06722689"/>
  </r>
  <r>
    <m/>
    <x v="9"/>
    <x v="36"/>
    <x v="89"/>
    <s v="XRCARAA10-CL"/>
    <x v="804"/>
    <x v="637"/>
    <x v="0"/>
    <x v="4"/>
    <n v="1"/>
    <x v="3"/>
    <n v="0"/>
    <m/>
    <n v="0"/>
    <n v="94080"/>
    <n v="0"/>
    <n v="82.52631578947368"/>
    <n v="94080"/>
    <n v="237176.4705882353"/>
    <n v="201600"/>
    <s v="Shenzhen"/>
    <s v="30/70"/>
    <n v="30"/>
    <n v="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9"/>
    <x v="36"/>
    <x v="89"/>
    <s v="XRCARINF34-CL"/>
    <x v="805"/>
    <x v="638"/>
    <x v="0"/>
    <x v="4"/>
    <n v="1"/>
    <x v="3"/>
    <n v="0"/>
    <m/>
    <n v="0"/>
    <n v="164640"/>
    <n v="0"/>
    <n v="144.421052631579"/>
    <n v="164640"/>
    <n v="415058.8235294118"/>
    <n v="352800"/>
    <s v="Shenzhen"/>
    <s v="30/70"/>
    <n v="30"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20"/>
    <n v="20"/>
    <n v="0"/>
    <n v="0"/>
    <n v="298951.5789473684"/>
    <n v="2989515.789473685"/>
    <n v="0"/>
    <n v="0"/>
    <n v="0"/>
    <n v="830117.6470588236"/>
    <n v="5"/>
    <n v="20"/>
    <n v="5"/>
    <n v="0"/>
    <n v="0"/>
    <n v="0"/>
    <n v="20"/>
    <n v="2989515.789473685"/>
    <n v="747378.9473684211"/>
    <n v="0"/>
    <n v="2989515.789473685"/>
    <n v="20"/>
    <n v="5979031.578947369"/>
    <n v="1764000"/>
    <n v="7"/>
    <n v="15"/>
    <n v="7"/>
    <m/>
    <n v="0"/>
    <n v="2242136.842105263"/>
    <n v="1046330.526315789"/>
    <n v="0"/>
    <n v="0"/>
    <n v="15"/>
    <n v="2242136.842105263"/>
    <n v="2593080"/>
    <n v="10"/>
    <n v="8"/>
    <n v="10"/>
    <n v="0"/>
    <n v="0"/>
    <n v="1195806.315789474"/>
    <n v="1494757.894736842"/>
    <n v="0"/>
    <n v="8"/>
    <n v="1195806.315789474"/>
    <n v="4150588.235294118"/>
    <n v="4.2"/>
    <n v="0"/>
    <n v="4.2"/>
    <n v="0"/>
    <m/>
    <n v="0"/>
    <n v="691488"/>
    <n v="0"/>
    <n v="0"/>
    <n v="0"/>
    <n v="1743247.05882353"/>
  </r>
  <r>
    <m/>
    <x v="9"/>
    <x v="36"/>
    <x v="89"/>
    <s v="XRCARINF68-CL"/>
    <x v="806"/>
    <x v="639"/>
    <x v="0"/>
    <x v="4"/>
    <n v="1"/>
    <x v="3"/>
    <n v="0"/>
    <m/>
    <n v="0"/>
    <n v="211680"/>
    <n v="0"/>
    <n v="185.6842105263158"/>
    <n v="211680"/>
    <n v="533647.0588235294"/>
    <n v="453600"/>
    <s v="Shenzhen"/>
    <s v="30/70"/>
    <n v="30"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9"/>
    <x v="36"/>
    <x v="89"/>
    <s v="XRCARRTRACT-CL"/>
    <x v="807"/>
    <x v="640"/>
    <x v="0"/>
    <x v="4"/>
    <n v="1"/>
    <x v="3"/>
    <n v="0"/>
    <m/>
    <n v="0"/>
    <n v="25650"/>
    <n v="0"/>
    <n v="22.5"/>
    <n v="25650"/>
    <n v="64663.86554621849"/>
    <n v="54964.28571428572"/>
    <s v="Shenzhen"/>
    <s v="30/70"/>
    <n v="30"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10"/>
    <n v="200"/>
    <n v="200"/>
    <n v="0"/>
    <n v="0"/>
    <n v="232875"/>
    <n v="4657500"/>
    <n v="0"/>
    <n v="0"/>
    <n v="0"/>
    <n v="646638.6554621849"/>
    <n v="25"/>
    <n v="200"/>
    <n v="25"/>
    <n v="0"/>
    <n v="0"/>
    <n v="0"/>
    <n v="200"/>
    <n v="4657500"/>
    <n v="582187.5"/>
    <n v="0"/>
    <n v="4657500"/>
    <n v="200"/>
    <n v="9315000"/>
    <n v="1374107.142857143"/>
    <n v="35"/>
    <n v="175"/>
    <n v="35"/>
    <m/>
    <n v="0"/>
    <n v="4075312.5"/>
    <n v="815062.5"/>
    <n v="0"/>
    <n v="0"/>
    <n v="175"/>
    <n v="4075312.5"/>
    <n v="2019937.5"/>
    <n v="60"/>
    <n v="140"/>
    <n v="60"/>
    <n v="0"/>
    <n v="0"/>
    <n v="3260250"/>
    <n v="1397250"/>
    <n v="0"/>
    <n v="140"/>
    <n v="3260250"/>
    <n v="3879831.93277311"/>
    <n v="21"/>
    <n v="80"/>
    <n v="21"/>
    <n v="0"/>
    <m/>
    <n v="1863000"/>
    <n v="538650"/>
    <n v="0"/>
    <n v="80"/>
    <n v="1863000"/>
    <n v="1357941.176470588"/>
  </r>
  <r>
    <m/>
    <x v="9"/>
    <x v="36"/>
    <x v="89"/>
    <s v="XRCOLINF2P-CL"/>
    <x v="808"/>
    <x v="641"/>
    <x v="0"/>
    <x v="4"/>
    <n v="1"/>
    <x v="3"/>
    <n v="0"/>
    <m/>
    <n v="0"/>
    <n v="19992"/>
    <n v="0"/>
    <n v="17.53684210526316"/>
    <n v="19992"/>
    <n v="50400"/>
    <n v="42840"/>
    <s v="Shenzhen"/>
    <s v="30/70"/>
    <n v="30"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9"/>
    <x v="36"/>
    <x v="89"/>
    <s v="XRCOOLPOR50-BK"/>
    <x v="809"/>
    <x v="642"/>
    <x v="0"/>
    <x v="4"/>
    <n v="1"/>
    <x v="3"/>
    <n v="0"/>
    <m/>
    <n v="0"/>
    <n v="38808"/>
    <n v="0"/>
    <n v="34.04210526315789"/>
    <n v="38808"/>
    <n v="97835.29411764706"/>
    <n v="83160"/>
    <s v="Ningbo"/>
    <s v="30/70"/>
    <n v="45"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20"/>
    <n v="200"/>
    <n v="200"/>
    <n v="0"/>
    <n v="0"/>
    <n v="704671.5789473683"/>
    <n v="7046715.789473683"/>
    <n v="0"/>
    <n v="0"/>
    <n v="0"/>
    <n v="1956705.882352941"/>
    <n v="50"/>
    <n v="200"/>
    <n v="50"/>
    <n v="0"/>
    <n v="0"/>
    <n v="0"/>
    <n v="200"/>
    <n v="7046715.789473683"/>
    <n v="1761678.947368421"/>
    <n v="0"/>
    <n v="7046715.789473683"/>
    <n v="200"/>
    <n v="14093431.57894737"/>
    <n v="4158000"/>
    <n v="70"/>
    <n v="150"/>
    <n v="70"/>
    <m/>
    <n v="0"/>
    <n v="5285036.842105262"/>
    <n v="2466350.526315789"/>
    <n v="0"/>
    <n v="0"/>
    <n v="150"/>
    <n v="5285036.842105262"/>
    <n v="6112260"/>
    <n v="120"/>
    <n v="80"/>
    <n v="120"/>
    <n v="0"/>
    <n v="0"/>
    <n v="2818686.315789473"/>
    <n v="4228029.473684209"/>
    <n v="0"/>
    <n v="80"/>
    <n v="2818686.315789473"/>
    <n v="11740235.29411765"/>
    <n v="42"/>
    <n v="0"/>
    <n v="42"/>
    <n v="0"/>
    <m/>
    <n v="0"/>
    <n v="1629936"/>
    <n v="0"/>
    <n v="0"/>
    <n v="0"/>
    <n v="4109082.352941177"/>
  </r>
  <r>
    <m/>
    <x v="9"/>
    <x v="36"/>
    <x v="89"/>
    <s v="XRCOOLPORT20-GR"/>
    <x v="810"/>
    <x v="643"/>
    <x v="0"/>
    <x v="4"/>
    <n v="1"/>
    <x v="3"/>
    <n v="0"/>
    <m/>
    <n v="0"/>
    <n v="19000"/>
    <n v="0"/>
    <n v="16.66666666666667"/>
    <n v="19000"/>
    <n v="47899.15966386555"/>
    <n v="40714.28571428571"/>
    <s v="Ningbo"/>
    <s v="30/70"/>
    <n v="45"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9"/>
    <x v="36"/>
    <x v="89"/>
    <s v="XRCOOLPORT40-GR"/>
    <x v="811"/>
    <x v="644"/>
    <x v="0"/>
    <x v="4"/>
    <n v="1"/>
    <x v="3"/>
    <n v="0"/>
    <m/>
    <n v="0"/>
    <n v="37000"/>
    <n v="0"/>
    <n v="32.45614035087719"/>
    <n v="37000"/>
    <n v="93277.31092436975"/>
    <n v="79285.71428571429"/>
    <s v="Ningbo"/>
    <s v="30/70"/>
    <n v="45"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20"/>
    <n v="200"/>
    <n v="200"/>
    <n v="0"/>
    <n v="0"/>
    <n v="671842.1052631579"/>
    <n v="6718421.052631578"/>
    <n v="0"/>
    <n v="0"/>
    <n v="0"/>
    <n v="1865546.218487395"/>
    <n v="40"/>
    <n v="200"/>
    <n v="40"/>
    <n v="0"/>
    <n v="0"/>
    <n v="0"/>
    <n v="200"/>
    <n v="6718421.052631578"/>
    <n v="1343684.210526316"/>
    <n v="0"/>
    <n v="6718421.052631578"/>
    <n v="200"/>
    <n v="13436842.10526316"/>
    <n v="3171428.571428572"/>
    <n v="60"/>
    <n v="160"/>
    <n v="60"/>
    <m/>
    <n v="0"/>
    <n v="5374736.842105263"/>
    <n v="2015526.315789474"/>
    <n v="0"/>
    <n v="0"/>
    <n v="160"/>
    <n v="5374736.842105263"/>
    <n v="4995000"/>
    <n v="100"/>
    <n v="100"/>
    <n v="100"/>
    <n v="0"/>
    <n v="0"/>
    <n v="3359210.526315789"/>
    <n v="3359210.526315789"/>
    <n v="0"/>
    <n v="100"/>
    <n v="3359210.526315789"/>
    <n v="9327731.092436975"/>
    <n v="36"/>
    <n v="0"/>
    <n v="36"/>
    <n v="0"/>
    <m/>
    <n v="0"/>
    <n v="1332000"/>
    <n v="0"/>
    <n v="0"/>
    <n v="0"/>
    <n v="3357983.193277311"/>
  </r>
  <r>
    <m/>
    <x v="9"/>
    <x v="36"/>
    <x v="89"/>
    <s v="XRCOOLPORTF40-GR"/>
    <x v="812"/>
    <x v="645"/>
    <x v="0"/>
    <x v="4"/>
    <n v="1"/>
    <x v="3"/>
    <n v="0"/>
    <m/>
    <n v="0"/>
    <n v="85848"/>
    <n v="0"/>
    <n v="75.30526315789474"/>
    <n v="85848"/>
    <n v="216423.5294117647"/>
    <n v="183960"/>
    <s v="Ningbo"/>
    <s v="30/70"/>
    <n v="45"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5"/>
    <n v="100"/>
    <n v="100"/>
    <n v="0"/>
    <n v="0"/>
    <n v="389704.7368421053"/>
    <n v="7794094.736842105"/>
    <n v="0"/>
    <n v="0"/>
    <n v="0"/>
    <n v="1082117.647058824"/>
    <n v="15"/>
    <n v="100"/>
    <n v="15"/>
    <n v="0"/>
    <n v="0"/>
    <n v="0"/>
    <n v="100"/>
    <n v="7794094.736842105"/>
    <n v="1169114.210526316"/>
    <n v="0"/>
    <n v="7794094.736842105"/>
    <n v="100"/>
    <n v="15588189.47368421"/>
    <n v="2759400"/>
    <n v="25"/>
    <n v="85"/>
    <n v="25"/>
    <m/>
    <n v="0"/>
    <n v="6624980.52631579"/>
    <n v="1948523.684210526"/>
    <n v="0"/>
    <n v="0"/>
    <n v="85"/>
    <n v="6624980.52631579"/>
    <n v="4828950"/>
    <n v="40"/>
    <n v="60"/>
    <n v="40"/>
    <n v="0"/>
    <n v="0"/>
    <n v="4676456.842105263"/>
    <n v="3117637.894736842"/>
    <n v="0"/>
    <n v="60"/>
    <n v="4676456.842105263"/>
    <n v="8656941.176470589"/>
    <n v="15"/>
    <n v="20"/>
    <n v="15"/>
    <n v="0"/>
    <m/>
    <n v="1558818.947368421"/>
    <n v="1287720"/>
    <n v="0"/>
    <n v="20"/>
    <n v="1558818.947368421"/>
    <n v="3246352.941176471"/>
  </r>
  <r>
    <m/>
    <x v="9"/>
    <x v="36"/>
    <x v="89"/>
    <s v="XRCOOLPORT-GR"/>
    <x v="813"/>
    <x v="646"/>
    <x v="0"/>
    <x v="1"/>
    <n v="1"/>
    <x v="419"/>
    <n v="6"/>
    <m/>
    <n v="0"/>
    <n v="29925"/>
    <n v="179550"/>
    <n v="25"/>
    <n v="27312.5"/>
    <n v="67218.48739495799"/>
    <n v="67218.48739495799"/>
    <s v="Ningbo"/>
    <s v="30/70"/>
    <n v="45"/>
    <n v="25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16"/>
    <n v="0.4836977592360178"/>
    <n v="69"/>
    <n v="0.3465935010098575"/>
    <n v="71"/>
    <n v="0.3346383115692076"/>
    <n v="0"/>
    <s v=""/>
    <n v="0"/>
    <s v=""/>
    <n v="0"/>
    <n v="1"/>
    <n v="0.5548027253406675"/>
    <n v="0"/>
    <n v="0"/>
    <s v=""/>
    <n v="0"/>
    <n v="0"/>
    <s v=""/>
    <n v="0"/>
    <n v="0"/>
    <s v=""/>
    <n v="0"/>
    <m/>
    <m/>
    <m/>
    <m/>
    <m/>
    <m/>
    <m/>
    <m/>
    <m/>
    <m/>
    <m/>
    <m/>
    <n v="60"/>
    <n v="39"/>
    <n v="60"/>
    <n v="0"/>
    <n v="99"/>
    <n v="0"/>
    <n v="4982512.5"/>
    <n v="1009125"/>
    <n v="1795500"/>
    <n v="0"/>
    <n v="6"/>
    <n v="179550"/>
    <n v="3389167.431678555"/>
    <n v="40"/>
    <n v="70"/>
    <n v="106.5"/>
    <n v="0"/>
    <n v="0"/>
    <n v="0"/>
    <n v="3187012.5"/>
    <n v="1811250"/>
    <n v="3187012.5"/>
    <n v="0"/>
    <n v="6"/>
    <n v="179550"/>
    <n v="6015772.191229435"/>
    <n v="0"/>
    <n v="-1"/>
    <n v="0"/>
    <n v="0"/>
    <n v="0"/>
    <n v="0"/>
    <n v="-29925"/>
    <n v="0"/>
    <n v="0"/>
    <n v="6"/>
    <n v="179550"/>
    <n v="0"/>
    <n v="0"/>
    <n v="0"/>
    <n v="0"/>
    <n v="0"/>
    <n v="0"/>
    <n v="0"/>
    <n v="0"/>
    <n v="0"/>
    <n v="0"/>
    <n v="6"/>
    <n v="179550"/>
    <n v="0"/>
    <n v="0"/>
    <n v="7"/>
    <n v="0"/>
    <m/>
    <n v="0"/>
    <n v="0"/>
    <n v="209475"/>
    <n v="0"/>
    <n v="0"/>
    <n v="0"/>
    <n v="6"/>
    <n v="179550"/>
    <n v="0"/>
    <n v="0"/>
    <n v="6"/>
    <n v="0"/>
    <m/>
    <n v="0"/>
    <n v="0"/>
    <n v="179550"/>
    <n v="0"/>
    <n v="0"/>
    <n v="0"/>
    <n v="6"/>
    <n v="179550"/>
    <n v="0"/>
    <n v="30"/>
    <n v="6"/>
    <n v="0"/>
    <n v="250"/>
    <n v="250"/>
    <n v="0"/>
    <n v="179550"/>
    <n v="0"/>
    <n v="6253124.999999999"/>
    <n v="0"/>
    <n v="6"/>
    <n v="179550"/>
    <n v="0"/>
    <n v="50"/>
    <n v="6"/>
    <n v="50"/>
    <n v="0"/>
    <n v="0"/>
    <n v="0"/>
    <n v="179550"/>
    <n v="1293750"/>
    <n v="0"/>
    <n v="0"/>
    <n v="6"/>
    <n v="179550"/>
    <n v="3360924.369747899"/>
    <n v="80"/>
    <n v="0"/>
    <n v="80"/>
    <n v="250"/>
    <n v="250"/>
    <n v="250"/>
    <n v="0"/>
    <n v="2070000"/>
    <n v="6468749.999999999"/>
    <n v="6468749.999999999"/>
    <n v="250"/>
    <n v="6468749.999999999"/>
    <n v="5377478.991596639"/>
    <n v="100"/>
    <n v="170"/>
    <n v="100"/>
    <n v="0"/>
    <n v="0"/>
    <n v="0"/>
    <n v="0"/>
    <n v="4398749.999999999"/>
    <n v="2587500"/>
    <n v="0"/>
    <n v="0"/>
    <n v="170"/>
    <n v="4398749.999999999"/>
    <n v="6721848.739495799"/>
    <n v="120"/>
    <n v="70"/>
    <n v="120"/>
    <m/>
    <n v="0"/>
    <n v="1811250"/>
    <n v="3105000"/>
    <n v="0"/>
    <n v="0"/>
    <n v="70"/>
    <n v="1811250"/>
    <n v="8469529.411764707"/>
    <n v="200"/>
    <n v="0"/>
    <n v="200"/>
    <n v="250"/>
    <n v="250"/>
    <n v="0"/>
    <n v="5174999.999999999"/>
    <n v="6468749.999999999"/>
    <n v="250"/>
    <n v="6468749.999999999"/>
    <n v="13443697.4789916"/>
    <n v="72"/>
    <n v="50"/>
    <n v="72"/>
    <n v="0"/>
    <m/>
    <n v="1293750"/>
    <n v="2154600"/>
    <n v="0"/>
    <n v="50"/>
    <n v="1293750"/>
    <n v="4839731.092436976"/>
  </r>
  <r>
    <m/>
    <x v="9"/>
    <x v="36"/>
    <x v="89"/>
    <s v="XRESTAENER-OG"/>
    <x v="814"/>
    <x v="647"/>
    <x v="0"/>
    <x v="5"/>
    <n v="1"/>
    <x v="420"/>
    <n v="2"/>
    <m/>
    <n v="0"/>
    <n v="87183"/>
    <n v="174366"/>
    <n v="92"/>
    <n v="100510"/>
    <n v="168058.8235294118"/>
    <n v="109235.2941176471"/>
    <s v="Shenzhen"/>
    <s v="30/70"/>
    <n v="30"/>
    <n v="200"/>
    <n v="0"/>
    <s v=""/>
    <n v="1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-0.2129206734392468"/>
    <n v="0"/>
    <s v=""/>
    <n v="1"/>
    <n v="0.2991399844969967"/>
    <n v="2"/>
    <n v="0.1403772176350525"/>
    <n v="0.1333333333333333"/>
    <n v="4"/>
    <n v="0.2922191390660709"/>
    <n v="0.8"/>
    <n v="11"/>
    <n v="0.08465674504082274"/>
    <n v="2.2"/>
    <n v="66"/>
    <n v="0.1058777670153671"/>
    <n v="13.2"/>
    <n v="0"/>
    <n v="1.000076"/>
    <n v="0"/>
    <m/>
    <m/>
    <m/>
    <m/>
    <m/>
    <m/>
    <m/>
    <m/>
    <m/>
    <m/>
    <m/>
    <m/>
    <n v="10"/>
    <n v="50"/>
    <n v="10"/>
    <n v="0"/>
    <n v="100"/>
    <n v="0"/>
    <n v="959013"/>
    <n v="4760999.999999999"/>
    <n v="871830"/>
    <n v="0"/>
    <n v="2"/>
    <n v="174366"/>
    <n v="1412259.021255561"/>
    <n v="10"/>
    <n v="48"/>
    <n v="0"/>
    <n v="0"/>
    <n v="0"/>
    <n v="0"/>
    <n v="261549"/>
    <n v="4570559.999999999"/>
    <n v="0"/>
    <n v="0"/>
    <n v="2"/>
    <n v="174366"/>
    <n v="0"/>
    <n v="10"/>
    <n v="95"/>
    <n v="1"/>
    <n v="0"/>
    <n v="0"/>
    <n v="737649"/>
    <n v="8282385"/>
    <n v="87183"/>
    <n v="0"/>
    <n v="2"/>
    <n v="174366"/>
    <n v="168058.8235294118"/>
    <n v="15"/>
    <n v="97"/>
    <n v="2"/>
    <n v="0"/>
    <n v="0"/>
    <n v="9236339.999999998"/>
    <n v="174366"/>
    <n v="0"/>
    <n v="0"/>
    <n v="2"/>
    <n v="174366"/>
    <n v="336117.6470588236"/>
    <n v="5"/>
    <n v="6"/>
    <n v="5"/>
    <m/>
    <n v="0"/>
    <n v="0"/>
    <n v="523098"/>
    <n v="476099.9999999999"/>
    <n v="0"/>
    <n v="0"/>
    <n v="2"/>
    <n v="174366"/>
    <n v="840294.1176470589"/>
    <n v="5"/>
    <n v="13"/>
    <n v="11"/>
    <m/>
    <n v="0"/>
    <n v="0"/>
    <n v="1133379"/>
    <n v="1047420"/>
    <n v="0"/>
    <n v="0"/>
    <n v="13"/>
    <n v="174366"/>
    <n v="1848647.05882353"/>
    <n v="5"/>
    <n v="68"/>
    <n v="66"/>
    <n v="0"/>
    <n v="0"/>
    <n v="0"/>
    <n v="5928444"/>
    <n v="6284519.999999999"/>
    <n v="0"/>
    <n v="0"/>
    <n v="68"/>
    <n v="174366"/>
    <n v="11091882.35294118"/>
    <n v="5"/>
    <n v="2"/>
    <n v="5"/>
    <n v="0"/>
    <n v="0"/>
    <n v="0"/>
    <n v="174366"/>
    <n v="476099.9999999999"/>
    <n v="0"/>
    <n v="0"/>
    <n v="2"/>
    <n v="174366"/>
    <n v="840294.1176470589"/>
    <n v="5"/>
    <n v="0"/>
    <n v="5"/>
    <n v="0"/>
    <n v="0"/>
    <n v="0"/>
    <n v="0"/>
    <n v="476099.9999999999"/>
    <n v="0"/>
    <n v="0"/>
    <n v="0"/>
    <n v="0"/>
    <n v="840294.1176470589"/>
    <n v="5"/>
    <n v="0"/>
    <n v="0"/>
    <n v="0"/>
    <n v="0"/>
    <n v="0"/>
    <m/>
    <n v="0"/>
    <n v="0"/>
    <n v="0"/>
    <n v="0"/>
    <n v="0"/>
    <n v="0"/>
    <n v="0"/>
    <n v="5"/>
    <n v="0"/>
    <n v="5"/>
    <m/>
    <n v="0"/>
    <n v="0"/>
    <n v="476099.9999999999"/>
    <n v="0"/>
    <n v="0"/>
    <n v="0"/>
    <n v="0"/>
    <n v="573485.2941176471"/>
    <n v="5"/>
    <n v="0"/>
    <n v="5"/>
    <n v="0"/>
    <n v="0"/>
    <n v="0"/>
    <n v="476099.9999999999"/>
    <n v="0"/>
    <n v="0"/>
    <n v="0"/>
    <n v="840294.1176470589"/>
    <n v="3"/>
    <n v="0"/>
    <n v="3"/>
    <n v="0"/>
    <m/>
    <n v="0"/>
    <n v="261549"/>
    <n v="0"/>
    <n v="0"/>
    <n v="0"/>
    <n v="504176.4705882353"/>
  </r>
  <r>
    <m/>
    <x v="9"/>
    <x v="36"/>
    <x v="89"/>
    <s v="XRQUITCD-CL"/>
    <x v="815"/>
    <x v="648"/>
    <x v="0"/>
    <x v="4"/>
    <n v="1"/>
    <x v="3"/>
    <n v="0"/>
    <m/>
    <n v="0"/>
    <n v="9407.999999999998"/>
    <n v="0"/>
    <n v="8.252631578947367"/>
    <n v="9407.999999999998"/>
    <n v="23717.64705882352"/>
    <n v="20160"/>
    <s v="Shenzhen"/>
    <s v="30/70"/>
    <n v="30"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9"/>
    <x v="37"/>
    <x v="90"/>
    <s v="XRPARTBAT-GR"/>
    <x v="816"/>
    <x v="649"/>
    <x v="0"/>
    <x v="1"/>
    <n v="1"/>
    <x v="421"/>
    <n v="2"/>
    <m/>
    <n v="0"/>
    <n v="26755"/>
    <n v="53510"/>
    <n v="26"/>
    <n v="28405"/>
    <n v="58815.12605042017"/>
    <n v="67218.48739495799"/>
    <s v="Ningbo"/>
    <s v="30/70"/>
    <n v="30"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5834055938111026"/>
    <n v="39"/>
    <n v="0.4022458015228806"/>
    <n v="101"/>
    <n v="0.3982516935012665"/>
    <n v="4"/>
    <n v="0.4411034318736964"/>
    <n v="0"/>
    <s v=""/>
    <n v="0"/>
    <n v="0"/>
    <s v=""/>
    <n v="0"/>
    <n v="27"/>
    <n v="0.3181870211586467"/>
    <n v="0"/>
    <n v="123"/>
    <n v="0.5806867413678715"/>
    <n v="1.23"/>
    <n v="2"/>
    <n v="0.6253835745381809"/>
    <n v="0.02"/>
    <m/>
    <m/>
    <m/>
    <m/>
    <m/>
    <m/>
    <m/>
    <m/>
    <m/>
    <m/>
    <m/>
    <m/>
    <n v="25"/>
    <n v="147"/>
    <n v="25"/>
    <n v="0"/>
    <n v="0"/>
    <n v="0"/>
    <n v="4829277.5"/>
    <n v="3955770"/>
    <n v="668875"/>
    <n v="0"/>
    <n v="2"/>
    <n v="53510"/>
    <n v="1235611.89181555"/>
    <n v="25"/>
    <n v="109"/>
    <n v="151.5"/>
    <n v="0"/>
    <m/>
    <n v="0"/>
    <n v="4160402.5"/>
    <n v="2933190"/>
    <n v="4053382.5"/>
    <n v="0"/>
    <n v="2"/>
    <n v="53510"/>
    <n v="7487808.064402232"/>
    <n v="10"/>
    <n v="4"/>
    <n v="4"/>
    <n v="0"/>
    <n v="0"/>
    <n v="107020"/>
    <n v="107020"/>
    <n v="107020"/>
    <n v="0"/>
    <n v="2"/>
    <n v="53510"/>
    <n v="235260.5042016807"/>
    <n v="0"/>
    <n v="4"/>
    <n v="0"/>
    <n v="0"/>
    <n v="0"/>
    <n v="107640"/>
    <n v="0"/>
    <n v="0"/>
    <n v="0"/>
    <n v="2"/>
    <n v="53510"/>
    <n v="0"/>
    <n v="0"/>
    <n v="2"/>
    <n v="0"/>
    <m/>
    <n v="0"/>
    <n v="0"/>
    <n v="53510"/>
    <n v="0"/>
    <n v="0"/>
    <n v="0"/>
    <n v="2"/>
    <n v="53510"/>
    <n v="0"/>
    <n v="0"/>
    <n v="29"/>
    <n v="27"/>
    <m/>
    <n v="0"/>
    <n v="0"/>
    <n v="775895"/>
    <n v="726569.9999999999"/>
    <n v="0"/>
    <n v="0"/>
    <n v="29"/>
    <n v="53510"/>
    <n v="1588008.403361345"/>
    <n v="100"/>
    <n v="125"/>
    <n v="123"/>
    <n v="150"/>
    <n v="150"/>
    <n v="0"/>
    <n v="3344375"/>
    <n v="3309930"/>
    <n v="3901950"/>
    <n v="0"/>
    <n v="125"/>
    <n v="53510"/>
    <n v="7234260.504201681"/>
    <n v="100"/>
    <n v="2"/>
    <n v="100"/>
    <n v="150"/>
    <n v="150"/>
    <n v="0"/>
    <n v="53510"/>
    <n v="2691000"/>
    <n v="4036500"/>
    <n v="0"/>
    <n v="2"/>
    <n v="53510"/>
    <n v="5881512.605042017"/>
    <n v="80"/>
    <n v="0"/>
    <n v="80"/>
    <n v="150"/>
    <n v="150"/>
    <n v="150"/>
    <n v="0"/>
    <n v="2152800"/>
    <n v="4036500"/>
    <n v="4036500"/>
    <n v="150"/>
    <n v="4036500"/>
    <n v="4705210.084033614"/>
    <n v="140"/>
    <n v="70"/>
    <n v="70"/>
    <n v="0"/>
    <n v="0"/>
    <n v="0"/>
    <n v="0"/>
    <n v="1883700"/>
    <n v="1883700"/>
    <n v="0"/>
    <n v="0"/>
    <n v="70"/>
    <n v="1883700"/>
    <n v="4705294.117647059"/>
    <n v="100"/>
    <n v="0"/>
    <n v="100"/>
    <n v="150"/>
    <n v="150"/>
    <n v="0"/>
    <n v="2691000"/>
    <n v="4036500"/>
    <n v="4036500"/>
    <n v="150"/>
    <n v="4036500"/>
    <n v="7057941.176470589"/>
    <n v="150"/>
    <n v="50"/>
    <n v="150"/>
    <n v="150"/>
    <n v="150"/>
    <n v="1345500"/>
    <n v="4036500"/>
    <n v="4036500"/>
    <n v="200"/>
    <n v="5381999.999999999"/>
    <n v="8822268.907563025"/>
    <n v="60"/>
    <n v="50"/>
    <n v="60"/>
    <n v="150"/>
    <n v="150"/>
    <n v="1345500"/>
    <n v="1605300"/>
    <n v="4036500"/>
    <n v="200"/>
    <n v="5381999.999999999"/>
    <n v="3528907.56302521"/>
  </r>
  <r>
    <m/>
    <x v="9"/>
    <x v="37"/>
    <x v="91"/>
    <s v="XRHYDLAV-OR"/>
    <x v="817"/>
    <x v="650"/>
    <x v="0"/>
    <x v="0"/>
    <n v="1"/>
    <x v="422"/>
    <n v="10"/>
    <m/>
    <n v="0"/>
    <n v="32577"/>
    <n v="325770"/>
    <n v="29"/>
    <n v="31682.5"/>
    <n v="79871.84873949579"/>
    <n v="67891.07142857142"/>
    <s v="Shenzhen"/>
    <s v="30/70"/>
    <n v="30"/>
    <n v="5"/>
    <n v="0"/>
    <s v=""/>
    <n v="0"/>
    <s v=""/>
    <n v="0"/>
    <s v=""/>
    <n v="0"/>
    <s v=""/>
    <n v="0"/>
    <s v=""/>
    <n v="1"/>
    <n v="0.2932774709579128"/>
    <n v="3"/>
    <n v="0.4891001093728457"/>
    <n v="2"/>
    <n v="0.4059314256597676"/>
    <n v="15"/>
    <n v="0.428097777638644"/>
    <n v="24"/>
    <n v="0.3077828566765026"/>
    <n v="6"/>
    <n v="0.4841855588980415"/>
    <n v="5"/>
    <n v="0.4053424039349268"/>
    <n v="10"/>
    <n v="0.385894453260142"/>
    <n v="1"/>
    <n v="0.3956713917543394"/>
    <n v="5"/>
    <n v="0.591319514132451"/>
    <n v="5"/>
    <n v="0.4385445604376039"/>
    <n v="1"/>
    <n v="2"/>
    <n v="0.5913031003875484"/>
    <n v="0.4"/>
    <n v="1"/>
    <n v="0.432378401297055"/>
    <n v="0"/>
    <n v="1"/>
    <n v="0.5153661616161616"/>
    <n v="0.2"/>
    <n v="0"/>
    <s v=""/>
    <n v="0"/>
    <m/>
    <m/>
    <m/>
    <m/>
    <m/>
    <m/>
    <m/>
    <m/>
    <m/>
    <m/>
    <m/>
    <m/>
    <n v="5"/>
    <n v="14"/>
    <n v="5"/>
    <n v="0"/>
    <m/>
    <n v="0"/>
    <n v="374635.5"/>
    <n v="420209.9999999999"/>
    <n v="162885"/>
    <n v="0"/>
    <n v="10"/>
    <n v="325770"/>
    <n v="335596.0031071252"/>
    <n v="5"/>
    <n v="15"/>
    <n v="1.5"/>
    <n v="15"/>
    <n v="15"/>
    <n v="0"/>
    <n v="374635.5"/>
    <n v="450224.9999999999"/>
    <n v="48865.5"/>
    <n v="0"/>
    <n v="10"/>
    <n v="325770"/>
    <n v="100678.8009321376"/>
    <n v="5"/>
    <n v="14"/>
    <n v="5"/>
    <n v="0"/>
    <n v="0"/>
    <n v="475845"/>
    <n v="456078"/>
    <n v="162885"/>
    <n v="0"/>
    <n v="10"/>
    <n v="325770"/>
    <n v="399359.243697479"/>
    <n v="5"/>
    <n v="8"/>
    <n v="5"/>
    <n v="0"/>
    <n v="0"/>
    <n v="240120"/>
    <n v="162885"/>
    <n v="0"/>
    <n v="0"/>
    <n v="10"/>
    <n v="325770"/>
    <n v="399359.243697479"/>
    <n v="5"/>
    <n v="12"/>
    <n v="5"/>
    <m/>
    <n v="0"/>
    <n v="0"/>
    <n v="390924"/>
    <n v="150075"/>
    <n v="0"/>
    <n v="0"/>
    <n v="10"/>
    <n v="325770"/>
    <n v="399359.243697479"/>
    <n v="0"/>
    <n v="11"/>
    <n v="1"/>
    <m/>
    <n v="0"/>
    <n v="0"/>
    <n v="358347"/>
    <n v="30015"/>
    <n v="0"/>
    <n v="0"/>
    <n v="11"/>
    <n v="325770"/>
    <n v="79871.84873949579"/>
    <n v="5"/>
    <n v="11"/>
    <n v="1"/>
    <n v="10"/>
    <n v="10"/>
    <n v="0"/>
    <n v="358347"/>
    <n v="30015"/>
    <n v="290144.9999999999"/>
    <n v="0"/>
    <n v="11"/>
    <n v="325770"/>
    <n v="79871.84873949579"/>
    <n v="5"/>
    <n v="10"/>
    <n v="5"/>
    <n v="20"/>
    <n v="20"/>
    <n v="0"/>
    <n v="325770"/>
    <n v="150075"/>
    <n v="600299.9999999999"/>
    <n v="0"/>
    <n v="10"/>
    <n v="325770"/>
    <n v="399359.243697479"/>
    <n v="10"/>
    <n v="5"/>
    <n v="10"/>
    <n v="20"/>
    <n v="20"/>
    <n v="20"/>
    <n v="150075"/>
    <n v="300149.9999999999"/>
    <n v="600299.9999999999"/>
    <n v="600299.9999999999"/>
    <n v="25"/>
    <n v="750374.9999999999"/>
    <n v="798718.4873949579"/>
    <n v="15"/>
    <n v="15"/>
    <n v="15"/>
    <n v="0"/>
    <n v="0"/>
    <n v="0"/>
    <n v="0"/>
    <n v="450224.9999999999"/>
    <n v="450224.9999999999"/>
    <n v="0"/>
    <n v="0"/>
    <n v="15"/>
    <n v="450224.9999999999"/>
    <n v="1018366.071428571"/>
    <n v="15"/>
    <n v="0"/>
    <n v="15"/>
    <m/>
    <n v="0"/>
    <n v="0"/>
    <n v="450224.9999999999"/>
    <n v="0"/>
    <n v="0"/>
    <n v="0"/>
    <n v="0"/>
    <n v="1069284.375"/>
    <n v="15"/>
    <n v="0"/>
    <n v="15"/>
    <n v="0"/>
    <n v="0"/>
    <n v="0"/>
    <n v="450224.9999999999"/>
    <n v="0"/>
    <n v="0"/>
    <n v="0"/>
    <n v="1198077.731092437"/>
    <n v="9"/>
    <n v="0"/>
    <n v="9"/>
    <n v="0"/>
    <m/>
    <n v="0"/>
    <n v="293193"/>
    <n v="0"/>
    <n v="0"/>
    <n v="0"/>
    <n v="718846.638655462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4">
  <r>
    <s v="Bandú-Accesorios de Bebe"/>
    <x v="0"/>
    <x v="0"/>
    <x v="0"/>
    <s v="BDBBYCHK"/>
    <x v="0"/>
    <x v="0"/>
    <x v="0"/>
    <x v="0"/>
    <n v="1"/>
    <x v="0"/>
    <n v="4"/>
    <m/>
    <n v="0"/>
    <n v="20716"/>
    <n v="82864"/>
    <n v="16"/>
    <n v="17936"/>
    <n v="50411.764705882357"/>
    <n v="42008.403361344543"/>
    <s v="Ningbo"/>
    <x v="0"/>
    <n v="30"/>
    <m/>
    <n v="10"/>
    <n v="0"/>
    <s v=""/>
    <n v="0"/>
    <s v=""/>
    <n v="0"/>
    <s v=""/>
    <n v="0"/>
    <s v=""/>
    <n v="0"/>
    <s v=""/>
    <n v="0"/>
    <s v=""/>
    <n v="0"/>
    <s v=""/>
    <n v="1"/>
    <n v="0"/>
    <n v="2"/>
    <n v="0.35536191863980859"/>
    <n v="15"/>
    <n v="0.408209758364873"/>
    <n v="20"/>
    <n v="0.4213424867733418"/>
    <n v="7"/>
    <n v="0.41090357796534976"/>
    <n v="5"/>
    <n v="0.40501127415886623"/>
    <n v="5"/>
    <n v="0.35119870869668784"/>
    <n v="7"/>
    <n v="0.29803035657247451"/>
    <n v="5"/>
    <n v="0.38781621337207939"/>
    <n v="0.41666666666666669"/>
    <n v="3"/>
    <n v="0.48986238816883143"/>
    <n v="0.75"/>
    <n v="6"/>
    <n v="0.33483618089136963"/>
    <n v="0.5"/>
    <n v="6"/>
    <n v="0.50488023110242275"/>
    <n v="1"/>
    <n v="10"/>
    <n v="0.32066111093017197"/>
    <n v="0.83333333333333337"/>
    <n v="0"/>
    <s v=""/>
    <n v="0"/>
    <m/>
    <m/>
    <m/>
    <m/>
    <m/>
    <m/>
    <m/>
    <m/>
    <m/>
    <n v="10"/>
    <n v="49"/>
    <n v="10"/>
    <n v="0"/>
    <m/>
    <n v="0"/>
    <n v="507542"/>
    <n v="811440"/>
    <n v="207160"/>
    <n v="0"/>
    <n v="4"/>
    <n v="82864"/>
    <n v="423628.27483934758"/>
    <n v="10"/>
    <n v="43"/>
    <n v="7.5"/>
    <n v="0"/>
    <n v="0"/>
    <n v="0"/>
    <n v="403962"/>
    <n v="712080"/>
    <n v="155370"/>
    <n v="0"/>
    <n v="4"/>
    <n v="82864"/>
    <n v="317721.20612951065"/>
    <n v="12"/>
    <n v="38"/>
    <n v="7"/>
    <n v="0"/>
    <n v="0"/>
    <n v="314832"/>
    <n v="787208"/>
    <n v="145012"/>
    <n v="0"/>
    <n v="4"/>
    <n v="82864"/>
    <n v="352882.3529411765"/>
    <n v="12"/>
    <n v="32"/>
    <n v="5"/>
    <n v="0"/>
    <n v="0"/>
    <n v="529920"/>
    <n v="103580"/>
    <x v="0"/>
    <x v="0"/>
    <n v="4"/>
    <n v="82864"/>
    <n v="252058.82352941178"/>
    <n v="4"/>
    <n v="7"/>
    <n v="4"/>
    <m/>
    <n v="0"/>
    <n v="0"/>
    <n v="145012"/>
    <n v="66240"/>
    <x v="0"/>
    <n v="0"/>
    <n v="4"/>
    <n v="82864"/>
    <n v="201647.05882352943"/>
    <n v="12"/>
    <n v="10"/>
    <n v="6"/>
    <m/>
    <n v="0"/>
    <n v="0"/>
    <n v="207160"/>
    <n v="99360"/>
    <n v="0"/>
    <n v="0"/>
    <n v="10"/>
    <n v="82864"/>
    <n v="302470.58823529416"/>
    <n v="6"/>
    <n v="10"/>
    <n v="6"/>
    <n v="0"/>
    <n v="0"/>
    <n v="0"/>
    <n v="207160"/>
    <n v="99360"/>
    <n v="0"/>
    <n v="0"/>
    <n v="10"/>
    <n v="82864"/>
    <n v="302470.58823529416"/>
    <n v="12"/>
    <n v="14"/>
    <n v="10"/>
    <n v="0"/>
    <n v="0"/>
    <n v="0"/>
    <n v="290024"/>
    <n v="165600"/>
    <n v="0"/>
    <n v="0"/>
    <n v="14"/>
    <n v="290024"/>
    <n v="504117.64705882355"/>
    <n v="0"/>
    <n v="4"/>
    <n v="0"/>
    <n v="0"/>
    <n v="0"/>
    <n v="0"/>
    <n v="66240"/>
    <n v="0"/>
    <n v="0"/>
    <n v="0"/>
    <n v="4"/>
    <n v="82864"/>
    <n v="0"/>
    <n v="15"/>
    <n v="4"/>
    <n v="4"/>
    <n v="0"/>
    <n v="0"/>
    <n v="0"/>
    <m/>
    <n v="66240"/>
    <n v="66240"/>
    <n v="0"/>
    <n v="0"/>
    <n v="4"/>
    <n v="66240"/>
    <n v="168033.61344537817"/>
    <n v="14"/>
    <n v="0"/>
    <n v="0"/>
    <m/>
    <n v="0"/>
    <n v="0"/>
    <n v="0"/>
    <n v="0"/>
    <n v="0"/>
    <n v="0"/>
    <n v="0"/>
    <n v="0"/>
    <n v="0"/>
    <n v="16"/>
    <n v="0"/>
    <n v="0"/>
    <n v="0"/>
    <n v="0"/>
    <n v="0"/>
    <n v="0"/>
    <n v="0"/>
    <n v="0"/>
    <n v="0"/>
    <n v="0"/>
    <n v="0"/>
    <n v="8.4"/>
    <n v="0"/>
    <n v="8.4"/>
    <n v="0"/>
    <m/>
    <n v="0"/>
    <n v="174014.4"/>
    <n v="0"/>
    <n v="0"/>
    <n v="0"/>
    <n v="423458.82352941181"/>
  </r>
  <r>
    <s v="Bandú-Jueguetes de Rol"/>
    <x v="0"/>
    <x v="1"/>
    <x v="1"/>
    <s v="BDCOCGRND"/>
    <x v="1"/>
    <x v="1"/>
    <x v="0"/>
    <x v="1"/>
    <n v="1"/>
    <x v="1"/>
    <n v="50"/>
    <m/>
    <n v="0"/>
    <n v="33277"/>
    <n v="1663850"/>
    <n v="32.01"/>
    <n v="35883.209999999992"/>
    <n v="100831.93277310925"/>
    <n v="84025.210084033621"/>
    <s v="Ningbo"/>
    <x v="0"/>
    <n v="30"/>
    <m/>
    <n v="10"/>
    <n v="0"/>
    <s v=""/>
    <n v="0"/>
    <s v=""/>
    <n v="0"/>
    <s v=""/>
    <n v="0"/>
    <s v=""/>
    <n v="0"/>
    <s v=""/>
    <n v="0"/>
    <s v=""/>
    <n v="18"/>
    <n v="0.60287289892020623"/>
    <n v="2"/>
    <n v="0.71730836542993892"/>
    <n v="0"/>
    <s v=""/>
    <n v="0"/>
    <s v=""/>
    <n v="37"/>
    <n v="0.54061421992197389"/>
    <n v="43"/>
    <n v="0.564734839105831"/>
    <n v="0"/>
    <s v=""/>
    <n v="0"/>
    <s v=""/>
    <n v="5"/>
    <n v="0.46623381072467318"/>
    <n v="13"/>
    <n v="0.50311917510644133"/>
    <n v="0.65"/>
    <n v="4"/>
    <n v="0.65098601507571585"/>
    <n v="0.26666666666666666"/>
    <n v="6"/>
    <n v="0.49594296063734916"/>
    <n v="0.17142857142857143"/>
    <n v="18"/>
    <n v="0.53557127836754548"/>
    <n v="0.6"/>
    <n v="30"/>
    <n v="0.34630840600221474"/>
    <n v="0.75"/>
    <n v="5"/>
    <n v="0.47070480974894741"/>
    <n v="0.33333333333333331"/>
    <m/>
    <m/>
    <m/>
    <m/>
    <m/>
    <m/>
    <m/>
    <m/>
    <m/>
    <n v="0"/>
    <n v="3"/>
    <n v="0"/>
    <n v="0"/>
    <m/>
    <n v="0"/>
    <n v="166385"/>
    <n v="99391.049999999988"/>
    <n v="0"/>
    <n v="0"/>
    <n v="50"/>
    <n v="1663850"/>
    <n v="0"/>
    <n v="10"/>
    <n v="48"/>
    <n v="0"/>
    <n v="45"/>
    <n v="45"/>
    <n v="0"/>
    <n v="598986"/>
    <n v="1590256.7999999998"/>
    <n v="0"/>
    <n v="0"/>
    <n v="50"/>
    <n v="1663850"/>
    <n v="0"/>
    <n v="15"/>
    <n v="48"/>
    <n v="5"/>
    <n v="0"/>
    <n v="0"/>
    <n v="1095941.25"/>
    <n v="1597296"/>
    <n v="166385"/>
    <n v="0"/>
    <n v="50"/>
    <n v="1663850"/>
    <n v="504159.66386554623"/>
    <n v="20"/>
    <n v="57"/>
    <n v="13"/>
    <n v="20"/>
    <n v="0"/>
    <n v="1888429.95"/>
    <n v="432601"/>
    <x v="1"/>
    <x v="0"/>
    <n v="50"/>
    <n v="1663850"/>
    <n v="1310815.1260504203"/>
    <n v="15"/>
    <n v="54"/>
    <n v="15"/>
    <m/>
    <n v="0"/>
    <n v="0"/>
    <n v="1796958"/>
    <n v="496955.25"/>
    <x v="0"/>
    <n v="0"/>
    <n v="50"/>
    <n v="1663850"/>
    <n v="1512478.9915966387"/>
    <n v="35"/>
    <n v="56"/>
    <n v="6"/>
    <m/>
    <n v="0"/>
    <n v="0"/>
    <n v="1863512"/>
    <n v="198782.09999999998"/>
    <n v="0"/>
    <n v="0"/>
    <n v="56"/>
    <n v="1663850"/>
    <n v="604991.59663865552"/>
    <n v="30"/>
    <n v="68"/>
    <n v="18"/>
    <n v="60"/>
    <n v="60"/>
    <n v="0"/>
    <n v="2262836"/>
    <n v="596346.29999999993"/>
    <n v="1921560.2999999996"/>
    <n v="0"/>
    <n v="68"/>
    <n v="1663850"/>
    <n v="1814974.7899159666"/>
    <n v="40"/>
    <n v="80"/>
    <n v="31"/>
    <n v="0"/>
    <n v="0"/>
    <n v="0"/>
    <n v="2662160"/>
    <n v="1027040.85"/>
    <n v="0"/>
    <n v="0"/>
    <n v="80"/>
    <n v="2662160"/>
    <n v="3125789.9159663869"/>
    <n v="15"/>
    <n v="55"/>
    <n v="3"/>
    <n v="30"/>
    <n v="30"/>
    <n v="0"/>
    <n v="1822169.25"/>
    <n v="99391.049999999988"/>
    <n v="993910.5"/>
    <n v="0"/>
    <n v="50"/>
    <n v="1663850"/>
    <n v="302495.79831932776"/>
    <n v="40"/>
    <n v="52"/>
    <n v="40"/>
    <n v="0"/>
    <n v="0"/>
    <n v="30"/>
    <n v="30"/>
    <n v="1722778.2"/>
    <n v="1325214"/>
    <n v="0"/>
    <n v="993910.5"/>
    <n v="82"/>
    <n v="2716688.7"/>
    <n v="3361008.4033613447"/>
    <n v="19"/>
    <n v="42"/>
    <n v="19"/>
    <m/>
    <n v="0"/>
    <n v="0"/>
    <n v="1391474.7"/>
    <n v="629476.65"/>
    <n v="0"/>
    <n v="0"/>
    <n v="42"/>
    <n v="1391474.7"/>
    <n v="1596478.9915966387"/>
    <n v="60"/>
    <n v="23"/>
    <n v="60"/>
    <n v="100"/>
    <n v="100"/>
    <n v="761998.04999999993"/>
    <n v="1987821"/>
    <n v="3313035"/>
    <n v="3313035"/>
    <n v="123"/>
    <n v="4075033.05"/>
    <n v="6049915.9663865548"/>
    <n v="11.4"/>
    <n v="63"/>
    <n v="11.4"/>
    <n v="0"/>
    <m/>
    <n v="2087212.0499999998"/>
    <n v="379357.8"/>
    <n v="0"/>
    <n v="63"/>
    <n v="2087212.0499999998"/>
    <n v="1149484.0336134455"/>
  </r>
  <r>
    <s v="Bandú-Jueguetes de Rol"/>
    <x v="0"/>
    <x v="1"/>
    <x v="1"/>
    <s v="BDCOCMEDI"/>
    <x v="2"/>
    <x v="2"/>
    <x v="0"/>
    <x v="1"/>
    <n v="1"/>
    <x v="2"/>
    <n v="3"/>
    <m/>
    <n v="0"/>
    <n v="31093"/>
    <n v="93279"/>
    <n v="28.95"/>
    <n v="32452.949999999997"/>
    <n v="84025.210084033621"/>
    <n v="75621.848739495807"/>
    <s v="Ningbo"/>
    <x v="0"/>
    <n v="30"/>
    <m/>
    <n v="10"/>
    <n v="0"/>
    <s v=""/>
    <n v="0"/>
    <s v=""/>
    <n v="0"/>
    <s v=""/>
    <n v="0"/>
    <s v=""/>
    <n v="0"/>
    <s v=""/>
    <n v="0"/>
    <s v=""/>
    <n v="20"/>
    <n v="0.54054006970514212"/>
    <n v="1"/>
    <s v=""/>
    <n v="1"/>
    <n v="0.56582740472349313"/>
    <n v="0"/>
    <s v=""/>
    <n v="86"/>
    <n v="0.51704595880932525"/>
    <n v="1"/>
    <n v="0.67448825769596954"/>
    <n v="3"/>
    <n v="0.54772283302740854"/>
    <n v="0"/>
    <s v=""/>
    <n v="33"/>
    <n v="0.47550868845060018"/>
    <n v="40"/>
    <n v="0.42162531091078681"/>
    <n v="0.8"/>
    <n v="0"/>
    <s v=""/>
    <n v="0"/>
    <n v="3"/>
    <n v="0.46684015587819427"/>
    <n v="4.6153846153846156E-2"/>
    <n v="41"/>
    <n v="0.52295117212565145"/>
    <n v="1.0249999999999999"/>
    <n v="33"/>
    <n v="0.33399183987146253"/>
    <n v="0.50769230769230766"/>
    <n v="0"/>
    <n v="0.2904996904761904"/>
    <n v="0"/>
    <m/>
    <m/>
    <m/>
    <m/>
    <m/>
    <m/>
    <m/>
    <m/>
    <m/>
    <n v="0"/>
    <n v="3"/>
    <n v="3"/>
    <n v="0"/>
    <m/>
    <n v="0"/>
    <n v="1119348"/>
    <n v="89889.749999999985"/>
    <n v="93279"/>
    <n v="0"/>
    <n v="3"/>
    <n v="93279"/>
    <n v="211828.26071605115"/>
    <n v="15"/>
    <n v="65"/>
    <n v="0"/>
    <n v="65"/>
    <n v="65"/>
    <n v="0"/>
    <n v="2269789"/>
    <n v="1947611.2499999998"/>
    <n v="0"/>
    <n v="0"/>
    <n v="3"/>
    <n v="93279"/>
    <n v="0"/>
    <n v="20"/>
    <n v="65"/>
    <n v="33"/>
    <n v="0"/>
    <n v="0"/>
    <n v="3618135.25"/>
    <n v="2021045"/>
    <n v="1026069"/>
    <n v="0"/>
    <n v="3"/>
    <n v="93279"/>
    <n v="2772831.9327731095"/>
    <n v="50"/>
    <n v="41"/>
    <n v="40"/>
    <n v="10"/>
    <n v="0"/>
    <n v="1228493.2499999998"/>
    <n v="1243720"/>
    <x v="2"/>
    <x v="0"/>
    <n v="3"/>
    <n v="93279"/>
    <n v="3361008.4033613447"/>
    <n v="45"/>
    <n v="3"/>
    <n v="45"/>
    <m/>
    <n v="0"/>
    <n v="0"/>
    <n v="93279"/>
    <n v="1348346.2499999998"/>
    <x v="0"/>
    <n v="0"/>
    <n v="3"/>
    <n v="93279"/>
    <n v="3781134.453781513"/>
    <n v="65"/>
    <n v="6"/>
    <n v="3"/>
    <m/>
    <n v="0"/>
    <n v="0"/>
    <n v="186558"/>
    <n v="89889.749999999985"/>
    <n v="0"/>
    <n v="0"/>
    <n v="6"/>
    <n v="93279"/>
    <n v="252075.63025210088"/>
    <n v="40"/>
    <n v="44"/>
    <n v="41"/>
    <n v="80"/>
    <n v="80"/>
    <n v="0"/>
    <n v="1368092"/>
    <n v="1228493.2499999998"/>
    <n v="2317158"/>
    <n v="0"/>
    <n v="44"/>
    <n v="93279"/>
    <n v="3445033.6134453784"/>
    <n v="65"/>
    <n v="36"/>
    <n v="34"/>
    <n v="0"/>
    <n v="0"/>
    <n v="0"/>
    <n v="1119348"/>
    <n v="1018750.4999999999"/>
    <n v="0"/>
    <n v="0"/>
    <n v="36"/>
    <n v="1119348"/>
    <n v="2856857.1428571432"/>
    <n v="25"/>
    <n v="3"/>
    <n v="0"/>
    <n v="50"/>
    <n v="50"/>
    <n v="0"/>
    <n v="89889.749999999985"/>
    <n v="0"/>
    <n v="1498162.4999999998"/>
    <n v="0"/>
    <n v="3"/>
    <n v="93279"/>
    <n v="0"/>
    <n v="50"/>
    <n v="3"/>
    <n v="50"/>
    <n v="0"/>
    <n v="0"/>
    <n v="50"/>
    <n v="50"/>
    <n v="89889.749999999985"/>
    <n v="1498162.4999999998"/>
    <n v="0"/>
    <n v="1498162.4999999998"/>
    <n v="53"/>
    <n v="1588052.2499999998"/>
    <n v="3781092.4369747904"/>
    <n v="0"/>
    <n v="3"/>
    <n v="0"/>
    <m/>
    <n v="0"/>
    <n v="0"/>
    <n v="89889.749999999985"/>
    <n v="0"/>
    <n v="0"/>
    <n v="0"/>
    <n v="3"/>
    <n v="89889.749999999985"/>
    <n v="0"/>
    <n v="150"/>
    <n v="3"/>
    <n v="150"/>
    <n v="250"/>
    <n v="250"/>
    <n v="89889.749999999985"/>
    <n v="4494487.4999999991"/>
    <n v="7490812.4999999991"/>
    <n v="7490812.4999999991"/>
    <n v="253"/>
    <n v="7580702.2499999991"/>
    <n v="12603781.512605043"/>
    <n v="0"/>
    <n v="103"/>
    <n v="0"/>
    <n v="0"/>
    <m/>
    <n v="3086214.7499999995"/>
    <n v="0"/>
    <n v="0"/>
    <n v="103"/>
    <n v="3086214.7499999995"/>
    <n v="0"/>
  </r>
  <r>
    <s v="Bandú-Jueguetes de Rol"/>
    <x v="0"/>
    <x v="1"/>
    <x v="1"/>
    <s v="BDCOCMIN"/>
    <x v="3"/>
    <x v="3"/>
    <x v="0"/>
    <x v="2"/>
    <n v="1"/>
    <x v="3"/>
    <n v="0"/>
    <m/>
    <n v="0"/>
    <n v="7906"/>
    <n v="0"/>
    <n v="7"/>
    <n v="7847"/>
    <n v="16798.319327731093"/>
    <n v="16798.319327731093"/>
    <s v="Ningbo"/>
    <x v="0"/>
    <n v="30"/>
    <m/>
    <n v="10"/>
    <n v="0"/>
    <s v=""/>
    <n v="0"/>
    <s v=""/>
    <n v="0"/>
    <s v=""/>
    <n v="0"/>
    <s v=""/>
    <n v="0"/>
    <s v=""/>
    <n v="0"/>
    <s v=""/>
    <n v="5"/>
    <n v="0.46405237748098427"/>
    <n v="6"/>
    <n v="0.56679273910572736"/>
    <n v="5"/>
    <n v="0.53608101472307346"/>
    <n v="4"/>
    <n v="0.44269345967827234"/>
    <n v="12"/>
    <n v="0.41248665810604135"/>
    <n v="24"/>
    <n v="0.53724747626126079"/>
    <n v="4"/>
    <n v="0.16860908851195078"/>
    <n v="5"/>
    <n v="0.44015850070170959"/>
    <n v="7"/>
    <n v="0.2578665542223561"/>
    <n v="10"/>
    <n v="0.23067046692773777"/>
    <n v="1.25"/>
    <n v="1"/>
    <n v="0.52939819909954977"/>
    <n v="0.125"/>
    <n v="2"/>
    <n v="0.35123583818278931"/>
    <n v="0"/>
    <n v="6"/>
    <n v="0.55881989276726118"/>
    <n v="0"/>
    <n v="4"/>
    <n v="0.32903972481531685"/>
    <n v="0"/>
    <n v="0"/>
    <s v=""/>
    <n v="0"/>
    <m/>
    <m/>
    <m/>
    <m/>
    <m/>
    <m/>
    <m/>
    <m/>
    <m/>
    <n v="8"/>
    <n v="36"/>
    <n v="4"/>
    <n v="0"/>
    <n v="0"/>
    <n v="0"/>
    <n v="146261"/>
    <n v="260819.99999999997"/>
    <n v="31624"/>
    <n v="0"/>
    <n v="0"/>
    <n v="0"/>
    <n v="56464.938916743173"/>
    <n v="6"/>
    <n v="33"/>
    <n v="7.5"/>
    <n v="0.12457627118643799"/>
    <n v="0"/>
    <n v="0"/>
    <n v="193697"/>
    <n v="239084.99999999997"/>
    <n v="59295"/>
    <n v="0"/>
    <n v="0"/>
    <n v="0"/>
    <n v="105871.76046889345"/>
    <n v="8"/>
    <n v="28"/>
    <n v="7"/>
    <n v="0"/>
    <n v="0"/>
    <n v="192362"/>
    <n v="221368"/>
    <n v="55342"/>
    <n v="0"/>
    <n v="0"/>
    <n v="0"/>
    <n v="117588.23529411765"/>
    <n v="8"/>
    <n v="22"/>
    <n v="10"/>
    <n v="0"/>
    <n v="0"/>
    <n v="159389.99999999997"/>
    <n v="79060"/>
    <x v="0"/>
    <x v="0"/>
    <n v="0"/>
    <n v="0"/>
    <n v="167983.19327731093"/>
    <n v="8"/>
    <n v="1"/>
    <n v="8"/>
    <m/>
    <n v="0"/>
    <n v="0"/>
    <n v="7906"/>
    <n v="57959.999999999993"/>
    <x v="0"/>
    <n v="0"/>
    <n v="0"/>
    <n v="0"/>
    <n v="134386.55462184874"/>
    <n v="0"/>
    <n v="2"/>
    <n v="2"/>
    <m/>
    <n v="0"/>
    <n v="0"/>
    <n v="15812"/>
    <n v="14489.999999999998"/>
    <n v="0"/>
    <n v="0"/>
    <n v="2"/>
    <n v="0"/>
    <n v="33596.638655462186"/>
    <n v="0"/>
    <n v="6"/>
    <n v="6"/>
    <n v="0"/>
    <n v="0"/>
    <n v="0"/>
    <n v="47436"/>
    <n v="43469.999999999993"/>
    <n v="0"/>
    <n v="0"/>
    <n v="6"/>
    <n v="0"/>
    <n v="100789.91596638656"/>
    <n v="0"/>
    <n v="4"/>
    <n v="4"/>
    <n v="0"/>
    <n v="0"/>
    <n v="0"/>
    <n v="31624"/>
    <n v="28979.999999999996"/>
    <n v="0"/>
    <n v="0"/>
    <n v="4"/>
    <n v="31624"/>
    <n v="67193.2773109243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31.499999999999996"/>
    <n v="0"/>
    <n v="0"/>
    <m/>
    <n v="0"/>
    <n v="0"/>
    <n v="0"/>
    <n v="0"/>
    <n v="0"/>
    <n v="0"/>
    <n v="0"/>
    <n v="0"/>
    <n v="0"/>
    <n v="36"/>
    <n v="0"/>
    <n v="0"/>
    <n v="0"/>
    <n v="0"/>
    <n v="0"/>
    <n v="0"/>
    <n v="0"/>
    <n v="0"/>
    <n v="0"/>
    <n v="0"/>
    <n v="0"/>
    <n v="18.899999999999999"/>
    <n v="0"/>
    <n v="18.899999999999999"/>
    <n v="0"/>
    <m/>
    <n v="0"/>
    <n v="149423.4"/>
    <n v="0"/>
    <n v="0"/>
    <n v="0"/>
    <n v="317488.23529411765"/>
  </r>
  <r>
    <s v="Bandú-Jueguetes de Rol"/>
    <x v="0"/>
    <x v="1"/>
    <x v="1"/>
    <s v="BDCOCPQMD"/>
    <x v="4"/>
    <x v="4"/>
    <x v="0"/>
    <x v="1"/>
    <n v="1.1000000000000001"/>
    <x v="4"/>
    <n v="10"/>
    <m/>
    <n v="0"/>
    <n v="26349"/>
    <n v="263490"/>
    <n v="23.98"/>
    <n v="26881.579999999998"/>
    <n v="58815.126050420171"/>
    <n v="58815.126050420171"/>
    <s v="Ningbo"/>
    <x v="0"/>
    <n v="30"/>
    <m/>
    <n v="10"/>
    <n v="0"/>
    <s v=""/>
    <n v="0"/>
    <s v=""/>
    <n v="0"/>
    <s v=""/>
    <n v="0"/>
    <s v=""/>
    <n v="0"/>
    <s v=""/>
    <n v="0"/>
    <s v=""/>
    <n v="25"/>
    <n v="0.54338319037199379"/>
    <n v="21"/>
    <n v="0.60664519550402562"/>
    <n v="1"/>
    <n v="0.58791098887360926"/>
    <n v="1"/>
    <n v="0.58791098887360926"/>
    <n v="21"/>
    <n v="0.55287111785165211"/>
    <n v="0"/>
    <s v=""/>
    <n v="9"/>
    <n v="0.33396727909941842"/>
    <n v="41"/>
    <n v="0.33547376175610344"/>
    <n v="81"/>
    <n v="0.25848571518500629"/>
    <n v="84"/>
    <n v="0.33859802172591913"/>
    <n v="1.2"/>
    <n v="60"/>
    <n v="0.53218135887104767"/>
    <n v="1.2"/>
    <n v="2"/>
    <n v="0.28979876751688338"/>
    <n v="0.02"/>
    <n v="11"/>
    <n v="0.55200786578225836"/>
    <n v="0.13750000000000001"/>
    <n v="0"/>
    <s v=""/>
    <n v="0"/>
    <n v="0"/>
    <s v=""/>
    <n v="0"/>
    <m/>
    <m/>
    <m/>
    <m/>
    <m/>
    <m/>
    <m/>
    <m/>
    <m/>
    <n v="25"/>
    <n v="236"/>
    <n v="12"/>
    <n v="0"/>
    <m/>
    <n v="0"/>
    <n v="4070920.5"/>
    <n v="5857354.7999999998"/>
    <n v="316188"/>
    <n v="0"/>
    <n v="10"/>
    <n v="263490"/>
    <n v="593093.70807146397"/>
    <n v="20"/>
    <n v="277"/>
    <n v="61.5"/>
    <n v="50"/>
    <n v="0"/>
    <n v="0"/>
    <n v="5968048.5"/>
    <n v="6874946.0999999996"/>
    <n v="1620463.5"/>
    <n v="0"/>
    <n v="10"/>
    <n v="263490"/>
    <n v="3039605.2538662525"/>
    <n v="35"/>
    <n v="211"/>
    <n v="81"/>
    <n v="0"/>
    <n v="0"/>
    <n v="5712646.5"/>
    <n v="5559639"/>
    <n v="2134269"/>
    <n v="0"/>
    <n v="10"/>
    <n v="263490"/>
    <n v="4764025.2100840341"/>
    <n v="70"/>
    <n v="145"/>
    <n v="84"/>
    <n v="0"/>
    <n v="0"/>
    <n v="3598798.5"/>
    <n v="2213316"/>
    <x v="0"/>
    <x v="0"/>
    <n v="10"/>
    <n v="263490"/>
    <n v="4940470.5882352944"/>
    <n v="50"/>
    <n v="70"/>
    <n v="55.000000000000007"/>
    <m/>
    <n v="0"/>
    <n v="0"/>
    <n v="1844430"/>
    <n v="1365061.5000000002"/>
    <x v="0"/>
    <n v="0"/>
    <n v="10"/>
    <n v="263490"/>
    <n v="3234831.93277311"/>
    <n v="100"/>
    <n v="12"/>
    <n v="2"/>
    <m/>
    <n v="0"/>
    <n v="0"/>
    <n v="316188"/>
    <n v="49638.6"/>
    <n v="0"/>
    <n v="0"/>
    <n v="12"/>
    <n v="263490"/>
    <n v="117630.25210084034"/>
    <n v="80"/>
    <n v="21"/>
    <n v="11"/>
    <n v="0"/>
    <n v="0"/>
    <n v="0"/>
    <n v="553329"/>
    <n v="273012.3"/>
    <n v="0"/>
    <n v="0"/>
    <n v="21"/>
    <n v="263490"/>
    <n v="646966.38655462186"/>
    <n v="100"/>
    <n v="10"/>
    <n v="0"/>
    <n v="0"/>
    <n v="0"/>
    <n v="0"/>
    <n v="263490"/>
    <n v="0"/>
    <n v="0"/>
    <n v="0"/>
    <n v="10"/>
    <n v="263490"/>
    <n v="0"/>
    <n v="40"/>
    <n v="10"/>
    <n v="0"/>
    <n v="80"/>
    <n v="80"/>
    <n v="0"/>
    <n v="248193"/>
    <n v="0"/>
    <n v="1985544"/>
    <n v="0"/>
    <n v="10"/>
    <n v="263490"/>
    <n v="0"/>
    <n v="100"/>
    <n v="10"/>
    <n v="90"/>
    <n v="0"/>
    <n v="0"/>
    <n v="80"/>
    <n v="80"/>
    <n v="248193"/>
    <n v="2233737"/>
    <n v="0"/>
    <n v="1985544"/>
    <n v="90"/>
    <n v="2233737"/>
    <n v="5293361.3445378151"/>
    <n v="0"/>
    <n v="0"/>
    <n v="0"/>
    <m/>
    <n v="0"/>
    <n v="0"/>
    <n v="0"/>
    <n v="0"/>
    <n v="0"/>
    <n v="0"/>
    <n v="0"/>
    <n v="0"/>
    <n v="0"/>
    <n v="160"/>
    <n v="0"/>
    <n v="176"/>
    <n v="200"/>
    <n v="200"/>
    <n v="0"/>
    <n v="4368196.8"/>
    <n v="4963860"/>
    <n v="4963860"/>
    <n v="200"/>
    <n v="4963860"/>
    <n v="10351462.18487395"/>
    <n v="0"/>
    <n v="24"/>
    <n v="0"/>
    <n v="0"/>
    <m/>
    <n v="595663.19999999995"/>
    <n v="0"/>
    <n v="0"/>
    <n v="24"/>
    <n v="595663.19999999995"/>
    <n v="0"/>
  </r>
  <r>
    <s v="Bandú-Jueguetes de Rol"/>
    <x v="0"/>
    <x v="1"/>
    <x v="1"/>
    <s v="BDELECTCOC"/>
    <x v="5"/>
    <x v="5"/>
    <x v="0"/>
    <x v="3"/>
    <n v="1.2"/>
    <x v="5"/>
    <n v="2"/>
    <m/>
    <n v="0"/>
    <n v="6007"/>
    <n v="12014"/>
    <n v="5.5"/>
    <n v="6165.5"/>
    <n v="14277.310924369749"/>
    <n v="12596.638655462186"/>
    <s v="Ningbo"/>
    <x v="0"/>
    <n v="30"/>
    <m/>
    <n v="10"/>
    <n v="0"/>
    <s v=""/>
    <n v="0"/>
    <s v=""/>
    <n v="0"/>
    <s v=""/>
    <n v="0"/>
    <s v=""/>
    <n v="0"/>
    <s v=""/>
    <n v="0"/>
    <s v=""/>
    <n v="23"/>
    <n v="0.55982223191803482"/>
    <n v="14"/>
    <n v="0.59863665973992786"/>
    <n v="0"/>
    <s v=""/>
    <n v="1"/>
    <n v="0.60222211105552781"/>
    <n v="29"/>
    <n v="0.5332501960431566"/>
    <n v="74"/>
    <n v="0.57144051605589696"/>
    <n v="13"/>
    <n v="0.41059884812034414"/>
    <n v="17"/>
    <n v="0.39053021019567075"/>
    <n v="24"/>
    <n v="0.36970827151945312"/>
    <n v="20"/>
    <n v="0.36263004684847466"/>
    <n v="1.3333333333333333"/>
    <n v="25"/>
    <n v="0.59038842800816538"/>
    <n v="5"/>
    <n v="35"/>
    <n v="0.37182747604265848"/>
    <n v="2.9166666666666665"/>
    <n v="39"/>
    <n v="0.5638228139634599"/>
    <n v="1.56"/>
    <n v="48"/>
    <n v="0.31325621784121804"/>
    <n v="1.2"/>
    <n v="9"/>
    <n v="0.29886098307540504"/>
    <n v="0.6"/>
    <m/>
    <m/>
    <m/>
    <m/>
    <m/>
    <m/>
    <m/>
    <m/>
    <m/>
    <n v="20"/>
    <n v="64"/>
    <n v="15"/>
    <n v="0"/>
    <m/>
    <n v="0"/>
    <n v="387451.5"/>
    <n v="364320"/>
    <n v="90105"/>
    <n v="0"/>
    <n v="2"/>
    <n v="12014"/>
    <n v="179966.10408869432"/>
    <n v="12"/>
    <n v="109"/>
    <n v="25.5"/>
    <n v="45"/>
    <n v="30"/>
    <n v="0"/>
    <n v="417486.5"/>
    <n v="620482.5"/>
    <n v="153178.5"/>
    <n v="0"/>
    <n v="2"/>
    <n v="12014"/>
    <n v="305942.37695078034"/>
    <n v="32"/>
    <n v="86"/>
    <n v="24"/>
    <n v="0"/>
    <n v="0"/>
    <n v="298463"/>
    <n v="516602"/>
    <n v="144168"/>
    <n v="0"/>
    <n v="2"/>
    <n v="12014"/>
    <n v="342655.46218487399"/>
    <n v="15"/>
    <n v="76"/>
    <n v="20"/>
    <n v="10"/>
    <n v="0"/>
    <n v="432630"/>
    <n v="120140"/>
    <x v="3"/>
    <x v="0"/>
    <n v="2"/>
    <n v="12014"/>
    <n v="285546.21848739497"/>
    <n v="5"/>
    <n v="27"/>
    <n v="6"/>
    <m/>
    <n v="0"/>
    <n v="0"/>
    <n v="162189"/>
    <n v="34155"/>
    <x v="0"/>
    <n v="0"/>
    <n v="2"/>
    <n v="12014"/>
    <n v="85663.865546218498"/>
    <n v="12"/>
    <n v="37"/>
    <n v="35"/>
    <m/>
    <n v="0"/>
    <n v="0"/>
    <n v="222259"/>
    <n v="199237.5"/>
    <n v="0"/>
    <n v="0"/>
    <n v="37"/>
    <n v="12014"/>
    <n v="499705.8823529412"/>
    <n v="25"/>
    <n v="41"/>
    <n v="39"/>
    <n v="100"/>
    <n v="100"/>
    <n v="0"/>
    <n v="246287"/>
    <n v="222007.5"/>
    <n v="550275"/>
    <n v="0"/>
    <n v="41"/>
    <n v="12014"/>
    <n v="556815.12605042022"/>
    <n v="40"/>
    <n v="50"/>
    <n v="49"/>
    <n v="0"/>
    <n v="0"/>
    <n v="0"/>
    <n v="300350"/>
    <n v="278932.5"/>
    <n v="0"/>
    <n v="0"/>
    <n v="50"/>
    <n v="300350"/>
    <n v="699588.23529411771"/>
    <n v="15"/>
    <n v="11"/>
    <n v="13.5"/>
    <n v="0"/>
    <n v="0"/>
    <n v="0"/>
    <n v="62617.5"/>
    <n v="76848.75"/>
    <n v="0"/>
    <n v="0"/>
    <n v="2"/>
    <n v="12014"/>
    <n v="192743.69747899161"/>
    <n v="30"/>
    <n v="0"/>
    <n v="0"/>
    <n v="0"/>
    <n v="0"/>
    <n v="0"/>
    <n v="0"/>
    <n v="0"/>
    <n v="0"/>
    <n v="0"/>
    <n v="0"/>
    <n v="0"/>
    <n v="0"/>
    <n v="0"/>
    <n v="30"/>
    <n v="0"/>
    <n v="0"/>
    <m/>
    <n v="0"/>
    <n v="0"/>
    <n v="0"/>
    <n v="0"/>
    <n v="0"/>
    <n v="0"/>
    <n v="0"/>
    <n v="0"/>
    <n v="0"/>
    <n v="80"/>
    <n v="0"/>
    <n v="96"/>
    <n v="100"/>
    <n v="100"/>
    <n v="0"/>
    <n v="546480"/>
    <n v="569250"/>
    <n v="569250"/>
    <n v="100"/>
    <n v="569250"/>
    <n v="1370621.848739496"/>
    <n v="18"/>
    <n v="4"/>
    <n v="21.599999999999998"/>
    <n v="0"/>
    <m/>
    <n v="22770"/>
    <n v="129751.19999999998"/>
    <n v="0"/>
    <n v="4"/>
    <n v="22770"/>
    <n v="308389.91596638656"/>
  </r>
  <r>
    <s v="Bandú-Jueguetes de Rol"/>
    <x v="0"/>
    <x v="1"/>
    <x v="1"/>
    <s v="BDSETPAST"/>
    <x v="6"/>
    <x v="6"/>
    <x v="0"/>
    <x v="2"/>
    <n v="1"/>
    <x v="6"/>
    <n v="29"/>
    <m/>
    <n v="0"/>
    <n v="6889"/>
    <n v="199781"/>
    <n v="6.5"/>
    <n v="7286.5"/>
    <n v="14277.310924369749"/>
    <n v="12596.638655462186"/>
    <s v="Ningbo"/>
    <x v="0"/>
    <n v="30"/>
    <m/>
    <n v="10"/>
    <n v="0"/>
    <s v=""/>
    <n v="0"/>
    <s v=""/>
    <n v="0"/>
    <s v=""/>
    <n v="0"/>
    <s v=""/>
    <n v="0"/>
    <s v=""/>
    <n v="0"/>
    <s v=""/>
    <n v="3"/>
    <n v="0.43331071204844435"/>
    <n v="3"/>
    <n v="0.5618717487286593"/>
    <n v="1"/>
    <n v="0.56918309154577285"/>
    <n v="3"/>
    <n v="0.42549264123479075"/>
    <n v="5"/>
    <n v="0.42256412016900335"/>
    <n v="9"/>
    <n v="0.49910714874258283"/>
    <n v="1"/>
    <n v="-3.5862798363036748E-2"/>
    <n v="2"/>
    <n v="0.40694254622762471"/>
    <n v="2"/>
    <n v="0.15149719102532447"/>
    <n v="2"/>
    <n v="0.23831599694520955"/>
    <n v="1"/>
    <n v="1"/>
    <n v="0.51746439081812823"/>
    <n v="0.25"/>
    <n v="11"/>
    <n v="0.30681775522488525"/>
    <n v="1.1000000000000001"/>
    <n v="5"/>
    <n v="0.50444260412258968"/>
    <n v="0.5"/>
    <n v="5"/>
    <n v="0.41575174720650648"/>
    <n v="0.33333333333333331"/>
    <n v="2"/>
    <n v="-0.43503550323719836"/>
    <n v="0.4"/>
    <m/>
    <m/>
    <m/>
    <m/>
    <m/>
    <m/>
    <m/>
    <m/>
    <m/>
    <n v="5"/>
    <n v="37"/>
    <n v="3"/>
    <n v="0"/>
    <n v="0"/>
    <n v="0"/>
    <n v="55112"/>
    <n v="248917.49999999997"/>
    <n v="20667"/>
    <n v="0"/>
    <n v="29"/>
    <n v="199781"/>
    <n v="35993.220817738867"/>
    <n v="5"/>
    <n v="53"/>
    <n v="3"/>
    <n v="0.35593220338983222"/>
    <n v="0"/>
    <n v="0"/>
    <n v="48223"/>
    <n v="356557.49999999994"/>
    <n v="20667"/>
    <n v="0"/>
    <n v="29"/>
    <n v="199781"/>
    <n v="35993.220817738867"/>
    <n v="5"/>
    <n v="51"/>
    <n v="2"/>
    <n v="0"/>
    <n v="0"/>
    <n v="54466"/>
    <n v="351339"/>
    <n v="13778"/>
    <n v="0"/>
    <n v="29"/>
    <n v="199781"/>
    <n v="28554.621848739498"/>
    <n v="2"/>
    <n v="49"/>
    <n v="2"/>
    <n v="0"/>
    <n v="0"/>
    <n v="329647.49999999994"/>
    <n v="13778"/>
    <x v="0"/>
    <x v="0"/>
    <n v="29"/>
    <n v="199781"/>
    <n v="28554.621848739498"/>
    <n v="4"/>
    <n v="30"/>
    <n v="4"/>
    <m/>
    <n v="0"/>
    <n v="0"/>
    <n v="206670"/>
    <n v="26909.999999999996"/>
    <x v="0"/>
    <n v="0"/>
    <n v="29"/>
    <n v="199781"/>
    <n v="57109.243697478996"/>
    <n v="10"/>
    <n v="40"/>
    <n v="11"/>
    <m/>
    <n v="0"/>
    <n v="0"/>
    <n v="275560"/>
    <n v="74002.499999999985"/>
    <n v="0"/>
    <n v="0"/>
    <n v="40"/>
    <n v="199781"/>
    <n v="157050.42016806724"/>
    <n v="10"/>
    <n v="34"/>
    <n v="5"/>
    <n v="0"/>
    <n v="0"/>
    <n v="0"/>
    <n v="234226"/>
    <n v="33637.499999999993"/>
    <n v="0"/>
    <n v="0"/>
    <n v="34"/>
    <n v="199781"/>
    <n v="71386.554621848743"/>
    <n v="15"/>
    <n v="34"/>
    <n v="5"/>
    <n v="0"/>
    <n v="0"/>
    <n v="0"/>
    <n v="234226"/>
    <n v="33637.499999999993"/>
    <n v="0"/>
    <n v="0"/>
    <n v="34"/>
    <n v="234226"/>
    <n v="71386.554621848743"/>
    <n v="5"/>
    <n v="31"/>
    <n v="3"/>
    <n v="0"/>
    <n v="0"/>
    <n v="0"/>
    <n v="208552.49999999997"/>
    <n v="20182.499999999996"/>
    <n v="0"/>
    <n v="0"/>
    <n v="29"/>
    <n v="199781"/>
    <n v="42831.932773109249"/>
    <n v="5"/>
    <n v="28"/>
    <n v="5"/>
    <n v="0"/>
    <n v="0"/>
    <n v="0"/>
    <m/>
    <n v="188369.99999999997"/>
    <n v="33637.499999999993"/>
    <n v="0"/>
    <n v="0"/>
    <n v="28"/>
    <n v="188369.99999999997"/>
    <n v="62983.193277310929"/>
    <n v="0"/>
    <n v="23"/>
    <n v="0"/>
    <m/>
    <n v="0"/>
    <n v="0"/>
    <n v="154732.49999999997"/>
    <n v="0"/>
    <n v="0"/>
    <n v="0"/>
    <n v="23"/>
    <n v="154732.49999999997"/>
    <n v="0"/>
    <n v="0"/>
    <n v="23"/>
    <n v="0"/>
    <n v="0"/>
    <n v="0"/>
    <n v="154732.49999999997"/>
    <n v="0"/>
    <n v="0"/>
    <n v="0"/>
    <n v="23"/>
    <n v="154732.49999999997"/>
    <n v="0"/>
    <n v="0"/>
    <n v="23"/>
    <n v="0"/>
    <n v="0"/>
    <m/>
    <n v="154732.49999999997"/>
    <n v="0"/>
    <n v="0"/>
    <n v="23"/>
    <n v="154732.49999999997"/>
    <n v="0"/>
  </r>
  <r>
    <s v="Bandú-Jueguetes de Rol"/>
    <x v="0"/>
    <x v="1"/>
    <x v="2"/>
    <s v="BDCASMUÑEC-WD"/>
    <x v="7"/>
    <x v="7"/>
    <x v="0"/>
    <x v="4"/>
    <n v="1"/>
    <x v="7"/>
    <n v="14"/>
    <m/>
    <n v="0"/>
    <n v="21866"/>
    <n v="306124"/>
    <n v="21.66"/>
    <n v="24692.400000000001"/>
    <n v="62249.74789915968"/>
    <n v="52912.285714285725"/>
    <s v="Ningbo"/>
    <x v="0"/>
    <n v="30"/>
    <m/>
    <n v="1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1"/>
    <n v="0.52247311433290511"/>
    <n v="0.1"/>
    <n v="20"/>
    <n v="0.39206324116537061"/>
    <n v="0.8"/>
    <n v="9"/>
    <n v="0.42469843429997622"/>
    <n v="0.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14"/>
    <n v="306124"/>
    <n v="0"/>
    <n v="0"/>
    <n v="0"/>
    <n v="0"/>
    <n v="0"/>
    <n v="0"/>
    <n v="0"/>
    <n v="0"/>
    <x v="0"/>
    <x v="0"/>
    <n v="14"/>
    <n v="306124"/>
    <n v="0"/>
    <n v="0"/>
    <n v="14"/>
    <n v="0"/>
    <m/>
    <m/>
    <n v="0"/>
    <n v="306124"/>
    <n v="0"/>
    <x v="0"/>
    <n v="0"/>
    <n v="14"/>
    <n v="306124"/>
    <n v="0"/>
    <n v="70"/>
    <n v="14"/>
    <n v="0"/>
    <m/>
    <n v="0"/>
    <n v="0"/>
    <n v="306124"/>
    <n v="0"/>
    <n v="0"/>
    <n v="0"/>
    <n v="14"/>
    <n v="306124"/>
    <n v="0"/>
    <n v="10"/>
    <n v="15"/>
    <n v="1"/>
    <n v="50"/>
    <n v="50"/>
    <n v="0"/>
    <n v="327990"/>
    <n v="22418.1"/>
    <n v="1083541.5"/>
    <n v="0"/>
    <n v="15"/>
    <n v="306124"/>
    <n v="62249.74789915968"/>
    <n v="25"/>
    <n v="34"/>
    <n v="20"/>
    <n v="0"/>
    <n v="0"/>
    <n v="0"/>
    <n v="743444"/>
    <n v="448362"/>
    <n v="0"/>
    <n v="0"/>
    <n v="34"/>
    <n v="743444"/>
    <n v="1244994.9579831937"/>
    <n v="10"/>
    <n v="23"/>
    <n v="10.5"/>
    <n v="15"/>
    <n v="15"/>
    <n v="0"/>
    <n v="515616.3"/>
    <n v="235390.05"/>
    <n v="336271.5"/>
    <n v="0"/>
    <n v="14"/>
    <n v="306124"/>
    <n v="653622.35294117662"/>
    <n v="25"/>
    <n v="12.5"/>
    <n v="25"/>
    <n v="0"/>
    <n v="0"/>
    <n v="15"/>
    <n v="15"/>
    <n v="280226.25"/>
    <n v="560452.5"/>
    <n v="0"/>
    <n v="336271.5"/>
    <n v="27.5"/>
    <n v="616497.75"/>
    <n v="1322807.1428571432"/>
    <n v="2"/>
    <n v="2.5"/>
    <n v="2"/>
    <m/>
    <n v="0"/>
    <n v="0"/>
    <n v="56045.25"/>
    <n v="44836.2"/>
    <n v="0"/>
    <n v="0"/>
    <n v="2.5"/>
    <n v="56045.25"/>
    <n v="105824.57142857145"/>
    <n v="48"/>
    <n v="0.5"/>
    <n v="48"/>
    <n v="50"/>
    <n v="50"/>
    <n v="11209.05"/>
    <n v="1076068.7999999998"/>
    <n v="1120905"/>
    <n v="1120905"/>
    <n v="50.5"/>
    <n v="1132114.05"/>
    <n v="2987987.8991596648"/>
    <n v="1.2"/>
    <n v="2.5"/>
    <n v="1.2"/>
    <n v="0"/>
    <m/>
    <n v="56045.25"/>
    <n v="26239.200000000001"/>
    <n v="0"/>
    <n v="2.5"/>
    <n v="56045.25"/>
    <n v="74699.697478991613"/>
  </r>
  <r>
    <s v="Bandú-Jueguetes de Rol"/>
    <x v="0"/>
    <x v="1"/>
    <x v="2"/>
    <s v="BDPKMESILL"/>
    <x v="8"/>
    <x v="8"/>
    <x v="0"/>
    <x v="4"/>
    <n v="1"/>
    <x v="8"/>
    <n v="0"/>
    <m/>
    <n v="0"/>
    <n v="47880"/>
    <n v="0"/>
    <n v="42"/>
    <n v="47880"/>
    <n v="120705.88235294117"/>
    <n v="102600"/>
    <s v="Ningbo"/>
    <x v="0"/>
    <n v="30"/>
    <m/>
    <n v="1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10"/>
    <n v="0.61776900592743711"/>
    <n v="2"/>
    <n v="1"/>
    <n v="0.34982778851923463"/>
    <n v="0.33333333333333331"/>
    <n v="-1"/>
    <n v="0.64376151743449561"/>
    <n v="-0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x v="0"/>
    <x v="0"/>
    <n v="0"/>
    <n v="0"/>
    <n v="0"/>
    <n v="0"/>
    <n v="0"/>
    <n v="0"/>
    <m/>
    <m/>
    <n v="0"/>
    <n v="0"/>
    <n v="0"/>
    <x v="0"/>
    <n v="0"/>
    <n v="0"/>
    <n v="0"/>
    <n v="0"/>
    <n v="3"/>
    <n v="0"/>
    <n v="0"/>
    <m/>
    <n v="0"/>
    <n v="0"/>
    <n v="0"/>
    <n v="0"/>
    <n v="0"/>
    <n v="0"/>
    <n v="0"/>
    <n v="0"/>
    <n v="0"/>
    <n v="5"/>
    <n v="10"/>
    <n v="10"/>
    <n v="10"/>
    <n v="10"/>
    <n v="0"/>
    <n v="478800"/>
    <n v="434700"/>
    <n v="420210"/>
    <n v="0"/>
    <n v="10"/>
    <n v="0"/>
    <n v="1207058.8235294118"/>
    <n v="3"/>
    <n v="1"/>
    <n v="1"/>
    <n v="0"/>
    <n v="0"/>
    <n v="0"/>
    <n v="47880"/>
    <n v="43470"/>
    <n v="0"/>
    <n v="0"/>
    <n v="1"/>
    <n v="47880"/>
    <n v="120705.88235294117"/>
    <n v="2"/>
    <n v="-1"/>
    <n v="0"/>
    <n v="0"/>
    <n v="0"/>
    <n v="0"/>
    <n v="-434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8"/>
    <n v="0"/>
    <n v="8"/>
    <n v="40"/>
    <n v="40"/>
    <n v="0"/>
    <n v="347760"/>
    <n v="1738800"/>
    <n v="1738800"/>
    <n v="40"/>
    <n v="1738800"/>
    <n v="965647.0588235294"/>
    <n v="0"/>
    <n v="32"/>
    <n v="0"/>
    <n v="0"/>
    <m/>
    <n v="1391040"/>
    <n v="0"/>
    <n v="0"/>
    <n v="32"/>
    <n v="1391040"/>
    <n v="0"/>
  </r>
  <r>
    <s v="Bandú-Jueguetes de Rol"/>
    <x v="0"/>
    <x v="1"/>
    <x v="2"/>
    <s v="BDPZMG2E1"/>
    <x v="9"/>
    <x v="9"/>
    <x v="0"/>
    <x v="4"/>
    <n v="1"/>
    <x v="9"/>
    <n v="0"/>
    <m/>
    <n v="0"/>
    <n v="13648"/>
    <n v="0"/>
    <n v="14"/>
    <n v="15960"/>
    <n v="40235.294117647063"/>
    <n v="34200"/>
    <s v="Ningbo"/>
    <x v="0"/>
    <n v="30"/>
    <m/>
    <n v="1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9"/>
    <n v="0.54308652433496918"/>
    <n v="0.45"/>
    <n v="35"/>
    <n v="0.29162631559239183"/>
    <n v="1"/>
    <n v="3"/>
    <n v="0.345540468450446"/>
    <n v="0.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0"/>
    <n v="0"/>
    <n v="0"/>
    <n v="0"/>
    <n v="0"/>
    <n v="0"/>
    <n v="0"/>
    <n v="0"/>
    <n v="0"/>
    <n v="0"/>
    <x v="0"/>
    <x v="0"/>
    <n v="0"/>
    <n v="0"/>
    <n v="0"/>
    <n v="0"/>
    <n v="0"/>
    <n v="0"/>
    <m/>
    <m/>
    <n v="0"/>
    <n v="0"/>
    <n v="0"/>
    <x v="0"/>
    <n v="0"/>
    <n v="0"/>
    <n v="0"/>
    <n v="0"/>
    <n v="10"/>
    <n v="0"/>
    <n v="0"/>
    <m/>
    <n v="0"/>
    <n v="0"/>
    <n v="0"/>
    <n v="0"/>
    <n v="0"/>
    <n v="0"/>
    <n v="0"/>
    <n v="0"/>
    <n v="0"/>
    <n v="20"/>
    <n v="9"/>
    <n v="9"/>
    <n v="50"/>
    <n v="50"/>
    <n v="0"/>
    <n v="122832"/>
    <n v="130409.99999999999"/>
    <n v="700349.99999999988"/>
    <n v="0"/>
    <n v="9"/>
    <n v="0"/>
    <n v="362117.64705882355"/>
    <n v="35"/>
    <n v="35"/>
    <n v="36"/>
    <n v="0"/>
    <n v="0"/>
    <n v="0"/>
    <n v="477680"/>
    <n v="521639.99999999994"/>
    <n v="0"/>
    <n v="0"/>
    <n v="35"/>
    <n v="477680"/>
    <n v="1448470.5882352942"/>
    <n v="15"/>
    <n v="3"/>
    <n v="4.5"/>
    <n v="30"/>
    <n v="30"/>
    <n v="0"/>
    <n v="43469.999999999993"/>
    <n v="65204.999999999993"/>
    <n v="434699.99999999994"/>
    <n v="0"/>
    <n v="0"/>
    <n v="0"/>
    <n v="181058.82352941178"/>
    <n v="50"/>
    <n v="0"/>
    <n v="30"/>
    <n v="0"/>
    <n v="0"/>
    <n v="30"/>
    <n v="30"/>
    <n v="0"/>
    <n v="434699.99999999994"/>
    <n v="0"/>
    <n v="434699.99999999994"/>
    <n v="30"/>
    <n v="434699.99999999994"/>
    <n v="1026000"/>
    <n v="0"/>
    <n v="0"/>
    <n v="0"/>
    <m/>
    <n v="0"/>
    <n v="0"/>
    <n v="0"/>
    <n v="0"/>
    <n v="0"/>
    <n v="0"/>
    <n v="0"/>
    <n v="0"/>
    <n v="0"/>
    <n v="80"/>
    <n v="0"/>
    <n v="80"/>
    <n v="100"/>
    <n v="100"/>
    <n v="0"/>
    <n v="1159199.9999999998"/>
    <n v="1448999.9999999998"/>
    <n v="1448999.9999999998"/>
    <n v="100"/>
    <n v="1448999.9999999998"/>
    <n v="3218823.5294117648"/>
    <n v="0"/>
    <n v="20"/>
    <n v="0"/>
    <n v="0"/>
    <m/>
    <n v="289799.99999999994"/>
    <n v="0"/>
    <n v="0"/>
    <n v="20"/>
    <n v="289799.99999999994"/>
    <n v="0"/>
  </r>
  <r>
    <s v="Bandú-Jueguetes de Rol"/>
    <x v="0"/>
    <x v="1"/>
    <x v="2"/>
    <s v="BDSETDOC"/>
    <x v="10"/>
    <x v="10"/>
    <x v="0"/>
    <x v="1"/>
    <n v="1"/>
    <x v="10"/>
    <n v="1"/>
    <m/>
    <n v="0"/>
    <n v="5504"/>
    <n v="5504"/>
    <n v="5.2"/>
    <n v="5829.2"/>
    <n v="12596.638655462186"/>
    <n v="10915.966386554623"/>
    <s v="Ningbo"/>
    <x v="0"/>
    <n v="30"/>
    <m/>
    <n v="10"/>
    <n v="0"/>
    <s v=""/>
    <n v="0"/>
    <s v=""/>
    <n v="0"/>
    <s v=""/>
    <n v="0"/>
    <s v=""/>
    <n v="0"/>
    <s v=""/>
    <n v="0"/>
    <s v=""/>
    <n v="29"/>
    <n v="0.56370742397451257"/>
    <n v="31"/>
    <n v="0.58681748457620186"/>
    <n v="1"/>
    <n v="0.51925061522584748"/>
    <n v="0"/>
    <s v=""/>
    <n v="2"/>
    <n v="0.51924371998667129"/>
    <n v="0"/>
    <s v=""/>
    <n v="40"/>
    <n v="0.2411783195454702"/>
    <n v="36"/>
    <n v="0.28105605088026359"/>
    <n v="92"/>
    <n v="0.27052880967153942"/>
    <n v="0"/>
    <s v=""/>
    <n v="0"/>
    <n v="0"/>
    <s v=""/>
    <n v="0"/>
    <n v="4"/>
    <n v="0.27302152986454542"/>
    <n v="0.04"/>
    <n v="35"/>
    <n v="0.52317365880488842"/>
    <n v="0.58333333333333337"/>
    <n v="21"/>
    <n v="0.31985329910406879"/>
    <n v="0.95454545454545459"/>
    <n v="0"/>
    <s v=""/>
    <n v="0"/>
    <m/>
    <m/>
    <m/>
    <m/>
    <m/>
    <m/>
    <m/>
    <m/>
    <m/>
    <n v="30"/>
    <n v="68"/>
    <n v="10"/>
    <n v="0"/>
    <m/>
    <n v="0"/>
    <n v="858624"/>
    <n v="365976"/>
    <n v="55040"/>
    <n v="0"/>
    <n v="1"/>
    <n v="5504"/>
    <n v="105854.10634842174"/>
    <n v="25"/>
    <n v="128"/>
    <n v="54"/>
    <n v="0"/>
    <n v="100"/>
    <n v="0"/>
    <n v="803584"/>
    <n v="688896"/>
    <n v="297216"/>
    <n v="0"/>
    <n v="1"/>
    <n v="5504"/>
    <n v="571612.17428147735"/>
    <n v="70"/>
    <n v="57"/>
    <n v="92"/>
    <n v="0"/>
    <n v="0"/>
    <n v="721648"/>
    <n v="313728"/>
    <n v="506368"/>
    <n v="0"/>
    <n v="1"/>
    <n v="5504"/>
    <n v="1158890.7563025211"/>
    <n v="30"/>
    <n v="0"/>
    <n v="0"/>
    <n v="0"/>
    <n v="0"/>
    <n v="0"/>
    <n v="0"/>
    <x v="0"/>
    <x v="0"/>
    <n v="1"/>
    <n v="5504"/>
    <n v="0"/>
    <n v="40"/>
    <n v="1"/>
    <n v="40"/>
    <m/>
    <n v="0"/>
    <n v="0"/>
    <n v="5504"/>
    <n v="215280"/>
    <x v="0"/>
    <n v="0"/>
    <n v="1"/>
    <n v="5504"/>
    <n v="503865.54621848743"/>
    <n v="100"/>
    <n v="5"/>
    <n v="4"/>
    <m/>
    <n v="0"/>
    <n v="0"/>
    <n v="27520"/>
    <n v="21528"/>
    <n v="0"/>
    <n v="0"/>
    <n v="5"/>
    <n v="5504"/>
    <n v="50386.554621848743"/>
    <n v="60"/>
    <n v="36"/>
    <n v="35"/>
    <n v="50"/>
    <n v="50"/>
    <n v="0"/>
    <n v="198144"/>
    <n v="188370"/>
    <n v="260129.99999999997"/>
    <n v="0"/>
    <n v="36"/>
    <n v="5504"/>
    <n v="440882.3529411765"/>
    <n v="22"/>
    <n v="22"/>
    <n v="21"/>
    <n v="0"/>
    <n v="0"/>
    <n v="0"/>
    <n v="121088"/>
    <n v="113022"/>
    <n v="0"/>
    <n v="0"/>
    <n v="22"/>
    <n v="121088"/>
    <n v="264529.4117647059"/>
    <n v="25"/>
    <n v="1"/>
    <n v="0"/>
    <n v="80"/>
    <n v="80"/>
    <n v="0"/>
    <n v="5382"/>
    <n v="0"/>
    <n v="430560"/>
    <n v="0"/>
    <n v="1"/>
    <n v="5504"/>
    <n v="0"/>
    <n v="80"/>
    <n v="1"/>
    <n v="80"/>
    <n v="0"/>
    <n v="0"/>
    <n v="80"/>
    <n v="80"/>
    <n v="5382"/>
    <n v="430560"/>
    <n v="0"/>
    <n v="430560"/>
    <n v="81"/>
    <n v="435942"/>
    <n v="873277.31092436984"/>
    <n v="0"/>
    <n v="1"/>
    <n v="0"/>
    <m/>
    <n v="0"/>
    <n v="0"/>
    <n v="5382"/>
    <n v="0"/>
    <n v="0"/>
    <n v="0"/>
    <n v="1"/>
    <n v="5382"/>
    <n v="0"/>
    <n v="150"/>
    <n v="1"/>
    <n v="150"/>
    <n v="200"/>
    <n v="200"/>
    <n v="5382"/>
    <n v="807300"/>
    <n v="1076400"/>
    <n v="1076400"/>
    <n v="201"/>
    <n v="1081782"/>
    <n v="1889495.7983193279"/>
    <n v="0"/>
    <n v="51"/>
    <n v="0"/>
    <n v="0"/>
    <m/>
    <n v="274482"/>
    <n v="0"/>
    <n v="0"/>
    <n v="51"/>
    <n v="274482"/>
    <n v="0"/>
  </r>
  <r>
    <s v="Bandú-Jueguetes de Rol"/>
    <x v="0"/>
    <x v="1"/>
    <x v="2"/>
    <s v="BDSETLIMP"/>
    <x v="11"/>
    <x v="11"/>
    <x v="0"/>
    <x v="4"/>
    <n v="1"/>
    <x v="11"/>
    <n v="22"/>
    <m/>
    <n v="0"/>
    <n v="11185"/>
    <n v="246070"/>
    <n v="10.5"/>
    <n v="11970"/>
    <n v="30176.470588235294"/>
    <n v="25650"/>
    <s v="Ningbo"/>
    <x v="0"/>
    <n v="30"/>
    <m/>
    <n v="1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12"/>
    <n v="0.52938484884200598"/>
    <n v="0.48"/>
    <n v="10"/>
    <n v="0.19836025808595534"/>
    <n v="1"/>
    <n v="7"/>
    <n v="0.23034735869845513"/>
    <n v="0.8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22"/>
    <n v="246070"/>
    <n v="0"/>
    <n v="0"/>
    <n v="0"/>
    <n v="0"/>
    <n v="0"/>
    <n v="0"/>
    <n v="0"/>
    <n v="0"/>
    <x v="0"/>
    <x v="0"/>
    <n v="22"/>
    <n v="246070"/>
    <n v="0"/>
    <n v="0"/>
    <n v="22"/>
    <n v="0"/>
    <m/>
    <m/>
    <n v="0"/>
    <n v="246070"/>
    <n v="0"/>
    <x v="0"/>
    <n v="0"/>
    <n v="22"/>
    <n v="246070"/>
    <n v="0"/>
    <n v="15"/>
    <n v="22"/>
    <n v="0"/>
    <m/>
    <n v="0"/>
    <n v="0"/>
    <n v="246070"/>
    <n v="0"/>
    <n v="0"/>
    <n v="0"/>
    <n v="22"/>
    <n v="246070"/>
    <n v="0"/>
    <n v="25"/>
    <n v="34"/>
    <n v="12"/>
    <n v="50"/>
    <n v="50"/>
    <n v="0"/>
    <n v="380290"/>
    <n v="130410"/>
    <n v="525262.5"/>
    <n v="0"/>
    <n v="34"/>
    <n v="246070"/>
    <n v="362117.6470588235"/>
    <n v="10"/>
    <n v="32"/>
    <n v="10"/>
    <n v="0"/>
    <n v="0"/>
    <n v="0"/>
    <n v="357920"/>
    <n v="108675"/>
    <n v="0"/>
    <n v="0"/>
    <n v="32"/>
    <n v="357920"/>
    <n v="301764.70588235295"/>
    <n v="8"/>
    <n v="29"/>
    <n v="6"/>
    <n v="0"/>
    <n v="0"/>
    <n v="0"/>
    <n v="315157.5"/>
    <n v="65205"/>
    <n v="0"/>
    <n v="0"/>
    <n v="22"/>
    <n v="246070"/>
    <n v="181058.82352941175"/>
    <n v="21"/>
    <n v="23"/>
    <n v="21"/>
    <n v="0"/>
    <n v="0"/>
    <n v="0"/>
    <n v="0"/>
    <n v="249952.5"/>
    <n v="228217.5"/>
    <n v="0"/>
    <n v="0"/>
    <n v="23"/>
    <n v="249952.5"/>
    <n v="538650"/>
    <n v="0"/>
    <n v="2"/>
    <n v="0"/>
    <m/>
    <n v="0"/>
    <n v="0"/>
    <n v="21735"/>
    <n v="0"/>
    <n v="0"/>
    <n v="0"/>
    <n v="2"/>
    <n v="21735"/>
    <n v="0"/>
    <n v="30"/>
    <n v="2"/>
    <n v="30"/>
    <n v="40"/>
    <n v="40"/>
    <n v="21735"/>
    <n v="326025"/>
    <n v="434700"/>
    <n v="434700"/>
    <n v="42"/>
    <n v="456435"/>
    <n v="905294.1176470588"/>
    <n v="0"/>
    <n v="12"/>
    <n v="0"/>
    <n v="0"/>
    <m/>
    <n v="130410"/>
    <n v="0"/>
    <n v="0"/>
    <n v="12"/>
    <n v="130410"/>
    <n v="0"/>
  </r>
  <r>
    <m/>
    <x v="0"/>
    <x v="1"/>
    <x v="3"/>
    <s v="BDSETMAQ"/>
    <x v="12"/>
    <x v="12"/>
    <x v="0"/>
    <x v="3"/>
    <n v="0.8"/>
    <x v="12"/>
    <n v="36"/>
    <m/>
    <n v="0"/>
    <n v="5118"/>
    <n v="184248"/>
    <n v="5.2"/>
    <n v="5829.2"/>
    <n v="16798.319327731093"/>
    <n v="12596.638655462186"/>
    <s v="Ningbo"/>
    <x v="0"/>
    <n v="30"/>
    <m/>
    <n v="10"/>
    <n v="0"/>
    <s v=""/>
    <n v="0"/>
    <s v=""/>
    <n v="0"/>
    <s v=""/>
    <n v="0"/>
    <s v=""/>
    <n v="0"/>
    <s v=""/>
    <n v="0"/>
    <s v=""/>
    <n v="9"/>
    <n v="0.5232967349894877"/>
    <n v="17"/>
    <n v="0.59138988576495666"/>
    <n v="20"/>
    <n v="0.55210643084423638"/>
    <n v="10"/>
    <n v="0.5317324154041807"/>
    <n v="4"/>
    <n v="0.54930416015479644"/>
    <n v="0"/>
    <s v=""/>
    <n v="0"/>
    <s v=""/>
    <n v="0"/>
    <s v=""/>
    <n v="13"/>
    <n v="0.41151879213956455"/>
    <n v="11"/>
    <n v="0.4603695655778608"/>
    <n v="0.73333333333333328"/>
    <n v="9"/>
    <n v="0.74202007993861674"/>
    <n v="0.9"/>
    <n v="20"/>
    <n v="0.42714074962879151"/>
    <n v="0.8"/>
    <n v="38"/>
    <n v="0.62847550816518283"/>
    <n v="1.0857142857142856"/>
    <n v="49"/>
    <n v="0.34981154106485673"/>
    <n v="1.0888888888888888"/>
    <n v="7"/>
    <n v="0.4416463442289375"/>
    <n v="0.46666666666666667"/>
    <m/>
    <m/>
    <m/>
    <m/>
    <m/>
    <m/>
    <m/>
    <m/>
    <m/>
    <n v="0"/>
    <n v="0"/>
    <n v="0"/>
    <n v="0"/>
    <m/>
    <n v="0"/>
    <n v="66534"/>
    <n v="0"/>
    <n v="0"/>
    <n v="0"/>
    <n v="36"/>
    <n v="184248"/>
    <n v="0"/>
    <n v="0"/>
    <n v="80"/>
    <n v="0"/>
    <n v="0"/>
    <n v="0"/>
    <n v="0"/>
    <n v="122832"/>
    <n v="430560"/>
    <n v="0"/>
    <n v="0"/>
    <n v="36"/>
    <n v="184248"/>
    <n v="0"/>
    <n v="15"/>
    <n v="80"/>
    <n v="13"/>
    <n v="0"/>
    <n v="0"/>
    <n v="165888"/>
    <n v="409440"/>
    <n v="66534"/>
    <n v="0"/>
    <n v="36"/>
    <n v="184248"/>
    <n v="218378.15126050421"/>
    <n v="15"/>
    <n v="109"/>
    <n v="11"/>
    <n v="30"/>
    <n v="0"/>
    <n v="586638"/>
    <n v="56298"/>
    <x v="4"/>
    <x v="0"/>
    <n v="36"/>
    <n v="184248"/>
    <n v="184781.51260504202"/>
    <n v="10"/>
    <n v="45"/>
    <n v="8"/>
    <m/>
    <n v="0"/>
    <n v="0"/>
    <n v="230310"/>
    <n v="43056"/>
    <x v="0"/>
    <n v="0"/>
    <n v="36"/>
    <n v="184248"/>
    <n v="134386.55462184874"/>
    <n v="25"/>
    <n v="56"/>
    <n v="20"/>
    <m/>
    <n v="0"/>
    <n v="0"/>
    <n v="286608"/>
    <n v="107640"/>
    <n v="0"/>
    <n v="0"/>
    <n v="56"/>
    <n v="184248"/>
    <n v="335966.38655462186"/>
    <n v="35"/>
    <n v="74"/>
    <n v="38"/>
    <n v="50"/>
    <n v="50"/>
    <n v="0"/>
    <n v="378732"/>
    <n v="204516"/>
    <n v="260129.99999999997"/>
    <n v="0"/>
    <n v="74"/>
    <n v="184248"/>
    <n v="638336.13445378153"/>
    <n v="45"/>
    <n v="85"/>
    <n v="50"/>
    <n v="0"/>
    <n v="0"/>
    <n v="0"/>
    <n v="435030"/>
    <n v="269100"/>
    <n v="0"/>
    <n v="0"/>
    <n v="85"/>
    <n v="435030"/>
    <n v="839915.96638655465"/>
    <n v="15"/>
    <n v="43"/>
    <n v="7.5"/>
    <n v="0"/>
    <n v="0"/>
    <n v="0"/>
    <n v="231426"/>
    <n v="40365"/>
    <n v="0"/>
    <n v="0"/>
    <n v="36"/>
    <n v="184248"/>
    <n v="125987.3949579832"/>
    <n v="25"/>
    <n v="35.5"/>
    <n v="20"/>
    <n v="0"/>
    <n v="0"/>
    <n v="0"/>
    <n v="0"/>
    <n v="191061"/>
    <n v="107640"/>
    <n v="0"/>
    <n v="0"/>
    <n v="35.5"/>
    <n v="191061"/>
    <n v="251932.77310924372"/>
    <n v="21"/>
    <n v="15.5"/>
    <n v="15.5"/>
    <m/>
    <n v="0"/>
    <n v="0"/>
    <n v="83421"/>
    <n v="83421"/>
    <n v="0"/>
    <n v="0"/>
    <n v="15.5"/>
    <n v="83421"/>
    <n v="195247.89915966388"/>
    <n v="80"/>
    <n v="0"/>
    <n v="64"/>
    <n v="100"/>
    <n v="100"/>
    <n v="0"/>
    <n v="344448"/>
    <n v="538200"/>
    <n v="538200"/>
    <n v="100"/>
    <n v="538200"/>
    <n v="1075092.4369747899"/>
    <n v="12.6"/>
    <n v="36"/>
    <n v="10.08"/>
    <n v="0"/>
    <m/>
    <n v="193752"/>
    <n v="51589.440000000002"/>
    <n v="0"/>
    <n v="36"/>
    <n v="193752"/>
    <n v="169327.05882352943"/>
  </r>
  <r>
    <s v="Bandú-Jueguetes de Rol"/>
    <x v="0"/>
    <x v="1"/>
    <x v="3"/>
    <s v="BDTOCMD-WH"/>
    <x v="13"/>
    <x v="13"/>
    <x v="0"/>
    <x v="3"/>
    <n v="0.7"/>
    <x v="13"/>
    <n v="21"/>
    <m/>
    <n v="0"/>
    <n v="31867"/>
    <n v="669207"/>
    <n v="29.49"/>
    <n v="33058.29"/>
    <n v="84025.210084033621"/>
    <n v="84025.210084033621"/>
    <s v="Ningbo"/>
    <x v="0"/>
    <n v="30"/>
    <m/>
    <n v="10"/>
    <n v="0"/>
    <s v=""/>
    <n v="0"/>
    <s v=""/>
    <n v="0"/>
    <s v=""/>
    <n v="0"/>
    <s v=""/>
    <n v="0"/>
    <s v=""/>
    <n v="0"/>
    <s v=""/>
    <n v="6"/>
    <n v="0.48482526427850026"/>
    <n v="7"/>
    <n v="0.53641459277257797"/>
    <n v="4"/>
    <n v="0.51158056993053569"/>
    <n v="3"/>
    <n v="0.51157782222777848"/>
    <n v="26"/>
    <n v="0.48681106541572067"/>
    <n v="13"/>
    <n v="0.51384979667511843"/>
    <n v="0"/>
    <s v=""/>
    <n v="0"/>
    <s v=""/>
    <n v="0"/>
    <s v=""/>
    <n v="4"/>
    <n v="0.49528064186393561"/>
    <n v="0.4"/>
    <n v="2"/>
    <n v="0.65208351101634676"/>
    <n v="0.13333333333333333"/>
    <n v="4"/>
    <n v="0.51223687233588222"/>
    <n v="0.11428571428571428"/>
    <n v="5"/>
    <n v="0.55274610629008403"/>
    <n v="0.2"/>
    <n v="13"/>
    <n v="0.31878440605435032"/>
    <n v="0.8666666666666667"/>
    <n v="5"/>
    <n v="0.40126999359135068"/>
    <n v="0.33333333333333331"/>
    <m/>
    <m/>
    <m/>
    <m/>
    <m/>
    <m/>
    <m/>
    <m/>
    <m/>
    <n v="0"/>
    <n v="0"/>
    <n v="0"/>
    <n v="0"/>
    <m/>
    <n v="0"/>
    <n v="0"/>
    <n v="0"/>
    <n v="0"/>
    <n v="0"/>
    <n v="21"/>
    <n v="669207"/>
    <n v="0"/>
    <n v="0"/>
    <n v="0"/>
    <n v="0"/>
    <n v="0"/>
    <n v="0"/>
    <n v="0"/>
    <n v="127468"/>
    <n v="0"/>
    <n v="0"/>
    <n v="0"/>
    <n v="21"/>
    <n v="669207"/>
    <n v="0"/>
    <n v="5"/>
    <n v="0"/>
    <n v="0"/>
    <n v="0"/>
    <n v="0"/>
    <n v="447950.57499999995"/>
    <n v="0"/>
    <n v="0"/>
    <n v="0"/>
    <n v="21"/>
    <n v="669207"/>
    <n v="0"/>
    <n v="10"/>
    <n v="16"/>
    <n v="4"/>
    <n v="20"/>
    <n v="0"/>
    <n v="488354.39999999997"/>
    <n v="127468"/>
    <x v="5"/>
    <x v="0"/>
    <n v="21"/>
    <n v="669207"/>
    <n v="336100.84033613448"/>
    <n v="15"/>
    <n v="23"/>
    <n v="10.5"/>
    <m/>
    <n v="0"/>
    <n v="0"/>
    <n v="732941"/>
    <n v="320482.57499999995"/>
    <x v="0"/>
    <n v="0"/>
    <n v="21"/>
    <n v="669207"/>
    <n v="882264.70588235301"/>
    <n v="35"/>
    <n v="25"/>
    <n v="4"/>
    <m/>
    <n v="0"/>
    <n v="0"/>
    <n v="796675"/>
    <n v="122088.59999999999"/>
    <n v="0"/>
    <n v="0"/>
    <n v="25"/>
    <n v="669207"/>
    <n v="336100.84033613448"/>
    <n v="25"/>
    <n v="26"/>
    <n v="5"/>
    <n v="40"/>
    <n v="40"/>
    <n v="0"/>
    <n v="828542"/>
    <n v="152610.75"/>
    <n v="1180189.7999999998"/>
    <n v="0"/>
    <n v="26"/>
    <n v="669207"/>
    <n v="420126.05042016809"/>
    <n v="15"/>
    <n v="34"/>
    <n v="13"/>
    <n v="0"/>
    <n v="0"/>
    <n v="0"/>
    <n v="1083478"/>
    <n v="396787.94999999995"/>
    <n v="0"/>
    <n v="0"/>
    <n v="34"/>
    <n v="1083478"/>
    <n v="1092327.7310924372"/>
    <n v="15"/>
    <n v="26"/>
    <n v="4.5"/>
    <n v="30"/>
    <n v="30"/>
    <n v="0"/>
    <n v="793575.89999999991"/>
    <n v="137349.67499999999"/>
    <n v="915664.49999999988"/>
    <n v="0"/>
    <n v="21"/>
    <n v="669207"/>
    <n v="378113.44537815131"/>
    <n v="20"/>
    <n v="21.5"/>
    <n v="14"/>
    <n v="0"/>
    <n v="0"/>
    <n v="30"/>
    <n v="30"/>
    <n v="656226.22499999998"/>
    <n v="427310.1"/>
    <n v="0"/>
    <n v="915664.49999999988"/>
    <n v="51.5"/>
    <n v="1571890.7249999999"/>
    <n v="1176352.9411764706"/>
    <n v="21"/>
    <n v="37.5"/>
    <n v="14.7"/>
    <m/>
    <n v="0"/>
    <n v="0"/>
    <n v="1144580.625"/>
    <n v="448675.60499999992"/>
    <n v="0"/>
    <n v="0"/>
    <n v="37.5"/>
    <n v="1144580.625"/>
    <n v="1235170.5882352942"/>
    <n v="30"/>
    <n v="22.8"/>
    <n v="21"/>
    <n v="30"/>
    <n v="30"/>
    <n v="695905.02"/>
    <n v="640965.14999999991"/>
    <n v="915664.49999999988"/>
    <n v="915664.49999999988"/>
    <n v="52.8"/>
    <n v="1611569.52"/>
    <n v="1764529.411764706"/>
    <n v="12.6"/>
    <n v="31.8"/>
    <n v="8.8199999999999985"/>
    <n v="0"/>
    <m/>
    <n v="970604.37"/>
    <n v="281066.93999999994"/>
    <n v="0"/>
    <n v="31.8"/>
    <n v="970604.37"/>
    <n v="741102.35294117639"/>
  </r>
  <r>
    <s v="Bandú-Juguetes de Armado"/>
    <x v="0"/>
    <x v="2"/>
    <x v="4"/>
    <s v="BDHELMAD"/>
    <x v="14"/>
    <x v="14"/>
    <x v="0"/>
    <x v="5"/>
    <n v="1.2"/>
    <x v="14"/>
    <n v="5"/>
    <m/>
    <n v="0"/>
    <n v="14626"/>
    <n v="73130"/>
    <n v="12.9"/>
    <n v="14460.9"/>
    <n v="33605.042016806721"/>
    <n v="31084.033613445379"/>
    <s v="Ningbo"/>
    <x v="0"/>
    <n v="30"/>
    <m/>
    <n v="10"/>
    <m/>
    <s v=""/>
    <m/>
    <s v=""/>
    <m/>
    <s v=""/>
    <m/>
    <s v=""/>
    <m/>
    <s v=""/>
    <m/>
    <s v=""/>
    <m/>
    <s v=""/>
    <m/>
    <s v=""/>
    <n v="0"/>
    <s v=""/>
    <n v="0"/>
    <s v=""/>
    <m/>
    <m/>
    <n v="11"/>
    <n v="0.52341869201870739"/>
    <n v="1"/>
    <n v="0.50256776070547804"/>
    <n v="2"/>
    <n v="0.2371494570547365"/>
    <n v="4"/>
    <n v="0.21944803470545995"/>
    <n v="5"/>
    <n v="0.3542556329930861"/>
    <n v="1.6666666666666667"/>
    <n v="6"/>
    <n v="0.55360383004189107"/>
    <n v="2"/>
    <n v="11"/>
    <n v="0.31487517867713938"/>
    <n v="3.6666666666666665"/>
    <n v="8"/>
    <n v="0.54485133368200833"/>
    <n v="1.3333333333333333"/>
    <n v="0"/>
    <s v=""/>
    <n v="0"/>
    <n v="2"/>
    <n v="0.30600175043760941"/>
    <n v="0.4"/>
    <m/>
    <m/>
    <m/>
    <m/>
    <m/>
    <m/>
    <m/>
    <m/>
    <m/>
    <n v="10"/>
    <n v="40"/>
    <n v="5"/>
    <n v="0"/>
    <m/>
    <n v="0"/>
    <n v="175512"/>
    <n v="534059.99999999988"/>
    <n v="73130"/>
    <n v="0"/>
    <n v="5"/>
    <n v="73130"/>
    <n v="141197.65553280135"/>
    <n v="10"/>
    <n v="39"/>
    <n v="3"/>
    <n v="0"/>
    <n v="0"/>
    <n v="0"/>
    <n v="175512"/>
    <n v="520708.49999999994"/>
    <n v="43878"/>
    <n v="0"/>
    <n v="5"/>
    <n v="73130"/>
    <n v="84718.593319680818"/>
    <n v="4"/>
    <n v="37"/>
    <n v="4"/>
    <n v="0"/>
    <n v="0"/>
    <n v="179699.4"/>
    <n v="541162"/>
    <n v="58504"/>
    <n v="0"/>
    <n v="5"/>
    <n v="73130"/>
    <n v="134420.16806722688"/>
    <n v="3"/>
    <n v="33"/>
    <n v="5"/>
    <n v="0"/>
    <n v="0"/>
    <n v="440599.49999999994"/>
    <n v="73130"/>
    <x v="0"/>
    <x v="0"/>
    <n v="5"/>
    <n v="73130"/>
    <n v="168025.21008403361"/>
    <n v="3"/>
    <n v="11"/>
    <n v="3.5999999999999996"/>
    <m/>
    <n v="0"/>
    <n v="0"/>
    <n v="160886"/>
    <n v="48065.399999999987"/>
    <x v="0"/>
    <n v="0"/>
    <n v="5"/>
    <n v="73130"/>
    <n v="120978.15126050418"/>
    <n v="3"/>
    <n v="16"/>
    <n v="11"/>
    <m/>
    <n v="0"/>
    <n v="0"/>
    <n v="234016"/>
    <n v="146866.49999999997"/>
    <n v="0"/>
    <n v="0"/>
    <n v="16"/>
    <n v="73130"/>
    <n v="369655.46218487393"/>
    <n v="6"/>
    <n v="13"/>
    <n v="8"/>
    <n v="0"/>
    <n v="0"/>
    <n v="0"/>
    <n v="190138"/>
    <n v="106811.99999999999"/>
    <n v="0"/>
    <n v="0"/>
    <n v="13"/>
    <n v="73130"/>
    <n v="268840.33613445377"/>
    <n v="6"/>
    <n v="5"/>
    <n v="0"/>
    <n v="0"/>
    <n v="0"/>
    <n v="0"/>
    <n v="73130"/>
    <n v="0"/>
    <n v="0"/>
    <n v="0"/>
    <n v="5"/>
    <n v="73130"/>
    <n v="0"/>
    <n v="5"/>
    <n v="7"/>
    <n v="1.5"/>
    <n v="0"/>
    <n v="0"/>
    <n v="0"/>
    <n v="93460.499999999985"/>
    <n v="20027.249999999996"/>
    <n v="0"/>
    <n v="0"/>
    <n v="5"/>
    <n v="73130"/>
    <n v="50407.563025210082"/>
    <n v="0"/>
    <n v="5.5"/>
    <n v="0"/>
    <n v="0"/>
    <n v="0"/>
    <n v="0"/>
    <n v="0"/>
    <n v="73433.249999999985"/>
    <n v="0"/>
    <n v="0"/>
    <n v="0"/>
    <n v="5.5"/>
    <n v="73433.249999999985"/>
    <n v="0"/>
    <n v="0"/>
    <n v="5.5"/>
    <n v="0"/>
    <m/>
    <n v="0"/>
    <n v="0"/>
    <n v="73433.249999999985"/>
    <n v="0"/>
    <n v="0"/>
    <n v="0"/>
    <n v="5.5"/>
    <n v="73433.249999999985"/>
    <n v="0"/>
    <n v="0"/>
    <n v="5.5"/>
    <n v="0"/>
    <n v="0"/>
    <n v="0"/>
    <n v="73433.249999999985"/>
    <n v="0"/>
    <n v="0"/>
    <n v="0"/>
    <n v="5.5"/>
    <n v="73433.249999999985"/>
    <n v="0"/>
    <n v="0"/>
    <n v="5.5"/>
    <n v="0"/>
    <n v="0"/>
    <m/>
    <n v="73433.249999999985"/>
    <n v="0"/>
    <n v="0"/>
    <n v="5.5"/>
    <n v="73433.249999999985"/>
    <n v="0"/>
  </r>
  <r>
    <s v="Bandú-Juguetes de Armado"/>
    <x v="0"/>
    <x v="2"/>
    <x v="4"/>
    <s v="BDJUEAUT"/>
    <x v="15"/>
    <x v="15"/>
    <x v="0"/>
    <x v="0"/>
    <n v="1"/>
    <x v="15"/>
    <n v="26"/>
    <m/>
    <n v="0"/>
    <n v="7306"/>
    <n v="189956"/>
    <n v="7"/>
    <n v="7847"/>
    <n v="16798.319327731093"/>
    <n v="14277.310924369749"/>
    <s v="Ningbo"/>
    <x v="0"/>
    <n v="30"/>
    <m/>
    <n v="10"/>
    <n v="0"/>
    <s v=""/>
    <n v="0"/>
    <s v=""/>
    <n v="0"/>
    <s v=""/>
    <n v="0"/>
    <s v=""/>
    <n v="0"/>
    <s v=""/>
    <n v="0"/>
    <s v=""/>
    <n v="6"/>
    <n v="0.48244478107669531"/>
    <n v="20"/>
    <n v="0.53677692057978976"/>
    <n v="8"/>
    <n v="0.50382666701533085"/>
    <n v="13"/>
    <n v="0.45416709414429157"/>
    <n v="25"/>
    <n v="0.46826582353192353"/>
    <n v="60"/>
    <n v="0.5466322427265492"/>
    <n v="4"/>
    <n v="0.40167944042798898"/>
    <n v="9"/>
    <n v="0.37655363502579153"/>
    <n v="19"/>
    <n v="0.29002024337147919"/>
    <n v="14"/>
    <n v="0.38108300542746648"/>
    <n v="0.93333333333333335"/>
    <n v="12"/>
    <n v="0.61134720201247927"/>
    <n v="1.2"/>
    <n v="19"/>
    <n v="0.30312172062217846"/>
    <n v="0.76"/>
    <n v="25"/>
    <n v="0.55100994837676276"/>
    <n v="1.25"/>
    <n v="23"/>
    <n v="0.35708413908873604"/>
    <n v="0.92"/>
    <n v="8"/>
    <n v="0.37566505378907944"/>
    <n v="0.53333333333333333"/>
    <m/>
    <m/>
    <m/>
    <m/>
    <m/>
    <m/>
    <m/>
    <m/>
    <m/>
    <n v="15"/>
    <n v="14"/>
    <n v="6"/>
    <n v="0"/>
    <m/>
    <n v="0"/>
    <n v="281281"/>
    <n v="101429.99999999999"/>
    <n v="43836"/>
    <n v="0"/>
    <n v="26"/>
    <n v="189956"/>
    <n v="84697.408375114755"/>
    <n v="10"/>
    <n v="62"/>
    <n v="13.5"/>
    <n v="45"/>
    <n v="45"/>
    <n v="0"/>
    <n v="339729"/>
    <n v="449189.99999999994"/>
    <n v="98631"/>
    <n v="0"/>
    <n v="26"/>
    <n v="189956"/>
    <n v="190569.16884400821"/>
    <n v="20"/>
    <n v="50"/>
    <n v="19"/>
    <n v="0"/>
    <n v="0"/>
    <n v="313548"/>
    <n v="365300"/>
    <n v="138814"/>
    <n v="0"/>
    <n v="26"/>
    <n v="189956"/>
    <n v="319168.06722689077"/>
    <n v="15"/>
    <n v="44"/>
    <n v="14"/>
    <n v="10"/>
    <n v="0"/>
    <n v="318779.99999999994"/>
    <n v="102284"/>
    <x v="6"/>
    <x v="0"/>
    <n v="26"/>
    <n v="189956"/>
    <n v="235176.4705882353"/>
    <n v="10"/>
    <n v="38"/>
    <n v="10"/>
    <m/>
    <n v="0"/>
    <n v="0"/>
    <n v="277628"/>
    <n v="72449.999999999985"/>
    <x v="0"/>
    <n v="0"/>
    <n v="26"/>
    <n v="189956"/>
    <n v="167983.19327731093"/>
    <n v="25"/>
    <n v="45"/>
    <n v="19"/>
    <m/>
    <n v="0"/>
    <n v="0"/>
    <n v="328770"/>
    <n v="137654.99999999997"/>
    <n v="0"/>
    <n v="0"/>
    <n v="45"/>
    <n v="189956"/>
    <n v="319168.06722689077"/>
    <n v="20"/>
    <n v="51"/>
    <n v="25"/>
    <n v="75"/>
    <n v="75"/>
    <n v="0"/>
    <n v="372606"/>
    <n v="181124.99999999997"/>
    <n v="525262.49999999988"/>
    <n v="0"/>
    <n v="51"/>
    <n v="189956"/>
    <n v="419957.98319327732"/>
    <n v="25"/>
    <n v="49"/>
    <n v="23"/>
    <n v="0"/>
    <n v="0"/>
    <n v="0"/>
    <n v="357994"/>
    <n v="166634.99999999997"/>
    <n v="0"/>
    <n v="0"/>
    <n v="49"/>
    <n v="357994"/>
    <n v="386361.34453781514"/>
    <n v="15"/>
    <n v="34"/>
    <n v="6"/>
    <n v="0"/>
    <n v="0"/>
    <n v="0"/>
    <n v="246329.99999999997"/>
    <n v="43469.999999999993"/>
    <n v="0"/>
    <n v="0"/>
    <n v="26"/>
    <n v="189956"/>
    <n v="100789.91596638656"/>
    <n v="17"/>
    <n v="28"/>
    <n v="17"/>
    <n v="0"/>
    <n v="0"/>
    <n v="0"/>
    <m/>
    <n v="202859.99999999997"/>
    <n v="123164.99999999999"/>
    <n v="0"/>
    <n v="0"/>
    <n v="28"/>
    <n v="202859.99999999997"/>
    <n v="242714.28571428574"/>
    <n v="0"/>
    <n v="11"/>
    <n v="0"/>
    <m/>
    <n v="0"/>
    <n v="0"/>
    <n v="79694.999999999985"/>
    <n v="0"/>
    <n v="0"/>
    <n v="0"/>
    <n v="11"/>
    <n v="79694.999999999985"/>
    <n v="0"/>
    <n v="60"/>
    <n v="11"/>
    <n v="60"/>
    <n v="70"/>
    <n v="70"/>
    <n v="79694.999999999985"/>
    <n v="434699.99999999994"/>
    <n v="507149.99999999994"/>
    <n v="507149.99999999994"/>
    <n v="81"/>
    <n v="586844.99999999988"/>
    <n v="1007899.1596638656"/>
    <n v="0"/>
    <n v="21"/>
    <n v="0"/>
    <n v="0"/>
    <m/>
    <n v="152144.99999999997"/>
    <n v="0"/>
    <n v="0"/>
    <n v="21"/>
    <n v="152144.99999999997"/>
    <n v="0"/>
  </r>
  <r>
    <m/>
    <x v="0"/>
    <x v="2"/>
    <x v="4"/>
    <s v="BDJUETRE"/>
    <x v="16"/>
    <x v="16"/>
    <x v="0"/>
    <x v="3"/>
    <n v="1"/>
    <x v="16"/>
    <n v="64"/>
    <m/>
    <n v="0"/>
    <n v="16374"/>
    <n v="1047936"/>
    <n v="15.67"/>
    <n v="17566.07"/>
    <n v="42008.403361344543"/>
    <n v="36126.050420168067"/>
    <s v="Ningbo"/>
    <x v="0"/>
    <n v="30"/>
    <m/>
    <n v="10"/>
    <n v="0"/>
    <s v=""/>
    <n v="0"/>
    <s v=""/>
    <n v="0"/>
    <s v=""/>
    <n v="0"/>
    <s v=""/>
    <n v="0"/>
    <s v=""/>
    <n v="0"/>
    <s v=""/>
    <n v="9"/>
    <n v="0.58497410767561397"/>
    <n v="9"/>
    <n v="0.54464372611288159"/>
    <n v="3"/>
    <n v="0.58472195772233859"/>
    <n v="1"/>
    <n v="0.56743286468794163"/>
    <n v="1"/>
    <n v="0"/>
    <n v="0"/>
    <s v=""/>
    <n v="3"/>
    <n v="0.34727110352274154"/>
    <n v="5"/>
    <n v="0.31404331247636663"/>
    <n v="11"/>
    <n v="0.3647647058914939"/>
    <n v="8"/>
    <n v="0.34822166194279136"/>
    <n v="0.8"/>
    <n v="13"/>
    <n v="0.60325764201688026"/>
    <n v="0.8666666666666667"/>
    <n v="11"/>
    <n v="0.36663166188499324"/>
    <n v="0.31428571428571428"/>
    <n v="7"/>
    <n v="0.55815667142861769"/>
    <n v="0.28000000000000003"/>
    <n v="4"/>
    <n v="0.5396902859121202"/>
    <n v="0.4"/>
    <n v="2"/>
    <n v="0.17388276976607162"/>
    <n v="0.13333333333333333"/>
    <m/>
    <m/>
    <m/>
    <m/>
    <m/>
    <m/>
    <m/>
    <m/>
    <m/>
    <n v="10"/>
    <n v="86"/>
    <n v="5"/>
    <n v="0"/>
    <m/>
    <n v="0"/>
    <n v="384789"/>
    <n v="1394786.7"/>
    <n v="81870"/>
    <n v="0"/>
    <n v="64"/>
    <n v="1047936"/>
    <n v="176505.89647623757"/>
    <n v="5"/>
    <n v="83"/>
    <n v="7.5"/>
    <n v="0"/>
    <n v="0"/>
    <n v="0"/>
    <n v="433911"/>
    <n v="1346131.3499999999"/>
    <n v="122805"/>
    <n v="0"/>
    <n v="64"/>
    <n v="1047936"/>
    <n v="264758.84471435635"/>
    <n v="15"/>
    <n v="76"/>
    <n v="11"/>
    <n v="0"/>
    <n v="0"/>
    <n v="554382.75"/>
    <n v="1244424"/>
    <n v="180114"/>
    <n v="0"/>
    <n v="64"/>
    <n v="1047936"/>
    <n v="462092.43697478995"/>
    <n v="10"/>
    <n v="54"/>
    <n v="8"/>
    <n v="0"/>
    <n v="0"/>
    <n v="875796.29999999993"/>
    <n v="130992"/>
    <x v="0"/>
    <x v="0"/>
    <n v="64"/>
    <n v="1047936"/>
    <n v="336067.22689075634"/>
    <n v="15"/>
    <n v="77"/>
    <n v="15"/>
    <m/>
    <n v="0"/>
    <n v="0"/>
    <n v="1260798"/>
    <n v="243276.74999999997"/>
    <x v="0"/>
    <n v="0"/>
    <n v="64"/>
    <n v="1047936"/>
    <n v="630126.05042016809"/>
    <n v="35"/>
    <n v="75"/>
    <n v="11"/>
    <m/>
    <n v="0"/>
    <n v="0"/>
    <n v="1228050"/>
    <n v="178402.94999999998"/>
    <n v="0"/>
    <n v="0"/>
    <n v="75"/>
    <n v="1047936"/>
    <n v="462092.43697478995"/>
    <n v="25"/>
    <n v="71"/>
    <n v="7"/>
    <n v="40"/>
    <n v="40"/>
    <n v="0"/>
    <n v="1162554"/>
    <n v="113529.15"/>
    <n v="627113.39999999991"/>
    <n v="0"/>
    <n v="71"/>
    <n v="1047936"/>
    <n v="294058.82352941181"/>
    <n v="10"/>
    <n v="68"/>
    <n v="4"/>
    <n v="0"/>
    <n v="0"/>
    <n v="0"/>
    <n v="1113432"/>
    <n v="64873.799999999996"/>
    <n v="0"/>
    <n v="0"/>
    <n v="68"/>
    <n v="1113432"/>
    <n v="168033.61344537817"/>
    <n v="15"/>
    <n v="66"/>
    <n v="3"/>
    <n v="30"/>
    <n v="30"/>
    <n v="0"/>
    <n v="1070417.7"/>
    <n v="48655.35"/>
    <n v="486553.49999999994"/>
    <n v="0"/>
    <n v="64"/>
    <n v="1047936"/>
    <n v="126025.21008403364"/>
    <n v="15"/>
    <n v="63"/>
    <n v="15"/>
    <n v="0"/>
    <n v="0"/>
    <n v="32"/>
    <n v="30"/>
    <n v="1021762.35"/>
    <n v="243276.74999999997"/>
    <n v="0"/>
    <n v="518990.39999999997"/>
    <n v="95"/>
    <n v="1540752.75"/>
    <n v="541890.75630252098"/>
    <n v="28"/>
    <n v="80"/>
    <n v="28"/>
    <m/>
    <n v="0"/>
    <n v="0"/>
    <n v="1297476"/>
    <n v="454116.6"/>
    <n v="0"/>
    <n v="0"/>
    <n v="80"/>
    <n v="1297476"/>
    <n v="1011529.4117647059"/>
    <n v="40"/>
    <n v="52"/>
    <n v="40"/>
    <n v="0"/>
    <n v="0"/>
    <n v="843359.39999999991"/>
    <n v="648738"/>
    <n v="0"/>
    <n v="0"/>
    <n v="52"/>
    <n v="843359.39999999991"/>
    <n v="1680336.1344537816"/>
    <n v="16.8"/>
    <n v="12"/>
    <n v="16.8"/>
    <n v="0"/>
    <m/>
    <n v="194621.4"/>
    <n v="275083.2"/>
    <n v="0"/>
    <n v="12"/>
    <n v="194621.4"/>
    <n v="705741.17647058831"/>
  </r>
  <r>
    <s v="Bandú-Juguetes de Armado"/>
    <x v="0"/>
    <x v="2"/>
    <x v="5"/>
    <s v="BDMESHERRA"/>
    <x v="17"/>
    <x v="17"/>
    <x v="0"/>
    <x v="0"/>
    <n v="0.6"/>
    <x v="17"/>
    <n v="7"/>
    <m/>
    <n v="0"/>
    <n v="17060"/>
    <n v="119420"/>
    <n v="18"/>
    <n v="20178"/>
    <n v="42008.403361344543"/>
    <n v="42008.403361344543"/>
    <s v="Ningbo"/>
    <x v="0"/>
    <n v="30"/>
    <m/>
    <n v="10"/>
    <n v="0"/>
    <s v=""/>
    <n v="0"/>
    <s v=""/>
    <n v="0"/>
    <s v=""/>
    <n v="0"/>
    <s v=""/>
    <n v="0"/>
    <s v=""/>
    <n v="0"/>
    <s v=""/>
    <n v="2"/>
    <n v="0.33552108194112967"/>
    <n v="2"/>
    <n v="0.52280517996572085"/>
    <n v="2"/>
    <n v="0.43859747388467246"/>
    <n v="6"/>
    <n v="0.47367500568509263"/>
    <n v="9"/>
    <n v="0.4346389278428951"/>
    <n v="12"/>
    <n v="0.5464689198134115"/>
    <n v="0"/>
    <s v=""/>
    <n v="0"/>
    <s v=""/>
    <n v="0"/>
    <s v=""/>
    <n v="2"/>
    <n v="0.31177775599613966"/>
    <n v="0.2"/>
    <n v="2"/>
    <n v="0.59388117623524694"/>
    <n v="0.33333333333333331"/>
    <n v="6"/>
    <n v="0.39516339217446222"/>
    <n v="0.4"/>
    <n v="4"/>
    <n v="0.62913524597650761"/>
    <n v="0.4"/>
    <n v="1"/>
    <n v="0.32347584592466488"/>
    <n v="8.3333333333333329E-2"/>
    <n v="0"/>
    <n v="6.7435999999999972"/>
    <n v="0"/>
    <m/>
    <m/>
    <m/>
    <m/>
    <m/>
    <m/>
    <m/>
    <m/>
    <m/>
    <n v="0"/>
    <n v="0"/>
    <n v="0"/>
    <n v="0"/>
    <n v="0"/>
    <n v="0"/>
    <n v="0"/>
    <n v="0"/>
    <n v="0"/>
    <n v="0"/>
    <n v="7"/>
    <n v="119420"/>
    <n v="0"/>
    <n v="0"/>
    <n v="0"/>
    <n v="0"/>
    <n v="1.0169491525424235E-2"/>
    <n v="0"/>
    <n v="0"/>
    <n v="34120"/>
    <n v="0"/>
    <n v="0"/>
    <n v="0"/>
    <n v="7"/>
    <n v="119420"/>
    <n v="0"/>
    <n v="5"/>
    <n v="0"/>
    <n v="0"/>
    <n v="0"/>
    <n v="0"/>
    <n v="101188"/>
    <n v="0"/>
    <n v="0"/>
    <n v="0"/>
    <n v="7"/>
    <n v="119420"/>
    <n v="0"/>
    <n v="10"/>
    <n v="17"/>
    <n v="2"/>
    <n v="20"/>
    <n v="0"/>
    <n v="316710"/>
    <n v="34120"/>
    <x v="7"/>
    <x v="0"/>
    <n v="7"/>
    <n v="119420"/>
    <n v="84016.806722689085"/>
    <n v="6"/>
    <n v="9"/>
    <n v="3.5999999999999996"/>
    <m/>
    <n v="0"/>
    <n v="0"/>
    <n v="153540"/>
    <n v="67068"/>
    <x v="0"/>
    <n v="0"/>
    <n v="7"/>
    <n v="119420"/>
    <n v="151230.25210084033"/>
    <n v="15"/>
    <n v="13"/>
    <n v="6"/>
    <m/>
    <n v="0"/>
    <n v="0"/>
    <n v="221780"/>
    <n v="111780"/>
    <n v="0"/>
    <n v="0"/>
    <n v="13"/>
    <n v="119420"/>
    <n v="252050.42016806727"/>
    <n v="10"/>
    <n v="11"/>
    <n v="4"/>
    <n v="0"/>
    <n v="0"/>
    <n v="0"/>
    <n v="187660"/>
    <n v="74520"/>
    <n v="0"/>
    <n v="0"/>
    <n v="11"/>
    <n v="119420"/>
    <n v="168033.61344537817"/>
    <n v="12"/>
    <n v="8"/>
    <n v="1"/>
    <n v="0"/>
    <n v="0"/>
    <n v="0"/>
    <n v="136480"/>
    <n v="18630"/>
    <n v="0"/>
    <n v="0"/>
    <n v="8"/>
    <n v="136480"/>
    <n v="42008.403361344543"/>
    <n v="3"/>
    <n v="7"/>
    <n v="0"/>
    <n v="15"/>
    <n v="15"/>
    <n v="0"/>
    <n v="130410"/>
    <n v="0"/>
    <n v="279450"/>
    <n v="0"/>
    <n v="7"/>
    <n v="119420"/>
    <n v="0"/>
    <n v="6"/>
    <n v="7"/>
    <n v="3.5999999999999996"/>
    <n v="0"/>
    <n v="0"/>
    <n v="15"/>
    <n v="15"/>
    <n v="130410"/>
    <n v="67068"/>
    <n v="0"/>
    <n v="279450"/>
    <n v="22"/>
    <n v="409860"/>
    <n v="151230.25210084033"/>
    <n v="4"/>
    <n v="18.399999999999999"/>
    <n v="2.4"/>
    <m/>
    <n v="0"/>
    <n v="0"/>
    <n v="342792"/>
    <n v="44712"/>
    <n v="0"/>
    <n v="0"/>
    <n v="18.399999999999999"/>
    <n v="342792"/>
    <n v="100820.1680672269"/>
    <n v="5"/>
    <n v="15.999999999999998"/>
    <n v="3"/>
    <n v="0"/>
    <n v="0"/>
    <n v="298079.99999999994"/>
    <n v="55890"/>
    <n v="0"/>
    <n v="0"/>
    <n v="15.999999999999998"/>
    <n v="298079.99999999994"/>
    <n v="126025.21008403364"/>
    <n v="2.4"/>
    <n v="12.999999999999998"/>
    <n v="1.44"/>
    <n v="0"/>
    <m/>
    <n v="242189.99999999997"/>
    <n v="24566.399999999998"/>
    <n v="0"/>
    <n v="12.999999999999998"/>
    <n v="242189.99999999997"/>
    <n v="60492.100840336141"/>
  </r>
  <r>
    <m/>
    <x v="0"/>
    <x v="3"/>
    <x v="6"/>
    <s v="BDANDDIDAC"/>
    <x v="18"/>
    <x v="18"/>
    <x v="0"/>
    <x v="1"/>
    <n v="0.8"/>
    <x v="18"/>
    <n v="8"/>
    <m/>
    <n v="0"/>
    <n v="14719"/>
    <n v="117752"/>
    <n v="13.99"/>
    <n v="15682.789999999999"/>
    <n v="42008.403361344543"/>
    <n v="33605.042016806721"/>
    <s v="Ningbo"/>
    <x v="0"/>
    <n v="30"/>
    <m/>
    <n v="10"/>
    <n v="0"/>
    <s v=""/>
    <n v="0"/>
    <s v=""/>
    <n v="0"/>
    <s v=""/>
    <n v="0"/>
    <s v=""/>
    <n v="0"/>
    <s v=""/>
    <n v="0"/>
    <s v=""/>
    <n v="19"/>
    <n v="0.55170977468524929"/>
    <n v="28"/>
    <n v="0.50807487072353208"/>
    <n v="3"/>
    <n v="0.5115911477869467"/>
    <n v="0"/>
    <s v=""/>
    <n v="55"/>
    <n v="0.49516563760648324"/>
    <n v="-1"/>
    <n v="0.14172077922077922"/>
    <n v="3"/>
    <n v="0.43151045325880932"/>
    <n v="4"/>
    <n v="0.46166601470045676"/>
    <n v="25"/>
    <n v="0.40208413464254511"/>
    <n v="11"/>
    <n v="0.45843228752647769"/>
    <n v="0.55000000000000004"/>
    <n v="14"/>
    <n v="0.64128755955375372"/>
    <n v="0.7"/>
    <n v="24"/>
    <n v="0.36843605915150746"/>
    <n v="0.96"/>
    <n v="134"/>
    <n v="0.59638577476164889"/>
    <n v="4.4666666666666668"/>
    <n v="55"/>
    <n v="0.29417501768174942"/>
    <n v="0.87301587301587302"/>
    <n v="-1"/>
    <n v="0.46911033646559563"/>
    <n v="0"/>
    <m/>
    <m/>
    <m/>
    <m/>
    <m/>
    <m/>
    <m/>
    <m/>
    <m/>
    <n v="20"/>
    <n v="115"/>
    <n v="5"/>
    <n v="0"/>
    <m/>
    <n v="0"/>
    <n v="529884"/>
    <n v="1665159.75"/>
    <n v="73595"/>
    <n v="0"/>
    <n v="8"/>
    <n v="117752"/>
    <n v="176505.89647623757"/>
    <n v="20"/>
    <n v="161"/>
    <n v="6"/>
    <n v="50"/>
    <n v="0"/>
    <n v="0"/>
    <n v="618198"/>
    <n v="2331223.65"/>
    <n v="88314"/>
    <n v="0"/>
    <n v="8"/>
    <n v="117752"/>
    <n v="211807.07577148511"/>
    <n v="30"/>
    <n v="157"/>
    <n v="25"/>
    <n v="0"/>
    <n v="0"/>
    <n v="761558.4"/>
    <n v="2310883"/>
    <n v="367975"/>
    <n v="0"/>
    <n v="8"/>
    <n v="117752"/>
    <n v="1050210.0840336136"/>
    <n v="20"/>
    <n v="137"/>
    <n v="11"/>
    <n v="10"/>
    <n v="0"/>
    <n v="1983712.05"/>
    <n v="161909"/>
    <x v="8"/>
    <x v="0"/>
    <n v="8"/>
    <n v="117752"/>
    <n v="462092.43697478995"/>
    <n v="20"/>
    <n v="22"/>
    <n v="16"/>
    <m/>
    <n v="0"/>
    <n v="0"/>
    <n v="323818"/>
    <n v="231674.4"/>
    <x v="0"/>
    <n v="0"/>
    <n v="8"/>
    <n v="117752"/>
    <n v="672134.45378151268"/>
    <n v="25"/>
    <n v="32"/>
    <n v="24"/>
    <m/>
    <n v="0"/>
    <n v="0"/>
    <n v="471008"/>
    <n v="347511.6"/>
    <n v="0"/>
    <n v="0"/>
    <n v="32"/>
    <n v="117752"/>
    <n v="1008201.6806722691"/>
    <n v="30"/>
    <n v="142"/>
    <n v="134"/>
    <n v="100"/>
    <n v="100"/>
    <n v="0"/>
    <n v="2090098"/>
    <n v="1940273.0999999999"/>
    <n v="1399699.5"/>
    <n v="0"/>
    <n v="142"/>
    <n v="117752"/>
    <n v="5629126.0504201688"/>
    <n v="63"/>
    <n v="63"/>
    <n v="56"/>
    <n v="0"/>
    <n v="0"/>
    <n v="0"/>
    <n v="927297"/>
    <n v="810860.4"/>
    <n v="0"/>
    <n v="0"/>
    <n v="63"/>
    <n v="927297"/>
    <n v="2352470.5882352944"/>
    <n v="0"/>
    <n v="7"/>
    <n v="0"/>
    <n v="0"/>
    <n v="0"/>
    <n v="0"/>
    <n v="101357.55"/>
    <n v="0"/>
    <n v="0"/>
    <n v="0"/>
    <n v="8"/>
    <n v="117752"/>
    <n v="0"/>
    <n v="0"/>
    <n v="7"/>
    <n v="0"/>
    <n v="0"/>
    <n v="0"/>
    <n v="0"/>
    <m/>
    <n v="101357.55"/>
    <n v="0"/>
    <n v="0"/>
    <n v="0"/>
    <n v="7"/>
    <n v="101357.55"/>
    <n v="0"/>
    <n v="0"/>
    <n v="7"/>
    <n v="0"/>
    <m/>
    <n v="0"/>
    <n v="0"/>
    <n v="101357.55"/>
    <n v="0"/>
    <n v="0"/>
    <n v="0"/>
    <n v="7"/>
    <n v="101357.55"/>
    <n v="0"/>
    <n v="100"/>
    <n v="7"/>
    <n v="80"/>
    <n v="150"/>
    <n v="150"/>
    <n v="101357.55"/>
    <n v="1158372"/>
    <n v="2171947.5"/>
    <n v="2171947.5"/>
    <n v="157"/>
    <n v="2273305.0499999998"/>
    <n v="3360672.2689075633"/>
    <n v="0"/>
    <n v="77"/>
    <n v="0"/>
    <n v="0"/>
    <m/>
    <n v="1114933.05"/>
    <n v="0"/>
    <n v="0"/>
    <n v="77"/>
    <n v="1114933.05"/>
    <n v="0"/>
  </r>
  <r>
    <m/>
    <x v="0"/>
    <x v="3"/>
    <x v="6"/>
    <s v="BDANDDIDAC-GR"/>
    <x v="19"/>
    <x v="18"/>
    <x v="0"/>
    <x v="3"/>
    <n v="0.8"/>
    <x v="19"/>
    <n v="9"/>
    <m/>
    <n v="0"/>
    <n v="14601"/>
    <n v="131409"/>
    <n v="13.99"/>
    <n v="15682.789999999999"/>
    <n v="42008.403361344543"/>
    <n v="33605.042016806721"/>
    <s v="Ningbo"/>
    <x v="0"/>
    <n v="30"/>
    <m/>
    <n v="10"/>
    <n v="0"/>
    <s v=""/>
    <n v="0"/>
    <s v=""/>
    <n v="0"/>
    <s v=""/>
    <n v="0"/>
    <s v=""/>
    <n v="0"/>
    <s v=""/>
    <n v="0"/>
    <s v=""/>
    <n v="2"/>
    <n v="0.4934757165430621"/>
    <n v="13"/>
    <n v="0.50492378429856699"/>
    <n v="14"/>
    <n v="0.49480941982595017"/>
    <n v="8"/>
    <n v="0.49583179395708371"/>
    <n v="50"/>
    <n v="0.46806596485202662"/>
    <n v="1"/>
    <n v="0.76714161729179886"/>
    <n v="0"/>
    <s v=""/>
    <n v="1"/>
    <n v="0.28658565629420601"/>
    <n v="14"/>
    <n v="0.32959871420584014"/>
    <n v="9"/>
    <n v="0.3822042822040343"/>
    <n v="0.6"/>
    <n v="2"/>
    <n v="0.68195879175835161"/>
    <n v="0.13333333333333333"/>
    <n v="13"/>
    <n v="0.43506128377333869"/>
    <n v="0.52"/>
    <n v="59"/>
    <n v="0.5686626127327028"/>
    <n v="2.36"/>
    <n v="41"/>
    <n v="0.32417685502879984"/>
    <n v="0.91111111111111109"/>
    <n v="5"/>
    <n v="0.33598511292590894"/>
    <n v="0.5"/>
    <m/>
    <m/>
    <m/>
    <m/>
    <m/>
    <m/>
    <m/>
    <m/>
    <m/>
    <n v="15"/>
    <n v="8"/>
    <n v="5"/>
    <n v="0"/>
    <n v="0"/>
    <n v="0"/>
    <n v="299320.5"/>
    <n v="115837.2"/>
    <n v="73005"/>
    <n v="0"/>
    <n v="9"/>
    <n v="131409"/>
    <n v="176505.89647623757"/>
    <n v="15"/>
    <n v="23"/>
    <n v="1.5"/>
    <n v="15"/>
    <n v="15"/>
    <n v="0"/>
    <n v="357724.5"/>
    <n v="333031.95"/>
    <n v="21901.5"/>
    <n v="0"/>
    <n v="9"/>
    <n v="131409"/>
    <n v="52951.768942871277"/>
    <n v="20"/>
    <n v="22"/>
    <n v="14"/>
    <n v="0"/>
    <n v="0"/>
    <n v="509578.8"/>
    <n v="321222"/>
    <n v="204414"/>
    <n v="0"/>
    <n v="9"/>
    <n v="131409"/>
    <n v="588117.64705882361"/>
    <n v="15"/>
    <n v="35"/>
    <n v="9"/>
    <n v="30"/>
    <n v="0"/>
    <n v="506787.75"/>
    <n v="131409"/>
    <x v="9"/>
    <x v="0"/>
    <n v="9"/>
    <n v="131409"/>
    <n v="378075.63025210088"/>
    <n v="15"/>
    <n v="11"/>
    <n v="12"/>
    <m/>
    <n v="0"/>
    <n v="0"/>
    <n v="160611"/>
    <n v="173755.8"/>
    <x v="0"/>
    <n v="0"/>
    <n v="9"/>
    <n v="131409"/>
    <n v="504100.84033613454"/>
    <n v="25"/>
    <n v="22"/>
    <n v="13"/>
    <m/>
    <n v="0"/>
    <n v="0"/>
    <n v="321222"/>
    <n v="188235.44999999998"/>
    <n v="0"/>
    <n v="0"/>
    <n v="22"/>
    <n v="131409"/>
    <n v="546109.24369747902"/>
    <n v="25"/>
    <n v="68"/>
    <n v="59"/>
    <n v="100"/>
    <n v="100"/>
    <n v="0"/>
    <n v="992868"/>
    <n v="854299.35"/>
    <n v="1399699.5"/>
    <n v="0"/>
    <n v="68"/>
    <n v="131409"/>
    <n v="2478495.7983193281"/>
    <n v="45"/>
    <n v="50"/>
    <n v="42"/>
    <n v="0"/>
    <n v="0"/>
    <n v="0"/>
    <n v="730050"/>
    <n v="608145.29999999993"/>
    <n v="0"/>
    <n v="0"/>
    <n v="50"/>
    <n v="730050"/>
    <n v="1764352.9411764708"/>
    <n v="10"/>
    <n v="14"/>
    <n v="7.5"/>
    <n v="0"/>
    <n v="0"/>
    <n v="0"/>
    <n v="202715.1"/>
    <n v="108597.375"/>
    <n v="0"/>
    <n v="0"/>
    <n v="9"/>
    <n v="131409"/>
    <n v="315063.02521008404"/>
    <n v="0"/>
    <n v="6.5"/>
    <n v="0"/>
    <n v="0"/>
    <n v="0"/>
    <n v="0"/>
    <m/>
    <n v="94117.724999999991"/>
    <n v="0"/>
    <n v="0"/>
    <n v="0"/>
    <n v="6.5"/>
    <n v="94117.724999999991"/>
    <n v="0"/>
    <n v="0"/>
    <n v="6.5"/>
    <n v="0"/>
    <m/>
    <n v="0"/>
    <n v="0"/>
    <n v="94117.724999999991"/>
    <n v="0"/>
    <n v="0"/>
    <n v="0"/>
    <n v="6.5"/>
    <n v="94117.724999999991"/>
    <n v="0"/>
    <n v="80"/>
    <n v="6.5"/>
    <n v="64"/>
    <n v="100"/>
    <n v="100"/>
    <n v="94117.724999999991"/>
    <n v="926697.6"/>
    <n v="1447965"/>
    <n v="1447965"/>
    <n v="106.5"/>
    <n v="1542082.7250000001"/>
    <n v="2688537.8151260507"/>
    <n v="0"/>
    <n v="42.5"/>
    <n v="0"/>
    <n v="0"/>
    <m/>
    <n v="615385.125"/>
    <n v="0"/>
    <n v="0"/>
    <n v="42.5"/>
    <n v="615385.125"/>
    <n v="0"/>
  </r>
  <r>
    <s v="Bandú-Juguetes de Motricidad"/>
    <x v="0"/>
    <x v="3"/>
    <x v="6"/>
    <s v="BNANDCONTRU"/>
    <x v="20"/>
    <x v="19"/>
    <x v="0"/>
    <x v="0"/>
    <n v="1"/>
    <x v="20"/>
    <n v="0"/>
    <m/>
    <n v="0"/>
    <n v="15856"/>
    <n v="0"/>
    <n v="15"/>
    <n v="16815"/>
    <n v="42008.403361344543"/>
    <n v="33605.042016806721"/>
    <s v="Ningbo"/>
    <x v="0"/>
    <n v="30"/>
    <m/>
    <n v="10"/>
    <n v="0"/>
    <s v=""/>
    <n v="0"/>
    <s v=""/>
    <n v="0"/>
    <s v=""/>
    <n v="0"/>
    <s v=""/>
    <n v="0"/>
    <s v=""/>
    <n v="0"/>
    <s v=""/>
    <n v="7"/>
    <n v="0.58341110691493958"/>
    <n v="10"/>
    <n v="0.58675196631765469"/>
    <n v="8"/>
    <n v="0.60245810636991215"/>
    <n v="16"/>
    <n v="0.53973659861802858"/>
    <n v="10"/>
    <n v="0.58589082337565357"/>
    <n v="0"/>
    <s v=""/>
    <n v="0"/>
    <s v=""/>
    <n v="0"/>
    <s v=""/>
    <n v="1"/>
    <n v="0.45076201379750985"/>
    <n v="0"/>
    <s v=""/>
    <n v="0"/>
    <n v="0"/>
    <s v=""/>
    <n v="0"/>
    <n v="1"/>
    <n v="0.48784247374562423"/>
    <n v="0.125"/>
    <n v="41"/>
    <n v="0.61823888226862156"/>
    <n v="8.1999999999999993"/>
    <n v="0"/>
    <s v=""/>
    <n v="0"/>
    <n v="2"/>
    <n v="0.3674448843509065"/>
    <n v="0"/>
    <m/>
    <m/>
    <m/>
    <m/>
    <m/>
    <m/>
    <m/>
    <m/>
    <m/>
    <n v="0"/>
    <n v="0"/>
    <n v="0"/>
    <n v="0"/>
    <m/>
    <n v="0"/>
    <n v="15856"/>
    <n v="0"/>
    <n v="0"/>
    <n v="0"/>
    <n v="0"/>
    <n v="0"/>
    <n v="0"/>
    <n v="5"/>
    <n v="0"/>
    <n v="0"/>
    <n v="0"/>
    <n v="0"/>
    <n v="0"/>
    <n v="15856"/>
    <n v="0"/>
    <n v="0"/>
    <n v="0"/>
    <n v="0"/>
    <n v="0"/>
    <n v="0"/>
    <n v="6"/>
    <n v="0"/>
    <n v="1"/>
    <n v="0"/>
    <n v="0"/>
    <n v="62430.999999999993"/>
    <n v="0"/>
    <n v="15856"/>
    <n v="0"/>
    <n v="0"/>
    <n v="0"/>
    <n v="42008.403361344543"/>
    <n v="0"/>
    <n v="0"/>
    <n v="0"/>
    <n v="0"/>
    <n v="0"/>
    <n v="0"/>
    <n v="0"/>
    <x v="0"/>
    <x v="0"/>
    <n v="0"/>
    <n v="0"/>
    <n v="0"/>
    <n v="3"/>
    <n v="0"/>
    <n v="3"/>
    <m/>
    <n v="0"/>
    <n v="0"/>
    <n v="0"/>
    <n v="46574.999999999993"/>
    <x v="0"/>
    <n v="0"/>
    <n v="0"/>
    <n v="0"/>
    <n v="126025.21008403364"/>
    <n v="8"/>
    <n v="1"/>
    <n v="1"/>
    <m/>
    <n v="0"/>
    <n v="0"/>
    <n v="15856"/>
    <n v="15524.999999999998"/>
    <n v="0"/>
    <n v="0"/>
    <n v="1"/>
    <n v="0"/>
    <n v="42008.403361344543"/>
    <n v="5"/>
    <n v="41"/>
    <n v="41"/>
    <n v="45"/>
    <n v="45"/>
    <n v="0"/>
    <n v="650096"/>
    <n v="636524.99999999988"/>
    <n v="675337.49999999988"/>
    <n v="0"/>
    <n v="41"/>
    <n v="0"/>
    <n v="1722344.5378151264"/>
    <n v="2"/>
    <n v="0"/>
    <n v="0"/>
    <n v="0"/>
    <n v="0"/>
    <n v="0"/>
    <n v="0"/>
    <n v="0"/>
    <n v="0"/>
    <n v="0"/>
    <n v="0"/>
    <n v="0"/>
    <n v="0"/>
    <n v="0"/>
    <n v="2"/>
    <n v="3"/>
    <n v="0"/>
    <n v="0"/>
    <n v="0"/>
    <n v="31049.999999999996"/>
    <n v="46574.999999999993"/>
    <n v="0"/>
    <n v="0"/>
    <n v="0"/>
    <n v="0"/>
    <n v="126025.21008403364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60"/>
    <n v="0"/>
    <n v="60"/>
    <n v="80"/>
    <n v="80"/>
    <n v="0"/>
    <n v="931499.99999999988"/>
    <n v="1241999.9999999998"/>
    <n v="1241999.9999999998"/>
    <n v="80"/>
    <n v="1241999.9999999998"/>
    <n v="2520504.2016806724"/>
    <n v="0"/>
    <n v="20"/>
    <n v="0"/>
    <n v="0"/>
    <m/>
    <n v="310499.99999999994"/>
    <n v="0"/>
    <n v="0"/>
    <n v="20"/>
    <n v="310499.99999999994"/>
    <n v="0"/>
  </r>
  <r>
    <m/>
    <x v="0"/>
    <x v="3"/>
    <x v="7"/>
    <s v="BDMBAVTHIE"/>
    <x v="21"/>
    <x v="20"/>
    <x v="0"/>
    <x v="2"/>
    <n v="1"/>
    <x v="21"/>
    <n v="198"/>
    <m/>
    <n v="0"/>
    <n v="11071"/>
    <n v="2192058"/>
    <n v="10.050000000000001"/>
    <n v="11266.05"/>
    <n v="19319.327731092439"/>
    <n v="16798.319327731093"/>
    <s v="Ningbo"/>
    <x v="0"/>
    <n v="30"/>
    <m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1"/>
    <n v="0.44369625395871931"/>
    <n v="0"/>
    <s v=""/>
    <n v="1"/>
    <n v="6.4469138252845198E-2"/>
    <n v="0"/>
    <s v=""/>
    <n v="1"/>
    <n v="0.13981273570550404"/>
    <n v="0.33333333333333331"/>
    <n v="1"/>
    <n v="0.52936593555761946"/>
    <n v="0.33333333333333331"/>
    <n v="1"/>
    <n v="0.18137628930036037"/>
    <n v="0.05"/>
    <n v="1"/>
    <n v="0.58819298574643664"/>
    <n v="6.6666666666666666E-2"/>
    <n v="3"/>
    <n v="0.24569572918716784"/>
    <n v="0.2"/>
    <n v="0"/>
    <s v=""/>
    <n v="0"/>
    <m/>
    <m/>
    <m/>
    <m/>
    <m/>
    <m/>
    <m/>
    <m/>
    <m/>
    <n v="15"/>
    <n v="205"/>
    <n v="5"/>
    <n v="0"/>
    <m/>
    <n v="0"/>
    <n v="71961.5"/>
    <n v="2132358.75"/>
    <n v="55355"/>
    <n v="0"/>
    <n v="198"/>
    <n v="2192058"/>
    <n v="81173.645928959828"/>
    <n v="5"/>
    <n v="205"/>
    <n v="1.5"/>
    <n v="0"/>
    <n v="0"/>
    <n v="0"/>
    <n v="27677.5"/>
    <n v="2132358.75"/>
    <n v="16606.5"/>
    <n v="0"/>
    <n v="198"/>
    <n v="2192058"/>
    <n v="24352.093778687951"/>
    <n v="35"/>
    <n v="204"/>
    <n v="0"/>
    <n v="0"/>
    <n v="0"/>
    <n v="42276.25"/>
    <n v="2258484"/>
    <n v="0"/>
    <n v="0"/>
    <n v="198"/>
    <n v="2192058"/>
    <n v="0"/>
    <n v="3"/>
    <n v="204"/>
    <n v="1"/>
    <n v="0"/>
    <n v="0"/>
    <n v="2121957"/>
    <n v="11071"/>
    <x v="0"/>
    <x v="0"/>
    <n v="198"/>
    <n v="2192058"/>
    <n v="19319.327731092439"/>
    <n v="3"/>
    <n v="199"/>
    <n v="3"/>
    <m/>
    <n v="0"/>
    <n v="0"/>
    <n v="2203129"/>
    <n v="31205.25"/>
    <x v="0"/>
    <n v="0"/>
    <n v="198"/>
    <n v="2192058"/>
    <n v="57957.983193277316"/>
    <n v="20"/>
    <n v="199"/>
    <n v="1"/>
    <m/>
    <n v="0"/>
    <n v="0"/>
    <n v="2203129"/>
    <n v="10401.75"/>
    <n v="0"/>
    <n v="0"/>
    <n v="199"/>
    <n v="2192058"/>
    <n v="19319.327731092439"/>
    <n v="15"/>
    <n v="199"/>
    <n v="1"/>
    <n v="0"/>
    <n v="0"/>
    <n v="0"/>
    <n v="2203129"/>
    <n v="10401.75"/>
    <n v="0"/>
    <n v="0"/>
    <n v="199"/>
    <n v="2192058"/>
    <n v="19319.327731092439"/>
    <n v="15"/>
    <n v="201"/>
    <n v="3"/>
    <n v="0"/>
    <n v="0"/>
    <n v="0"/>
    <n v="2225271"/>
    <n v="31205.25"/>
    <n v="0"/>
    <n v="0"/>
    <n v="201"/>
    <n v="2225271"/>
    <n v="57957.983193277316"/>
    <n v="5"/>
    <n v="198"/>
    <n v="0"/>
    <n v="0"/>
    <n v="0"/>
    <n v="0"/>
    <n v="2059546.5"/>
    <n v="0"/>
    <n v="0"/>
    <n v="0"/>
    <n v="198"/>
    <n v="2192058"/>
    <n v="0"/>
    <n v="15"/>
    <n v="198"/>
    <n v="15"/>
    <n v="0"/>
    <n v="0"/>
    <n v="0"/>
    <m/>
    <n v="2059546.5"/>
    <n v="156026.25"/>
    <n v="0"/>
    <n v="0"/>
    <n v="198"/>
    <n v="2059546.5"/>
    <n v="251974.78991596639"/>
    <n v="10.5"/>
    <n v="183"/>
    <n v="10.5"/>
    <m/>
    <n v="0"/>
    <n v="0"/>
    <n v="1903520.25"/>
    <n v="109218.375"/>
    <n v="0"/>
    <n v="0"/>
    <n v="183"/>
    <n v="1903520.25"/>
    <n v="176382.35294117648"/>
    <n v="16"/>
    <n v="172.5"/>
    <n v="16"/>
    <n v="0"/>
    <n v="0"/>
    <n v="1794301.875"/>
    <n v="166428"/>
    <n v="0"/>
    <n v="0"/>
    <n v="172.5"/>
    <n v="1794301.875"/>
    <n v="309109.24369747902"/>
    <n v="6.3"/>
    <n v="156.5"/>
    <n v="6.3"/>
    <n v="0"/>
    <m/>
    <n v="1627873.875"/>
    <n v="69747.3"/>
    <n v="0"/>
    <n v="156.5"/>
    <n v="1627873.875"/>
    <n v="121711.76470588236"/>
  </r>
  <r>
    <m/>
    <x v="0"/>
    <x v="3"/>
    <x v="7"/>
    <s v="BDMBBOESP"/>
    <x v="22"/>
    <x v="21"/>
    <x v="0"/>
    <x v="2"/>
    <n v="1"/>
    <x v="22"/>
    <n v="125"/>
    <m/>
    <n v="0"/>
    <n v="4538"/>
    <n v="567250"/>
    <n v="3.81"/>
    <n v="4271.01"/>
    <n v="8394.957983193277"/>
    <n v="7554.6218487394963"/>
    <s v="Ningbo"/>
    <x v="0"/>
    <n v="30"/>
    <m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5617999227500966"/>
    <n v="38"/>
    <n v="0.53921558016614957"/>
    <n v="12"/>
    <n v="0.25260524741205592"/>
    <n v="4"/>
    <n v="0.31592710293596821"/>
    <n v="8"/>
    <n v="0.23003939316654406"/>
    <n v="3"/>
    <n v="0.39710579444906169"/>
    <n v="1"/>
    <n v="8"/>
    <n v="0.45944244244244248"/>
    <n v="2.6666666666666665"/>
    <n v="13"/>
    <n v="0.2389265114800985"/>
    <n v="0.8666666666666667"/>
    <n v="21"/>
    <n v="0.3311435564730168"/>
    <n v="1.75"/>
    <n v="6"/>
    <n v="0.34513261141336138"/>
    <n v="0.3"/>
    <n v="4"/>
    <n v="0.28038489535941757"/>
    <n v="1"/>
    <m/>
    <m/>
    <m/>
    <m/>
    <m/>
    <m/>
    <m/>
    <m/>
    <m/>
    <n v="20"/>
    <n v="205"/>
    <n v="10"/>
    <n v="0"/>
    <m/>
    <n v="0"/>
    <n v="108912"/>
    <n v="808386.75"/>
    <n v="45380"/>
    <n v="0"/>
    <n v="125"/>
    <n v="567250"/>
    <n v="70545.865404985525"/>
    <n v="10"/>
    <n v="193"/>
    <n v="6"/>
    <n v="0"/>
    <n v="0"/>
    <n v="0"/>
    <n v="77146"/>
    <n v="761066.54999999993"/>
    <n v="27228"/>
    <n v="0"/>
    <n v="125"/>
    <n v="567250"/>
    <n v="42327.519242991315"/>
    <n v="50"/>
    <n v="188"/>
    <n v="8"/>
    <n v="0"/>
    <n v="0"/>
    <n v="61748.05"/>
    <n v="853144"/>
    <n v="36304"/>
    <n v="0"/>
    <n v="125"/>
    <n v="567250"/>
    <n v="67159.663865546216"/>
    <n v="3"/>
    <n v="181"/>
    <n v="3"/>
    <n v="0"/>
    <n v="0"/>
    <n v="713746.35"/>
    <n v="13614"/>
    <x v="0"/>
    <x v="0"/>
    <n v="125"/>
    <n v="567250"/>
    <n v="25184.873949579829"/>
    <n v="3"/>
    <n v="133"/>
    <n v="3"/>
    <m/>
    <n v="0"/>
    <n v="0"/>
    <n v="603554"/>
    <n v="11830.05"/>
    <x v="0"/>
    <n v="0"/>
    <n v="125"/>
    <n v="567250"/>
    <n v="25184.873949579829"/>
    <n v="15"/>
    <n v="138"/>
    <n v="13"/>
    <m/>
    <n v="0"/>
    <n v="0"/>
    <n v="626244"/>
    <n v="51263.549999999996"/>
    <n v="0"/>
    <n v="0"/>
    <n v="138"/>
    <n v="567250"/>
    <n v="109134.4537815126"/>
    <n v="12"/>
    <n v="146"/>
    <n v="21"/>
    <n v="0"/>
    <n v="0"/>
    <n v="0"/>
    <n v="662548"/>
    <n v="82810.349999999991"/>
    <n v="0"/>
    <n v="0"/>
    <n v="146"/>
    <n v="567250"/>
    <n v="176294.11764705883"/>
    <n v="20"/>
    <n v="131"/>
    <n v="6"/>
    <n v="0"/>
    <n v="0"/>
    <n v="0"/>
    <n v="594478"/>
    <n v="23660.1"/>
    <n v="0"/>
    <n v="0"/>
    <n v="131"/>
    <n v="594478"/>
    <n v="50369.747899159658"/>
    <n v="4"/>
    <n v="129"/>
    <n v="6"/>
    <n v="0"/>
    <n v="0"/>
    <n v="0"/>
    <n v="508692.14999999997"/>
    <n v="23660.1"/>
    <n v="0"/>
    <n v="0"/>
    <n v="125"/>
    <n v="567250"/>
    <n v="50369.747899159658"/>
    <n v="20"/>
    <n v="123"/>
    <n v="20"/>
    <n v="0"/>
    <n v="0"/>
    <n v="0"/>
    <m/>
    <n v="485032.05"/>
    <n v="78867"/>
    <n v="0"/>
    <n v="0"/>
    <n v="123"/>
    <n v="485032.05"/>
    <n v="151092.43697478992"/>
    <n v="14"/>
    <n v="103"/>
    <n v="14"/>
    <m/>
    <n v="0"/>
    <n v="0"/>
    <n v="406165.05"/>
    <n v="55206.9"/>
    <n v="0"/>
    <n v="0"/>
    <n v="103"/>
    <n v="406165.05"/>
    <n v="105764.70588235295"/>
    <n v="32"/>
    <n v="89"/>
    <n v="32"/>
    <n v="0"/>
    <n v="0"/>
    <n v="350958.14999999997"/>
    <n v="126187.2"/>
    <n v="0"/>
    <n v="0"/>
    <n v="89"/>
    <n v="350958.14999999997"/>
    <n v="268638.65546218486"/>
    <n v="8.4"/>
    <n v="57"/>
    <n v="8.4"/>
    <n v="0"/>
    <m/>
    <n v="224770.94999999998"/>
    <n v="38119.200000000004"/>
    <n v="0"/>
    <n v="57"/>
    <n v="224770.94999999998"/>
    <n v="70517.647058823524"/>
  </r>
  <r>
    <m/>
    <x v="0"/>
    <x v="3"/>
    <x v="7"/>
    <s v="BDMBCIUMG"/>
    <x v="23"/>
    <x v="22"/>
    <x v="0"/>
    <x v="2"/>
    <n v="1"/>
    <x v="23"/>
    <n v="157"/>
    <m/>
    <n v="0"/>
    <n v="8924"/>
    <n v="1401068"/>
    <n v="8"/>
    <n v="8968"/>
    <n v="15957.983193277312"/>
    <n v="14277.310924369749"/>
    <s v="Ningbo"/>
    <x v="0"/>
    <n v="30"/>
    <m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5.003193527783692E-2"/>
    <n v="3"/>
    <n v="0.4731684278883051"/>
    <n v="29"/>
    <n v="0.3763441491689134"/>
    <n v="3"/>
    <n v="0.24137875063176531"/>
    <n v="1"/>
    <n v="0.1676575582208582"/>
    <n v="4"/>
    <n v="0.27583922887335682"/>
    <n v="0"/>
    <s v=""/>
    <n v="0"/>
    <n v="1"/>
    <n v="0.58729975515914656"/>
    <n v="0.33333333333333331"/>
    <n v="2"/>
    <n v="0.29283657587548639"/>
    <n v="0.1111111111111111"/>
    <n v="5"/>
    <n v="0.38151634809146079"/>
    <n v="0.35714285714285715"/>
    <n v="13"/>
    <n v="0.14358178819350273"/>
    <n v="0.65"/>
    <n v="1"/>
    <n v="0.56569091704719354"/>
    <n v="0.2"/>
    <m/>
    <m/>
    <m/>
    <m/>
    <m/>
    <m/>
    <m/>
    <m/>
    <m/>
    <n v="20"/>
    <n v="184"/>
    <n v="5"/>
    <n v="0"/>
    <m/>
    <n v="0"/>
    <n v="93702"/>
    <n v="1523520"/>
    <n v="44620"/>
    <n v="0"/>
    <n v="157"/>
    <n v="1401068"/>
    <n v="67050.349551585357"/>
    <n v="5"/>
    <n v="181"/>
    <n v="1.5"/>
    <n v="0"/>
    <n v="0"/>
    <n v="0"/>
    <n v="49082"/>
    <n v="1498680"/>
    <n v="13386"/>
    <n v="0"/>
    <n v="157"/>
    <n v="1401068"/>
    <n v="20115.104865475605"/>
    <n v="25"/>
    <n v="180"/>
    <n v="4"/>
    <n v="0"/>
    <n v="0"/>
    <n v="60536"/>
    <n v="1606320"/>
    <n v="35696"/>
    <n v="0"/>
    <n v="157"/>
    <n v="1401068"/>
    <n v="63831.932773109249"/>
    <n v="3"/>
    <n v="176"/>
    <n v="0"/>
    <n v="0"/>
    <n v="0"/>
    <n v="1457280"/>
    <n v="0"/>
    <x v="0"/>
    <x v="0"/>
    <n v="157"/>
    <n v="1401068"/>
    <n v="0"/>
    <n v="3"/>
    <n v="158"/>
    <n v="3"/>
    <m/>
    <n v="0"/>
    <n v="0"/>
    <n v="1409992"/>
    <n v="24840"/>
    <x v="0"/>
    <n v="0"/>
    <n v="157"/>
    <n v="1401068"/>
    <n v="47873.94957983194"/>
    <n v="18"/>
    <n v="159"/>
    <n v="2"/>
    <m/>
    <n v="0"/>
    <n v="0"/>
    <n v="1418916"/>
    <n v="16560"/>
    <n v="0"/>
    <n v="0"/>
    <n v="159"/>
    <n v="1401068"/>
    <n v="31915.966386554624"/>
    <n v="14"/>
    <n v="162"/>
    <n v="5"/>
    <n v="0"/>
    <n v="0"/>
    <n v="0"/>
    <n v="1445688"/>
    <n v="41400"/>
    <n v="0"/>
    <n v="0"/>
    <n v="162"/>
    <n v="1401068"/>
    <n v="79789.915966386558"/>
    <n v="20"/>
    <n v="170"/>
    <n v="13"/>
    <n v="0"/>
    <n v="0"/>
    <n v="0"/>
    <n v="1517080"/>
    <n v="107640"/>
    <n v="0"/>
    <n v="0"/>
    <n v="170"/>
    <n v="1517080"/>
    <n v="207453.78151260506"/>
    <n v="5"/>
    <n v="158"/>
    <n v="1.5"/>
    <n v="0"/>
    <n v="0"/>
    <n v="0"/>
    <n v="1308240"/>
    <n v="12420"/>
    <n v="0"/>
    <n v="0"/>
    <n v="157"/>
    <n v="1401068"/>
    <n v="23936.97478991597"/>
    <n v="22"/>
    <n v="156.5"/>
    <n v="22"/>
    <n v="0"/>
    <n v="0"/>
    <n v="0"/>
    <m/>
    <n v="1295820"/>
    <n v="182160"/>
    <n v="0"/>
    <n v="0"/>
    <n v="156.5"/>
    <n v="1295820"/>
    <n v="314100.84033613448"/>
    <n v="15.399999999999999"/>
    <n v="134.5"/>
    <n v="15.399999999999999"/>
    <m/>
    <n v="0"/>
    <n v="0"/>
    <n v="1113660"/>
    <n v="127511.99999999999"/>
    <n v="0"/>
    <n v="0"/>
    <n v="134.5"/>
    <n v="1113660"/>
    <n v="219870.58823529413"/>
    <n v="24"/>
    <n v="119.1"/>
    <n v="24"/>
    <n v="0"/>
    <n v="0"/>
    <n v="986148"/>
    <n v="198720"/>
    <n v="0"/>
    <n v="0"/>
    <n v="119.1"/>
    <n v="986148"/>
    <n v="382991.59663865552"/>
    <n v="9.2399999999999984"/>
    <n v="95.1"/>
    <n v="9.2399999999999984"/>
    <n v="0"/>
    <m/>
    <n v="787428"/>
    <n v="82457.75999999998"/>
    <n v="0"/>
    <n v="95.1"/>
    <n v="787428"/>
    <n v="147451.76470588235"/>
  </r>
  <r>
    <s v="Bandú-Juguetes de Motricidad"/>
    <x v="0"/>
    <x v="3"/>
    <x v="7"/>
    <s v="BDMBMNMRIO"/>
    <x v="24"/>
    <x v="23"/>
    <x v="0"/>
    <x v="2"/>
    <n v="1"/>
    <x v="24"/>
    <n v="39"/>
    <m/>
    <n v="0"/>
    <n v="6475"/>
    <n v="252525"/>
    <n v="5.66"/>
    <n v="6344.86"/>
    <n v="12596.638655462186"/>
    <n v="10075.63025210084"/>
    <s v="Ningbo"/>
    <x v="0"/>
    <n v="30"/>
    <m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4"/>
    <n v="0.4745171238435319"/>
    <n v="124"/>
    <n v="0.45158678715677014"/>
    <n v="11"/>
    <n v="0.30159563803432826"/>
    <n v="11"/>
    <n v="0.23289192372086356"/>
    <n v="6"/>
    <n v="0.21719523684273384"/>
    <n v="1"/>
    <n v="0.2124809084735052"/>
    <n v="0.33333333333333331"/>
    <n v="4"/>
    <n v="0.59953029988046358"/>
    <n v="1.3333333333333333"/>
    <n v="21"/>
    <n v="0.38164742182361927"/>
    <n v="1.05"/>
    <n v="8"/>
    <n v="0.41982870265793237"/>
    <n v="0.53333333333333333"/>
    <n v="11"/>
    <n v="0.3234658680360562"/>
    <n v="0.36666666666666664"/>
    <n v="1"/>
    <n v="0.25848715226072227"/>
    <n v="0.2"/>
    <m/>
    <m/>
    <m/>
    <m/>
    <m/>
    <m/>
    <m/>
    <m/>
    <m/>
    <n v="40"/>
    <n v="103"/>
    <n v="15"/>
    <n v="0"/>
    <m/>
    <n v="0"/>
    <n v="242812.5"/>
    <n v="603384.29999999993"/>
    <n v="97125"/>
    <n v="0"/>
    <n v="39"/>
    <n v="252525"/>
    <n v="158781.1595226326"/>
    <n v="15"/>
    <n v="102"/>
    <n v="16.5"/>
    <n v="0"/>
    <n v="0"/>
    <n v="0"/>
    <n v="152162.5"/>
    <n v="597526.19999999995"/>
    <n v="106837.5"/>
    <n v="0"/>
    <n v="39"/>
    <n v="252525"/>
    <n v="174659.27547489587"/>
    <n v="45"/>
    <n v="91"/>
    <n v="6"/>
    <n v="0"/>
    <n v="0"/>
    <n v="62899.3"/>
    <n v="589225"/>
    <n v="38850"/>
    <n v="0"/>
    <n v="39"/>
    <n v="252525"/>
    <n v="75579.831932773115"/>
    <n v="3"/>
    <n v="85"/>
    <n v="1"/>
    <n v="0"/>
    <n v="0"/>
    <n v="497938.49999999994"/>
    <n v="6475"/>
    <x v="0"/>
    <x v="0"/>
    <n v="39"/>
    <n v="252525"/>
    <n v="12596.638655462186"/>
    <n v="3"/>
    <n v="43"/>
    <n v="3"/>
    <m/>
    <n v="0"/>
    <n v="0"/>
    <n v="278425"/>
    <n v="17574.3"/>
    <x v="0"/>
    <n v="0"/>
    <n v="39"/>
    <n v="252525"/>
    <n v="37789.915966386558"/>
    <n v="20"/>
    <n v="60"/>
    <n v="21"/>
    <m/>
    <n v="0"/>
    <n v="0"/>
    <n v="388500"/>
    <n v="123020.09999999999"/>
    <n v="0"/>
    <n v="0"/>
    <n v="60"/>
    <n v="252525"/>
    <n v="264529.4117647059"/>
    <n v="15"/>
    <n v="47"/>
    <n v="8"/>
    <n v="0"/>
    <n v="0"/>
    <n v="0"/>
    <n v="304325"/>
    <n v="46864.799999999996"/>
    <n v="0"/>
    <n v="0"/>
    <n v="47"/>
    <n v="252525"/>
    <n v="100773.10924369749"/>
    <n v="30"/>
    <n v="50"/>
    <n v="11"/>
    <n v="0"/>
    <n v="0"/>
    <n v="0"/>
    <n v="323750"/>
    <n v="64439.099999999991"/>
    <n v="0"/>
    <n v="0"/>
    <n v="50"/>
    <n v="323750"/>
    <n v="138563.02521008404"/>
    <n v="5"/>
    <n v="40"/>
    <n v="1.5"/>
    <n v="0"/>
    <n v="0"/>
    <n v="0"/>
    <n v="234323.99999999997"/>
    <n v="8787.15"/>
    <n v="0"/>
    <n v="0"/>
    <n v="39"/>
    <n v="252525"/>
    <n v="18894.957983193279"/>
    <n v="20"/>
    <n v="38.5"/>
    <n v="20"/>
    <n v="0"/>
    <n v="0"/>
    <n v="0"/>
    <m/>
    <n v="225536.84999999998"/>
    <n v="117161.99999999999"/>
    <n v="0"/>
    <n v="0"/>
    <n v="38.5"/>
    <n v="225536.84999999998"/>
    <n v="201512.6050420168"/>
    <n v="17.5"/>
    <n v="18.5"/>
    <n v="17.5"/>
    <m/>
    <n v="0"/>
    <n v="0"/>
    <n v="108374.84999999999"/>
    <n v="102516.74999999999"/>
    <n v="0"/>
    <n v="0"/>
    <n v="18.5"/>
    <n v="108374.84999999999"/>
    <n v="176323.5294117647"/>
    <n v="80"/>
    <n v="1"/>
    <n v="1"/>
    <n v="0"/>
    <n v="0"/>
    <n v="5858.0999999999995"/>
    <n v="5858.0999999999995"/>
    <n v="0"/>
    <n v="0"/>
    <n v="1"/>
    <n v="5858.0999999999995"/>
    <n v="12596.638655462186"/>
    <n v="10.5"/>
    <n v="0"/>
    <n v="10.5"/>
    <n v="0"/>
    <m/>
    <n v="0"/>
    <n v="67987.5"/>
    <n v="0"/>
    <n v="0"/>
    <n v="0"/>
    <n v="132264.70588235295"/>
  </r>
  <r>
    <s v="Bandú-Juguetes de Motricidad"/>
    <x v="0"/>
    <x v="3"/>
    <x v="7"/>
    <s v="BDMBSPAVMRIO"/>
    <x v="25"/>
    <x v="24"/>
    <x v="0"/>
    <x v="2"/>
    <n v="1"/>
    <x v="25"/>
    <n v="89"/>
    <m/>
    <n v="0"/>
    <n v="12159"/>
    <n v="1082151"/>
    <n v="11.09"/>
    <n v="12431.89"/>
    <n v="21000"/>
    <n v="19319.327731092439"/>
    <s v="Ningbo"/>
    <x v="0"/>
    <n v="30"/>
    <m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4210091903303122"/>
    <n v="58"/>
    <n v="0.41662067441653633"/>
    <n v="17"/>
    <n v="0.10814645170948456"/>
    <n v="7"/>
    <n v="0.31613314936661641"/>
    <n v="6"/>
    <n v="0.14882036634555137"/>
    <n v="3"/>
    <n v="0.14751947240047958"/>
    <n v="1"/>
    <n v="7"/>
    <n v="0.30124160911768966"/>
    <n v="2.3333333333333335"/>
    <n v="5"/>
    <n v="0.13252921078958793"/>
    <n v="0.33333333333333331"/>
    <n v="7"/>
    <n v="0.32132766904093429"/>
    <n v="0.58333333333333337"/>
    <n v="14"/>
    <n v="0.22487719491688951"/>
    <n v="0.7"/>
    <n v="3"/>
    <n v="0.43122949394113685"/>
    <n v="0.75"/>
    <m/>
    <m/>
    <m/>
    <m/>
    <m/>
    <m/>
    <m/>
    <m/>
    <m/>
    <n v="20"/>
    <n v="153"/>
    <n v="15"/>
    <n v="0"/>
    <m/>
    <n v="0"/>
    <n v="383008.5"/>
    <n v="1756156.95"/>
    <n v="182385"/>
    <n v="0"/>
    <n v="89"/>
    <n v="1082151"/>
    <n v="264705.8823529412"/>
    <n v="15"/>
    <n v="137"/>
    <n v="10.5"/>
    <n v="0"/>
    <n v="0"/>
    <n v="0"/>
    <n v="237100.5"/>
    <n v="1572506.55"/>
    <n v="127669.5"/>
    <n v="0"/>
    <n v="89"/>
    <n v="1082151"/>
    <n v="185294.11764705883"/>
    <n v="25"/>
    <n v="130"/>
    <n v="6"/>
    <n v="0"/>
    <n v="0"/>
    <n v="143865.45000000001"/>
    <n v="1580670"/>
    <n v="72954"/>
    <n v="0"/>
    <n v="89"/>
    <n v="1082151"/>
    <n v="126000"/>
    <n v="3"/>
    <n v="124"/>
    <n v="3"/>
    <n v="0"/>
    <n v="0"/>
    <n v="1423290.5999999999"/>
    <n v="36477"/>
    <x v="0"/>
    <x v="0"/>
    <n v="89"/>
    <n v="1082151"/>
    <n v="63000"/>
    <n v="3"/>
    <n v="96"/>
    <n v="3"/>
    <m/>
    <n v="0"/>
    <n v="0"/>
    <n v="1167264"/>
    <n v="34434.449999999997"/>
    <x v="0"/>
    <n v="0"/>
    <n v="89"/>
    <n v="1082151"/>
    <n v="63000"/>
    <n v="15"/>
    <n v="94"/>
    <n v="5"/>
    <m/>
    <n v="0"/>
    <n v="0"/>
    <n v="1142946"/>
    <n v="57390.75"/>
    <n v="0"/>
    <n v="0"/>
    <n v="94"/>
    <n v="1082151"/>
    <n v="105000"/>
    <n v="12"/>
    <n v="96"/>
    <n v="7"/>
    <n v="0"/>
    <n v="0"/>
    <n v="0"/>
    <n v="1167264"/>
    <n v="80347.05"/>
    <n v="0"/>
    <n v="0"/>
    <n v="96"/>
    <n v="1082151"/>
    <n v="147000"/>
    <n v="20"/>
    <n v="103"/>
    <n v="14"/>
    <n v="0"/>
    <n v="0"/>
    <n v="0"/>
    <n v="1252377"/>
    <n v="160694.1"/>
    <n v="0"/>
    <n v="0"/>
    <n v="103"/>
    <n v="1252377"/>
    <n v="294000"/>
    <n v="4"/>
    <n v="92"/>
    <n v="4.5"/>
    <n v="0"/>
    <n v="0"/>
    <n v="0"/>
    <n v="1055989.8"/>
    <n v="51651.674999999996"/>
    <n v="0"/>
    <n v="0"/>
    <n v="89"/>
    <n v="1082151"/>
    <n v="94500"/>
    <n v="20"/>
    <n v="87.5"/>
    <n v="20"/>
    <n v="0"/>
    <n v="0"/>
    <n v="0"/>
    <m/>
    <n v="1004338.125"/>
    <n v="229563"/>
    <n v="0"/>
    <n v="0"/>
    <n v="87.5"/>
    <n v="1004338.125"/>
    <n v="386386.55462184874"/>
    <n v="14"/>
    <n v="67.5"/>
    <n v="14"/>
    <m/>
    <n v="0"/>
    <n v="0"/>
    <n v="774775.125"/>
    <n v="160694.1"/>
    <n v="0"/>
    <n v="0"/>
    <n v="67.5"/>
    <n v="774775.125"/>
    <n v="270470.58823529416"/>
    <n v="40"/>
    <n v="53.5"/>
    <n v="40"/>
    <n v="0"/>
    <n v="0"/>
    <n v="614081.02500000002"/>
    <n v="459126"/>
    <n v="0"/>
    <n v="0"/>
    <n v="53.5"/>
    <n v="614081.02500000002"/>
    <n v="840000"/>
    <n v="8.4"/>
    <n v="13.5"/>
    <n v="8.4"/>
    <n v="0"/>
    <m/>
    <n v="154955.02499999999"/>
    <n v="102135.6"/>
    <n v="0"/>
    <n v="13.5"/>
    <n v="154955.02499999999"/>
    <n v="176400"/>
  </r>
  <r>
    <s v="Bandú-Juguetes de Motricidad"/>
    <x v="0"/>
    <x v="3"/>
    <x v="7"/>
    <s v="BDMESDIDAC"/>
    <x v="26"/>
    <x v="25"/>
    <x v="0"/>
    <x v="2"/>
    <n v="1"/>
    <x v="26"/>
    <n v="10"/>
    <m/>
    <n v="0"/>
    <n v="16411"/>
    <n v="164110"/>
    <n v="13.5"/>
    <n v="15133.5"/>
    <n v="42008.403361344543"/>
    <n v="39487.394957983197"/>
    <s v="Ningbo"/>
    <x v="0"/>
    <n v="30"/>
    <m/>
    <n v="10"/>
    <n v="0"/>
    <s v=""/>
    <n v="0"/>
    <s v=""/>
    <n v="0"/>
    <s v=""/>
    <n v="0"/>
    <s v=""/>
    <n v="0"/>
    <s v=""/>
    <n v="0"/>
    <s v=""/>
    <n v="4"/>
    <n v="0.61838379991112802"/>
    <n v="4"/>
    <n v="0.5790874018890515"/>
    <n v="8"/>
    <n v="0.54012720260372016"/>
    <n v="2"/>
    <n v="0.5527884721537869"/>
    <n v="16"/>
    <n v="0.51865222814279843"/>
    <n v="38"/>
    <n v="0.5444723700677282"/>
    <n v="3"/>
    <n v="0.44490404490713548"/>
    <n v="0"/>
    <s v=""/>
    <n v="0"/>
    <s v=""/>
    <n v="4"/>
    <n v="0.36026811183840329"/>
    <n v="1.3333333333333333"/>
    <n v="5"/>
    <n v="0.54072195121951216"/>
    <n v="1.6666666666666667"/>
    <n v="13"/>
    <n v="0.37126802960363636"/>
    <n v="2.1666666666666665"/>
    <n v="7"/>
    <n v="0.59186469722597834"/>
    <n v="2.3333333333333335"/>
    <n v="4"/>
    <n v="0.33910235001937"/>
    <n v="0.8"/>
    <n v="2"/>
    <n v="0.3576715656256379"/>
    <n v="0"/>
    <m/>
    <m/>
    <m/>
    <m/>
    <m/>
    <m/>
    <m/>
    <m/>
    <m/>
    <n v="7"/>
    <n v="3"/>
    <n v="3"/>
    <n v="0"/>
    <m/>
    <n v="0"/>
    <n v="49233"/>
    <n v="41917.499999999993"/>
    <n v="49233"/>
    <n v="0"/>
    <n v="10"/>
    <n v="164110"/>
    <n v="105903.53788574255"/>
    <n v="6"/>
    <n v="0"/>
    <n v="0"/>
    <n v="0"/>
    <n v="0"/>
    <n v="0"/>
    <n v="65644"/>
    <n v="0"/>
    <n v="0"/>
    <n v="0"/>
    <n v="10"/>
    <n v="164110"/>
    <n v="0"/>
    <n v="15"/>
    <n v="0"/>
    <n v="0"/>
    <n v="0"/>
    <n v="0"/>
    <n v="107561.5"/>
    <n v="0"/>
    <n v="0"/>
    <n v="0"/>
    <n v="10"/>
    <n v="164110"/>
    <n v="0"/>
    <n v="3"/>
    <n v="19"/>
    <n v="4"/>
    <n v="20"/>
    <n v="0"/>
    <n v="265477.49999999994"/>
    <n v="65644"/>
    <x v="10"/>
    <x v="0"/>
    <n v="10"/>
    <n v="164110"/>
    <n v="168033.61344537817"/>
    <n v="3"/>
    <n v="15"/>
    <n v="3"/>
    <m/>
    <n v="0"/>
    <n v="0"/>
    <n v="246165"/>
    <n v="41917.499999999993"/>
    <x v="0"/>
    <n v="0"/>
    <n v="10"/>
    <n v="164110"/>
    <n v="126025.21008403364"/>
    <n v="6"/>
    <n v="23"/>
    <n v="13"/>
    <m/>
    <n v="0"/>
    <n v="0"/>
    <n v="377453"/>
    <n v="181642.49999999997"/>
    <n v="0"/>
    <n v="0"/>
    <n v="23"/>
    <n v="164110"/>
    <n v="546109.24369747902"/>
    <n v="3"/>
    <n v="17"/>
    <n v="7"/>
    <n v="20"/>
    <n v="20"/>
    <n v="0"/>
    <n v="278987"/>
    <n v="97807.499999999985"/>
    <n v="270134.99999999994"/>
    <n v="0"/>
    <n v="17"/>
    <n v="164110"/>
    <n v="294058.82352941181"/>
    <n v="5"/>
    <n v="14"/>
    <n v="4"/>
    <n v="0"/>
    <n v="0"/>
    <n v="0"/>
    <n v="229754"/>
    <n v="55889.999999999993"/>
    <n v="0"/>
    <n v="0"/>
    <n v="14"/>
    <n v="229754"/>
    <n v="168033.61344537817"/>
    <n v="0"/>
    <n v="12"/>
    <n v="1.5"/>
    <n v="0"/>
    <n v="0"/>
    <n v="0"/>
    <n v="167669.99999999997"/>
    <n v="20958.749999999996"/>
    <n v="0"/>
    <n v="0"/>
    <n v="10"/>
    <n v="164110"/>
    <n v="63012.605042016818"/>
    <n v="0"/>
    <n v="10.5"/>
    <n v="0"/>
    <n v="0"/>
    <n v="0"/>
    <n v="0"/>
    <m/>
    <n v="146711.24999999997"/>
    <n v="0"/>
    <n v="0"/>
    <n v="0"/>
    <n v="10.5"/>
    <n v="146711.24999999997"/>
    <n v="0"/>
    <n v="0"/>
    <n v="10.5"/>
    <n v="0"/>
    <m/>
    <n v="0"/>
    <n v="0"/>
    <n v="146711.24999999997"/>
    <n v="0"/>
    <n v="0"/>
    <n v="0"/>
    <n v="10.5"/>
    <n v="146711.24999999997"/>
    <n v="0"/>
    <n v="0"/>
    <n v="10.5"/>
    <n v="0"/>
    <n v="0"/>
    <n v="0"/>
    <n v="146711.24999999997"/>
    <n v="0"/>
    <n v="0"/>
    <n v="0"/>
    <n v="10.5"/>
    <n v="146711.24999999997"/>
    <n v="0"/>
    <n v="0"/>
    <n v="10.5"/>
    <n v="0"/>
    <n v="0"/>
    <m/>
    <n v="146711.24999999997"/>
    <n v="0"/>
    <n v="0"/>
    <n v="10.5"/>
    <n v="146711.24999999997"/>
    <n v="0"/>
  </r>
  <r>
    <s v="Bandú-Juguetes de Motricidad"/>
    <x v="0"/>
    <x v="3"/>
    <x v="8"/>
    <s v="BDGIMPIK"/>
    <x v="27"/>
    <x v="26"/>
    <x v="0"/>
    <x v="3"/>
    <n v="1"/>
    <x v="27"/>
    <n v="6"/>
    <m/>
    <n v="0"/>
    <n v="87718"/>
    <n v="526308"/>
    <n v="80"/>
    <n v="91200"/>
    <n v="243689.0756302521"/>
    <n v="252092.43697478992"/>
    <s v="Ningbo"/>
    <x v="0"/>
    <n v="30"/>
    <m/>
    <n v="10"/>
    <m/>
    <m/>
    <m/>
    <m/>
    <m/>
    <m/>
    <m/>
    <m/>
    <m/>
    <m/>
    <m/>
    <m/>
    <m/>
    <m/>
    <m/>
    <m/>
    <n v="0"/>
    <s v=""/>
    <n v="0"/>
    <s v=""/>
    <n v="15"/>
    <n v="0.61208517707654631"/>
    <n v="19"/>
    <n v="0.64746687237686207"/>
    <n v="0"/>
    <s v=""/>
    <n v="0"/>
    <s v=""/>
    <n v="2"/>
    <n v="0.4179858087600965"/>
    <n v="0"/>
    <s v=""/>
    <n v="0"/>
    <n v="0"/>
    <s v=""/>
    <n v="0"/>
    <n v="2"/>
    <n v="0.46174669655655193"/>
    <n v="0.2"/>
    <n v="5"/>
    <n v="0.45532653524776168"/>
    <n v="0.7142857142857143"/>
    <n v="13"/>
    <n v="0.33375754006162278"/>
    <n v="0.8666666666666667"/>
    <n v="0"/>
    <s v=""/>
    <n v="0"/>
    <m/>
    <m/>
    <m/>
    <m/>
    <m/>
    <m/>
    <m/>
    <m/>
    <m/>
    <n v="0"/>
    <n v="0"/>
    <n v="0"/>
    <n v="0"/>
    <m/>
    <n v="0"/>
    <n v="175436"/>
    <n v="0"/>
    <n v="0"/>
    <n v="0"/>
    <n v="6"/>
    <n v="526308"/>
    <n v="0"/>
    <n v="0"/>
    <n v="0"/>
    <n v="0"/>
    <n v="0"/>
    <n v="0"/>
    <n v="0"/>
    <n v="175436"/>
    <n v="0"/>
    <n v="0"/>
    <n v="0"/>
    <n v="6"/>
    <n v="526308"/>
    <n v="0"/>
    <n v="0"/>
    <n v="0"/>
    <n v="2"/>
    <n v="0"/>
    <n v="0"/>
    <n v="506636"/>
    <n v="0"/>
    <n v="175436"/>
    <n v="0"/>
    <n v="6"/>
    <n v="526308"/>
    <n v="487378.15126050421"/>
    <n v="0"/>
    <n v="0"/>
    <n v="0"/>
    <n v="0"/>
    <n v="0"/>
    <n v="0"/>
    <n v="0"/>
    <x v="0"/>
    <x v="0"/>
    <n v="6"/>
    <n v="526308"/>
    <n v="0"/>
    <n v="4"/>
    <n v="6"/>
    <n v="4"/>
    <m/>
    <n v="0"/>
    <n v="0"/>
    <n v="526308"/>
    <n v="331200"/>
    <x v="0"/>
    <n v="0"/>
    <n v="6"/>
    <n v="526308"/>
    <n v="974756.30252100842"/>
    <n v="10"/>
    <n v="8"/>
    <n v="2"/>
    <m/>
    <n v="0"/>
    <n v="0"/>
    <n v="701744"/>
    <n v="165600"/>
    <n v="0"/>
    <n v="0"/>
    <n v="8"/>
    <n v="526308"/>
    <n v="487378.15126050421"/>
    <n v="7"/>
    <n v="11"/>
    <n v="5"/>
    <n v="25"/>
    <n v="25"/>
    <n v="0"/>
    <n v="964898"/>
    <n v="414000"/>
    <n v="2001000"/>
    <n v="0"/>
    <n v="11"/>
    <n v="526308"/>
    <n v="1218445.3781512605"/>
    <n v="15"/>
    <n v="19"/>
    <n v="13"/>
    <n v="0"/>
    <n v="0"/>
    <n v="0"/>
    <n v="1666642"/>
    <n v="1076400"/>
    <n v="0"/>
    <n v="0"/>
    <n v="19"/>
    <n v="1666642"/>
    <n v="3167957.9831932774"/>
    <n v="5"/>
    <n v="6"/>
    <n v="0"/>
    <n v="5"/>
    <n v="5"/>
    <n v="0"/>
    <n v="496800"/>
    <n v="0"/>
    <n v="414000"/>
    <n v="0"/>
    <n v="6"/>
    <n v="526308"/>
    <n v="0"/>
    <n v="5"/>
    <n v="6"/>
    <n v="5"/>
    <n v="0"/>
    <n v="0"/>
    <n v="0"/>
    <n v="5"/>
    <n v="496800"/>
    <n v="414000"/>
    <n v="0"/>
    <n v="0"/>
    <n v="6"/>
    <n v="496800"/>
    <n v="1260462.1848739495"/>
    <n v="0"/>
    <n v="1"/>
    <n v="0"/>
    <m/>
    <n v="0"/>
    <n v="5"/>
    <n v="82800"/>
    <n v="0"/>
    <n v="0"/>
    <n v="414000"/>
    <n v="6"/>
    <n v="496800"/>
    <n v="0"/>
    <n v="35"/>
    <n v="6"/>
    <n v="35"/>
    <n v="50"/>
    <n v="50"/>
    <n v="496800"/>
    <n v="2898000"/>
    <n v="4140000"/>
    <n v="4140000"/>
    <n v="56"/>
    <n v="4636800"/>
    <n v="8529117.6470588241"/>
    <n v="0"/>
    <n v="21"/>
    <n v="0"/>
    <n v="0"/>
    <m/>
    <n v="1738800"/>
    <n v="0"/>
    <n v="0"/>
    <n v="21"/>
    <n v="1738800"/>
    <n v="0"/>
  </r>
  <r>
    <m/>
    <x v="0"/>
    <x v="3"/>
    <x v="8"/>
    <s v="BDGMNMVBB"/>
    <x v="28"/>
    <x v="27"/>
    <x v="0"/>
    <x v="4"/>
    <n v="1"/>
    <x v="28"/>
    <n v="1"/>
    <m/>
    <n v="0"/>
    <n v="10632"/>
    <n v="10632"/>
    <n v="11"/>
    <n v="39990"/>
    <n v="100815.12605042018"/>
    <n v="85692.857142857145"/>
    <s v="Ningbo"/>
    <x v="0"/>
    <n v="30"/>
    <m/>
    <n v="1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28"/>
    <n v="0.57045747647686484"/>
    <n v="1.8666666666666667"/>
    <n v="1"/>
    <n v="0.24490430143381128"/>
    <n v="0.04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1"/>
    <n v="10632"/>
    <n v="0"/>
    <n v="0"/>
    <n v="0"/>
    <n v="0"/>
    <n v="0"/>
    <n v="0"/>
    <n v="0"/>
    <n v="0"/>
    <x v="0"/>
    <x v="0"/>
    <n v="1"/>
    <n v="10632"/>
    <n v="0"/>
    <n v="0"/>
    <n v="1"/>
    <n v="0"/>
    <m/>
    <m/>
    <n v="0"/>
    <n v="10632"/>
    <n v="0"/>
    <x v="0"/>
    <n v="0"/>
    <n v="1"/>
    <n v="10632"/>
    <n v="0"/>
    <n v="8"/>
    <n v="1"/>
    <n v="0"/>
    <m/>
    <n v="0"/>
    <n v="0"/>
    <n v="10632"/>
    <n v="0"/>
    <n v="0"/>
    <n v="0"/>
    <n v="1"/>
    <n v="10632"/>
    <n v="0"/>
    <n v="15"/>
    <n v="29"/>
    <n v="28"/>
    <n v="30"/>
    <n v="30"/>
    <n v="0"/>
    <n v="308328"/>
    <n v="318780"/>
    <n v="330165"/>
    <n v="0"/>
    <n v="29"/>
    <n v="10632"/>
    <n v="2822823.5294117648"/>
    <n v="25"/>
    <n v="2"/>
    <n v="1"/>
    <n v="0"/>
    <n v="0"/>
    <n v="0"/>
    <n v="21264"/>
    <n v="11385"/>
    <n v="0"/>
    <n v="0"/>
    <n v="2"/>
    <n v="21264"/>
    <n v="100815.12605042018"/>
    <n v="10"/>
    <n v="1"/>
    <n v="0"/>
    <n v="15"/>
    <n v="15"/>
    <n v="0"/>
    <n v="11385"/>
    <n v="0"/>
    <n v="170775"/>
    <n v="0"/>
    <n v="1"/>
    <n v="10632"/>
    <n v="0"/>
    <n v="15"/>
    <n v="1"/>
    <n v="15"/>
    <n v="0"/>
    <n v="0"/>
    <n v="20"/>
    <n v="15"/>
    <n v="11385"/>
    <n v="170775"/>
    <n v="0"/>
    <n v="227700"/>
    <n v="21"/>
    <n v="239085"/>
    <n v="1285392.8571428573"/>
    <n v="0"/>
    <n v="6"/>
    <n v="0"/>
    <m/>
    <n v="0"/>
    <n v="0"/>
    <n v="68310"/>
    <n v="0"/>
    <n v="0"/>
    <n v="0"/>
    <n v="6"/>
    <n v="68310"/>
    <n v="0"/>
    <n v="60"/>
    <n v="6"/>
    <n v="60"/>
    <n v="100"/>
    <n v="100"/>
    <n v="68310"/>
    <n v="683100"/>
    <n v="1138500"/>
    <n v="1138500"/>
    <n v="106"/>
    <n v="1206810"/>
    <n v="6048907.563025211"/>
    <n v="0"/>
    <n v="46"/>
    <n v="0"/>
    <n v="0"/>
    <m/>
    <n v="523710"/>
    <n v="0"/>
    <n v="0"/>
    <n v="46"/>
    <n v="523710"/>
    <n v="0"/>
  </r>
  <r>
    <s v="Bandú-Juguetes de Motricidad"/>
    <x v="0"/>
    <x v="3"/>
    <x v="8"/>
    <s v="BDMROBLDESC"/>
    <x v="29"/>
    <x v="28"/>
    <x v="0"/>
    <x v="1"/>
    <n v="1.2"/>
    <x v="29"/>
    <n v="27"/>
    <m/>
    <n v="0"/>
    <n v="41438"/>
    <n v="1118826"/>
    <n v="41"/>
    <n v="45961"/>
    <n v="109235.29411764706"/>
    <n v="84025.210084033621"/>
    <s v="Ningbo"/>
    <x v="0"/>
    <n v="30"/>
    <m/>
    <n v="10"/>
    <n v="0"/>
    <s v=""/>
    <n v="0"/>
    <s v=""/>
    <n v="0"/>
    <s v=""/>
    <n v="0"/>
    <s v=""/>
    <n v="0"/>
    <s v=""/>
    <n v="0"/>
    <s v=""/>
    <n v="5"/>
    <n v="0.5030900141962138"/>
    <n v="0"/>
    <s v=""/>
    <n v="0"/>
    <s v=""/>
    <n v="0"/>
    <s v=""/>
    <n v="23"/>
    <n v="0.52443499439969687"/>
    <n v="17"/>
    <n v="0.51447998913732007"/>
    <n v="0"/>
    <s v=""/>
    <n v="0"/>
    <s v=""/>
    <n v="0"/>
    <s v=""/>
    <n v="12"/>
    <n v="0.49730832258268903"/>
    <n v="1.2"/>
    <n v="3"/>
    <n v="0.63214695560135914"/>
    <n v="0.5"/>
    <n v="22"/>
    <n v="0.33890918129604453"/>
    <n v="1.4666666666666666"/>
    <n v="11"/>
    <n v="0.4816240713432447"/>
    <n v="0.91666666666666663"/>
    <n v="12"/>
    <n v="0.30956415247903213"/>
    <n v="0.6"/>
    <n v="5"/>
    <n v="0.40206645055072138"/>
    <n v="0.5"/>
    <m/>
    <m/>
    <m/>
    <m/>
    <m/>
    <m/>
    <m/>
    <m/>
    <m/>
    <n v="0"/>
    <n v="0"/>
    <n v="0"/>
    <n v="0"/>
    <m/>
    <n v="0"/>
    <n v="0"/>
    <n v="0"/>
    <n v="0"/>
    <n v="0"/>
    <n v="27"/>
    <n v="1118826"/>
    <n v="0"/>
    <n v="0"/>
    <n v="30"/>
    <n v="0"/>
    <n v="0"/>
    <n v="0"/>
    <n v="0"/>
    <n v="497256"/>
    <n v="1273050"/>
    <n v="0"/>
    <n v="0"/>
    <n v="27"/>
    <n v="1118826"/>
    <n v="0"/>
    <n v="15"/>
    <n v="30"/>
    <n v="0"/>
    <n v="0"/>
    <n v="0"/>
    <n v="802788"/>
    <n v="1243140"/>
    <n v="0"/>
    <n v="0"/>
    <n v="27"/>
    <n v="1118826"/>
    <n v="0"/>
    <n v="10"/>
    <n v="50"/>
    <n v="12"/>
    <n v="20"/>
    <n v="0"/>
    <n v="2121750"/>
    <n v="497256"/>
    <x v="11"/>
    <x v="0"/>
    <n v="27"/>
    <n v="1118826"/>
    <n v="1310823.5294117648"/>
    <n v="6"/>
    <n v="30"/>
    <n v="7.1999999999999993"/>
    <m/>
    <n v="0"/>
    <n v="0"/>
    <n v="1243140"/>
    <n v="305531.99999999994"/>
    <x v="0"/>
    <n v="0"/>
    <n v="27"/>
    <n v="1118826"/>
    <n v="786494.1176470588"/>
    <n v="15"/>
    <n v="49"/>
    <n v="22"/>
    <m/>
    <n v="0"/>
    <n v="0"/>
    <n v="2030462"/>
    <n v="933570"/>
    <n v="0"/>
    <n v="0"/>
    <n v="49"/>
    <n v="1118826"/>
    <n v="2403176.4705882352"/>
    <n v="12"/>
    <n v="38"/>
    <n v="11"/>
    <n v="40"/>
    <n v="40"/>
    <n v="0"/>
    <n v="1574644"/>
    <n v="466785"/>
    <n v="1640820"/>
    <n v="0"/>
    <n v="38"/>
    <n v="1118826"/>
    <n v="1201588.2352941176"/>
    <n v="20"/>
    <n v="39"/>
    <n v="12"/>
    <n v="0"/>
    <n v="0"/>
    <n v="0"/>
    <n v="1616082"/>
    <n v="509220"/>
    <n v="0"/>
    <n v="0"/>
    <n v="39"/>
    <n v="1616082"/>
    <n v="1310823.5294117648"/>
    <n v="10"/>
    <n v="32"/>
    <n v="6"/>
    <n v="0"/>
    <n v="0"/>
    <n v="0"/>
    <n v="1357920"/>
    <n v="254610"/>
    <n v="0"/>
    <n v="0"/>
    <n v="27"/>
    <n v="1118826"/>
    <n v="655411.76470588241"/>
    <n v="11"/>
    <n v="26"/>
    <n v="13.2"/>
    <n v="0"/>
    <n v="0"/>
    <n v="0"/>
    <n v="0"/>
    <n v="1103310"/>
    <n v="560142"/>
    <n v="0"/>
    <n v="0"/>
    <n v="26"/>
    <n v="1103310"/>
    <n v="1109132.7731092437"/>
    <n v="0"/>
    <n v="12.8"/>
    <n v="0"/>
    <m/>
    <n v="0"/>
    <n v="0"/>
    <n v="543168"/>
    <n v="0"/>
    <n v="0"/>
    <n v="0"/>
    <n v="12.8"/>
    <n v="543168"/>
    <n v="0"/>
    <n v="50"/>
    <n v="12.8"/>
    <n v="60"/>
    <n v="60"/>
    <n v="60"/>
    <n v="543168"/>
    <n v="2546100"/>
    <n v="2546100"/>
    <n v="2546100"/>
    <n v="72.8"/>
    <n v="3089268"/>
    <n v="6554117.6470588241"/>
    <n v="0"/>
    <n v="12.799999999999997"/>
    <n v="0"/>
    <n v="0"/>
    <m/>
    <n v="543167.99999999988"/>
    <n v="0"/>
    <n v="0"/>
    <n v="12.799999999999997"/>
    <n v="543167.99999999988"/>
    <n v="0"/>
  </r>
  <r>
    <s v="Bandú-Juguetes de Motricidad"/>
    <x v="0"/>
    <x v="3"/>
    <x v="8"/>
    <s v="BDSILLEVREG"/>
    <x v="30"/>
    <x v="29"/>
    <x v="0"/>
    <x v="4"/>
    <n v="1"/>
    <x v="30"/>
    <n v="1"/>
    <m/>
    <n v="0"/>
    <n v="57328"/>
    <n v="57328"/>
    <n v="30"/>
    <n v="34200"/>
    <n v="86218.487394957992"/>
    <n v="73285.71428571429"/>
    <s v="Shenzhen"/>
    <x v="0"/>
    <n v="30"/>
    <m/>
    <n v="1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11"/>
    <n v="0.43291129684347351"/>
    <n v="1.2222222222222223"/>
    <n v="18"/>
    <n v="0.31342565830112057"/>
    <n v="1.5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1"/>
    <n v="57328"/>
    <n v="0"/>
    <n v="0"/>
    <n v="0"/>
    <n v="0"/>
    <n v="0"/>
    <n v="0"/>
    <n v="0"/>
    <n v="0"/>
    <x v="0"/>
    <x v="0"/>
    <n v="1"/>
    <n v="57328"/>
    <n v="0"/>
    <n v="0"/>
    <n v="1"/>
    <n v="0"/>
    <m/>
    <m/>
    <n v="0"/>
    <n v="57328"/>
    <n v="0"/>
    <x v="0"/>
    <n v="0"/>
    <n v="1"/>
    <n v="57328"/>
    <n v="0"/>
    <n v="12"/>
    <n v="1"/>
    <n v="0"/>
    <m/>
    <n v="0"/>
    <n v="0"/>
    <n v="57328"/>
    <n v="0"/>
    <n v="0"/>
    <n v="0"/>
    <n v="1"/>
    <n v="57328"/>
    <n v="0"/>
    <n v="9"/>
    <n v="12"/>
    <n v="11"/>
    <n v="30"/>
    <n v="30"/>
    <n v="0"/>
    <n v="687936"/>
    <n v="341549.99999999994"/>
    <n v="900449.99999999988"/>
    <n v="0"/>
    <n v="12"/>
    <n v="57328"/>
    <n v="948403.36134453793"/>
    <n v="12"/>
    <n v="19"/>
    <n v="18"/>
    <n v="0"/>
    <n v="0"/>
    <n v="0"/>
    <n v="1089232"/>
    <n v="558899.99999999988"/>
    <n v="0"/>
    <n v="0"/>
    <n v="19"/>
    <n v="1089232"/>
    <n v="1551932.7731092439"/>
    <n v="6"/>
    <n v="1"/>
    <n v="0"/>
    <n v="0"/>
    <n v="0"/>
    <n v="0"/>
    <n v="31049.999999999996"/>
    <n v="0"/>
    <n v="0"/>
    <n v="0"/>
    <n v="1"/>
    <n v="57328"/>
    <n v="0"/>
    <n v="0"/>
    <n v="1"/>
    <n v="0"/>
    <n v="0"/>
    <n v="0"/>
    <n v="0"/>
    <n v="0"/>
    <n v="31049.999999999996"/>
    <n v="0"/>
    <n v="0"/>
    <n v="0"/>
    <n v="1"/>
    <n v="31049.999999999996"/>
    <n v="0"/>
    <n v="0"/>
    <n v="1"/>
    <n v="0"/>
    <m/>
    <n v="0"/>
    <n v="0"/>
    <n v="31049.999999999996"/>
    <n v="0"/>
    <n v="0"/>
    <n v="0"/>
    <n v="1"/>
    <n v="31049.999999999996"/>
    <n v="0"/>
    <n v="40"/>
    <n v="1"/>
    <n v="40"/>
    <n v="50"/>
    <n v="50"/>
    <n v="31049.999999999996"/>
    <n v="1241999.9999999998"/>
    <n v="1552499.9999999998"/>
    <n v="1552499.9999999998"/>
    <n v="51"/>
    <n v="1583549.9999999998"/>
    <n v="3448739.4957983196"/>
    <n v="0"/>
    <n v="11"/>
    <n v="0"/>
    <n v="0"/>
    <m/>
    <n v="341549.99999999994"/>
    <n v="0"/>
    <n v="0"/>
    <n v="11"/>
    <n v="341549.99999999994"/>
    <n v="0"/>
  </r>
  <r>
    <m/>
    <x v="0"/>
    <x v="3"/>
    <x v="8"/>
    <s v="BDTORRAPR"/>
    <x v="31"/>
    <x v="30"/>
    <x v="0"/>
    <x v="4"/>
    <n v="1"/>
    <x v="31"/>
    <n v="3"/>
    <m/>
    <n v="0"/>
    <n v="32528"/>
    <n v="97584"/>
    <n v="31.5"/>
    <n v="35910"/>
    <n v="90529.411764705888"/>
    <n v="76950"/>
    <s v="Shenzhen"/>
    <x v="0"/>
    <n v="30"/>
    <m/>
    <n v="1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11"/>
    <s v=""/>
    <n v="1.8333333333333333"/>
    <n v="16"/>
    <s v="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3"/>
    <n v="97584"/>
    <n v="0"/>
    <n v="0"/>
    <n v="0"/>
    <n v="0"/>
    <n v="0"/>
    <n v="0"/>
    <n v="0"/>
    <n v="0"/>
    <x v="0"/>
    <x v="0"/>
    <n v="3"/>
    <n v="97584"/>
    <n v="0"/>
    <n v="0"/>
    <n v="3"/>
    <n v="0"/>
    <m/>
    <m/>
    <n v="0"/>
    <n v="97584"/>
    <n v="0"/>
    <x v="0"/>
    <n v="0"/>
    <n v="3"/>
    <n v="97584"/>
    <n v="0"/>
    <n v="12"/>
    <n v="3"/>
    <n v="0"/>
    <m/>
    <n v="0"/>
    <n v="0"/>
    <n v="97584"/>
    <n v="0"/>
    <n v="0"/>
    <n v="0"/>
    <n v="3"/>
    <n v="97584"/>
    <n v="0"/>
    <n v="9"/>
    <n v="3"/>
    <n v="0"/>
    <n v="30"/>
    <n v="30"/>
    <n v="0"/>
    <n v="97584"/>
    <n v="0"/>
    <n v="945472.49999999988"/>
    <n v="0"/>
    <n v="3"/>
    <n v="97584"/>
    <n v="0"/>
    <n v="6"/>
    <n v="14"/>
    <n v="11"/>
    <n v="0"/>
    <n v="0"/>
    <n v="0"/>
    <n v="455392"/>
    <n v="358627.49999999994"/>
    <n v="0"/>
    <n v="0"/>
    <n v="14"/>
    <n v="455392"/>
    <n v="995823.52941176482"/>
    <n v="8"/>
    <n v="19"/>
    <n v="21"/>
    <n v="0"/>
    <n v="0"/>
    <n v="0"/>
    <n v="619447.49999999988"/>
    <n v="684652.49999999988"/>
    <n v="0"/>
    <n v="0"/>
    <n v="3"/>
    <n v="97584"/>
    <n v="1901117.6470588236"/>
    <n v="14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25"/>
    <n v="0"/>
    <n v="20"/>
    <n v="20"/>
    <n v="20"/>
    <n v="0"/>
    <n v="652049.99999999988"/>
    <n v="652049.99999999988"/>
    <n v="652049.99999999988"/>
    <n v="20"/>
    <n v="652049.99999999988"/>
    <n v="1810588.2352941178"/>
    <n v="0"/>
    <n v="0"/>
    <n v="0"/>
    <n v="0"/>
    <m/>
    <n v="0"/>
    <n v="0"/>
    <n v="0"/>
    <n v="0"/>
    <n v="0"/>
    <n v="0"/>
  </r>
  <r>
    <s v="Dynamo-Herramientas Eléctricas"/>
    <x v="1"/>
    <x v="4"/>
    <x v="9"/>
    <s v="DYNHYDLA"/>
    <x v="32"/>
    <x v="31"/>
    <x v="0"/>
    <x v="2"/>
    <n v="1"/>
    <x v="32"/>
    <n v="4"/>
    <m/>
    <n v="0"/>
    <n v="32555"/>
    <n v="130220"/>
    <n v="28"/>
    <n v="30589.999999999996"/>
    <n v="58815.126050420171"/>
    <n v="58815.126050420171"/>
    <s v="Shenzhen"/>
    <x v="0"/>
    <n v="30"/>
    <m/>
    <n v="10"/>
    <n v="0"/>
    <s v=""/>
    <n v="0"/>
    <s v=""/>
    <n v="3"/>
    <n v="0.49678100883975562"/>
    <n v="7"/>
    <n v="0.4876330283904215"/>
    <n v="6"/>
    <n v="0.50664327096844597"/>
    <n v="16"/>
    <n v="0.44792825030162953"/>
    <n v="9"/>
    <n v="0.44298894474943573"/>
    <n v="17"/>
    <n v="0.38209696850003078"/>
    <n v="22"/>
    <n v="0.31337554109412724"/>
    <n v="41"/>
    <n v="0.24204445163412294"/>
    <n v="4"/>
    <n v="0.50006848973229878"/>
    <n v="6"/>
    <n v="0.32811408955039056"/>
    <n v="1"/>
    <n v="0.44016002207764698"/>
    <n v="25"/>
    <n v="0.49146333212994214"/>
    <n v="4"/>
    <n v="0.29628000906774343"/>
    <n v="0"/>
    <s v=""/>
    <n v="0"/>
    <n v="0"/>
    <s v=""/>
    <n v="0"/>
    <n v="1"/>
    <n v="0.44648378339762823"/>
    <n v="0"/>
    <n v="0"/>
    <s v=""/>
    <n v="0"/>
    <n v="0"/>
    <s v=""/>
    <n v="0"/>
    <n v="0"/>
    <s v=""/>
    <n v="0"/>
    <m/>
    <m/>
    <m/>
    <m/>
    <m/>
    <m/>
    <m/>
    <m/>
    <m/>
    <n v="15"/>
    <n v="34"/>
    <n v="5"/>
    <n v="0"/>
    <m/>
    <n v="0"/>
    <n v="1513807.5"/>
    <n v="985319.99999999988"/>
    <n v="162775"/>
    <n v="0"/>
    <n v="4"/>
    <n v="130220"/>
    <n v="247122.37836310995"/>
    <n v="10"/>
    <n v="33"/>
    <n v="37.5"/>
    <n v="0"/>
    <n v="0"/>
    <n v="0"/>
    <n v="1351032.5"/>
    <n v="956339.99999999988"/>
    <n v="1220812.5"/>
    <n v="0"/>
    <n v="4"/>
    <n v="130220"/>
    <n v="1853417.8377233248"/>
    <n v="10"/>
    <n v="5"/>
    <n v="4"/>
    <n v="0"/>
    <n v="0"/>
    <n v="130220"/>
    <n v="162775"/>
    <n v="130220"/>
    <n v="0"/>
    <n v="4"/>
    <n v="130220"/>
    <n v="235260.50420168068"/>
    <n v="5"/>
    <n v="2"/>
    <n v="0"/>
    <n v="0"/>
    <n v="0"/>
    <n v="57959.999999999993"/>
    <n v="0"/>
    <x v="0"/>
    <x v="0"/>
    <n v="4"/>
    <n v="130220"/>
    <n v="0"/>
    <n v="0"/>
    <n v="4"/>
    <n v="0"/>
    <m/>
    <n v="0"/>
    <n v="0"/>
    <n v="130220"/>
    <n v="0"/>
    <x v="0"/>
    <n v="0"/>
    <n v="4"/>
    <n v="130220"/>
    <n v="0"/>
    <n v="0"/>
    <n v="5"/>
    <n v="1"/>
    <m/>
    <n v="0"/>
    <n v="0"/>
    <n v="162775"/>
    <n v="28979.999999999996"/>
    <n v="0"/>
    <n v="0"/>
    <n v="5"/>
    <n v="130220"/>
    <n v="58815.126050420171"/>
    <n v="0"/>
    <n v="4"/>
    <n v="0"/>
    <n v="0"/>
    <n v="0"/>
    <n v="0"/>
    <n v="130220"/>
    <n v="0"/>
    <n v="0"/>
    <n v="0"/>
    <n v="4"/>
    <n v="130220"/>
    <n v="0"/>
    <n v="0"/>
    <n v="4"/>
    <n v="0"/>
    <n v="0"/>
    <n v="0"/>
    <n v="0"/>
    <n v="130220"/>
    <n v="0"/>
    <n v="0"/>
    <n v="0"/>
    <n v="4"/>
    <n v="130220"/>
    <n v="0"/>
    <n v="0"/>
    <n v="4"/>
    <n v="0"/>
    <n v="0"/>
    <n v="0"/>
    <n v="0"/>
    <n v="115919.99999999999"/>
    <n v="0"/>
    <n v="0"/>
    <n v="0"/>
    <n v="4"/>
    <n v="130220"/>
    <n v="0"/>
    <n v="0"/>
    <n v="4"/>
    <n v="0"/>
    <n v="0"/>
    <n v="0"/>
    <n v="0"/>
    <m/>
    <n v="115919.99999999999"/>
    <n v="0"/>
    <n v="0"/>
    <n v="0"/>
    <n v="4"/>
    <n v="115919.99999999999"/>
    <n v="0"/>
    <n v="0"/>
    <n v="4"/>
    <n v="0"/>
    <m/>
    <n v="0"/>
    <n v="0"/>
    <n v="115919.99999999999"/>
    <n v="0"/>
    <n v="0"/>
    <n v="0"/>
    <n v="4"/>
    <n v="115919.99999999999"/>
    <n v="0"/>
    <n v="0"/>
    <n v="4"/>
    <n v="0"/>
    <n v="0"/>
    <n v="0"/>
    <n v="115919.99999999999"/>
    <n v="0"/>
    <n v="0"/>
    <n v="0"/>
    <n v="4"/>
    <n v="115919.99999999999"/>
    <n v="0"/>
    <n v="0"/>
    <n v="4"/>
    <n v="0"/>
    <n v="0"/>
    <m/>
    <n v="115919.99999999999"/>
    <n v="0"/>
    <n v="0"/>
    <n v="4"/>
    <n v="115919.99999999999"/>
    <n v="0"/>
  </r>
  <r>
    <s v="Dynamo-Herramientas Eléctricas"/>
    <x v="1"/>
    <x v="4"/>
    <x v="10"/>
    <s v="DYNLLAIMP"/>
    <x v="33"/>
    <x v="32"/>
    <x v="0"/>
    <x v="3"/>
    <n v="0.8"/>
    <x v="33"/>
    <n v="216"/>
    <m/>
    <n v="0"/>
    <n v="23976"/>
    <n v="5178816"/>
    <n v="23"/>
    <n v="25127.499999999996"/>
    <n v="50411.764705882357"/>
    <n v="42008.403361344543"/>
    <s v="Shenzhen"/>
    <x v="0"/>
    <n v="30"/>
    <m/>
    <n v="10"/>
    <n v="0"/>
    <s v=""/>
    <n v="0"/>
    <s v=""/>
    <n v="6"/>
    <n v="0.52754289554782419"/>
    <n v="2"/>
    <n v="0.52585059550216706"/>
    <n v="7"/>
    <n v="0.46285666575539303"/>
    <n v="37"/>
    <n v="0.44398490684960235"/>
    <n v="11"/>
    <n v="0.46167903357489032"/>
    <n v="7"/>
    <n v="0.38939241017411119"/>
    <n v="24"/>
    <n v="0.47812184832163696"/>
    <n v="160"/>
    <n v="0.32176856962226985"/>
    <n v="57"/>
    <n v="0.47359359111634119"/>
    <n v="15"/>
    <n v="0.42257521144732657"/>
    <n v="29"/>
    <n v="0.26019382519654372"/>
    <n v="8"/>
    <n v="0.3051062925954971"/>
    <n v="5"/>
    <n v="0.36959998354517182"/>
    <n v="0"/>
    <s v=""/>
    <n v="0"/>
    <n v="2"/>
    <n v="0.62636317010937159"/>
    <n v="0.08"/>
    <n v="6"/>
    <n v="0.52152775794457196"/>
    <n v="0.13333333333333333"/>
    <n v="7"/>
    <n v="0.6005222847633106"/>
    <n v="0.17499999999999999"/>
    <n v="8"/>
    <n v="0.44159832821035594"/>
    <n v="0.8"/>
    <n v="11"/>
    <n v="0.34212545854120402"/>
    <n v="0.55000000000000004"/>
    <m/>
    <m/>
    <m/>
    <m/>
    <m/>
    <m/>
    <m/>
    <m/>
    <m/>
    <n v="35"/>
    <n v="98"/>
    <n v="15"/>
    <n v="0"/>
    <m/>
    <n v="0"/>
    <n v="767232"/>
    <n v="2332889.9999999995"/>
    <n v="359640"/>
    <n v="0"/>
    <n v="216"/>
    <n v="5178816"/>
    <n v="635442.41225902131"/>
    <n v="25"/>
    <n v="70"/>
    <n v="12"/>
    <n v="0"/>
    <n v="0"/>
    <n v="0"/>
    <n v="407592"/>
    <n v="1666349.9999999998"/>
    <n v="287712"/>
    <n v="0"/>
    <n v="216"/>
    <n v="5178816"/>
    <n v="508353.92980721709"/>
    <n v="24"/>
    <n v="61"/>
    <n v="5"/>
    <n v="0"/>
    <n v="0"/>
    <n v="595980"/>
    <n v="1462536"/>
    <n v="119880"/>
    <n v="0"/>
    <n v="216"/>
    <n v="5178816"/>
    <n v="252058.82352941178"/>
    <n v="20"/>
    <n v="57"/>
    <n v="0"/>
    <n v="0"/>
    <n v="0"/>
    <n v="1356884.9999999998"/>
    <n v="0"/>
    <x v="0"/>
    <x v="0"/>
    <n v="216"/>
    <n v="5178816"/>
    <n v="0"/>
    <n v="25"/>
    <n v="218"/>
    <n v="20"/>
    <n v="50"/>
    <n v="50"/>
    <n v="0"/>
    <n v="5226768"/>
    <n v="476099.99999999994"/>
    <x v="1"/>
    <n v="0"/>
    <n v="216"/>
    <n v="5178816"/>
    <n v="1008235.2941176471"/>
    <n v="45"/>
    <n v="222"/>
    <n v="6"/>
    <m/>
    <n v="50"/>
    <n v="0"/>
    <n v="5322672"/>
    <n v="142829.99999999997"/>
    <n v="0"/>
    <n v="0"/>
    <n v="222"/>
    <n v="5178816"/>
    <n v="302470.58823529416"/>
    <n v="40"/>
    <n v="223"/>
    <n v="7"/>
    <n v="150"/>
    <n v="150"/>
    <n v="0"/>
    <n v="5346648"/>
    <n v="166634.99999999997"/>
    <n v="3451725"/>
    <n v="0"/>
    <n v="223"/>
    <n v="5178816"/>
    <n v="352882.3529411765"/>
    <n v="10"/>
    <n v="224"/>
    <n v="8"/>
    <n v="0"/>
    <n v="0"/>
    <n v="0"/>
    <n v="5370624"/>
    <n v="190439.99999999997"/>
    <n v="0"/>
    <n v="0"/>
    <n v="224"/>
    <n v="5370624"/>
    <n v="403294.11764705885"/>
    <n v="20"/>
    <n v="227"/>
    <n v="7.5"/>
    <n v="0"/>
    <n v="0"/>
    <n v="0"/>
    <n v="5403734.9999999991"/>
    <n v="178537.49999999997"/>
    <n v="0"/>
    <n v="0"/>
    <n v="216"/>
    <n v="5178816"/>
    <n v="378088.23529411765"/>
    <n v="50"/>
    <n v="219.5"/>
    <n v="40"/>
    <n v="0"/>
    <n v="0"/>
    <n v="0"/>
    <m/>
    <n v="5225197.4999999991"/>
    <n v="952199.99999999988"/>
    <n v="0"/>
    <n v="0"/>
    <n v="219.5"/>
    <n v="5225197.4999999991"/>
    <n v="1680336.1344537816"/>
    <n v="40"/>
    <n v="179.5"/>
    <n v="32"/>
    <m/>
    <n v="0"/>
    <n v="0"/>
    <n v="4272997.4999999991"/>
    <n v="761759.99999999988"/>
    <n v="0"/>
    <n v="0"/>
    <n v="179.5"/>
    <n v="4272997.4999999991"/>
    <n v="1344268.9075630254"/>
    <n v="50"/>
    <n v="147.5"/>
    <n v="40"/>
    <n v="0"/>
    <n v="0"/>
    <n v="3511237.4999999995"/>
    <n v="952199.99999999988"/>
    <n v="0"/>
    <n v="0"/>
    <n v="147.5"/>
    <n v="3511237.4999999995"/>
    <n v="2016470.5882352942"/>
    <n v="24"/>
    <n v="107.5"/>
    <n v="19.200000000000003"/>
    <n v="0"/>
    <m/>
    <n v="2559037.4999999995"/>
    <n v="460339.20000000007"/>
    <n v="0"/>
    <n v="107.5"/>
    <n v="2559037.4999999995"/>
    <n v="967905.88235294144"/>
  </r>
  <r>
    <s v="Dynamo-Herramientas Eléctricas"/>
    <x v="1"/>
    <x v="4"/>
    <x v="10"/>
    <s v="DYNTALCPER"/>
    <x v="34"/>
    <x v="33"/>
    <x v="0"/>
    <x v="0"/>
    <n v="1.5"/>
    <x v="34"/>
    <n v="4"/>
    <m/>
    <n v="0"/>
    <n v="11883"/>
    <n v="47532"/>
    <n v="11"/>
    <n v="12017.499999999998"/>
    <n v="25201.680672268907"/>
    <n v="22680.672268907565"/>
    <s v="Shenzhen"/>
    <x v="0"/>
    <n v="30"/>
    <m/>
    <n v="10"/>
    <n v="0"/>
    <s v=""/>
    <n v="0"/>
    <s v=""/>
    <n v="9"/>
    <n v="0.63132888758306105"/>
    <n v="25"/>
    <n v="0.66801694562974478"/>
    <n v="24"/>
    <n v="0.67559843606032244"/>
    <n v="45"/>
    <n v="0.5472369533656074"/>
    <n v="21"/>
    <n v="0.66167569696266615"/>
    <n v="21"/>
    <n v="0.59560395502593577"/>
    <n v="61"/>
    <n v="0.53541656611185184"/>
    <n v="140"/>
    <n v="0.48195229527776356"/>
    <n v="99"/>
    <n v="0.48267765436044069"/>
    <n v="49"/>
    <n v="0.48422250794434207"/>
    <n v="2"/>
    <n v="0.61326642524077268"/>
    <n v="0"/>
    <s v=""/>
    <n v="15"/>
    <n v="0.49073960162417729"/>
    <n v="48"/>
    <n v="0.39303516011681711"/>
    <n v="2.4"/>
    <n v="88"/>
    <n v="0.5676694272459949"/>
    <n v="2.9333333333333331"/>
    <n v="30"/>
    <n v="0.1141789267752218"/>
    <n v="0.6"/>
    <n v="72"/>
    <n v="0.56534065024332569"/>
    <n v="2.0571428571428569"/>
    <n v="62"/>
    <n v="0.342705003590489"/>
    <n v="1.24"/>
    <n v="3"/>
    <n v="0.18024765508509111"/>
    <n v="0.15"/>
    <m/>
    <m/>
    <m/>
    <m/>
    <m/>
    <m/>
    <m/>
    <m/>
    <m/>
    <n v="0"/>
    <n v="2"/>
    <n v="2"/>
    <n v="0"/>
    <m/>
    <n v="0"/>
    <n v="202011"/>
    <n v="22770"/>
    <n v="23766"/>
    <n v="0"/>
    <n v="4"/>
    <n v="47532"/>
    <n v="42355.765835746068"/>
    <n v="0"/>
    <n v="0"/>
    <n v="0"/>
    <n v="150"/>
    <n v="150"/>
    <n v="0"/>
    <n v="748629"/>
    <n v="0"/>
    <n v="0"/>
    <n v="0"/>
    <n v="4"/>
    <n v="47532"/>
    <n v="0"/>
    <n v="50"/>
    <n v="19"/>
    <n v="15"/>
    <n v="0"/>
    <n v="0"/>
    <n v="1260954"/>
    <n v="225777"/>
    <n v="178245"/>
    <n v="0"/>
    <n v="4"/>
    <n v="47532"/>
    <n v="378025.21008403361"/>
    <n v="20"/>
    <n v="132"/>
    <n v="48"/>
    <n v="0"/>
    <n v="0"/>
    <n v="1502820"/>
    <n v="570384"/>
    <x v="0"/>
    <x v="0"/>
    <n v="4"/>
    <n v="47532"/>
    <n v="1209680.6722689075"/>
    <n v="30"/>
    <n v="92"/>
    <n v="45"/>
    <n v="60"/>
    <n v="60"/>
    <n v="0"/>
    <n v="1093236"/>
    <n v="512325"/>
    <x v="2"/>
    <n v="0"/>
    <n v="4"/>
    <n v="47532"/>
    <n v="1134075.6302521008"/>
    <n v="50"/>
    <n v="34"/>
    <n v="30"/>
    <m/>
    <n v="60"/>
    <n v="0"/>
    <n v="404022"/>
    <n v="341550"/>
    <n v="0"/>
    <n v="0"/>
    <n v="34"/>
    <n v="47532"/>
    <n v="756050.42016806721"/>
    <n v="35"/>
    <n v="76"/>
    <n v="72"/>
    <n v="150"/>
    <n v="150"/>
    <n v="0"/>
    <n v="903108"/>
    <n v="819720"/>
    <n v="1650825"/>
    <n v="0"/>
    <n v="76"/>
    <n v="47532"/>
    <n v="1814521.0084033613"/>
    <n v="50"/>
    <n v="66"/>
    <n v="64"/>
    <n v="0"/>
    <n v="0"/>
    <n v="0"/>
    <n v="784278"/>
    <n v="728640"/>
    <n v="0"/>
    <n v="0"/>
    <n v="66"/>
    <n v="784278"/>
    <n v="1612907.5630252101"/>
    <n v="20"/>
    <n v="7"/>
    <n v="3"/>
    <n v="0"/>
    <n v="0"/>
    <n v="0"/>
    <n v="79695"/>
    <n v="34155"/>
    <n v="0"/>
    <n v="0"/>
    <n v="4"/>
    <n v="47532"/>
    <n v="75605.042016806721"/>
    <n v="0"/>
    <n v="4"/>
    <n v="0"/>
    <n v="0"/>
    <n v="0"/>
    <n v="0"/>
    <n v="0"/>
    <n v="45540"/>
    <n v="0"/>
    <n v="0"/>
    <n v="0"/>
    <n v="4"/>
    <n v="45540"/>
    <n v="0"/>
    <n v="0"/>
    <n v="4"/>
    <n v="0"/>
    <m/>
    <n v="0"/>
    <n v="0"/>
    <n v="45540"/>
    <n v="0"/>
    <n v="0"/>
    <n v="0"/>
    <n v="4"/>
    <n v="45540"/>
    <n v="0"/>
    <n v="120"/>
    <n v="4"/>
    <n v="154"/>
    <n v="150"/>
    <n v="150"/>
    <n v="45540"/>
    <n v="1753290"/>
    <n v="1707750"/>
    <n v="1707750"/>
    <n v="154"/>
    <n v="1753290"/>
    <n v="3881058.8235294116"/>
    <n v="0"/>
    <n v="0"/>
    <n v="0"/>
    <n v="0"/>
    <m/>
    <n v="0"/>
    <n v="0"/>
    <n v="0"/>
    <n v="0"/>
    <n v="0"/>
    <n v="0"/>
  </r>
  <r>
    <s v="Dynamo-Herramientas Eléctricas"/>
    <x v="1"/>
    <x v="4"/>
    <x v="10"/>
    <s v="DYNTALIMPA"/>
    <x v="35"/>
    <x v="34"/>
    <x v="0"/>
    <x v="0"/>
    <n v="0.8"/>
    <x v="35"/>
    <n v="73"/>
    <m/>
    <n v="0"/>
    <n v="34834"/>
    <n v="2542882"/>
    <n v="36.5"/>
    <n v="39876.25"/>
    <n v="75621.848739495807"/>
    <n v="58815.126050420171"/>
    <s v="Shenzhen"/>
    <x v="0"/>
    <n v="30"/>
    <m/>
    <n v="10"/>
    <n v="0"/>
    <s v=""/>
    <n v="0"/>
    <s v=""/>
    <n v="8"/>
    <n v="0.50553870630279318"/>
    <n v="10"/>
    <n v="0.55146398548539499"/>
    <n v="13"/>
    <n v="0.56268033707312692"/>
    <n v="8"/>
    <n v="0.50001167397678814"/>
    <n v="6"/>
    <n v="0.53361051470399601"/>
    <n v="18"/>
    <n v="0.48294585656903211"/>
    <n v="35"/>
    <n v="0.47731848411408123"/>
    <n v="56"/>
    <n v="0.40277335153424265"/>
    <n v="17"/>
    <n v="0.47453361832762497"/>
    <n v="2"/>
    <n v="0.45505703003536002"/>
    <n v="2"/>
    <n v="0.50015290519168309"/>
    <n v="0"/>
    <s v=""/>
    <n v="5"/>
    <n v="0.48635075034285052"/>
    <n v="4"/>
    <n v="0.41564194347493566"/>
    <n v="0.26666666666666666"/>
    <n v="3"/>
    <n v="0.64192161182658947"/>
    <n v="0.2"/>
    <n v="27"/>
    <n v="0.31227403741819243"/>
    <n v="0.9"/>
    <n v="20"/>
    <n v="0.47428655212328402"/>
    <n v="1"/>
    <n v="21"/>
    <n v="0.36303380542276159"/>
    <n v="0.84"/>
    <n v="15"/>
    <n v="0.30642457398965656"/>
    <n v="0.5"/>
    <m/>
    <m/>
    <m/>
    <m/>
    <m/>
    <m/>
    <m/>
    <m/>
    <m/>
    <n v="0"/>
    <n v="2"/>
    <n v="2"/>
    <n v="0"/>
    <m/>
    <n v="0"/>
    <n v="243838"/>
    <n v="75555"/>
    <n v="69668"/>
    <n v="0"/>
    <n v="73"/>
    <n v="2542882"/>
    <n v="127095.54409999296"/>
    <n v="0"/>
    <n v="0"/>
    <n v="0"/>
    <n v="100"/>
    <n v="100"/>
    <n v="0"/>
    <n v="313506"/>
    <n v="0"/>
    <n v="0"/>
    <n v="0"/>
    <n v="73"/>
    <n v="2542882"/>
    <n v="0"/>
    <n v="20"/>
    <n v="78"/>
    <n v="5"/>
    <n v="0"/>
    <n v="0"/>
    <n v="766836"/>
    <n v="2717052"/>
    <n v="174170"/>
    <n v="0"/>
    <n v="73"/>
    <n v="2542882"/>
    <n v="378109.24369747902"/>
    <n v="15"/>
    <n v="103"/>
    <n v="4"/>
    <n v="0"/>
    <n v="0"/>
    <n v="3891082.5"/>
    <n v="139336"/>
    <x v="0"/>
    <x v="0"/>
    <n v="73"/>
    <n v="2542882"/>
    <n v="302487.39495798323"/>
    <n v="15"/>
    <n v="76"/>
    <n v="12"/>
    <n v="0"/>
    <n v="0"/>
    <n v="0"/>
    <n v="2647384"/>
    <n v="453330"/>
    <x v="0"/>
    <n v="0"/>
    <n v="73"/>
    <n v="2542882"/>
    <n v="907462.18487394974"/>
    <n v="30"/>
    <n v="100"/>
    <n v="27"/>
    <m/>
    <n v="0"/>
    <n v="0"/>
    <n v="3483400"/>
    <n v="1019992.5"/>
    <n v="0"/>
    <n v="0"/>
    <n v="100"/>
    <n v="2542882"/>
    <n v="2041789.9159663867"/>
    <n v="20"/>
    <n v="93"/>
    <n v="20"/>
    <n v="60"/>
    <n v="60"/>
    <n v="0"/>
    <n v="3239562"/>
    <n v="755550"/>
    <n v="2191095"/>
    <n v="0"/>
    <n v="93"/>
    <n v="2542882"/>
    <n v="1512436.9747899161"/>
    <n v="25"/>
    <n v="94"/>
    <n v="21"/>
    <n v="0"/>
    <n v="0"/>
    <n v="0"/>
    <n v="3274396"/>
    <n v="793327.5"/>
    <n v="0"/>
    <n v="0"/>
    <n v="94"/>
    <n v="3274396"/>
    <n v="1588058.823529412"/>
    <n v="30"/>
    <n v="88"/>
    <n v="15"/>
    <n v="0"/>
    <n v="0"/>
    <n v="0"/>
    <n v="3324420"/>
    <n v="566662.5"/>
    <n v="0"/>
    <n v="0"/>
    <n v="73"/>
    <n v="2542882"/>
    <n v="1134327.7310924372"/>
    <n v="48"/>
    <n v="73"/>
    <n v="38.400000000000006"/>
    <n v="0"/>
    <n v="0"/>
    <n v="0"/>
    <m/>
    <n v="2757757.5"/>
    <n v="1450656.0000000002"/>
    <n v="0"/>
    <n v="0"/>
    <n v="73"/>
    <n v="2757757.5"/>
    <n v="2258500.8403361351"/>
    <n v="35"/>
    <n v="34.599999999999994"/>
    <n v="28"/>
    <m/>
    <n v="0"/>
    <n v="0"/>
    <n v="1307101.4999999998"/>
    <n v="1057770"/>
    <n v="0"/>
    <n v="0"/>
    <n v="34.599999999999994"/>
    <n v="1307101.4999999998"/>
    <n v="1646823.5294117648"/>
    <n v="45"/>
    <n v="6.5999999999999943"/>
    <n v="36"/>
    <n v="80"/>
    <n v="80"/>
    <n v="249331.4999999998"/>
    <n v="1359990"/>
    <n v="3022200"/>
    <n v="3022200"/>
    <n v="86.6"/>
    <n v="3271531.5"/>
    <n v="2722386.5546218492"/>
    <n v="21"/>
    <n v="50.599999999999994"/>
    <n v="16.8"/>
    <n v="0"/>
    <m/>
    <n v="1911541.4999999998"/>
    <n v="585211.20000000007"/>
    <n v="0"/>
    <n v="50.599999999999994"/>
    <n v="1911541.4999999998"/>
    <n v="1270447.0588235296"/>
  </r>
  <r>
    <s v="Dynamo-Herramientas Eléctricas"/>
    <x v="1"/>
    <x v="4"/>
    <x v="10"/>
    <s v="DYNTALPOW"/>
    <x v="36"/>
    <x v="35"/>
    <x v="0"/>
    <x v="1"/>
    <n v="0.8"/>
    <x v="36"/>
    <n v="76"/>
    <m/>
    <n v="0"/>
    <n v="23760"/>
    <n v="1805760"/>
    <n v="23.5"/>
    <n v="25673.749999999996"/>
    <n v="50411.764705882357"/>
    <n v="42008.403361344543"/>
    <s v="Shenzhen"/>
    <x v="0"/>
    <n v="30"/>
    <m/>
    <n v="10"/>
    <n v="0"/>
    <s v=""/>
    <n v="0"/>
    <s v=""/>
    <n v="19"/>
    <n v="0.43152351753833612"/>
    <n v="15"/>
    <n v="0.46367055949311625"/>
    <n v="7"/>
    <n v="0.51726689035175144"/>
    <n v="32"/>
    <n v="0.45815215021612288"/>
    <n v="7"/>
    <n v="0.50671127673524186"/>
    <n v="26"/>
    <n v="0.49170606072598344"/>
    <n v="16"/>
    <n v="0.38261900023129392"/>
    <n v="34"/>
    <n v="0.43928978166320648"/>
    <n v="27"/>
    <n v="0.48645308703332474"/>
    <n v="25"/>
    <n v="0.49918338592689138"/>
    <n v="22"/>
    <n v="0.42530842474985325"/>
    <n v="35"/>
    <n v="0.31548823578984458"/>
    <n v="23"/>
    <n v="0.30802050543983617"/>
    <n v="12"/>
    <n v="0.35855094466936571"/>
    <n v="0.8"/>
    <n v="4"/>
    <n v="0.47185759493670881"/>
    <n v="0.26666666666666666"/>
    <n v="33"/>
    <n v="0.49962854595703565"/>
    <n v="0.82499999999999996"/>
    <n v="31"/>
    <n v="0.52447206276404179"/>
    <n v="1.24"/>
    <n v="16"/>
    <n v="0.3575699860045668"/>
    <n v="1"/>
    <n v="17"/>
    <n v="0.28190973090361277"/>
    <n v="0.85"/>
    <m/>
    <m/>
    <m/>
    <m/>
    <m/>
    <m/>
    <m/>
    <m/>
    <m/>
    <n v="20"/>
    <n v="88"/>
    <n v="16"/>
    <n v="0"/>
    <m/>
    <n v="0"/>
    <n v="2174040"/>
    <n v="2140379.9999999995"/>
    <n v="380160"/>
    <n v="0"/>
    <n v="76"/>
    <n v="1805760"/>
    <n v="677805.23974295612"/>
    <n v="15"/>
    <n v="75"/>
    <n v="52.5"/>
    <n v="50"/>
    <n v="0"/>
    <n v="0"/>
    <n v="2079000"/>
    <n v="1824187.4999999998"/>
    <n v="1247400"/>
    <n v="0"/>
    <n v="76"/>
    <n v="1805760"/>
    <n v="2224048.4429065748"/>
    <n v="50"/>
    <n v="30"/>
    <n v="23"/>
    <n v="0"/>
    <n v="0"/>
    <n v="1123470"/>
    <n v="712800"/>
    <n v="546480"/>
    <n v="0"/>
    <n v="76"/>
    <n v="1805760"/>
    <n v="1159470.5882352942"/>
    <n v="15"/>
    <n v="25"/>
    <n v="12"/>
    <n v="0"/>
    <n v="0"/>
    <n v="608062.49999999988"/>
    <n v="285120"/>
    <x v="0"/>
    <x v="0"/>
    <n v="76"/>
    <n v="1805760"/>
    <n v="604941.17647058831"/>
    <n v="15"/>
    <n v="80"/>
    <n v="12"/>
    <n v="30"/>
    <n v="30"/>
    <n v="0"/>
    <n v="1900800"/>
    <n v="291869.99999999994"/>
    <x v="3"/>
    <n v="0"/>
    <n v="76"/>
    <n v="1805760"/>
    <n v="604941.17647058831"/>
    <n v="40"/>
    <n v="109"/>
    <n v="33"/>
    <m/>
    <n v="80"/>
    <n v="0"/>
    <n v="2589840"/>
    <n v="802642.49999999988"/>
    <n v="0"/>
    <n v="0"/>
    <n v="109"/>
    <n v="1805760"/>
    <n v="1663588.2352941178"/>
    <n v="25"/>
    <n v="107"/>
    <n v="31"/>
    <n v="100"/>
    <n v="100"/>
    <n v="0"/>
    <n v="2542320"/>
    <n v="753997.49999999988"/>
    <n v="2351175"/>
    <n v="0"/>
    <n v="107"/>
    <n v="1805760"/>
    <n v="1562764.705882353"/>
    <n v="16"/>
    <n v="92"/>
    <n v="16"/>
    <n v="0"/>
    <n v="0"/>
    <n v="0"/>
    <n v="2185920"/>
    <n v="389159.99999999994"/>
    <n v="0"/>
    <n v="0"/>
    <n v="92"/>
    <n v="2185920"/>
    <n v="806588.23529411771"/>
    <n v="20"/>
    <n v="93"/>
    <n v="18"/>
    <n v="0"/>
    <n v="0"/>
    <n v="0"/>
    <n v="2261992.4999999995"/>
    <n v="437804.99999999994"/>
    <n v="0"/>
    <n v="0"/>
    <n v="76"/>
    <n v="1805760"/>
    <n v="907411.76470588241"/>
    <n v="35"/>
    <n v="75"/>
    <n v="28"/>
    <n v="0"/>
    <n v="0"/>
    <n v="0"/>
    <m/>
    <n v="1824187.4999999998"/>
    <n v="681029.99999999988"/>
    <n v="0"/>
    <n v="0"/>
    <n v="75"/>
    <n v="1824187.4999999998"/>
    <n v="1176235.2941176472"/>
    <n v="25"/>
    <n v="47"/>
    <n v="20"/>
    <m/>
    <n v="0"/>
    <n v="0"/>
    <n v="1143157.4999999998"/>
    <n v="486449.99999999994"/>
    <n v="0"/>
    <n v="0"/>
    <n v="47"/>
    <n v="1143157.4999999998"/>
    <n v="840168.06722689082"/>
    <n v="30"/>
    <n v="27"/>
    <n v="24"/>
    <n v="50"/>
    <n v="50"/>
    <n v="656707.49999999988"/>
    <n v="583739.99999999988"/>
    <n v="1216124.9999999998"/>
    <n v="1216124.9999999998"/>
    <n v="77"/>
    <n v="1872832.4999999995"/>
    <n v="1209882.3529411766"/>
    <n v="15"/>
    <n v="53"/>
    <n v="12"/>
    <n v="0"/>
    <m/>
    <n v="1289092.4999999998"/>
    <n v="285120"/>
    <n v="0"/>
    <n v="53"/>
    <n v="1289092.4999999998"/>
    <n v="604941.17647058831"/>
  </r>
  <r>
    <s v="Dynamo-Herramientas Eléctricas"/>
    <x v="1"/>
    <x v="4"/>
    <x v="10"/>
    <s v="DYNTALSCA"/>
    <x v="37"/>
    <x v="36"/>
    <x v="0"/>
    <x v="1"/>
    <n v="0.6"/>
    <x v="37"/>
    <n v="250"/>
    <m/>
    <n v="0"/>
    <n v="9186"/>
    <n v="2296500"/>
    <n v="8"/>
    <n v="8740"/>
    <n v="16798.319327731093"/>
    <n v="16798.319327731093"/>
    <s v="Shenzhen"/>
    <x v="0"/>
    <n v="30"/>
    <m/>
    <n v="10"/>
    <n v="0"/>
    <s v=""/>
    <n v="0"/>
    <s v=""/>
    <n v="27"/>
    <n v="0.51730637760918508"/>
    <n v="96"/>
    <n v="0.54004138366037702"/>
    <n v="19"/>
    <n v="0.53980952380952385"/>
    <n v="0"/>
    <n v="0.58814761904761903"/>
    <n v="7"/>
    <n v="0.59735547982405213"/>
    <n v="26"/>
    <n v="0.53168141314176653"/>
    <n v="46"/>
    <n v="0.4935942388139592"/>
    <n v="218"/>
    <n v="0.45399292469987912"/>
    <n v="98"/>
    <n v="0.4715067341361987"/>
    <n v="48"/>
    <n v="0.48784999566298581"/>
    <n v="97"/>
    <n v="0.23467318233860984"/>
    <n v="186"/>
    <n v="0.17725952058172426"/>
    <n v="15"/>
    <n v="0.16915961017207554"/>
    <n v="3"/>
    <n v="0.52578944903312108"/>
    <n v="0.15"/>
    <n v="1"/>
    <n v="0.6"/>
    <n v="1.4285714285714285E-2"/>
    <n v="212"/>
    <n v="0.55544280031837301"/>
    <n v="1.4133333333333333"/>
    <n v="87"/>
    <n v="0.59136568530885913"/>
    <n v="0.72499999999999998"/>
    <n v="23"/>
    <n v="0.23585853237098728"/>
    <n v="0.92"/>
    <n v="29"/>
    <n v="0.26260070072182012"/>
    <n v="0.64444444444444449"/>
    <m/>
    <m/>
    <m/>
    <m/>
    <m/>
    <m/>
    <m/>
    <m/>
    <m/>
    <n v="50"/>
    <n v="308"/>
    <n v="60"/>
    <n v="0"/>
    <m/>
    <n v="0"/>
    <n v="3251844"/>
    <n v="2550240"/>
    <n v="551160"/>
    <n v="0"/>
    <n v="250"/>
    <n v="2296500"/>
    <n v="846974.08375114761"/>
    <n v="50"/>
    <n v="211"/>
    <n v="279"/>
    <n v="150"/>
    <n v="0"/>
    <n v="0"/>
    <n v="2728242"/>
    <n v="1747080"/>
    <n v="2562894"/>
    <n v="0"/>
    <n v="250"/>
    <n v="2296500"/>
    <n v="3938429.4894428365"/>
    <n v="280"/>
    <n v="6"/>
    <n v="15"/>
    <n v="0"/>
    <n v="0"/>
    <n v="513108"/>
    <n v="55116"/>
    <n v="137790"/>
    <n v="0"/>
    <n v="250"/>
    <n v="2296500"/>
    <n v="251974.78991596639"/>
    <n v="20"/>
    <n v="5"/>
    <n v="3"/>
    <n v="0"/>
    <n v="0"/>
    <n v="41400"/>
    <n v="27558"/>
    <x v="0"/>
    <x v="0"/>
    <n v="250"/>
    <n v="2296500"/>
    <n v="50394.957983193279"/>
    <n v="70"/>
    <n v="251"/>
    <n v="42"/>
    <n v="100"/>
    <n v="100"/>
    <n v="0"/>
    <n v="2305686"/>
    <n v="347760"/>
    <x v="4"/>
    <n v="0"/>
    <n v="250"/>
    <n v="2296500"/>
    <n v="705529.4117647059"/>
    <n v="150"/>
    <n v="462"/>
    <n v="212"/>
    <m/>
    <n v="250"/>
    <n v="0"/>
    <n v="4243932"/>
    <n v="1755360"/>
    <n v="0"/>
    <n v="0"/>
    <n v="462"/>
    <n v="2296500"/>
    <n v="3561243.6974789919"/>
    <n v="120"/>
    <n v="337"/>
    <n v="87"/>
    <n v="250"/>
    <n v="250"/>
    <n v="0"/>
    <n v="3095682"/>
    <n v="720360"/>
    <n v="2000999.9999999998"/>
    <n v="0"/>
    <n v="337"/>
    <n v="2296500"/>
    <n v="1461453.781512605"/>
    <n v="25"/>
    <n v="273"/>
    <n v="23"/>
    <n v="100"/>
    <n v="100"/>
    <n v="0"/>
    <n v="2507778"/>
    <n v="190440"/>
    <n v="828000"/>
    <n v="0"/>
    <n v="273"/>
    <n v="2507778"/>
    <n v="386361.34453781514"/>
    <n v="45"/>
    <n v="279"/>
    <n v="36"/>
    <n v="0"/>
    <n v="0"/>
    <n v="0"/>
    <n v="2310120"/>
    <n v="298080"/>
    <n v="0"/>
    <n v="0"/>
    <n v="250"/>
    <n v="2296500"/>
    <n v="604739.49579831935"/>
    <n v="200"/>
    <n v="243"/>
    <n v="120"/>
    <n v="0"/>
    <n v="0"/>
    <n v="0"/>
    <m/>
    <n v="2012040"/>
    <n v="993600"/>
    <n v="0"/>
    <n v="0"/>
    <n v="243"/>
    <n v="2012040"/>
    <n v="2015798.3193277312"/>
    <n v="100"/>
    <n v="123"/>
    <n v="60"/>
    <m/>
    <n v="0"/>
    <n v="0"/>
    <n v="1018440"/>
    <n v="496800"/>
    <n v="0"/>
    <n v="0"/>
    <n v="123"/>
    <n v="1018440"/>
    <n v="1007899.1596638656"/>
    <n v="90"/>
    <n v="63"/>
    <n v="54"/>
    <n v="200"/>
    <n v="200"/>
    <n v="521640"/>
    <n v="447120"/>
    <n v="1656000"/>
    <n v="1656000"/>
    <n v="263"/>
    <n v="2177640"/>
    <n v="907109.24369747902"/>
    <n v="60"/>
    <n v="209"/>
    <n v="36"/>
    <n v="0"/>
    <m/>
    <n v="1730520"/>
    <n v="330696"/>
    <n v="0"/>
    <n v="209"/>
    <n v="1730520"/>
    <n v="604739.49579831935"/>
  </r>
  <r>
    <s v="Dynamo-Herramientas Eléctricas"/>
    <x v="1"/>
    <x v="4"/>
    <x v="10"/>
    <s v="DYNTALSPER"/>
    <x v="38"/>
    <x v="36"/>
    <x v="0"/>
    <x v="1"/>
    <n v="1.3"/>
    <x v="38"/>
    <n v="119"/>
    <m/>
    <n v="0"/>
    <n v="12644"/>
    <n v="1504636"/>
    <n v="10.5"/>
    <n v="11471.25"/>
    <n v="25201.680672268907"/>
    <n v="21000"/>
    <s v="Shenzhen"/>
    <x v="0"/>
    <n v="30"/>
    <m/>
    <n v="10"/>
    <n v="0"/>
    <s v=""/>
    <n v="0"/>
    <s v=""/>
    <n v="17"/>
    <n v="0.60685429756168952"/>
    <n v="34"/>
    <n v="0.57350964292203932"/>
    <n v="50"/>
    <n v="0.57716497048117599"/>
    <n v="200"/>
    <n v="0.58377007907441558"/>
    <n v="167"/>
    <n v="0.53848776344655647"/>
    <n v="202"/>
    <n v="0.51023856537886547"/>
    <n v="76"/>
    <n v="0.55947208342615895"/>
    <n v="107"/>
    <n v="0.58549391423959196"/>
    <n v="62"/>
    <n v="0.53597488386935865"/>
    <n v="139"/>
    <n v="0.56957551828935149"/>
    <n v="99"/>
    <n v="0.42735687534814581"/>
    <n v="33"/>
    <n v="0.387754822511923"/>
    <n v="26"/>
    <n v="0.44692557591420529"/>
    <n v="55"/>
    <n v="0.61696161634123037"/>
    <n v="1.8333333333333333"/>
    <n v="176"/>
    <n v="0.74600585503317485"/>
    <n v="2.5142857142857142"/>
    <n v="199"/>
    <n v="0.23902655023180233"/>
    <n v="0.995"/>
    <n v="319"/>
    <n v="0.67468615980284008"/>
    <n v="1.9937499999999999"/>
    <n v="38"/>
    <n v="0.18151145855333406"/>
    <n v="0.69090909090909092"/>
    <n v="32"/>
    <n v="0.21261958206865689"/>
    <n v="0.26666666666666666"/>
    <m/>
    <m/>
    <m/>
    <m/>
    <m/>
    <m/>
    <m/>
    <m/>
    <m/>
    <n v="75"/>
    <n v="126"/>
    <n v="120"/>
    <n v="0"/>
    <m/>
    <n v="0"/>
    <n v="2471902"/>
    <n v="1369305"/>
    <n v="1517280"/>
    <n v="0"/>
    <n v="119"/>
    <n v="1504636"/>
    <n v="2541345.950144764"/>
    <n v="6"/>
    <n v="48"/>
    <n v="49.5"/>
    <n v="300"/>
    <n v="300"/>
    <n v="0"/>
    <n v="1650042"/>
    <n v="521640"/>
    <n v="625878"/>
    <n v="0"/>
    <n v="119"/>
    <n v="1504636"/>
    <n v="1048305.2044347152"/>
    <n v="120"/>
    <n v="145"/>
    <n v="26"/>
    <n v="0"/>
    <n v="0"/>
    <n v="2013106.5"/>
    <n v="1833380"/>
    <n v="328744"/>
    <n v="0"/>
    <n v="119"/>
    <n v="1504636"/>
    <n v="655243.69747899158"/>
    <n v="30"/>
    <n v="286"/>
    <n v="55"/>
    <n v="0"/>
    <n v="0"/>
    <n v="3108105"/>
    <n v="695420"/>
    <x v="0"/>
    <x v="0"/>
    <n v="119"/>
    <n v="1504636"/>
    <n v="1386092.4369747899"/>
    <n v="70"/>
    <n v="295"/>
    <n v="91"/>
    <n v="70"/>
    <n v="70"/>
    <n v="0"/>
    <n v="3729980"/>
    <n v="988942.5"/>
    <x v="5"/>
    <n v="0"/>
    <n v="119"/>
    <n v="1504636"/>
    <n v="2293352.9411764704"/>
    <n v="200"/>
    <n v="318"/>
    <n v="199"/>
    <m/>
    <n v="70"/>
    <n v="0"/>
    <n v="4020792"/>
    <n v="2162632.5"/>
    <n v="0"/>
    <n v="0"/>
    <n v="318"/>
    <n v="1504636"/>
    <n v="5015134.4537815126"/>
    <n v="160"/>
    <n v="438"/>
    <n v="319"/>
    <n v="400"/>
    <n v="400"/>
    <n v="0"/>
    <n v="5538072"/>
    <n v="3466732.5"/>
    <n v="4202100"/>
    <n v="0"/>
    <n v="438"/>
    <n v="1504636"/>
    <n v="8039336.1344537809"/>
    <n v="55"/>
    <n v="157"/>
    <n v="39"/>
    <n v="150"/>
    <n v="150"/>
    <n v="0"/>
    <n v="1985108"/>
    <n v="423832.5"/>
    <n v="1630125"/>
    <n v="0"/>
    <n v="157"/>
    <n v="1985108"/>
    <n v="982865.54621848743"/>
    <n v="120"/>
    <n v="151"/>
    <n v="13.5"/>
    <n v="0"/>
    <n v="0"/>
    <n v="0"/>
    <n v="1640992.5"/>
    <n v="146711.25"/>
    <n v="0"/>
    <n v="0"/>
    <n v="119"/>
    <n v="1504636"/>
    <n v="340222.68907563027"/>
    <n v="120"/>
    <n v="137.5"/>
    <n v="137.5"/>
    <n v="300"/>
    <n v="300"/>
    <n v="0"/>
    <n v="0"/>
    <n v="1494281.25"/>
    <n v="1494281.25"/>
    <n v="3260250"/>
    <n v="0"/>
    <n v="137.5"/>
    <n v="1494281.25"/>
    <n v="2887500"/>
    <n v="100"/>
    <n v="0"/>
    <n v="130"/>
    <m/>
    <n v="0"/>
    <n v="300"/>
    <n v="0"/>
    <n v="1412775"/>
    <n v="0"/>
    <n v="3260250"/>
    <n v="300"/>
    <n v="3260250"/>
    <n v="0"/>
    <n v="200"/>
    <n v="170"/>
    <n v="260"/>
    <n v="150"/>
    <n v="150"/>
    <n v="1847475"/>
    <n v="2825550"/>
    <n v="1630125"/>
    <n v="1630125"/>
    <n v="320"/>
    <n v="3477600"/>
    <n v="6552436.9747899156"/>
    <n v="60"/>
    <n v="60"/>
    <n v="78"/>
    <n v="0"/>
    <m/>
    <n v="652050"/>
    <n v="986232"/>
    <n v="0"/>
    <n v="60"/>
    <n v="652050"/>
    <n v="1965731.0924369749"/>
  </r>
  <r>
    <s v="Innovate-K-Gasfiteria"/>
    <x v="2"/>
    <x v="5"/>
    <x v="11"/>
    <n v="1661877043628"/>
    <x v="39"/>
    <x v="37"/>
    <x v="0"/>
    <x v="6"/>
    <n v="1"/>
    <x v="31"/>
    <n v="4"/>
    <m/>
    <n v="0"/>
    <n v="237256"/>
    <n v="949024"/>
    <n v="220"/>
    <n v="246620"/>
    <n v="462176.4705882353"/>
    <n v="462176.4705882353"/>
    <s v="Shenzhen"/>
    <x v="0"/>
    <n v="30"/>
    <m/>
    <n v="1"/>
    <n v="2"/>
    <n v="0.55531968908731377"/>
    <n v="0"/>
    <s v=""/>
    <n v="2"/>
    <n v="0.52791879706406142"/>
    <n v="6"/>
    <n v="0.53738670541447442"/>
    <n v="1"/>
    <n v="0.51079313941009485"/>
    <n v="5"/>
    <n v="0.52123920245661182"/>
    <n v="3"/>
    <n v="0.51049693690286924"/>
    <n v="0"/>
    <s v=""/>
    <n v="1"/>
    <n v="0.39606465572101313"/>
    <n v="0"/>
    <s v=""/>
    <n v="0"/>
    <s v=""/>
    <n v="0"/>
    <s v=""/>
    <n v="0"/>
    <s v=""/>
    <n v="0"/>
    <s v=""/>
    <n v="1"/>
    <n v="0.48665443688634474"/>
    <n v="0"/>
    <s v=""/>
    <n v="0"/>
    <n v="0"/>
    <s v=""/>
    <n v="0"/>
    <n v="0"/>
    <s v=""/>
    <n v="0"/>
    <n v="0"/>
    <s v=""/>
    <n v="0"/>
    <n v="1"/>
    <n v="0.39904207186786445"/>
    <n v="0"/>
    <n v="0"/>
    <s v=""/>
    <n v="0"/>
    <m/>
    <m/>
    <m/>
    <m/>
    <m/>
    <m/>
    <m/>
    <m/>
    <m/>
    <n v="2"/>
    <n v="5"/>
    <n v="2"/>
    <n v="0"/>
    <n v="0"/>
    <n v="0"/>
    <n v="711768"/>
    <n v="1138499.9999999998"/>
    <n v="474512"/>
    <n v="0"/>
    <n v="4"/>
    <n v="949024"/>
    <n v="776767.177459219"/>
    <n v="3"/>
    <n v="5"/>
    <n v="0"/>
    <n v="3.1335030287452459"/>
    <n v="3.1335030287452459"/>
    <n v="0"/>
    <n v="237256"/>
    <n v="1138499.9999999998"/>
    <n v="0"/>
    <n v="0"/>
    <n v="4"/>
    <n v="949024"/>
    <n v="0"/>
    <n v="3"/>
    <n v="5"/>
    <n v="1"/>
    <n v="0"/>
    <n v="0"/>
    <n v="920355.99999999988"/>
    <n v="1186280"/>
    <n v="237256"/>
    <n v="0"/>
    <n v="4"/>
    <n v="949024"/>
    <n v="462176.4705882353"/>
    <n v="3"/>
    <n v="4"/>
    <n v="0"/>
    <n v="0"/>
    <n v="0"/>
    <n v="910799.99999999988"/>
    <n v="0"/>
    <x v="0"/>
    <x v="0"/>
    <n v="4"/>
    <n v="949024"/>
    <n v="0"/>
    <n v="3"/>
    <n v="4"/>
    <n v="3"/>
    <m/>
    <n v="0"/>
    <n v="0"/>
    <n v="949024"/>
    <n v="683099.99999999988"/>
    <x v="0"/>
    <n v="0"/>
    <n v="4"/>
    <n v="949024"/>
    <n v="1386529.411764706"/>
    <n v="3"/>
    <n v="4"/>
    <n v="0"/>
    <m/>
    <n v="0"/>
    <n v="0"/>
    <n v="949024"/>
    <n v="0"/>
    <n v="0"/>
    <n v="0"/>
    <n v="4"/>
    <n v="949024"/>
    <n v="0"/>
    <n v="0"/>
    <n v="4"/>
    <n v="0"/>
    <n v="0"/>
    <n v="0"/>
    <n v="0"/>
    <n v="949024"/>
    <n v="0"/>
    <n v="0"/>
    <n v="0"/>
    <n v="4"/>
    <n v="949024"/>
    <n v="0"/>
    <n v="0"/>
    <n v="5"/>
    <n v="1"/>
    <n v="0"/>
    <n v="0"/>
    <n v="0"/>
    <n v="1186280"/>
    <n v="227699.99999999997"/>
    <n v="0"/>
    <n v="0"/>
    <n v="5"/>
    <n v="1186280"/>
    <n v="462176.4705882353"/>
    <n v="0"/>
    <n v="4"/>
    <n v="0"/>
    <n v="0"/>
    <n v="0"/>
    <n v="0"/>
    <n v="910799.99999999988"/>
    <n v="0"/>
    <n v="0"/>
    <n v="0"/>
    <n v="4"/>
    <n v="949024"/>
    <n v="0"/>
    <n v="3"/>
    <n v="4"/>
    <n v="3"/>
    <n v="0"/>
    <n v="0"/>
    <n v="0"/>
    <m/>
    <n v="910799.99999999988"/>
    <n v="683099.99999999988"/>
    <n v="0"/>
    <n v="0"/>
    <n v="4"/>
    <n v="910799.99999999988"/>
    <n v="1386529.411764706"/>
    <n v="3"/>
    <n v="1"/>
    <n v="1"/>
    <m/>
    <n v="0"/>
    <n v="0"/>
    <n v="227699.99999999997"/>
    <n v="227699.99999999997"/>
    <n v="0"/>
    <n v="0"/>
    <n v="1"/>
    <n v="227699.99999999997"/>
    <n v="462176.4705882353"/>
    <n v="3"/>
    <n v="0"/>
    <n v="0"/>
    <n v="0"/>
    <n v="0"/>
    <n v="0"/>
    <n v="0"/>
    <n v="0"/>
    <n v="0"/>
    <n v="0"/>
    <n v="0"/>
    <n v="0"/>
    <n v="1.7999999999999998"/>
    <n v="0"/>
    <n v="1.7999999999999998"/>
    <n v="0"/>
    <m/>
    <n v="0"/>
    <n v="427060.79999999993"/>
    <n v="0"/>
    <n v="0"/>
    <n v="0"/>
    <n v="831917.6470588235"/>
  </r>
  <r>
    <s v="Innovate-K-Gasfiteria"/>
    <x v="2"/>
    <x v="5"/>
    <x v="11"/>
    <n v="1661877072053"/>
    <x v="40"/>
    <x v="38"/>
    <x v="0"/>
    <x v="6"/>
    <n v="1"/>
    <x v="31"/>
    <n v="0"/>
    <m/>
    <n v="0"/>
    <n v="275044.23"/>
    <n v="0"/>
    <n v="251.75673226544623"/>
    <n v="282220.08695652173"/>
    <n v="546210.08403361344"/>
    <n v="546210.08403361344"/>
    <s v="Shenzhen"/>
    <x v="0"/>
    <n v="30"/>
    <m/>
    <n v="1"/>
    <n v="0"/>
    <s v=""/>
    <n v="2"/>
    <n v="0.61670489359262115"/>
    <n v="2"/>
    <n v="0.59035978818304635"/>
    <n v="0"/>
    <s v=""/>
    <n v="0"/>
    <s v=""/>
    <n v="2"/>
    <n v="0.56421263306783231"/>
    <n v="1"/>
    <n v="0.34513278571428574"/>
    <n v="1"/>
    <n v="0.57984267256523614"/>
    <n v="1"/>
    <n v="0.5903599189192007"/>
    <n v="1"/>
    <n v="0.49991958181818186"/>
    <n v="1"/>
    <n v="0.5903599189192007"/>
    <n v="0"/>
    <s v=""/>
    <n v="1"/>
    <n v="0.57984268416816009"/>
    <n v="0"/>
    <s v=""/>
    <n v="0"/>
    <s v=""/>
    <n v="2"/>
    <n v="0.33048349500628543"/>
    <n v="2"/>
    <n v="1"/>
    <n v="0.49644817612578657"/>
    <n v="1"/>
    <n v="0"/>
    <s v=""/>
    <n v="0"/>
    <n v="0"/>
    <s v=""/>
    <n v="0"/>
    <n v="0"/>
    <s v=""/>
    <n v="0"/>
    <n v="0"/>
    <s v=""/>
    <n v="0"/>
    <m/>
    <m/>
    <m/>
    <m/>
    <m/>
    <m/>
    <m/>
    <m/>
    <m/>
    <n v="1.3333333333333333"/>
    <n v="5"/>
    <n v="1.3333333333333333"/>
    <n v="0"/>
    <m/>
    <n v="0"/>
    <n v="366725.63999999996"/>
    <n v="1302841.0894736841"/>
    <n v="366725.63999999996"/>
    <n v="0"/>
    <n v="0"/>
    <n v="0"/>
    <n v="612000.09415530914"/>
    <n v="1"/>
    <n v="4"/>
    <n v="0"/>
    <n v="0"/>
    <m/>
    <n v="0"/>
    <n v="550088.46"/>
    <n v="1042272.8715789473"/>
    <n v="0"/>
    <n v="0"/>
    <n v="0"/>
    <n v="0"/>
    <n v="0"/>
    <n v="1"/>
    <n v="4"/>
    <n v="0"/>
    <n v="0"/>
    <n v="0"/>
    <n v="810656.67789473676"/>
    <n v="1100176.92"/>
    <n v="0"/>
    <n v="0"/>
    <n v="0"/>
    <n v="0"/>
    <n v="0"/>
    <n v="1"/>
    <n v="4"/>
    <n v="2"/>
    <n v="0"/>
    <n v="0"/>
    <n v="1042272.8715789473"/>
    <n v="550088.46"/>
    <x v="0"/>
    <x v="0"/>
    <n v="0"/>
    <n v="0"/>
    <n v="1092420.1680672269"/>
    <n v="1"/>
    <n v="1"/>
    <n v="1"/>
    <m/>
    <n v="0"/>
    <n v="0"/>
    <n v="275044.23"/>
    <n v="260568.21789473682"/>
    <x v="0"/>
    <n v="0"/>
    <n v="0"/>
    <n v="0"/>
    <n v="546210.08403361344"/>
    <n v="1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m/>
    <n v="0"/>
    <n v="0"/>
    <n v="0"/>
    <n v="0"/>
    <n v="0"/>
    <n v="0"/>
    <n v="0"/>
    <n v="1"/>
    <n v="0"/>
    <n v="0"/>
    <m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.6"/>
    <n v="0"/>
    <n v="0.6"/>
    <n v="0"/>
    <m/>
    <n v="0"/>
    <n v="165026.53799999997"/>
    <n v="0"/>
    <n v="0"/>
    <n v="0"/>
    <n v="327726.05042016803"/>
  </r>
  <r>
    <m/>
    <x v="2"/>
    <x v="5"/>
    <x v="11"/>
    <s v="INCAMINS92-40"/>
    <x v="41"/>
    <x v="39"/>
    <x v="0"/>
    <x v="6"/>
    <n v="1"/>
    <x v="31"/>
    <n v="0"/>
    <m/>
    <n v="0"/>
    <n v="293682"/>
    <n v="0"/>
    <n v="268.81647597254005"/>
    <n v="301343.26956521737"/>
    <n v="672260.50420168065"/>
    <n v="672260.50420168065"/>
    <s v="Shenzhen"/>
    <x v="0"/>
    <n v="30"/>
    <m/>
    <n v="1"/>
    <n v="0"/>
    <s v=""/>
    <n v="0"/>
    <s v=""/>
    <n v="0"/>
    <s v=""/>
    <n v="0"/>
    <s v=""/>
    <n v="0"/>
    <s v=""/>
    <n v="2"/>
    <n v="0.55589831761794484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0"/>
    <n v="0"/>
    <n v="0"/>
    <n v="0"/>
    <m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2"/>
    <x v="5"/>
    <x v="11"/>
    <s v="INNCAMINS-7F"/>
    <x v="42"/>
    <x v="40"/>
    <x v="0"/>
    <x v="6"/>
    <n v="1"/>
    <x v="31"/>
    <n v="0"/>
    <m/>
    <n v="0"/>
    <n v="553437"/>
    <n v="0"/>
    <n v="506.57848970251717"/>
    <n v="567874.48695652175"/>
    <n v="1344529.411764706"/>
    <n v="1344529.411764706"/>
    <s v="Shenzhen"/>
    <x v="0"/>
    <n v="30"/>
    <m/>
    <n v="1"/>
    <n v="0"/>
    <s v=""/>
    <n v="0"/>
    <s v=""/>
    <n v="0"/>
    <s v=""/>
    <n v="1"/>
    <n v="0.5883785325567541"/>
    <n v="0"/>
    <s v=""/>
    <n v="0"/>
    <s v=""/>
    <n v="0"/>
    <s v=""/>
    <n v="0"/>
    <s v=""/>
    <n v="1"/>
    <n v="0.5883785325567541"/>
    <n v="1"/>
    <n v="0.57372540169497144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1"/>
    <n v="0"/>
    <n v="0"/>
    <n v="1.0489083596667625"/>
    <n v="1.0489083596667625"/>
    <n v="0"/>
    <n v="0"/>
    <n v="0"/>
    <n v="0"/>
    <n v="0"/>
    <n v="0"/>
    <n v="0"/>
    <n v="0"/>
    <n v="1"/>
    <n v="0"/>
    <n v="0"/>
    <n v="0"/>
    <n v="0"/>
    <n v="524308.73684210528"/>
    <n v="0"/>
    <n v="0"/>
    <n v="0"/>
    <n v="0"/>
    <n v="0"/>
    <n v="0"/>
    <n v="1"/>
    <n v="0"/>
    <n v="0"/>
    <n v="0"/>
    <n v="0"/>
    <n v="0"/>
    <n v="0"/>
    <x v="0"/>
    <x v="0"/>
    <n v="0"/>
    <n v="0"/>
    <n v="0"/>
    <n v="1"/>
    <n v="0"/>
    <n v="1"/>
    <m/>
    <n v="0"/>
    <n v="0"/>
    <n v="0"/>
    <n v="524308.73684210528"/>
    <x v="0"/>
    <n v="0"/>
    <n v="0"/>
    <n v="0"/>
    <n v="1344529.411764706"/>
    <n v="1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m/>
    <n v="0"/>
    <n v="0"/>
    <n v="0"/>
    <n v="0"/>
    <n v="0"/>
    <n v="0"/>
    <n v="0"/>
    <n v="1"/>
    <n v="0"/>
    <n v="0"/>
    <m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.6"/>
    <n v="0"/>
    <n v="0.6"/>
    <n v="0"/>
    <m/>
    <n v="0"/>
    <n v="332062.2"/>
    <n v="0"/>
    <n v="0"/>
    <n v="0"/>
    <n v="806717.64705882361"/>
  </r>
  <r>
    <m/>
    <x v="2"/>
    <x v="5"/>
    <x v="11"/>
    <s v="INNCAMINS-96"/>
    <x v="43"/>
    <x v="41"/>
    <x v="0"/>
    <x v="6"/>
    <n v="1"/>
    <x v="31"/>
    <n v="0"/>
    <m/>
    <n v="0"/>
    <n v="432031"/>
    <n v="0"/>
    <n v="395.45171624713964"/>
    <n v="443301.37391304353"/>
    <n v="1117566.4888564122"/>
    <n v="949931.51552795037"/>
    <s v="Shenzhen"/>
    <x v="0"/>
    <n v="30"/>
    <m/>
    <n v="1"/>
    <n v="0"/>
    <s v=""/>
    <n v="1"/>
    <n v="0.60452258224561961"/>
    <n v="0"/>
    <s v=""/>
    <n v="0"/>
    <s v=""/>
    <n v="0"/>
    <s v=""/>
    <n v="0"/>
    <s v=""/>
    <n v="1"/>
    <n v="0.57156528103102555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1"/>
    <n v="0"/>
    <n v="0"/>
    <n v="1.0489083596667625"/>
    <n v="1.0489083596667625"/>
    <n v="0"/>
    <n v="0"/>
    <n v="0"/>
    <n v="0"/>
    <n v="0"/>
    <n v="0"/>
    <n v="0"/>
    <n v="0"/>
    <n v="1"/>
    <n v="0"/>
    <n v="0"/>
    <n v="0"/>
    <n v="0"/>
    <n v="409292.5263157895"/>
    <n v="0"/>
    <n v="0"/>
    <n v="0"/>
    <n v="0"/>
    <n v="0"/>
    <n v="0"/>
    <n v="1"/>
    <n v="0"/>
    <n v="0"/>
    <n v="0"/>
    <n v="0"/>
    <n v="0"/>
    <n v="0"/>
    <x v="0"/>
    <x v="0"/>
    <n v="0"/>
    <n v="0"/>
    <n v="0"/>
    <n v="1"/>
    <n v="0"/>
    <n v="1"/>
    <m/>
    <n v="0"/>
    <n v="0"/>
    <n v="0"/>
    <n v="409292.5263157895"/>
    <x v="0"/>
    <n v="0"/>
    <n v="0"/>
    <n v="0"/>
    <n v="1117566.4888564122"/>
    <n v="1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m/>
    <n v="0"/>
    <n v="0"/>
    <n v="0"/>
    <n v="0"/>
    <n v="0"/>
    <n v="0"/>
    <n v="0"/>
    <n v="1"/>
    <n v="0"/>
    <n v="0"/>
    <m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.6"/>
    <n v="0"/>
    <n v="0.6"/>
    <n v="0"/>
    <m/>
    <n v="0"/>
    <n v="259218.59999999998"/>
    <n v="0"/>
    <n v="0"/>
    <n v="0"/>
    <n v="670539.89331384737"/>
  </r>
  <r>
    <m/>
    <x v="2"/>
    <x v="5"/>
    <x v="11"/>
    <s v="INNCAMINSH3-70"/>
    <x v="44"/>
    <x v="42"/>
    <x v="0"/>
    <x v="6"/>
    <n v="1"/>
    <x v="31"/>
    <n v="0"/>
    <m/>
    <n v="0"/>
    <n v="1867612"/>
    <n v="0"/>
    <n v="1709.4846681922197"/>
    <n v="1916332.3130434782"/>
    <n v="5042008.4033613447"/>
    <n v="5042008.4033613447"/>
    <s v="Shenzhen"/>
    <x v="0"/>
    <n v="30"/>
    <m/>
    <n v="1"/>
    <n v="0"/>
    <s v=""/>
    <n v="0"/>
    <s v=""/>
    <n v="0"/>
    <s v=""/>
    <n v="1"/>
    <n v="0.45791115366759516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1"/>
    <n v="0"/>
    <n v="0"/>
    <n v="1.0241309968399885"/>
    <n v="1.0241309968399885"/>
    <n v="0"/>
    <n v="0"/>
    <n v="0"/>
    <n v="0"/>
    <n v="0"/>
    <n v="0"/>
    <n v="0"/>
    <n v="0"/>
    <n v="1"/>
    <n v="0"/>
    <n v="0"/>
    <n v="0"/>
    <n v="0"/>
    <n v="1769316.6315789474"/>
    <n v="0"/>
    <n v="0"/>
    <n v="0"/>
    <n v="0"/>
    <n v="0"/>
    <n v="0"/>
    <n v="1"/>
    <n v="0"/>
    <n v="0"/>
    <n v="0"/>
    <n v="0"/>
    <n v="0"/>
    <n v="0"/>
    <x v="0"/>
    <x v="0"/>
    <n v="0"/>
    <n v="0"/>
    <n v="0"/>
    <n v="1"/>
    <n v="0"/>
    <n v="1"/>
    <m/>
    <n v="0"/>
    <n v="0"/>
    <n v="0"/>
    <n v="1769316.6315789474"/>
    <x v="0"/>
    <n v="0"/>
    <n v="0"/>
    <n v="0"/>
    <n v="5042008.4033613447"/>
    <n v="1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m/>
    <n v="0"/>
    <n v="0"/>
    <n v="0"/>
    <n v="0"/>
    <n v="0"/>
    <n v="0"/>
    <n v="0"/>
    <n v="1"/>
    <n v="0"/>
    <n v="0"/>
    <m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.6"/>
    <n v="0"/>
    <n v="0.6"/>
    <n v="0"/>
    <m/>
    <n v="0"/>
    <n v="1120567.2"/>
    <n v="0"/>
    <n v="0"/>
    <n v="0"/>
    <n v="3025205.0420168065"/>
  </r>
  <r>
    <m/>
    <x v="2"/>
    <x v="5"/>
    <x v="11"/>
    <s v="INNCAMINSH5-20"/>
    <x v="45"/>
    <x v="43"/>
    <x v="0"/>
    <x v="6"/>
    <n v="1"/>
    <x v="31"/>
    <n v="0"/>
    <m/>
    <n v="0"/>
    <n v="282666"/>
    <n v="0"/>
    <n v="258.73318077803208"/>
    <n v="290039.8956521739"/>
    <n v="798310.92436974798"/>
    <n v="798310.92436974798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1"/>
    <s v=""/>
    <n v="0"/>
    <n v="0"/>
    <s v=""/>
    <n v="0"/>
    <m/>
    <m/>
    <m/>
    <m/>
    <m/>
    <m/>
    <m/>
    <m/>
    <m/>
    <n v="0"/>
    <n v="1"/>
    <n v="0"/>
    <n v="0"/>
    <m/>
    <n v="0"/>
    <n v="0"/>
    <n v="267788.8421052632"/>
    <n v="0"/>
    <n v="0"/>
    <n v="0"/>
    <n v="0"/>
    <n v="0"/>
    <n v="0"/>
    <n v="1"/>
    <n v="0"/>
    <n v="0"/>
    <m/>
    <n v="0"/>
    <n v="0"/>
    <n v="267788.8421052632"/>
    <n v="0"/>
    <n v="0"/>
    <n v="0"/>
    <n v="0"/>
    <n v="0"/>
    <n v="0"/>
    <n v="1"/>
    <n v="0"/>
    <n v="0"/>
    <n v="0"/>
    <n v="0"/>
    <n v="282666"/>
    <n v="0"/>
    <n v="0"/>
    <n v="0"/>
    <n v="0"/>
    <n v="0"/>
    <n v="0"/>
    <n v="1"/>
    <n v="0"/>
    <n v="0"/>
    <n v="0"/>
    <n v="267788.8421052632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282666"/>
    <n v="267788.8421052632"/>
    <n v="0"/>
    <n v="0"/>
    <n v="1"/>
    <n v="282666"/>
    <n v="798310.924369747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Innovate-K-Gasfiteria"/>
    <x v="2"/>
    <x v="5"/>
    <x v="11"/>
    <s v="INNCAMINSH5512-20"/>
    <x v="46"/>
    <x v="44"/>
    <x v="0"/>
    <x v="6"/>
    <n v="1"/>
    <x v="31"/>
    <n v="0"/>
    <m/>
    <n v="0"/>
    <n v="423998"/>
    <n v="0"/>
    <n v="388.09885583524033"/>
    <n v="435058.81739130442"/>
    <n v="1176462.1848739497"/>
    <n v="1176462.1848739497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1"/>
    <s v=""/>
    <n v="0"/>
    <m/>
    <m/>
    <m/>
    <m/>
    <m/>
    <m/>
    <m/>
    <m/>
    <m/>
    <n v="0"/>
    <n v="1"/>
    <n v="0"/>
    <n v="0"/>
    <m/>
    <n v="0"/>
    <n v="0"/>
    <n v="401682.31578947377"/>
    <n v="0"/>
    <n v="0"/>
    <n v="0"/>
    <n v="0"/>
    <n v="0"/>
    <n v="0"/>
    <n v="1"/>
    <n v="0"/>
    <n v="0"/>
    <m/>
    <n v="0"/>
    <n v="0"/>
    <n v="401682.31578947377"/>
    <n v="0"/>
    <n v="0"/>
    <n v="0"/>
    <n v="0"/>
    <n v="0"/>
    <n v="0"/>
    <n v="1"/>
    <n v="0"/>
    <n v="0"/>
    <n v="0"/>
    <n v="0"/>
    <n v="423998"/>
    <n v="0"/>
    <n v="0"/>
    <n v="0"/>
    <n v="0"/>
    <n v="0"/>
    <n v="0"/>
    <n v="1"/>
    <n v="0"/>
    <n v="0"/>
    <n v="0"/>
    <n v="401682.31578947377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.5"/>
    <n v="0"/>
    <n v="0"/>
    <n v="0"/>
    <n v="401682.31578947377"/>
    <n v="602523.47368421068"/>
    <n v="0"/>
    <n v="0"/>
    <n v="0"/>
    <n v="0"/>
    <n v="1764693.2773109246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Innovate-K-Gasfiteria"/>
    <x v="2"/>
    <x v="5"/>
    <x v="11"/>
    <s v="INNCAMINSH6-40"/>
    <x v="47"/>
    <x v="45"/>
    <x v="0"/>
    <x v="6"/>
    <n v="1"/>
    <x v="31"/>
    <n v="3"/>
    <m/>
    <n v="0"/>
    <n v="302856"/>
    <n v="908568"/>
    <n v="277.21372997711677"/>
    <n v="310756.59130434785"/>
    <n v="840327.73109243705"/>
    <n v="840327.73109243705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1"/>
    <s v=""/>
    <n v="0"/>
    <m/>
    <m/>
    <m/>
    <m/>
    <m/>
    <m/>
    <m/>
    <m/>
    <m/>
    <n v="0"/>
    <n v="4"/>
    <n v="0"/>
    <n v="0"/>
    <m/>
    <n v="0"/>
    <n v="0"/>
    <n v="1147664.8421052634"/>
    <n v="0"/>
    <n v="0"/>
    <n v="3"/>
    <n v="908568"/>
    <n v="0"/>
    <n v="0"/>
    <n v="4"/>
    <n v="0"/>
    <n v="0"/>
    <m/>
    <n v="0"/>
    <n v="0"/>
    <n v="1147664.8421052634"/>
    <n v="0"/>
    <n v="0"/>
    <n v="3"/>
    <n v="908568"/>
    <n v="0"/>
    <n v="0"/>
    <n v="4"/>
    <n v="0"/>
    <n v="0"/>
    <n v="0"/>
    <n v="0"/>
    <n v="1211424"/>
    <n v="0"/>
    <n v="0"/>
    <n v="3"/>
    <n v="908568"/>
    <n v="0"/>
    <n v="0"/>
    <n v="4"/>
    <n v="0"/>
    <n v="0"/>
    <n v="0"/>
    <n v="1147664.8421052634"/>
    <n v="0"/>
    <x v="0"/>
    <x v="0"/>
    <n v="3"/>
    <n v="908568"/>
    <n v="0"/>
    <n v="0"/>
    <n v="3"/>
    <n v="0"/>
    <m/>
    <n v="0"/>
    <n v="0"/>
    <n v="908568"/>
    <n v="0"/>
    <x v="0"/>
    <n v="0"/>
    <n v="3"/>
    <n v="908568"/>
    <n v="0"/>
    <n v="0"/>
    <n v="3"/>
    <n v="0"/>
    <m/>
    <n v="0"/>
    <n v="0"/>
    <n v="908568"/>
    <n v="0"/>
    <n v="0"/>
    <n v="0"/>
    <n v="3"/>
    <n v="908568"/>
    <n v="0"/>
    <n v="0"/>
    <n v="3"/>
    <n v="0"/>
    <n v="0"/>
    <n v="0"/>
    <n v="0"/>
    <n v="908568"/>
    <n v="0"/>
    <n v="0"/>
    <n v="0"/>
    <n v="3"/>
    <n v="908568"/>
    <n v="0"/>
    <n v="0"/>
    <n v="3"/>
    <n v="0"/>
    <n v="0"/>
    <n v="0"/>
    <n v="0"/>
    <n v="908568"/>
    <n v="0"/>
    <n v="0"/>
    <n v="0"/>
    <n v="3"/>
    <n v="908568"/>
    <n v="0"/>
    <n v="0"/>
    <n v="4"/>
    <n v="1.5"/>
    <n v="0"/>
    <n v="0"/>
    <n v="0"/>
    <n v="1147664.8421052634"/>
    <n v="430374.31578947377"/>
    <n v="0"/>
    <n v="0"/>
    <n v="3"/>
    <n v="908568"/>
    <n v="1260491.5966386555"/>
    <n v="0"/>
    <n v="2.5"/>
    <n v="0"/>
    <n v="0"/>
    <n v="0"/>
    <n v="0"/>
    <m/>
    <n v="717290.52631578967"/>
    <n v="0"/>
    <n v="0"/>
    <n v="0"/>
    <n v="2.5"/>
    <n v="717290.52631578967"/>
    <n v="0"/>
    <n v="0"/>
    <n v="2.5"/>
    <n v="0"/>
    <m/>
    <n v="0"/>
    <n v="0"/>
    <n v="717290.52631578967"/>
    <n v="0"/>
    <n v="0"/>
    <n v="0"/>
    <n v="2.5"/>
    <n v="717290.52631578967"/>
    <n v="0"/>
    <n v="0"/>
    <n v="2.5"/>
    <n v="0"/>
    <n v="0"/>
    <n v="0"/>
    <n v="717290.52631578967"/>
    <n v="0"/>
    <n v="0"/>
    <n v="0"/>
    <n v="2.5"/>
    <n v="717290.52631578967"/>
    <n v="0"/>
    <n v="0"/>
    <n v="2.5"/>
    <n v="0"/>
    <n v="0"/>
    <m/>
    <n v="717290.52631578967"/>
    <n v="0"/>
    <n v="0"/>
    <n v="2.5"/>
    <n v="717290.52631578967"/>
    <n v="0"/>
  </r>
  <r>
    <s v="Innovate-K-Gasfiteria"/>
    <x v="2"/>
    <x v="5"/>
    <x v="11"/>
    <s v="INNCAMINS-U9"/>
    <x v="48"/>
    <x v="46"/>
    <x v="0"/>
    <x v="6"/>
    <n v="1"/>
    <x v="31"/>
    <n v="2"/>
    <m/>
    <n v="0"/>
    <n v="50149"/>
    <n v="100298"/>
    <n v="46.5"/>
    <n v="52126.5"/>
    <n v="126042.01680672269"/>
    <n v="126042.01680672269"/>
    <s v="Shenzhen"/>
    <x v="0"/>
    <n v="30"/>
    <m/>
    <n v="1"/>
    <n v="1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0.33333333333333331"/>
    <n v="2"/>
    <n v="0.33333333333333331"/>
    <n v="0"/>
    <n v="0"/>
    <n v="0"/>
    <n v="16716.333333333332"/>
    <n v="96254.999999999985"/>
    <n v="16716.333333333332"/>
    <n v="0"/>
    <n v="2"/>
    <n v="100298"/>
    <n v="35305.887060706635"/>
    <n v="1"/>
    <n v="2"/>
    <n v="0"/>
    <n v="3.2704745154673386E-2"/>
    <m/>
    <n v="0"/>
    <n v="0"/>
    <n v="96254.999999999985"/>
    <n v="0"/>
    <n v="0"/>
    <n v="2"/>
    <n v="100298"/>
    <n v="0"/>
    <n v="0"/>
    <n v="2"/>
    <n v="0"/>
    <n v="0"/>
    <n v="0"/>
    <n v="0"/>
    <n v="100298"/>
    <n v="0"/>
    <n v="0"/>
    <n v="2"/>
    <n v="100298"/>
    <n v="0"/>
    <n v="0"/>
    <n v="2"/>
    <n v="0"/>
    <n v="0"/>
    <n v="0"/>
    <n v="96254.999999999985"/>
    <n v="0"/>
    <x v="0"/>
    <x v="0"/>
    <n v="2"/>
    <n v="100298"/>
    <n v="0"/>
    <n v="0"/>
    <n v="2"/>
    <n v="0"/>
    <m/>
    <n v="0"/>
    <n v="0"/>
    <n v="100298"/>
    <n v="0"/>
    <x v="0"/>
    <n v="0"/>
    <n v="2"/>
    <n v="100298"/>
    <n v="0"/>
    <n v="0"/>
    <n v="2"/>
    <n v="0"/>
    <m/>
    <n v="0"/>
    <n v="0"/>
    <n v="100298"/>
    <n v="0"/>
    <n v="0"/>
    <n v="0"/>
    <n v="2"/>
    <n v="100298"/>
    <n v="0"/>
    <n v="0"/>
    <n v="2"/>
    <n v="0"/>
    <n v="0"/>
    <n v="0"/>
    <n v="0"/>
    <n v="100298"/>
    <n v="0"/>
    <n v="0"/>
    <n v="0"/>
    <n v="2"/>
    <n v="100298"/>
    <n v="0"/>
    <n v="0"/>
    <n v="2"/>
    <n v="0"/>
    <n v="0"/>
    <n v="0"/>
    <n v="0"/>
    <n v="100298"/>
    <n v="0"/>
    <n v="0"/>
    <n v="0"/>
    <n v="2"/>
    <n v="100298"/>
    <n v="0"/>
    <n v="0"/>
    <n v="2"/>
    <n v="0"/>
    <n v="0"/>
    <n v="0"/>
    <n v="0"/>
    <n v="96254.999999999985"/>
    <n v="0"/>
    <n v="0"/>
    <n v="0"/>
    <n v="2"/>
    <n v="100298"/>
    <n v="0"/>
    <n v="0"/>
    <n v="2"/>
    <n v="0"/>
    <n v="0"/>
    <n v="0"/>
    <n v="0"/>
    <m/>
    <n v="96254.999999999985"/>
    <n v="0"/>
    <n v="0"/>
    <n v="0"/>
    <n v="2"/>
    <n v="96254.999999999985"/>
    <n v="0"/>
    <n v="0"/>
    <n v="2"/>
    <n v="0"/>
    <m/>
    <n v="0"/>
    <n v="0"/>
    <n v="96254.999999999985"/>
    <n v="0"/>
    <n v="0"/>
    <n v="0"/>
    <n v="2"/>
    <n v="96254.999999999985"/>
    <n v="0"/>
    <n v="0"/>
    <n v="2"/>
    <n v="0"/>
    <n v="0"/>
    <n v="0"/>
    <n v="96254.999999999985"/>
    <n v="0"/>
    <n v="0"/>
    <n v="0"/>
    <n v="2"/>
    <n v="96254.999999999985"/>
    <n v="0"/>
    <n v="0"/>
    <n v="2"/>
    <n v="0"/>
    <n v="0"/>
    <m/>
    <n v="96254.999999999985"/>
    <n v="0"/>
    <n v="0"/>
    <n v="2"/>
    <n v="96254.999999999985"/>
    <n v="0"/>
  </r>
  <r>
    <s v="Innovate-K-Hogar"/>
    <x v="2"/>
    <x v="6"/>
    <x v="12"/>
    <n v="1571055493973"/>
    <x v="49"/>
    <x v="47"/>
    <x v="0"/>
    <x v="7"/>
    <n v="1"/>
    <x v="31"/>
    <n v="2"/>
    <m/>
    <n v="0"/>
    <n v="19691"/>
    <n v="39382"/>
    <n v="21"/>
    <n v="22942.5"/>
    <n v="42008.403361344543"/>
    <n v="42008.403361344543"/>
    <s v="Shenzhen"/>
    <x v="0"/>
    <n v="30"/>
    <m/>
    <n v="100"/>
    <n v="3"/>
    <n v="0.62030262334296238"/>
    <n v="9"/>
    <n v="0.52972802990928503"/>
    <n v="8"/>
    <n v="0.5737185355012252"/>
    <n v="2"/>
    <n v="0.53398483360611027"/>
    <n v="2"/>
    <n v="0.53398483360611027"/>
    <n v="41"/>
    <n v="0.60988855100301242"/>
    <n v="17"/>
    <n v="0.61156577810938717"/>
    <n v="21"/>
    <n v="0.51614952634757605"/>
    <n v="15"/>
    <n v="0.46855558965363664"/>
    <n v="18"/>
    <n v="0.38154549897927953"/>
    <n v="17"/>
    <n v="0.34561993069913316"/>
    <n v="10"/>
    <n v="0.45305278548442929"/>
    <n v="6"/>
    <n v="0.3433880858157089"/>
    <n v="13"/>
    <n v="0.31087626572988641"/>
    <n v="19"/>
    <n v="0.33579828375573972"/>
    <n v="12"/>
    <n v="0.4050004688221252"/>
    <n v="1.7142857142857142"/>
    <n v="2"/>
    <n v="0.5738790689216221"/>
    <n v="0.2857142857142857"/>
    <n v="1"/>
    <n v="0.53125085017003393"/>
    <n v="0.14285714285714285"/>
    <n v="0"/>
    <s v=""/>
    <n v="0"/>
    <n v="0"/>
    <s v=""/>
    <n v="0"/>
    <n v="0"/>
    <s v=""/>
    <n v="0"/>
    <m/>
    <m/>
    <m/>
    <m/>
    <m/>
    <m/>
    <m/>
    <m/>
    <m/>
    <n v="6.666666666666667"/>
    <n v="54"/>
    <n v="6.666666666666667"/>
    <n v="0"/>
    <m/>
    <n v="0"/>
    <n v="889376.83333333337"/>
    <n v="1173690"/>
    <n v="131273.33333333334"/>
    <n v="0"/>
    <n v="2"/>
    <n v="39382"/>
    <n v="235341.19530165012"/>
    <n v="7"/>
    <n v="48"/>
    <n v="19.5"/>
    <n v="0"/>
    <m/>
    <n v="0"/>
    <n v="994395.5"/>
    <n v="1043280"/>
    <n v="383974.5"/>
    <n v="0"/>
    <n v="2"/>
    <n v="39382"/>
    <n v="688372.99625732657"/>
    <n v="7"/>
    <n v="31"/>
    <n v="19"/>
    <n v="0"/>
    <n v="0"/>
    <n v="762566"/>
    <n v="610421"/>
    <n v="374129"/>
    <n v="0"/>
    <n v="2"/>
    <n v="39382"/>
    <n v="798159.66386554635"/>
    <n v="7"/>
    <n v="12"/>
    <n v="12"/>
    <n v="0"/>
    <n v="0"/>
    <n v="260820"/>
    <n v="236292"/>
    <x v="0"/>
    <x v="0"/>
    <n v="2"/>
    <n v="39382"/>
    <n v="504100.84033613454"/>
    <n v="7"/>
    <n v="4"/>
    <n v="7"/>
    <m/>
    <n v="0"/>
    <n v="0"/>
    <n v="78764"/>
    <n v="152145"/>
    <x v="0"/>
    <n v="0"/>
    <n v="2"/>
    <n v="39382"/>
    <n v="294058.82352941181"/>
    <n v="7"/>
    <n v="3"/>
    <n v="1"/>
    <m/>
    <n v="0"/>
    <n v="0"/>
    <n v="59073"/>
    <n v="21735"/>
    <n v="0"/>
    <n v="0"/>
    <n v="3"/>
    <n v="39382"/>
    <n v="42008.403361344543"/>
    <n v="0"/>
    <n v="2"/>
    <n v="0"/>
    <n v="0"/>
    <n v="0"/>
    <n v="0"/>
    <n v="39382"/>
    <n v="0"/>
    <n v="0"/>
    <n v="0"/>
    <n v="2"/>
    <n v="39382"/>
    <n v="0"/>
    <n v="0"/>
    <n v="2"/>
    <n v="0"/>
    <n v="0"/>
    <n v="0"/>
    <n v="0"/>
    <n v="39382"/>
    <n v="0"/>
    <n v="0"/>
    <n v="0"/>
    <n v="2"/>
    <n v="39382"/>
    <n v="0"/>
    <n v="0"/>
    <n v="2"/>
    <n v="0"/>
    <n v="0"/>
    <n v="0"/>
    <n v="0"/>
    <n v="43470"/>
    <n v="0"/>
    <n v="0"/>
    <n v="0"/>
    <n v="2"/>
    <n v="39382"/>
    <n v="0"/>
    <n v="7"/>
    <n v="2"/>
    <n v="2"/>
    <n v="0"/>
    <n v="0"/>
    <n v="0"/>
    <m/>
    <n v="43470"/>
    <n v="43470"/>
    <n v="0"/>
    <n v="0"/>
    <n v="2"/>
    <n v="43470"/>
    <n v="84016.806722689085"/>
    <n v="7"/>
    <n v="0"/>
    <n v="0"/>
    <m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  <n v="0"/>
    <n v="4.2"/>
    <n v="0"/>
    <n v="4.2"/>
    <n v="0"/>
    <m/>
    <n v="0"/>
    <n v="82702.2"/>
    <n v="0"/>
    <n v="0"/>
    <n v="0"/>
    <n v="176435.29411764708"/>
  </r>
  <r>
    <s v="Levo-Accesorios"/>
    <x v="3"/>
    <x v="7"/>
    <x v="13"/>
    <s v="LVCABTC"/>
    <x v="50"/>
    <x v="48"/>
    <x v="0"/>
    <x v="5"/>
    <n v="1"/>
    <x v="39"/>
    <n v="8"/>
    <m/>
    <n v="0"/>
    <n v="1348"/>
    <n v="10784"/>
    <n v="0.8"/>
    <n v="873.99999999999989"/>
    <n v="5873.9495798319331"/>
    <n v="4193.2773109243699"/>
    <s v="Shenzhen"/>
    <x v="0"/>
    <n v="30"/>
    <m/>
    <n v="200"/>
    <n v="0"/>
    <s v=""/>
    <n v="0"/>
    <s v=""/>
    <n v="0"/>
    <s v=""/>
    <n v="0"/>
    <s v=""/>
    <n v="0"/>
    <s v=""/>
    <n v="0"/>
    <s v=""/>
    <n v="0"/>
    <s v=""/>
    <n v="0"/>
    <s v=""/>
    <n v="7"/>
    <n v="0.6910112359550562"/>
    <n v="10"/>
    <n v="0.69100858369098717"/>
    <n v="16"/>
    <n v="0.6437548023986015"/>
    <n v="28"/>
    <n v="0.66628042848860591"/>
    <n v="18"/>
    <n v="0.60439015699830534"/>
    <n v="17"/>
    <n v="0.50374010589892215"/>
    <n v="27"/>
    <n v="0.44935558902236022"/>
    <n v="21"/>
    <n v="0.45871143393441322"/>
    <n v="0.84"/>
    <n v="39"/>
    <n v="0.6519058508280613"/>
    <n v="1.56"/>
    <n v="32"/>
    <n v="0.55460383929085366"/>
    <n v="1.0666666666666667"/>
    <n v="10"/>
    <n v="0.59636613626655277"/>
    <n v="0.4"/>
    <n v="19"/>
    <n v="0.56006443623369107"/>
    <n v="0.76"/>
    <n v="1"/>
    <n v="0.62941038957012396"/>
    <n v="6.6666666666666666E-2"/>
    <m/>
    <m/>
    <m/>
    <m/>
    <m/>
    <m/>
    <m/>
    <m/>
    <m/>
    <n v="15"/>
    <n v="186"/>
    <n v="10"/>
    <n v="0"/>
    <m/>
    <n v="0"/>
    <n v="84250"/>
    <n v="154007.99999999997"/>
    <n v="13480"/>
    <n v="0"/>
    <n v="8"/>
    <n v="10784"/>
    <n v="49360.920838923812"/>
    <n v="15"/>
    <n v="166"/>
    <n v="25.5"/>
    <n v="0"/>
    <m/>
    <n v="0"/>
    <n v="99078"/>
    <n v="137447.99999999997"/>
    <n v="34374"/>
    <n v="0"/>
    <n v="8"/>
    <n v="10784"/>
    <n v="125870.34813925572"/>
    <n v="25"/>
    <n v="156"/>
    <n v="27"/>
    <n v="0"/>
    <n v="0"/>
    <n v="85404"/>
    <n v="210288"/>
    <n v="36396"/>
    <n v="0"/>
    <n v="8"/>
    <n v="10784"/>
    <n v="158596.63865546219"/>
    <n v="25"/>
    <n v="123"/>
    <n v="21"/>
    <n v="0"/>
    <n v="0"/>
    <n v="101843.99999999999"/>
    <n v="28308"/>
    <x v="0"/>
    <x v="0"/>
    <n v="8"/>
    <n v="10784"/>
    <n v="123352.9411764706"/>
    <n v="25"/>
    <n v="47"/>
    <n v="25"/>
    <m/>
    <n v="0"/>
    <n v="0"/>
    <n v="63356"/>
    <n v="20699.999999999996"/>
    <x v="0"/>
    <n v="0"/>
    <n v="8"/>
    <n v="10784"/>
    <n v="146848.73949579833"/>
    <n v="30"/>
    <n v="40"/>
    <n v="32"/>
    <m/>
    <n v="0"/>
    <n v="0"/>
    <n v="53920"/>
    <n v="26495.999999999996"/>
    <n v="0"/>
    <n v="0"/>
    <n v="40"/>
    <n v="10784"/>
    <n v="187966.38655462186"/>
    <n v="25"/>
    <n v="18"/>
    <n v="10"/>
    <n v="100"/>
    <n v="100"/>
    <n v="0"/>
    <n v="24264"/>
    <n v="8279.9999999999982"/>
    <n v="80040"/>
    <n v="0"/>
    <n v="18"/>
    <n v="10784"/>
    <n v="58739.495798319331"/>
    <n v="25"/>
    <n v="27"/>
    <n v="19"/>
    <n v="0"/>
    <n v="0"/>
    <n v="0"/>
    <n v="36396"/>
    <n v="15731.999999999998"/>
    <n v="0"/>
    <n v="0"/>
    <n v="27"/>
    <n v="36396"/>
    <n v="111605.04201680672"/>
    <n v="15"/>
    <n v="9"/>
    <n v="1.5"/>
    <n v="0"/>
    <n v="0"/>
    <n v="0"/>
    <n v="7451.9999999999991"/>
    <n v="1241.9999999999998"/>
    <n v="0"/>
    <n v="0"/>
    <n v="8"/>
    <n v="10784"/>
    <n v="8810.9243697478996"/>
    <n v="25"/>
    <n v="7.5"/>
    <n v="7.5"/>
    <n v="0"/>
    <n v="0"/>
    <n v="0"/>
    <m/>
    <n v="6209.9999999999991"/>
    <n v="6209.9999999999991"/>
    <n v="0"/>
    <n v="0"/>
    <n v="7.5"/>
    <n v="6209.9999999999991"/>
    <n v="31449.579831932773"/>
    <n v="25"/>
    <n v="0"/>
    <n v="0"/>
    <m/>
    <n v="0"/>
    <n v="0"/>
    <n v="0"/>
    <n v="0"/>
    <n v="0"/>
    <n v="0"/>
    <n v="0"/>
    <n v="0"/>
    <n v="0"/>
    <n v="25"/>
    <n v="0"/>
    <n v="0"/>
    <n v="0"/>
    <n v="0"/>
    <n v="0"/>
    <n v="0"/>
    <n v="0"/>
    <n v="0"/>
    <n v="0"/>
    <n v="0"/>
    <n v="0"/>
    <n v="15"/>
    <n v="0"/>
    <n v="15"/>
    <n v="0"/>
    <m/>
    <n v="0"/>
    <n v="20220"/>
    <n v="0"/>
    <n v="0"/>
    <n v="0"/>
    <n v="88109.243697478989"/>
  </r>
  <r>
    <s v="Levo-Accesorios"/>
    <x v="3"/>
    <x v="7"/>
    <x v="13"/>
    <s v="LVCABTC"/>
    <x v="51"/>
    <x v="49"/>
    <x v="0"/>
    <x v="5"/>
    <n v="1"/>
    <x v="40"/>
    <n v="41"/>
    <m/>
    <n v="0"/>
    <n v="1815"/>
    <n v="74415"/>
    <n v="0.8"/>
    <n v="873.99999999999989"/>
    <n v="5873.9495798319331"/>
    <n v="4193.2773109243699"/>
    <s v="Shenzhen"/>
    <x v="0"/>
    <n v="30"/>
    <m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23"/>
    <n v="0.63941591338035164"/>
    <n v="10"/>
    <n v="0.61546892570624101"/>
    <n v="14"/>
    <n v="0.63359651877439327"/>
    <n v="8"/>
    <n v="0.66506788846981735"/>
    <n v="10"/>
    <n v="0.57140419879428572"/>
    <n v="19"/>
    <n v="0.54172518976412842"/>
    <n v="14"/>
    <n v="0.58148650595412121"/>
    <n v="0.93333333333333335"/>
    <n v="15"/>
    <n v="0.55853336967260581"/>
    <n v="1"/>
    <n v="24"/>
    <n v="0.63876600229379121"/>
    <n v="0.48"/>
    <n v="3"/>
    <n v="0.67743520800657253"/>
    <n v="0.2"/>
    <n v="23"/>
    <n v="0.52276524298258731"/>
    <n v="1.5333333333333334"/>
    <n v="17"/>
    <n v="0.42309273820493071"/>
    <n v="1.1333333333333333"/>
    <m/>
    <m/>
    <m/>
    <m/>
    <m/>
    <m/>
    <m/>
    <m/>
    <m/>
    <n v="15"/>
    <n v="200"/>
    <n v="3"/>
    <n v="0"/>
    <m/>
    <n v="0"/>
    <n v="67155"/>
    <n v="165599.99999999997"/>
    <n v="5445"/>
    <n v="0"/>
    <n v="41"/>
    <n v="74415"/>
    <n v="14808.276251677144"/>
    <n v="15"/>
    <n v="192"/>
    <n v="15"/>
    <n v="0"/>
    <m/>
    <n v="0"/>
    <n v="87120"/>
    <n v="158975.99999999997"/>
    <n v="27225"/>
    <n v="0"/>
    <n v="41"/>
    <n v="74415"/>
    <n v="74041.381258385722"/>
    <n v="20"/>
    <n v="186"/>
    <n v="19"/>
    <n v="0"/>
    <n v="0"/>
    <n v="72315"/>
    <n v="337590"/>
    <n v="34485"/>
    <n v="0"/>
    <n v="41"/>
    <n v="74415"/>
    <n v="111605.04201680672"/>
    <n v="15"/>
    <n v="158"/>
    <n v="14"/>
    <n v="0"/>
    <n v="0"/>
    <n v="130823.99999999999"/>
    <n v="25410"/>
    <x v="0"/>
    <x v="0"/>
    <n v="41"/>
    <n v="74415"/>
    <n v="82235.294117647063"/>
    <n v="15"/>
    <n v="56"/>
    <n v="15"/>
    <m/>
    <n v="0"/>
    <n v="0"/>
    <n v="101640"/>
    <n v="12419.999999999998"/>
    <x v="0"/>
    <n v="0"/>
    <n v="41"/>
    <n v="74415"/>
    <n v="88109.243697478989"/>
    <n v="50"/>
    <n v="65"/>
    <n v="24"/>
    <m/>
    <n v="0"/>
    <n v="0"/>
    <n v="117975"/>
    <n v="19871.999999999996"/>
    <n v="0"/>
    <n v="0"/>
    <n v="65"/>
    <n v="74415"/>
    <n v="140974.78991596639"/>
    <n v="15"/>
    <n v="44"/>
    <n v="3"/>
    <n v="0"/>
    <n v="0"/>
    <n v="0"/>
    <n v="79860"/>
    <n v="2483.9999999999995"/>
    <n v="0"/>
    <n v="0"/>
    <n v="44"/>
    <n v="74415"/>
    <n v="17621.848739495799"/>
    <n v="15"/>
    <n v="64"/>
    <n v="23"/>
    <n v="0"/>
    <n v="0"/>
    <n v="0"/>
    <n v="116160"/>
    <n v="19043.999999999996"/>
    <n v="0"/>
    <n v="0"/>
    <n v="64"/>
    <n v="116160"/>
    <n v="135100.84033613445"/>
    <n v="15"/>
    <n v="58"/>
    <n v="22.5"/>
    <n v="0"/>
    <n v="0"/>
    <n v="0"/>
    <n v="48023.999999999993"/>
    <n v="18629.999999999996"/>
    <n v="0"/>
    <n v="0"/>
    <n v="41"/>
    <n v="74415"/>
    <n v="132163.8655462185"/>
    <n v="35"/>
    <n v="35.5"/>
    <n v="35"/>
    <n v="0"/>
    <n v="0"/>
    <n v="0"/>
    <m/>
    <n v="29393.999999999996"/>
    <n v="28979.999999999996"/>
    <n v="0"/>
    <n v="0"/>
    <n v="35.5"/>
    <n v="29393.999999999996"/>
    <n v="146764.70588235295"/>
    <n v="50"/>
    <n v="0.5"/>
    <n v="0.5"/>
    <m/>
    <n v="0"/>
    <n v="0"/>
    <n v="413.99999999999994"/>
    <n v="413.99999999999994"/>
    <n v="0"/>
    <n v="0"/>
    <n v="0.5"/>
    <n v="413.99999999999994"/>
    <n v="2096.6386554621849"/>
    <n v="50"/>
    <n v="0"/>
    <n v="0"/>
    <n v="0"/>
    <n v="0"/>
    <n v="0"/>
    <n v="0"/>
    <n v="0"/>
    <n v="0"/>
    <n v="0"/>
    <n v="0"/>
    <n v="0"/>
    <n v="30"/>
    <n v="0"/>
    <n v="30"/>
    <n v="0"/>
    <m/>
    <n v="0"/>
    <n v="54450"/>
    <n v="0"/>
    <n v="0"/>
    <n v="0"/>
    <n v="176218.48739495798"/>
  </r>
  <r>
    <s v="Levo-Accesorios"/>
    <x v="3"/>
    <x v="7"/>
    <x v="13"/>
    <s v="LVCABTCLIGH-WH"/>
    <x v="52"/>
    <x v="50"/>
    <x v="0"/>
    <x v="5"/>
    <n v="1"/>
    <x v="41"/>
    <n v="11"/>
    <m/>
    <n v="0"/>
    <n v="840"/>
    <n v="9240"/>
    <n v="0.8"/>
    <n v="873.99999999999989"/>
    <n v="5033.6134453781515"/>
    <n v="4193.2773109243699"/>
    <s v="Shenzhen"/>
    <x v="0"/>
    <n v="30"/>
    <m/>
    <n v="200"/>
    <n v="0"/>
    <s v=""/>
    <n v="0"/>
    <s v=""/>
    <n v="0"/>
    <s v=""/>
    <n v="0"/>
    <s v=""/>
    <n v="0"/>
    <s v=""/>
    <n v="0"/>
    <s v=""/>
    <n v="0"/>
    <s v=""/>
    <n v="0"/>
    <s v=""/>
    <n v="3"/>
    <n v="0.88881535407015222"/>
    <n v="38"/>
    <n v="0.81306628516928947"/>
    <n v="26"/>
    <n v="0.83646973561298488"/>
    <n v="47"/>
    <n v="0.8415720505211387"/>
    <n v="18"/>
    <n v="0.80464231262928487"/>
    <n v="16"/>
    <n v="0.70505777855354612"/>
    <n v="19"/>
    <n v="0.79922621096526536"/>
    <n v="16"/>
    <n v="0.81168839502421231"/>
    <n v="0.64"/>
    <n v="31"/>
    <n v="0.82491998571534453"/>
    <n v="1.24"/>
    <n v="120"/>
    <n v="0.81629471300880319"/>
    <n v="4"/>
    <n v="1"/>
    <n v="0.79961322645290578"/>
    <n v="0.04"/>
    <n v="0"/>
    <s v=""/>
    <n v="0"/>
    <n v="-2"/>
    <n v="0.79961322645290578"/>
    <n v="-0.13333333333333333"/>
    <m/>
    <m/>
    <m/>
    <m/>
    <m/>
    <m/>
    <m/>
    <m/>
    <m/>
    <n v="15"/>
    <n v="239"/>
    <n v="10"/>
    <n v="0"/>
    <m/>
    <n v="0"/>
    <n v="44520"/>
    <n v="197891.99999999997"/>
    <n v="8400"/>
    <n v="0"/>
    <n v="11"/>
    <n v="9240"/>
    <n v="42299.272650236569"/>
    <n v="15"/>
    <n v="220"/>
    <n v="24"/>
    <n v="0"/>
    <m/>
    <n v="0"/>
    <n v="49560"/>
    <n v="182159.99999999997"/>
    <n v="20160"/>
    <n v="0"/>
    <n v="11"/>
    <n v="9240"/>
    <n v="101518.25436056778"/>
    <n v="25"/>
    <n v="202"/>
    <n v="19"/>
    <n v="0"/>
    <n v="0"/>
    <n v="50100"/>
    <n v="169680"/>
    <n v="15960"/>
    <n v="0"/>
    <n v="11"/>
    <n v="9240"/>
    <n v="95638.655462184877"/>
    <n v="25"/>
    <n v="180"/>
    <n v="16"/>
    <n v="0"/>
    <n v="0"/>
    <n v="149039.99999999997"/>
    <n v="13440"/>
    <x v="0"/>
    <x v="0"/>
    <n v="11"/>
    <n v="9240"/>
    <n v="80537.815126050424"/>
    <n v="25"/>
    <n v="42"/>
    <n v="25"/>
    <m/>
    <n v="0"/>
    <n v="0"/>
    <n v="35280"/>
    <n v="20699.999999999996"/>
    <x v="0"/>
    <n v="0"/>
    <n v="11"/>
    <n v="9240"/>
    <n v="125840.33613445378"/>
    <n v="30"/>
    <n v="131"/>
    <n v="120"/>
    <m/>
    <n v="0"/>
    <n v="0"/>
    <n v="110040"/>
    <n v="99359.999999999985"/>
    <n v="0"/>
    <n v="0"/>
    <n v="131"/>
    <n v="9240"/>
    <n v="604033.61344537814"/>
    <n v="25"/>
    <n v="12"/>
    <n v="1"/>
    <n v="0"/>
    <n v="0"/>
    <n v="0"/>
    <n v="10080"/>
    <n v="827.99999999999989"/>
    <n v="0"/>
    <n v="0"/>
    <n v="12"/>
    <n v="9240"/>
    <n v="5033.6134453781515"/>
    <n v="25"/>
    <n v="11"/>
    <n v="0"/>
    <n v="0"/>
    <n v="0"/>
    <n v="0"/>
    <n v="9240"/>
    <n v="0"/>
    <n v="0"/>
    <n v="0"/>
    <n v="11"/>
    <n v="9240"/>
    <n v="0"/>
    <n v="15"/>
    <n v="9"/>
    <n v="0"/>
    <n v="0"/>
    <n v="0"/>
    <n v="0"/>
    <n v="7451.9999999999991"/>
    <n v="0"/>
    <n v="0"/>
    <n v="0"/>
    <n v="11"/>
    <n v="9240"/>
    <n v="0"/>
    <n v="25"/>
    <n v="9"/>
    <n v="9"/>
    <n v="0"/>
    <n v="0"/>
    <n v="0"/>
    <n v="0"/>
    <n v="7451.9999999999991"/>
    <n v="7451.9999999999991"/>
    <n v="0"/>
    <n v="0"/>
    <n v="9"/>
    <n v="7451.9999999999991"/>
    <n v="37739.495798319331"/>
    <n v="25"/>
    <n v="0"/>
    <n v="0"/>
    <m/>
    <n v="0"/>
    <n v="0"/>
    <n v="0"/>
    <n v="0"/>
    <n v="0"/>
    <n v="0"/>
    <n v="0"/>
    <n v="0"/>
    <n v="0"/>
    <n v="25"/>
    <n v="0"/>
    <n v="0"/>
    <n v="0"/>
    <n v="0"/>
    <n v="0"/>
    <n v="0"/>
    <n v="0"/>
    <n v="0"/>
    <n v="0"/>
    <n v="0"/>
    <n v="0"/>
    <n v="15"/>
    <n v="0"/>
    <n v="15"/>
    <n v="0"/>
    <m/>
    <n v="0"/>
    <n v="12600"/>
    <n v="0"/>
    <n v="0"/>
    <n v="0"/>
    <n v="75504.201680672268"/>
  </r>
  <r>
    <m/>
    <x v="3"/>
    <x v="7"/>
    <x v="14"/>
    <n v="1650299083874"/>
    <x v="53"/>
    <x v="51"/>
    <x v="0"/>
    <x v="5"/>
    <n v="1"/>
    <x v="31"/>
    <n v="47"/>
    <m/>
    <n v="0"/>
    <n v="5651"/>
    <n v="265597"/>
    <n v="5.5"/>
    <n v="6008.7499999999991"/>
    <n v="12596.638655462186"/>
    <n v="10915.966386554623"/>
    <s v="Shenzhen"/>
    <x v="0"/>
    <n v="30"/>
    <m/>
    <n v="200"/>
    <n v="6"/>
    <n v="0.50690003187206456"/>
    <n v="12"/>
    <n v="0.52011631961187221"/>
    <n v="11"/>
    <n v="0.55594667691758526"/>
    <n v="13"/>
    <n v="0.45643057096075629"/>
    <n v="11"/>
    <n v="0.58803214033022988"/>
    <n v="42"/>
    <n v="0.60741601161568148"/>
    <n v="8"/>
    <n v="0.5434560257741462"/>
    <n v="7"/>
    <n v="0.48674521538557447"/>
    <n v="14"/>
    <n v="0.46205732304493358"/>
    <n v="10"/>
    <n v="0.4896140527498849"/>
    <n v="4"/>
    <n v="0.49212168318328042"/>
    <n v="6"/>
    <n v="0.51571116814669438"/>
    <n v="4"/>
    <n v="0.42809242088621802"/>
    <n v="15"/>
    <n v="0.25986998880249401"/>
    <n v="4"/>
    <n v="0.30226078594149747"/>
    <n v="8"/>
    <n v="0.46963689691871779"/>
    <n v="0.8"/>
    <n v="16"/>
    <n v="0.4895717600506922"/>
    <n v="1.6"/>
    <n v="11"/>
    <n v="0.43414349580198447"/>
    <n v="1.1000000000000001"/>
    <n v="0"/>
    <s v=""/>
    <n v="0"/>
    <n v="11"/>
    <n v="0.31100001018738088"/>
    <n v="1.1000000000000001"/>
    <n v="6"/>
    <n v="0.16027344023730877"/>
    <n v="0.6"/>
    <m/>
    <m/>
    <m/>
    <m/>
    <m/>
    <m/>
    <m/>
    <m/>
    <m/>
    <n v="5"/>
    <n v="95"/>
    <n v="10"/>
    <n v="0"/>
    <m/>
    <n v="0"/>
    <n v="206261.5"/>
    <n v="540787.5"/>
    <n v="56510"/>
    <n v="0"/>
    <n v="47"/>
    <n v="265597"/>
    <n v="105854.10634842174"/>
    <n v="10"/>
    <n v="84"/>
    <n v="22.5"/>
    <n v="0"/>
    <m/>
    <n v="0"/>
    <n v="194959.5"/>
    <n v="478170"/>
    <n v="127147.5"/>
    <n v="0"/>
    <n v="47"/>
    <n v="265597"/>
    <n v="238171.7392839489"/>
    <n v="20"/>
    <n v="59"/>
    <n v="4"/>
    <n v="0"/>
    <n v="0"/>
    <n v="124737"/>
    <n v="333409"/>
    <n v="22604"/>
    <n v="0"/>
    <n v="47"/>
    <n v="265597"/>
    <n v="50386.554621848743"/>
    <n v="10"/>
    <n v="66"/>
    <n v="8"/>
    <n v="0"/>
    <n v="0"/>
    <n v="375705"/>
    <n v="45208"/>
    <x v="0"/>
    <x v="0"/>
    <n v="47"/>
    <n v="265597"/>
    <n v="100773.10924369749"/>
    <n v="10"/>
    <n v="63"/>
    <n v="10"/>
    <m/>
    <n v="0"/>
    <n v="0"/>
    <n v="356013"/>
    <n v="56925"/>
    <x v="0"/>
    <n v="0"/>
    <n v="47"/>
    <n v="265597"/>
    <n v="125966.38655462186"/>
    <n v="10"/>
    <n v="58"/>
    <n v="11"/>
    <m/>
    <n v="0"/>
    <n v="0"/>
    <n v="327758"/>
    <n v="62617.5"/>
    <n v="0"/>
    <n v="0"/>
    <n v="58"/>
    <n v="265597"/>
    <n v="138563.02521008404"/>
    <n v="10"/>
    <n v="47"/>
    <n v="0"/>
    <n v="50"/>
    <n v="50"/>
    <n v="0"/>
    <n v="265597"/>
    <n v="0"/>
    <n v="275137.5"/>
    <n v="0"/>
    <n v="47"/>
    <n v="265597"/>
    <n v="0"/>
    <n v="10"/>
    <n v="58"/>
    <n v="11"/>
    <n v="0"/>
    <n v="0"/>
    <n v="0"/>
    <n v="327758"/>
    <n v="62617.5"/>
    <n v="0"/>
    <n v="0"/>
    <n v="58"/>
    <n v="327758"/>
    <n v="138563.02521008404"/>
    <n v="10"/>
    <n v="53"/>
    <n v="7.5"/>
    <n v="0"/>
    <n v="0"/>
    <n v="0"/>
    <n v="301702.5"/>
    <n v="42693.75"/>
    <n v="0"/>
    <n v="0"/>
    <n v="47"/>
    <n v="265597"/>
    <n v="94474.789915966394"/>
    <n v="5"/>
    <n v="45.5"/>
    <n v="5"/>
    <n v="0"/>
    <n v="0"/>
    <n v="0"/>
    <m/>
    <n v="259008.75"/>
    <n v="28462.5"/>
    <n v="0"/>
    <n v="0"/>
    <n v="45.5"/>
    <n v="259008.75"/>
    <n v="54579.831932773115"/>
    <n v="10"/>
    <n v="40.5"/>
    <n v="10"/>
    <m/>
    <n v="0"/>
    <n v="0"/>
    <n v="230546.25"/>
    <n v="56925"/>
    <n v="0"/>
    <n v="0"/>
    <n v="40.5"/>
    <n v="230546.25"/>
    <n v="109159.66386554623"/>
    <n v="10"/>
    <n v="30.5"/>
    <n v="10"/>
    <n v="0"/>
    <n v="0"/>
    <n v="173621.25"/>
    <n v="56925"/>
    <n v="0"/>
    <n v="0"/>
    <n v="30.5"/>
    <n v="173621.25"/>
    <n v="125966.38655462186"/>
    <n v="6"/>
    <n v="20.5"/>
    <n v="6"/>
    <n v="0"/>
    <m/>
    <n v="116696.25"/>
    <n v="33906"/>
    <n v="0"/>
    <n v="20.5"/>
    <n v="116696.25"/>
    <n v="75579.831932773115"/>
  </r>
  <r>
    <m/>
    <x v="3"/>
    <x v="7"/>
    <x v="14"/>
    <n v="1652825203439"/>
    <x v="54"/>
    <x v="52"/>
    <x v="0"/>
    <x v="0"/>
    <n v="1"/>
    <x v="31"/>
    <n v="91"/>
    <m/>
    <n v="0"/>
    <n v="5808"/>
    <n v="528528"/>
    <n v="6.05"/>
    <n v="6609.6249999999991"/>
    <n v="12596.638655462186"/>
    <n v="12596.638655462186"/>
    <s v="Shenzhen"/>
    <x v="0"/>
    <n v="30"/>
    <m/>
    <n v="50"/>
    <n v="32"/>
    <n v="0.48213850642988243"/>
    <n v="22"/>
    <n v="0.51657619174657243"/>
    <n v="105"/>
    <n v="0.61772139897451195"/>
    <n v="36"/>
    <n v="0.32695396259101883"/>
    <n v="3"/>
    <n v="0.4894639685356858"/>
    <n v="12"/>
    <n v="0.43839224190213943"/>
    <n v="23"/>
    <n v="0.48746556446627742"/>
    <n v="19"/>
    <n v="0.51014825105700545"/>
    <n v="7"/>
    <n v="0.5006593258930665"/>
    <n v="24"/>
    <n v="0.4525355021396007"/>
    <n v="13"/>
    <n v="0.49210191907116735"/>
    <n v="28"/>
    <n v="0.49210700445492528"/>
    <n v="21"/>
    <n v="0.204983449768322"/>
    <n v="20"/>
    <n v="0.14060203606881558"/>
    <n v="24"/>
    <n v="0.25889034162793806"/>
    <n v="21"/>
    <n v="0.25559321799600004"/>
    <n v="1.05"/>
    <n v="28"/>
    <n v="0.49090274477399137"/>
    <n v="1.4"/>
    <n v="17"/>
    <n v="0.36931905088538303"/>
    <n v="0.85"/>
    <n v="0"/>
    <s v=""/>
    <n v="0"/>
    <n v="41"/>
    <n v="0.23789388633122827"/>
    <n v="2.0499999999999998"/>
    <n v="0"/>
    <n v="-2.716335766164383"/>
    <n v="0"/>
    <m/>
    <m/>
    <m/>
    <m/>
    <m/>
    <m/>
    <m/>
    <m/>
    <m/>
    <n v="20"/>
    <n v="180"/>
    <n v="20"/>
    <n v="0"/>
    <m/>
    <n v="0"/>
    <n v="429792"/>
    <n v="1127114.9999999998"/>
    <n v="116160"/>
    <n v="0"/>
    <n v="91"/>
    <n v="528528"/>
    <n v="211708.21269684349"/>
    <n v="20"/>
    <n v="158"/>
    <n v="30"/>
    <n v="0"/>
    <m/>
    <n v="0"/>
    <n v="435600"/>
    <n v="989356.49999999988"/>
    <n v="174240"/>
    <n v="0"/>
    <n v="91"/>
    <n v="528528"/>
    <n v="317562.31904526521"/>
    <n v="30"/>
    <n v="119"/>
    <n v="24"/>
    <n v="0"/>
    <n v="0"/>
    <n v="386595"/>
    <n v="691152"/>
    <n v="139392"/>
    <n v="0"/>
    <n v="91"/>
    <n v="528528"/>
    <n v="302319.32773109246"/>
    <n v="20"/>
    <n v="116"/>
    <n v="21"/>
    <n v="0"/>
    <n v="0"/>
    <n v="726362.99999999988"/>
    <n v="121968"/>
    <x v="0"/>
    <x v="0"/>
    <n v="91"/>
    <n v="528528"/>
    <n v="264529.4117647059"/>
    <n v="20"/>
    <n v="119"/>
    <n v="20"/>
    <m/>
    <n v="0"/>
    <n v="0"/>
    <n v="691152"/>
    <n v="125234.99999999999"/>
    <x v="0"/>
    <n v="0"/>
    <n v="91"/>
    <n v="528528"/>
    <n v="251932.77310924372"/>
    <n v="20"/>
    <n v="108"/>
    <n v="17"/>
    <m/>
    <n v="0"/>
    <n v="0"/>
    <n v="627264"/>
    <n v="106449.74999999999"/>
    <n v="0"/>
    <n v="0"/>
    <n v="108"/>
    <n v="528528"/>
    <n v="214142.85714285716"/>
    <n v="20"/>
    <n v="91"/>
    <n v="0"/>
    <n v="100"/>
    <n v="100"/>
    <n v="0"/>
    <n v="528528"/>
    <n v="0"/>
    <n v="605302.5"/>
    <n v="0"/>
    <n v="91"/>
    <n v="528528"/>
    <n v="0"/>
    <n v="20"/>
    <n v="132"/>
    <n v="42"/>
    <n v="0"/>
    <n v="0"/>
    <n v="0"/>
    <n v="766656"/>
    <n v="262993.49999999994"/>
    <n v="0"/>
    <n v="0"/>
    <n v="132"/>
    <n v="766656"/>
    <n v="529058.82352941181"/>
    <n v="20"/>
    <n v="91"/>
    <n v="0"/>
    <n v="0"/>
    <n v="0"/>
    <n v="0"/>
    <n v="569819.24999999988"/>
    <n v="0"/>
    <n v="0"/>
    <n v="0"/>
    <n v="91"/>
    <n v="528528"/>
    <n v="0"/>
    <n v="15"/>
    <n v="91"/>
    <n v="15"/>
    <n v="0"/>
    <n v="0"/>
    <n v="0"/>
    <m/>
    <n v="569819.24999999988"/>
    <n v="93926.249999999985"/>
    <n v="0"/>
    <n v="0"/>
    <n v="91"/>
    <n v="569819.24999999988"/>
    <n v="188949.57983193279"/>
    <n v="20"/>
    <n v="76"/>
    <n v="20"/>
    <m/>
    <n v="0"/>
    <n v="0"/>
    <n v="475892.99999999994"/>
    <n v="125234.99999999999"/>
    <n v="0"/>
    <n v="0"/>
    <n v="76"/>
    <n v="475892.99999999994"/>
    <n v="251932.77310924372"/>
    <n v="20"/>
    <n v="56"/>
    <n v="20"/>
    <n v="0"/>
    <n v="0"/>
    <n v="350657.99999999994"/>
    <n v="125234.99999999999"/>
    <n v="0"/>
    <n v="0"/>
    <n v="56"/>
    <n v="350657.99999999994"/>
    <n v="251932.77310924372"/>
    <n v="12"/>
    <n v="36"/>
    <n v="12"/>
    <n v="0"/>
    <m/>
    <n v="225422.99999999997"/>
    <n v="69696"/>
    <n v="0"/>
    <n v="36"/>
    <n v="225422.99999999997"/>
    <n v="151159.66386554623"/>
  </r>
  <r>
    <s v="Levo-Accesorios"/>
    <x v="3"/>
    <x v="7"/>
    <x v="15"/>
    <s v="LVCAR25W"/>
    <x v="55"/>
    <x v="53"/>
    <x v="0"/>
    <x v="5"/>
    <n v="0.8"/>
    <x v="42"/>
    <n v="157"/>
    <m/>
    <n v="0"/>
    <n v="2126"/>
    <n v="333782"/>
    <n v="1.5"/>
    <n v="1638.7499999999998"/>
    <n v="5873.9495798319331"/>
    <n v="5873.9495798319331"/>
    <s v="Shenzhen"/>
    <x v="0"/>
    <n v="30"/>
    <m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8"/>
    <n v="0.65784179608916071"/>
    <n v="3"/>
    <n v="0.71652073425485574"/>
    <n v="8"/>
    <n v="0.77864542662293712"/>
    <n v="1"/>
    <n v="0.75887486685646488"/>
    <n v="5"/>
    <n v="0.54765957446808511"/>
    <n v="7"/>
    <n v="0.60484054328904213"/>
    <n v="8"/>
    <n v="0.7334336427881093"/>
    <n v="0.53333333333333333"/>
    <n v="17"/>
    <n v="0.48285977105478328"/>
    <n v="1.1333333333333333"/>
    <n v="17"/>
    <n v="0.66819795400891835"/>
    <n v="0.85"/>
    <n v="6"/>
    <n v="0.65498954497931727"/>
    <n v="0.4"/>
    <n v="5"/>
    <n v="0.53046256315671236"/>
    <n v="0.33333333333333331"/>
    <n v="4"/>
    <n v="0.28501724495335873"/>
    <n v="0.26666666666666666"/>
    <m/>
    <m/>
    <m/>
    <m/>
    <m/>
    <m/>
    <m/>
    <m/>
    <m/>
    <n v="15"/>
    <n v="220"/>
    <n v="3"/>
    <n v="0"/>
    <m/>
    <n v="0"/>
    <n v="37205"/>
    <n v="341549.99999999994"/>
    <n v="6378"/>
    <n v="0"/>
    <n v="157"/>
    <n v="333782"/>
    <n v="14808.276251677144"/>
    <n v="15"/>
    <n v="218"/>
    <n v="7.5"/>
    <n v="0"/>
    <m/>
    <n v="0"/>
    <n v="47835"/>
    <n v="338444.99999999994"/>
    <n v="15945"/>
    <n v="0"/>
    <n v="157"/>
    <n v="333782"/>
    <n v="37020.690629192861"/>
    <n v="15"/>
    <n v="217"/>
    <n v="7"/>
    <n v="0"/>
    <n v="0"/>
    <n v="50520"/>
    <n v="461342"/>
    <n v="14882"/>
    <n v="0"/>
    <n v="157"/>
    <n v="333782"/>
    <n v="41117.647058823532"/>
    <n v="15"/>
    <n v="211"/>
    <n v="8"/>
    <n v="0"/>
    <n v="0"/>
    <n v="327577.49999999994"/>
    <n v="17008"/>
    <x v="0"/>
    <x v="0"/>
    <n v="157"/>
    <n v="333782"/>
    <n v="46991.596638655465"/>
    <n v="15"/>
    <n v="174"/>
    <n v="12"/>
    <m/>
    <n v="0"/>
    <n v="0"/>
    <n v="369924"/>
    <n v="18629.999999999996"/>
    <x v="0"/>
    <n v="0"/>
    <n v="157"/>
    <n v="333782"/>
    <n v="70487.394957983197"/>
    <n v="20"/>
    <n v="174"/>
    <n v="17"/>
    <m/>
    <n v="0"/>
    <n v="0"/>
    <n v="369924"/>
    <n v="26392.499999999996"/>
    <n v="0"/>
    <n v="0"/>
    <n v="174"/>
    <n v="333782"/>
    <n v="99857.14285714287"/>
    <n v="15"/>
    <n v="163"/>
    <n v="6"/>
    <n v="0"/>
    <n v="0"/>
    <n v="0"/>
    <n v="346538"/>
    <n v="9314.9999999999982"/>
    <n v="0"/>
    <n v="0"/>
    <n v="163"/>
    <n v="333782"/>
    <n v="35243.697478991598"/>
    <n v="15"/>
    <n v="162"/>
    <n v="5"/>
    <n v="0"/>
    <n v="0"/>
    <n v="0"/>
    <n v="344412"/>
    <n v="7762.4999999999991"/>
    <n v="0"/>
    <n v="0"/>
    <n v="162"/>
    <n v="344412"/>
    <n v="29369.747899159665"/>
    <n v="15"/>
    <n v="161"/>
    <n v="4.5"/>
    <n v="0"/>
    <n v="0"/>
    <n v="0"/>
    <n v="249952.49999999997"/>
    <n v="6986.2499999999991"/>
    <n v="0"/>
    <n v="0"/>
    <n v="157"/>
    <n v="333782"/>
    <n v="26432.773109243699"/>
    <n v="20"/>
    <n v="156.5"/>
    <n v="16"/>
    <n v="0"/>
    <n v="0"/>
    <n v="0"/>
    <m/>
    <n v="242966.24999999997"/>
    <n v="24839.999999999996"/>
    <n v="0"/>
    <n v="0"/>
    <n v="156.5"/>
    <n v="242966.24999999997"/>
    <n v="93983.193277310929"/>
    <n v="20"/>
    <n v="140.5"/>
    <n v="16"/>
    <m/>
    <n v="0"/>
    <n v="0"/>
    <n v="218126.24999999997"/>
    <n v="24839.999999999996"/>
    <n v="0"/>
    <n v="0"/>
    <n v="140.5"/>
    <n v="218126.24999999997"/>
    <n v="93983.193277310929"/>
    <n v="20"/>
    <n v="124.5"/>
    <n v="16"/>
    <n v="0"/>
    <n v="0"/>
    <n v="193286.24999999997"/>
    <n v="24839.999999999996"/>
    <n v="0"/>
    <n v="0"/>
    <n v="124.5"/>
    <n v="193286.24999999997"/>
    <n v="93983.193277310929"/>
    <n v="12"/>
    <n v="108.5"/>
    <n v="9.6000000000000014"/>
    <n v="0"/>
    <m/>
    <n v="168446.24999999997"/>
    <n v="20409.600000000002"/>
    <n v="0"/>
    <n v="108.5"/>
    <n v="168446.24999999997"/>
    <n v="56389.915966386565"/>
  </r>
  <r>
    <s v="Levo-Accesorios"/>
    <x v="3"/>
    <x v="7"/>
    <x v="15"/>
    <s v="LVCAR25W"/>
    <x v="56"/>
    <x v="54"/>
    <x v="0"/>
    <x v="5"/>
    <n v="1"/>
    <x v="43"/>
    <n v="117"/>
    <m/>
    <n v="0"/>
    <n v="1880"/>
    <n v="219960"/>
    <n v="1.5"/>
    <n v="1638.7499999999998"/>
    <n v="5873.9495798319331"/>
    <n v="5873.9495798319331"/>
    <s v="Shenzhen"/>
    <x v="0"/>
    <n v="30"/>
    <m/>
    <n v="200"/>
    <n v="0"/>
    <s v=""/>
    <n v="0"/>
    <s v=""/>
    <n v="0"/>
    <s v=""/>
    <n v="0"/>
    <s v=""/>
    <n v="0"/>
    <s v=""/>
    <n v="0"/>
    <s v=""/>
    <n v="0"/>
    <s v=""/>
    <n v="0"/>
    <s v=""/>
    <n v="2"/>
    <s v=""/>
    <n v="44"/>
    <n v="0.72622496941600667"/>
    <n v="12"/>
    <n v="0.6742636074616003"/>
    <n v="31"/>
    <n v="0.60789376613795643"/>
    <n v="4"/>
    <n v="0.75887486685646477"/>
    <n v="12"/>
    <n v="0.64812490649680676"/>
    <n v="14"/>
    <n v="0.65280725116517713"/>
    <n v="10"/>
    <n v="0.60449664061918895"/>
    <n v="0.66666666666666663"/>
    <n v="13"/>
    <n v="0.66521363517641563"/>
    <n v="0.8666666666666667"/>
    <n v="68"/>
    <n v="0.65716247906197656"/>
    <n v="2.72"/>
    <n v="6"/>
    <n v="0.45479187903499829"/>
    <n v="0.3"/>
    <n v="12"/>
    <n v="0.59490466134927056"/>
    <n v="0.6"/>
    <n v="13"/>
    <n v="0.50760361825595834"/>
    <n v="0.65"/>
    <m/>
    <m/>
    <m/>
    <m/>
    <m/>
    <m/>
    <m/>
    <m/>
    <m/>
    <n v="15"/>
    <n v="168"/>
    <n v="3"/>
    <n v="0"/>
    <m/>
    <n v="0"/>
    <n v="65800"/>
    <n v="260819.99999999997"/>
    <n v="5640"/>
    <n v="0"/>
    <n v="117"/>
    <n v="219960"/>
    <n v="14808.276251677144"/>
    <n v="15"/>
    <n v="165"/>
    <n v="18"/>
    <n v="0"/>
    <m/>
    <n v="0"/>
    <n v="78960"/>
    <n v="256162.49999999997"/>
    <n v="33840"/>
    <n v="0"/>
    <n v="117"/>
    <n v="219960"/>
    <n v="88849.657510062854"/>
    <n v="20"/>
    <n v="153"/>
    <n v="14"/>
    <n v="0"/>
    <n v="0"/>
    <n v="68407.5"/>
    <n v="287640"/>
    <n v="26320"/>
    <n v="0"/>
    <n v="117"/>
    <n v="219960"/>
    <n v="82235.294117647063"/>
    <n v="15"/>
    <n v="139"/>
    <n v="10"/>
    <n v="0"/>
    <n v="0"/>
    <n v="215797.49999999997"/>
    <n v="18800"/>
    <x v="0"/>
    <x v="0"/>
    <n v="117"/>
    <n v="219960"/>
    <n v="58739.495798319331"/>
    <n v="15"/>
    <n v="130"/>
    <n v="15"/>
    <m/>
    <n v="0"/>
    <n v="0"/>
    <n v="244400"/>
    <n v="23287.499999999996"/>
    <x v="0"/>
    <n v="0"/>
    <n v="117"/>
    <n v="219960"/>
    <n v="88109.243697478989"/>
    <n v="25"/>
    <n v="185"/>
    <n v="68"/>
    <m/>
    <n v="0"/>
    <n v="0"/>
    <n v="347800"/>
    <n v="105569.99999999999"/>
    <n v="0"/>
    <n v="0"/>
    <n v="185"/>
    <n v="219960"/>
    <n v="399428.57142857148"/>
    <n v="20"/>
    <n v="123"/>
    <n v="6"/>
    <n v="100"/>
    <n v="100"/>
    <n v="0"/>
    <n v="231240"/>
    <n v="9314.9999999999982"/>
    <n v="150074.99999999997"/>
    <n v="0"/>
    <n v="123"/>
    <n v="219960"/>
    <n v="35243.697478991598"/>
    <n v="20"/>
    <n v="129"/>
    <n v="12"/>
    <n v="0"/>
    <n v="0"/>
    <n v="0"/>
    <n v="242520"/>
    <n v="18629.999999999996"/>
    <n v="0"/>
    <n v="0"/>
    <n v="129"/>
    <n v="242520"/>
    <n v="70487.394957983197"/>
    <n v="20"/>
    <n v="130"/>
    <n v="12"/>
    <n v="0"/>
    <n v="0"/>
    <n v="0"/>
    <n v="201824.99999999997"/>
    <n v="18629.999999999996"/>
    <n v="0"/>
    <n v="0"/>
    <n v="117"/>
    <n v="219960"/>
    <n v="70487.394957983197"/>
    <n v="30"/>
    <n v="118"/>
    <n v="30"/>
    <n v="0"/>
    <n v="0"/>
    <n v="0"/>
    <m/>
    <n v="183194.99999999997"/>
    <n v="46574.999999999993"/>
    <n v="0"/>
    <n v="0"/>
    <n v="118"/>
    <n v="183194.99999999997"/>
    <n v="176218.48739495798"/>
    <n v="50"/>
    <n v="88"/>
    <n v="50"/>
    <m/>
    <n v="0"/>
    <n v="0"/>
    <n v="136619.99999999997"/>
    <n v="77624.999999999985"/>
    <n v="0"/>
    <n v="0"/>
    <n v="88"/>
    <n v="136619.99999999997"/>
    <n v="293697.47899159667"/>
    <n v="50"/>
    <n v="38"/>
    <n v="38"/>
    <n v="0"/>
    <n v="0"/>
    <n v="58994.999999999993"/>
    <n v="58994.999999999993"/>
    <n v="0"/>
    <n v="0"/>
    <n v="38"/>
    <n v="58994.999999999993"/>
    <n v="223210.08403361344"/>
    <n v="30"/>
    <n v="0"/>
    <n v="30"/>
    <n v="0"/>
    <m/>
    <n v="0"/>
    <n v="56400"/>
    <n v="0"/>
    <n v="0"/>
    <n v="0"/>
    <n v="176218.48739495798"/>
  </r>
  <r>
    <s v="Levo-Accesorios"/>
    <x v="3"/>
    <x v="7"/>
    <x v="15"/>
    <s v="LVCAR45W"/>
    <x v="57"/>
    <x v="55"/>
    <x v="0"/>
    <x v="5"/>
    <n v="1"/>
    <x v="44"/>
    <n v="158"/>
    <m/>
    <n v="0"/>
    <n v="2814"/>
    <n v="444612"/>
    <n v="2.5"/>
    <n v="2731.25"/>
    <n v="7554.6218487394963"/>
    <n v="7554.6218487394963"/>
    <s v="Shenzhen"/>
    <x v="0"/>
    <n v="30"/>
    <m/>
    <n v="200"/>
    <n v="0"/>
    <s v=""/>
    <n v="0"/>
    <s v=""/>
    <n v="0"/>
    <s v=""/>
    <n v="0"/>
    <s v=""/>
    <n v="0"/>
    <s v=""/>
    <n v="0"/>
    <s v=""/>
    <n v="0"/>
    <s v=""/>
    <n v="2"/>
    <n v="0.71491388787101506"/>
    <n v="8"/>
    <n v="0.55631487640535593"/>
    <n v="28"/>
    <n v="0.64075082013967977"/>
    <n v="28"/>
    <n v="0.63003608717836035"/>
    <n v="10"/>
    <n v="0.71247870733119978"/>
    <n v="10"/>
    <n v="0.59502745262961798"/>
    <n v="17"/>
    <n v="0.40015729645188775"/>
    <n v="14"/>
    <n v="0.48619786577320356"/>
    <n v="19"/>
    <n v="0.5134535654832888"/>
    <n v="1.2666666666666666"/>
    <n v="14"/>
    <n v="0.58811679644048942"/>
    <n v="0.93333333333333335"/>
    <n v="32"/>
    <n v="0.43710952911913542"/>
    <n v="1.28"/>
    <n v="5"/>
    <n v="0.76219070533113831"/>
    <n v="0.33333333333333331"/>
    <n v="11"/>
    <n v="0.41714384257607345"/>
    <n v="0.73333333333333328"/>
    <n v="4"/>
    <n v="0.20588765310275733"/>
    <n v="0.4"/>
    <m/>
    <m/>
    <m/>
    <m/>
    <m/>
    <m/>
    <m/>
    <m/>
    <m/>
    <n v="15"/>
    <n v="161"/>
    <n v="12"/>
    <n v="0"/>
    <m/>
    <n v="0"/>
    <n v="144921"/>
    <n v="416587.5"/>
    <n v="33768"/>
    <n v="0"/>
    <n v="158"/>
    <n v="444612"/>
    <n v="76181.060659557959"/>
    <n v="15"/>
    <n v="151"/>
    <n v="25.5"/>
    <n v="0"/>
    <m/>
    <n v="0"/>
    <n v="164619"/>
    <n v="390712.5"/>
    <n v="71757"/>
    <n v="0"/>
    <n v="158"/>
    <n v="444612"/>
    <n v="161884.75390156065"/>
    <n v="25"/>
    <n v="137"/>
    <n v="14"/>
    <n v="0"/>
    <n v="0"/>
    <n v="131674.5"/>
    <n v="385518"/>
    <n v="39396"/>
    <n v="0"/>
    <n v="158"/>
    <n v="444612"/>
    <n v="105764.70588235295"/>
    <n v="15"/>
    <n v="117"/>
    <n v="19"/>
    <n v="0"/>
    <n v="0"/>
    <n v="302737.5"/>
    <n v="53466"/>
    <x v="0"/>
    <x v="0"/>
    <n v="158"/>
    <n v="444612"/>
    <n v="143537.81512605044"/>
    <n v="15"/>
    <n v="172"/>
    <n v="15"/>
    <m/>
    <n v="0"/>
    <n v="0"/>
    <n v="484008"/>
    <n v="38812.5"/>
    <x v="0"/>
    <n v="0"/>
    <n v="158"/>
    <n v="444612"/>
    <n v="113319.32773109245"/>
    <n v="25"/>
    <n v="190"/>
    <n v="32"/>
    <m/>
    <n v="0"/>
    <n v="0"/>
    <n v="534660"/>
    <n v="82800"/>
    <n v="0"/>
    <n v="0"/>
    <n v="190"/>
    <n v="444612"/>
    <n v="241747.89915966388"/>
    <n v="15"/>
    <n v="163"/>
    <n v="5"/>
    <n v="100"/>
    <n v="100"/>
    <n v="0"/>
    <n v="458682"/>
    <n v="12937.5"/>
    <n v="250125"/>
    <n v="0"/>
    <n v="163"/>
    <n v="444612"/>
    <n v="37773.10924369748"/>
    <n v="15"/>
    <n v="169"/>
    <n v="11"/>
    <n v="0"/>
    <n v="0"/>
    <n v="0"/>
    <n v="475566"/>
    <n v="28462.5"/>
    <n v="0"/>
    <n v="0"/>
    <n v="169"/>
    <n v="475566"/>
    <n v="83100.840336134454"/>
    <n v="10"/>
    <n v="162"/>
    <n v="4.5"/>
    <n v="0"/>
    <n v="0"/>
    <n v="0"/>
    <n v="419175"/>
    <n v="11643.75"/>
    <n v="0"/>
    <n v="0"/>
    <n v="158"/>
    <n v="444612"/>
    <n v="33995.798319327732"/>
    <n v="15"/>
    <n v="157.5"/>
    <n v="15"/>
    <n v="0"/>
    <n v="0"/>
    <n v="0"/>
    <m/>
    <n v="407531.25"/>
    <n v="38812.5"/>
    <n v="0"/>
    <n v="0"/>
    <n v="157.5"/>
    <n v="407531.25"/>
    <n v="113319.32773109245"/>
    <n v="18"/>
    <n v="142.5"/>
    <n v="18"/>
    <m/>
    <n v="0"/>
    <n v="0"/>
    <n v="368718.75"/>
    <n v="46575"/>
    <n v="0"/>
    <n v="0"/>
    <n v="142.5"/>
    <n v="368718.75"/>
    <n v="135983.19327731093"/>
    <n v="20"/>
    <n v="124.5"/>
    <n v="20"/>
    <n v="0"/>
    <n v="0"/>
    <n v="322143.75"/>
    <n v="51750"/>
    <n v="0"/>
    <n v="0"/>
    <n v="124.5"/>
    <n v="322143.75"/>
    <n v="151092.43697478992"/>
    <n v="10.799999999999999"/>
    <n v="104.5"/>
    <n v="10.799999999999999"/>
    <n v="0"/>
    <m/>
    <n v="270393.75"/>
    <n v="30391.199999999997"/>
    <n v="0"/>
    <n v="104.5"/>
    <n v="270393.75"/>
    <n v="81589.915966386558"/>
  </r>
  <r>
    <m/>
    <x v="3"/>
    <x v="7"/>
    <x v="15"/>
    <s v="LVCAR45W"/>
    <x v="58"/>
    <x v="56"/>
    <x v="0"/>
    <x v="5"/>
    <n v="1"/>
    <x v="45"/>
    <n v="11"/>
    <m/>
    <n v="0"/>
    <n v="3112"/>
    <n v="34232"/>
    <n v="2.5"/>
    <n v="2731.25"/>
    <n v="7554.6218487394963"/>
    <n v="7554.6218487394963"/>
    <s v="Shenzhen"/>
    <x v="0"/>
    <n v="30"/>
    <m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62930222897340093"/>
    <n v="6"/>
    <n v="0.62371101809312224"/>
    <n v="20"/>
    <n v="0.70831700838421818"/>
    <n v="7"/>
    <n v="0.69838296772499397"/>
    <n v="19"/>
    <n v="0.45886595196977426"/>
    <n v="22"/>
    <n v="0.69738283013456737"/>
    <n v="13"/>
    <n v="0.57003497693732996"/>
    <n v="0.65"/>
    <n v="23"/>
    <n v="0.57254180133236587"/>
    <n v="1.1499999999999999"/>
    <n v="28"/>
    <n v="0.51680257917693906"/>
    <n v="1.4"/>
    <n v="8"/>
    <n v="0.64561095313610761"/>
    <n v="0.4"/>
    <n v="17"/>
    <n v="0.52281844034878266"/>
    <n v="0.85"/>
    <n v="42"/>
    <n v="0.36910399955932433"/>
    <n v="2.1"/>
    <m/>
    <m/>
    <m/>
    <m/>
    <m/>
    <m/>
    <m/>
    <m/>
    <m/>
    <n v="15"/>
    <n v="218"/>
    <n v="2"/>
    <n v="0"/>
    <m/>
    <n v="0"/>
    <n v="163380"/>
    <n v="564075"/>
    <n v="6224"/>
    <n v="0"/>
    <n v="11"/>
    <n v="34232"/>
    <n v="12696.843443259659"/>
    <n v="15"/>
    <n v="210"/>
    <n v="28.5"/>
    <n v="0"/>
    <m/>
    <n v="0"/>
    <n v="197612"/>
    <n v="543375"/>
    <n v="88692"/>
    <n v="0"/>
    <n v="11"/>
    <n v="34232"/>
    <n v="180930.01906645013"/>
    <n v="25"/>
    <n v="198"/>
    <n v="22"/>
    <n v="0"/>
    <n v="0"/>
    <n v="160670"/>
    <n v="616176"/>
    <n v="68464"/>
    <n v="0"/>
    <n v="11"/>
    <n v="34232"/>
    <n v="166201.68067226891"/>
    <n v="20"/>
    <n v="169"/>
    <n v="13"/>
    <n v="0"/>
    <n v="0"/>
    <n v="437287.5"/>
    <n v="40456"/>
    <x v="0"/>
    <x v="0"/>
    <n v="11"/>
    <n v="34232"/>
    <n v="98210.084033613457"/>
    <n v="20"/>
    <n v="34"/>
    <n v="20"/>
    <m/>
    <n v="0"/>
    <n v="0"/>
    <n v="105808"/>
    <n v="51750"/>
    <x v="0"/>
    <n v="0"/>
    <n v="11"/>
    <n v="34232"/>
    <n v="151092.43697478992"/>
    <n v="20"/>
    <n v="39"/>
    <n v="28"/>
    <m/>
    <n v="0"/>
    <n v="0"/>
    <n v="121368"/>
    <n v="72450"/>
    <n v="0"/>
    <n v="0"/>
    <n v="39"/>
    <n v="34232"/>
    <n v="211529.4117647059"/>
    <n v="20"/>
    <n v="19"/>
    <n v="8"/>
    <n v="0"/>
    <n v="0"/>
    <n v="0"/>
    <n v="59128"/>
    <n v="20700"/>
    <n v="0"/>
    <n v="0"/>
    <n v="19"/>
    <n v="34232"/>
    <n v="60436.97478991597"/>
    <n v="20"/>
    <n v="28"/>
    <n v="17"/>
    <n v="0"/>
    <n v="0"/>
    <n v="0"/>
    <n v="87136"/>
    <n v="43987.5"/>
    <n v="0"/>
    <n v="0"/>
    <n v="28"/>
    <n v="87136"/>
    <n v="128428.57142857143"/>
    <n v="20"/>
    <n v="53"/>
    <n v="58.5"/>
    <n v="0"/>
    <n v="0"/>
    <n v="0"/>
    <n v="137137.5"/>
    <n v="151368.75"/>
    <n v="0"/>
    <n v="0"/>
    <n v="11"/>
    <n v="34232"/>
    <n v="441945.37815126055"/>
    <n v="40"/>
    <n v="0"/>
    <n v="0"/>
    <n v="0"/>
    <n v="0"/>
    <n v="0"/>
    <m/>
    <n v="0"/>
    <n v="0"/>
    <n v="0"/>
    <n v="0"/>
    <n v="0"/>
    <n v="0"/>
    <n v="0"/>
    <n v="53"/>
    <n v="0"/>
    <n v="0"/>
    <m/>
    <n v="0"/>
    <n v="0"/>
    <n v="0"/>
    <n v="0"/>
    <n v="0"/>
    <n v="0"/>
    <n v="0"/>
    <n v="0"/>
    <n v="0"/>
    <n v="53"/>
    <n v="0"/>
    <n v="0"/>
    <n v="0"/>
    <n v="0"/>
    <n v="0"/>
    <n v="0"/>
    <n v="0"/>
    <n v="0"/>
    <n v="0"/>
    <n v="0"/>
    <n v="0"/>
    <n v="31.799999999999997"/>
    <n v="0"/>
    <n v="31.799999999999997"/>
    <n v="0"/>
    <m/>
    <n v="0"/>
    <n v="98961.599999999991"/>
    <n v="0"/>
    <n v="0"/>
    <n v="0"/>
    <n v="240236.97478991596"/>
  </r>
  <r>
    <m/>
    <x v="3"/>
    <x v="7"/>
    <x v="16"/>
    <s v="LVHUBMP-5"/>
    <x v="59"/>
    <x v="57"/>
    <x v="0"/>
    <x v="5"/>
    <n v="1"/>
    <x v="46"/>
    <n v="95"/>
    <m/>
    <n v="0"/>
    <n v="3151"/>
    <n v="299345"/>
    <n v="3"/>
    <n v="3277.4999999999995"/>
    <n v="10915.966386554623"/>
    <n v="10915.966386554623"/>
    <s v="Shenzhen"/>
    <x v="0"/>
    <n v="30"/>
    <m/>
    <n v="200"/>
    <n v="0"/>
    <s v=""/>
    <n v="0"/>
    <s v=""/>
    <n v="0"/>
    <s v=""/>
    <n v="0"/>
    <s v=""/>
    <n v="0"/>
    <s v=""/>
    <n v="0"/>
    <s v=""/>
    <n v="0"/>
    <s v=""/>
    <n v="40"/>
    <n v="0.67795994263401915"/>
    <n v="2"/>
    <n v="0.59004442745903596"/>
    <n v="15"/>
    <n v="0.61016131094977266"/>
    <n v="24"/>
    <n v="0.50608776713475923"/>
    <n v="72"/>
    <n v="0.47640986898402443"/>
    <n v="5"/>
    <n v="0.36438972198237074"/>
    <n v="4"/>
    <n v="0.43990011282118868"/>
    <n v="3"/>
    <n v="0.44447436680505731"/>
    <n v="1"/>
    <n v="0.62429295042953536"/>
    <n v="0.1"/>
    <n v="5"/>
    <n v="0.63870509366179107"/>
    <n v="0.5"/>
    <n v="3"/>
    <n v="0.61244571521053048"/>
    <n v="0.1"/>
    <n v="4"/>
    <n v="0.66183182914842276"/>
    <n v="0.2"/>
    <n v="5"/>
    <n v="0.43357093464534147"/>
    <n v="0.5"/>
    <n v="13"/>
    <n v="0.48113902054798457"/>
    <n v="1.3"/>
    <m/>
    <m/>
    <m/>
    <m/>
    <m/>
    <m/>
    <m/>
    <m/>
    <m/>
    <n v="15"/>
    <n v="46"/>
    <n v="5"/>
    <n v="0"/>
    <m/>
    <n v="0"/>
    <n v="44114"/>
    <n v="142829.99999999997"/>
    <n v="15755"/>
    <n v="0"/>
    <n v="95"/>
    <n v="299345"/>
    <n v="45865.40498552363"/>
    <n v="20"/>
    <n v="38"/>
    <n v="6"/>
    <n v="0"/>
    <m/>
    <n v="0"/>
    <n v="31510"/>
    <n v="117989.99999999999"/>
    <n v="18906"/>
    <n v="0"/>
    <n v="95"/>
    <n v="299345"/>
    <n v="55038.48598262835"/>
    <n v="10"/>
    <n v="34"/>
    <n v="3"/>
    <n v="0"/>
    <n v="0"/>
    <n v="43654"/>
    <n v="107134"/>
    <n v="9453"/>
    <n v="0"/>
    <n v="95"/>
    <n v="299345"/>
    <n v="32747.899159663866"/>
    <n v="10"/>
    <n v="34"/>
    <n v="1"/>
    <n v="0"/>
    <n v="0"/>
    <n v="105569.99999999999"/>
    <n v="3151"/>
    <x v="0"/>
    <x v="0"/>
    <n v="95"/>
    <n v="299345"/>
    <n v="10915.966386554623"/>
    <n v="10"/>
    <n v="100"/>
    <n v="10"/>
    <m/>
    <n v="0"/>
    <n v="0"/>
    <n v="315100"/>
    <n v="31049.999999999996"/>
    <x v="0"/>
    <n v="0"/>
    <n v="95"/>
    <n v="299345"/>
    <n v="109159.66386554623"/>
    <n v="30"/>
    <n v="98"/>
    <n v="3"/>
    <m/>
    <n v="0"/>
    <n v="0"/>
    <n v="308798"/>
    <n v="9314.9999999999982"/>
    <n v="0"/>
    <n v="0"/>
    <n v="98"/>
    <n v="299345"/>
    <n v="32747.899159663866"/>
    <n v="20"/>
    <n v="99"/>
    <n v="4"/>
    <n v="50"/>
    <n v="50"/>
    <n v="0"/>
    <n v="311949"/>
    <n v="12419.999999999998"/>
    <n v="150074.99999999997"/>
    <n v="0"/>
    <n v="99"/>
    <n v="299345"/>
    <n v="43663.865546218491"/>
    <n v="10"/>
    <n v="100"/>
    <n v="5"/>
    <n v="40"/>
    <n v="40"/>
    <n v="0"/>
    <n v="315100"/>
    <n v="15524.999999999998"/>
    <n v="124199.99999999999"/>
    <n v="0"/>
    <n v="100"/>
    <n v="315100"/>
    <n v="54579.831932773115"/>
    <n v="10"/>
    <n v="108"/>
    <n v="13.5"/>
    <n v="0"/>
    <n v="0"/>
    <n v="0"/>
    <n v="335339.99999999994"/>
    <n v="41917.499999999993"/>
    <n v="0"/>
    <n v="0"/>
    <n v="95"/>
    <n v="299345"/>
    <n v="147365.5462184874"/>
    <n v="30"/>
    <n v="94.5"/>
    <n v="30"/>
    <n v="0"/>
    <n v="0"/>
    <n v="0"/>
    <m/>
    <n v="293422.49999999994"/>
    <n v="93149.999999999985"/>
    <n v="0"/>
    <n v="0"/>
    <n v="94.5"/>
    <n v="293422.49999999994"/>
    <n v="327478.99159663869"/>
    <n v="20"/>
    <n v="64.5"/>
    <n v="20"/>
    <m/>
    <n v="0"/>
    <n v="0"/>
    <n v="200272.49999999997"/>
    <n v="62099.999999999993"/>
    <n v="0"/>
    <n v="0"/>
    <n v="64.5"/>
    <n v="200272.49999999997"/>
    <n v="218319.32773109246"/>
    <n v="10"/>
    <n v="44.5"/>
    <n v="10"/>
    <n v="0"/>
    <n v="0"/>
    <n v="138172.49999999997"/>
    <n v="31049.999999999996"/>
    <n v="0"/>
    <n v="0"/>
    <n v="44.5"/>
    <n v="138172.49999999997"/>
    <n v="109159.66386554623"/>
    <n v="12"/>
    <n v="34.5"/>
    <n v="12"/>
    <n v="0"/>
    <m/>
    <n v="107122.49999999999"/>
    <n v="37812"/>
    <n v="0"/>
    <n v="34.5"/>
    <n v="107122.49999999999"/>
    <n v="130991.59663865546"/>
  </r>
  <r>
    <m/>
    <x v="3"/>
    <x v="7"/>
    <x v="16"/>
    <s v="LVHUBMP-6"/>
    <x v="60"/>
    <x v="58"/>
    <x v="0"/>
    <x v="0"/>
    <n v="1"/>
    <x v="47"/>
    <n v="63"/>
    <m/>
    <n v="0"/>
    <n v="3032"/>
    <n v="191016"/>
    <n v="3"/>
    <n v="3277.4999999999995"/>
    <n v="10075.63025210084"/>
    <n v="10915.966386554623"/>
    <s v="Shenzhen"/>
    <x v="0"/>
    <n v="30"/>
    <m/>
    <n v="200"/>
    <n v="0"/>
    <s v=""/>
    <n v="0"/>
    <s v=""/>
    <n v="0"/>
    <s v=""/>
    <n v="0"/>
    <s v=""/>
    <n v="0"/>
    <s v=""/>
    <n v="0"/>
    <s v=""/>
    <n v="0"/>
    <s v=""/>
    <n v="8"/>
    <n v="0.62036761322108225"/>
    <n v="2"/>
    <n v="0.62035733622089873"/>
    <n v="19"/>
    <n v="0.60914246956395512"/>
    <n v="51"/>
    <n v="0.54103780920701972"/>
    <n v="52"/>
    <n v="0.59861546370916863"/>
    <n v="16"/>
    <n v="0.59699863810773923"/>
    <n v="116"/>
    <n v="0.48552035548320949"/>
    <n v="18"/>
    <n v="0.6081658992012986"/>
    <n v="7"/>
    <n v="0.50408606575363757"/>
    <n v="0.35"/>
    <n v="3"/>
    <n v="0.72455837224816544"/>
    <n v="0.15"/>
    <n v="4"/>
    <n v="0.53687822144941932"/>
    <n v="0.13333333333333333"/>
    <n v="13"/>
    <n v="0.6912462654716176"/>
    <n v="0.65"/>
    <n v="23"/>
    <n v="0.51859189315469911"/>
    <n v="1.1499999999999999"/>
    <n v="14"/>
    <n v="0.46783540265360751"/>
    <n v="0.93333333333333335"/>
    <m/>
    <m/>
    <m/>
    <m/>
    <m/>
    <m/>
    <m/>
    <m/>
    <m/>
    <n v="20"/>
    <n v="154"/>
    <n v="5"/>
    <n v="0"/>
    <m/>
    <n v="0"/>
    <n v="597304"/>
    <n v="478169.99999999994"/>
    <n v="15160"/>
    <n v="0"/>
    <n v="63"/>
    <n v="191016"/>
    <n v="42334.580891180005"/>
    <n v="20"/>
    <n v="165"/>
    <n v="174"/>
    <n v="30"/>
    <n v="30"/>
    <n v="0"/>
    <n v="603368"/>
    <n v="512324.99999999994"/>
    <n v="527568"/>
    <n v="0"/>
    <n v="63"/>
    <n v="191016"/>
    <n v="1473243.4150130642"/>
    <n v="20"/>
    <n v="49"/>
    <n v="18"/>
    <n v="0"/>
    <n v="0"/>
    <n v="137900"/>
    <n v="148568"/>
    <n v="54576"/>
    <n v="0"/>
    <n v="63"/>
    <n v="191016"/>
    <n v="181361.34453781514"/>
    <n v="20"/>
    <n v="28"/>
    <n v="7"/>
    <n v="0"/>
    <n v="0"/>
    <n v="86939.999999999985"/>
    <n v="21224"/>
    <x v="0"/>
    <x v="0"/>
    <n v="63"/>
    <n v="191016"/>
    <n v="70529.411764705874"/>
    <n v="20"/>
    <n v="66"/>
    <n v="20"/>
    <m/>
    <n v="0"/>
    <n v="0"/>
    <n v="200112"/>
    <n v="62099.999999999993"/>
    <x v="0"/>
    <n v="0"/>
    <n v="63"/>
    <n v="191016"/>
    <n v="201512.6050420168"/>
    <n v="30"/>
    <n v="67"/>
    <n v="4"/>
    <m/>
    <n v="0"/>
    <n v="0"/>
    <n v="203144"/>
    <n v="12419.999999999998"/>
    <n v="0"/>
    <n v="0"/>
    <n v="67"/>
    <n v="191016"/>
    <n v="40302.521008403361"/>
    <n v="20"/>
    <n v="76"/>
    <n v="13"/>
    <n v="50"/>
    <n v="50"/>
    <n v="0"/>
    <n v="230432"/>
    <n v="40364.999999999993"/>
    <n v="150074.99999999997"/>
    <n v="0"/>
    <n v="76"/>
    <n v="191016"/>
    <n v="130983.19327731093"/>
    <n v="20"/>
    <n v="86"/>
    <n v="23"/>
    <n v="50"/>
    <n v="50"/>
    <n v="0"/>
    <n v="260752"/>
    <n v="71414.999999999985"/>
    <n v="155249.99999999997"/>
    <n v="0"/>
    <n v="86"/>
    <n v="260752"/>
    <n v="231739.49579831932"/>
    <n v="15"/>
    <n v="77"/>
    <n v="18"/>
    <n v="0"/>
    <n v="0"/>
    <n v="0"/>
    <n v="239084.99999999997"/>
    <n v="55889.999999999993"/>
    <n v="0"/>
    <n v="0"/>
    <n v="63"/>
    <n v="191016"/>
    <n v="181361.34453781514"/>
    <n v="40"/>
    <n v="59"/>
    <n v="40"/>
    <n v="0"/>
    <n v="0"/>
    <n v="0"/>
    <m/>
    <n v="183194.99999999997"/>
    <n v="124199.99999999999"/>
    <n v="0"/>
    <n v="0"/>
    <n v="59"/>
    <n v="183194.99999999997"/>
    <n v="436638.65546218492"/>
    <n v="30"/>
    <n v="19"/>
    <n v="19"/>
    <m/>
    <n v="0"/>
    <n v="0"/>
    <n v="58994.999999999993"/>
    <n v="58994.999999999993"/>
    <n v="0"/>
    <n v="0"/>
    <n v="19"/>
    <n v="58994.999999999993"/>
    <n v="207403.36134453784"/>
    <n v="20"/>
    <n v="0"/>
    <n v="20"/>
    <n v="100"/>
    <n v="100"/>
    <n v="0"/>
    <n v="62099.999999999993"/>
    <n v="310499.99999999994"/>
    <n v="310499.99999999994"/>
    <n v="100"/>
    <n v="310499.99999999994"/>
    <n v="201512.6050420168"/>
    <n v="18"/>
    <n v="80"/>
    <n v="18"/>
    <n v="0"/>
    <m/>
    <n v="248399.99999999997"/>
    <n v="54576"/>
    <n v="0"/>
    <n v="80"/>
    <n v="248399.99999999997"/>
    <n v="181361.34453781514"/>
  </r>
  <r>
    <s v="Levo-Mochilas y Fundas"/>
    <x v="3"/>
    <x v="8"/>
    <x v="17"/>
    <s v="LVFNOTHS13-BK"/>
    <x v="61"/>
    <x v="59"/>
    <x v="0"/>
    <x v="3"/>
    <n v="1"/>
    <x v="48"/>
    <n v="210"/>
    <m/>
    <n v="0"/>
    <n v="8321"/>
    <n v="1747410"/>
    <n v="8.75"/>
    <n v="9559.375"/>
    <n v="19319.327731092439"/>
    <n v="16798.319327731093"/>
    <s v="Shenzhen"/>
    <x v="0"/>
    <n v="30"/>
    <m/>
    <n v="200"/>
    <n v="0"/>
    <s v=""/>
    <n v="0"/>
    <s v=""/>
    <n v="7"/>
    <n v="0.59856501914306304"/>
    <n v="32"/>
    <n v="0.60120178876277319"/>
    <n v="9"/>
    <n v="0.5758128702420261"/>
    <n v="13"/>
    <n v="0.48693205998581418"/>
    <n v="20"/>
    <n v="0.60963361941112149"/>
    <n v="157"/>
    <n v="0.47537535381582885"/>
    <n v="15"/>
    <n v="0.5736285181080133"/>
    <n v="55"/>
    <n v="0.56064251964294898"/>
    <n v="22"/>
    <n v="0.5601349356274955"/>
    <n v="24"/>
    <n v="0.61670726593708347"/>
    <n v="23"/>
    <n v="0.40617557825477346"/>
    <n v="31"/>
    <n v="0.37269921864800759"/>
    <n v="68"/>
    <n v="0.33811296811405822"/>
    <n v="71"/>
    <n v="0.33304840119824769"/>
    <n v="1.1833333333333333"/>
    <n v="65"/>
    <n v="0.58257720748151365"/>
    <n v="1.0833333333333333"/>
    <n v="117"/>
    <n v="0.28440554673632557"/>
    <n v="1.4624999999999999"/>
    <n v="66"/>
    <n v="0.577658270361736"/>
    <n v="1.1000000000000001"/>
    <n v="75"/>
    <n v="0.27921785235850149"/>
    <n v="1.0714285714285714"/>
    <n v="26"/>
    <n v="0.31208948146191967"/>
    <n v="0.52"/>
    <m/>
    <m/>
    <m/>
    <m/>
    <m/>
    <m/>
    <m/>
    <m/>
    <m/>
    <n v="35"/>
    <n v="27"/>
    <n v="25"/>
    <n v="0"/>
    <n v="200"/>
    <n v="0"/>
    <n v="1160779.5"/>
    <n v="244518.75"/>
    <n v="208025"/>
    <n v="0"/>
    <n v="210"/>
    <n v="1747410"/>
    <n v="405868.22964479914"/>
    <n v="60"/>
    <n v="425"/>
    <n v="46.5"/>
    <n v="200"/>
    <n v="200"/>
    <n v="0"/>
    <n v="1543545.5"/>
    <n v="3848906.25"/>
    <n v="386926.5"/>
    <n v="0"/>
    <n v="210"/>
    <n v="1747410"/>
    <n v="754914.90713932645"/>
    <n v="85"/>
    <n v="365"/>
    <n v="68"/>
    <n v="0"/>
    <n v="0"/>
    <n v="1699994"/>
    <n v="3037165"/>
    <n v="565828"/>
    <n v="0"/>
    <n v="210"/>
    <n v="1747410"/>
    <n v="1313714.2857142859"/>
    <n v="60"/>
    <n v="430"/>
    <n v="71"/>
    <n v="100"/>
    <n v="0"/>
    <n v="3894187.5"/>
    <n v="590791"/>
    <x v="12"/>
    <x v="0"/>
    <n v="210"/>
    <n v="1747410"/>
    <n v="1371672.2689075631"/>
    <n v="60"/>
    <n v="275"/>
    <n v="60"/>
    <m/>
    <n v="0"/>
    <n v="0"/>
    <n v="2288275"/>
    <n v="543375"/>
    <x v="0"/>
    <n v="0"/>
    <n v="210"/>
    <n v="1747410"/>
    <n v="1159159.6638655462"/>
    <n v="80"/>
    <n v="327"/>
    <n v="117"/>
    <m/>
    <n v="0"/>
    <n v="0"/>
    <n v="2720967"/>
    <n v="1059581.25"/>
    <n v="0"/>
    <n v="0"/>
    <n v="327"/>
    <n v="1747410"/>
    <n v="2260361.3445378155"/>
    <n v="60"/>
    <n v="276"/>
    <n v="66"/>
    <n v="100"/>
    <n v="100"/>
    <n v="0"/>
    <n v="2296596"/>
    <n v="597712.5"/>
    <n v="875437.5"/>
    <n v="0"/>
    <n v="276"/>
    <n v="1747410"/>
    <n v="1275075.630252101"/>
    <n v="70"/>
    <n v="285"/>
    <n v="77"/>
    <n v="50"/>
    <n v="50"/>
    <n v="0"/>
    <n v="2371485"/>
    <n v="697331.25"/>
    <n v="452812.5"/>
    <n v="0"/>
    <n v="285"/>
    <n v="2371485"/>
    <n v="1487588.2352941178"/>
    <n v="50"/>
    <n v="236"/>
    <n v="28.5"/>
    <n v="0"/>
    <n v="0"/>
    <n v="0"/>
    <n v="2137275"/>
    <n v="258103.125"/>
    <n v="0"/>
    <n v="0"/>
    <n v="210"/>
    <n v="1747410"/>
    <n v="550600.84033613454"/>
    <n v="80"/>
    <n v="207.5"/>
    <n v="80"/>
    <n v="0"/>
    <n v="0"/>
    <n v="0"/>
    <m/>
    <n v="1879171.875"/>
    <n v="724500"/>
    <n v="0"/>
    <n v="0"/>
    <n v="207.5"/>
    <n v="1879171.875"/>
    <n v="1343865.5462184874"/>
    <n v="80"/>
    <n v="127.5"/>
    <n v="80"/>
    <m/>
    <n v="0"/>
    <n v="0"/>
    <n v="1154671.875"/>
    <n v="724500"/>
    <n v="0"/>
    <n v="0"/>
    <n v="127.5"/>
    <n v="1154671.875"/>
    <n v="1343865.5462184874"/>
    <n v="100"/>
    <n v="47.5"/>
    <n v="100"/>
    <n v="100"/>
    <n v="100"/>
    <n v="430171.875"/>
    <n v="905625"/>
    <n v="905625"/>
    <n v="905625"/>
    <n v="147.5"/>
    <n v="1335796.875"/>
    <n v="1931932.7731092439"/>
    <n v="48"/>
    <n v="47.5"/>
    <n v="48"/>
    <n v="0"/>
    <m/>
    <n v="430171.875"/>
    <n v="399408"/>
    <n v="0"/>
    <n v="47.5"/>
    <n v="430171.875"/>
    <n v="927327.73109243705"/>
  </r>
  <r>
    <s v="Levo-Mochilas y Fundas"/>
    <x v="3"/>
    <x v="8"/>
    <x v="17"/>
    <s v="LVFNOTHS15-BK"/>
    <x v="62"/>
    <x v="60"/>
    <x v="0"/>
    <x v="3"/>
    <n v="1"/>
    <x v="49"/>
    <n v="93"/>
    <m/>
    <n v="0"/>
    <n v="10004"/>
    <n v="930372"/>
    <n v="10.129999999999999"/>
    <n v="11067.024999999998"/>
    <n v="21000"/>
    <n v="19319.327731092439"/>
    <s v="Shenzhen"/>
    <x v="0"/>
    <n v="30"/>
    <m/>
    <n v="200"/>
    <n v="0"/>
    <s v=""/>
    <n v="0"/>
    <s v=""/>
    <n v="16"/>
    <n v="0.59288603094469305"/>
    <n v="68"/>
    <n v="0.56460203623716454"/>
    <n v="6"/>
    <n v="0.51525768315463549"/>
    <n v="27"/>
    <n v="0.57126523003488205"/>
    <n v="10"/>
    <n v="0.58133992955079017"/>
    <n v="37"/>
    <n v="0.54437506005668923"/>
    <n v="45"/>
    <n v="0.5499489972144892"/>
    <n v="95"/>
    <n v="0.52611811434207478"/>
    <n v="47"/>
    <n v="0.5401607995137645"/>
    <n v="56"/>
    <n v="0.57376131596589652"/>
    <n v="40"/>
    <n v="0.34200252564341943"/>
    <n v="47"/>
    <n v="0.33093112842761196"/>
    <n v="80"/>
    <n v="0.33151736917804836"/>
    <n v="125"/>
    <n v="0.32223338898635184"/>
    <n v="1.25"/>
    <n v="105"/>
    <n v="0.54116557957726008"/>
    <n v="1.05"/>
    <n v="39"/>
    <n v="0.14751785845759932"/>
    <n v="1.4444444444444444"/>
    <n v="118"/>
    <n v="0.53736901407294391"/>
    <n v="1.18"/>
    <n v="63"/>
    <n v="0.26571233176456854"/>
    <n v="0.63"/>
    <n v="40"/>
    <n v="0.33211913363903273"/>
    <n v="0.5"/>
    <m/>
    <m/>
    <m/>
    <m/>
    <m/>
    <m/>
    <m/>
    <m/>
    <m/>
    <n v="30"/>
    <n v="169"/>
    <n v="35"/>
    <n v="0"/>
    <m/>
    <n v="0"/>
    <n v="1855742"/>
    <n v="1771888.95"/>
    <n v="350140"/>
    <n v="0"/>
    <n v="93"/>
    <n v="930372"/>
    <n v="617647.0588235294"/>
    <n v="60"/>
    <n v="284"/>
    <n v="70.5"/>
    <n v="150"/>
    <n v="150"/>
    <n v="0"/>
    <n v="2756102"/>
    <n v="2977612.1999999997"/>
    <n v="705282"/>
    <n v="0"/>
    <n v="93"/>
    <n v="930372"/>
    <n v="1244117.6470588236"/>
    <n v="100"/>
    <n v="189"/>
    <n v="80"/>
    <n v="0"/>
    <n v="0"/>
    <n v="3099275"/>
    <n v="1890756"/>
    <n v="800320"/>
    <n v="0"/>
    <n v="93"/>
    <n v="930372"/>
    <n v="1680000"/>
    <n v="100"/>
    <n v="267"/>
    <n v="125"/>
    <n v="100"/>
    <n v="0"/>
    <n v="2799374.8499999996"/>
    <n v="1250500"/>
    <x v="13"/>
    <x v="0"/>
    <n v="93"/>
    <n v="930372"/>
    <n v="2625000"/>
    <n v="100"/>
    <n v="198"/>
    <n v="100"/>
    <m/>
    <n v="0"/>
    <n v="0"/>
    <n v="1980792"/>
    <n v="1048454.9999999999"/>
    <x v="0"/>
    <n v="0"/>
    <n v="93"/>
    <n v="930372"/>
    <n v="2100000"/>
    <n v="27"/>
    <n v="132"/>
    <n v="39"/>
    <m/>
    <n v="0"/>
    <n v="0"/>
    <n v="1320528"/>
    <n v="408897.44999999995"/>
    <n v="0"/>
    <n v="0"/>
    <n v="132"/>
    <n v="930372"/>
    <n v="819000"/>
    <n v="100"/>
    <n v="211"/>
    <n v="118"/>
    <n v="200"/>
    <n v="200"/>
    <n v="0"/>
    <n v="2110844"/>
    <n v="1237176.8999999999"/>
    <n v="2027012.9999999993"/>
    <n v="0"/>
    <n v="211"/>
    <n v="930372"/>
    <n v="2478000"/>
    <n v="100"/>
    <n v="156"/>
    <n v="65"/>
    <n v="140"/>
    <n v="140"/>
    <n v="0"/>
    <n v="1560624"/>
    <n v="681495.75"/>
    <n v="1467837"/>
    <n v="0"/>
    <n v="156"/>
    <n v="1560624"/>
    <n v="1365000"/>
    <n v="80"/>
    <n v="133"/>
    <n v="43.5"/>
    <n v="0"/>
    <n v="0"/>
    <n v="0"/>
    <n v="1394445.15"/>
    <n v="456077.92499999999"/>
    <n v="0"/>
    <n v="0"/>
    <n v="93"/>
    <n v="930372"/>
    <n v="913500"/>
    <n v="140"/>
    <n v="89.5"/>
    <n v="89.5"/>
    <n v="0"/>
    <n v="0"/>
    <n v="0"/>
    <n v="0"/>
    <n v="938367.22499999998"/>
    <n v="938367.22499999998"/>
    <n v="0"/>
    <n v="0"/>
    <n v="89.5"/>
    <n v="938367.22499999998"/>
    <n v="1729079.8319327733"/>
    <n v="140"/>
    <n v="0"/>
    <n v="0"/>
    <n v="0"/>
    <n v="0"/>
    <n v="0"/>
    <n v="0"/>
    <n v="0"/>
    <n v="0"/>
    <n v="0"/>
    <n v="0"/>
    <n v="0"/>
    <n v="0"/>
    <n v="200"/>
    <n v="0"/>
    <n v="200"/>
    <n v="300"/>
    <n v="300"/>
    <n v="0"/>
    <n v="2096909.9999999998"/>
    <n v="3145365"/>
    <n v="3145365"/>
    <n v="300"/>
    <n v="3145365"/>
    <n v="4200000"/>
    <n v="84"/>
    <n v="100"/>
    <n v="84"/>
    <n v="0"/>
    <m/>
    <n v="1048454.9999999999"/>
    <n v="840336"/>
    <n v="0"/>
    <n v="100"/>
    <n v="1048454.9999999999"/>
    <n v="1764000"/>
  </r>
  <r>
    <s v="Levo-Mochilas y Fundas"/>
    <x v="3"/>
    <x v="8"/>
    <x v="17"/>
    <s v="LVFUEX"/>
    <x v="63"/>
    <x v="61"/>
    <x v="0"/>
    <x v="2"/>
    <n v="1"/>
    <x v="50"/>
    <n v="0"/>
    <m/>
    <n v="0"/>
    <n v="11441"/>
    <n v="0"/>
    <n v="4.8"/>
    <n v="5244"/>
    <n v="12596.638655462186"/>
    <n v="8394.957983193277"/>
    <s v="Shenzhen"/>
    <x v="0"/>
    <n v="30"/>
    <m/>
    <n v="50"/>
    <n v="9"/>
    <n v="-0.1008019242333132"/>
    <n v="6"/>
    <n v="0.14863754743656529"/>
    <n v="7"/>
    <n v="0.16939193309521741"/>
    <n v="7"/>
    <n v="0.1891585049537228"/>
    <n v="3"/>
    <n v="0.1696601774407171"/>
    <n v="11"/>
    <n v="6.1821670465913449E-2"/>
    <n v="5"/>
    <n v="0.16938767666622262"/>
    <n v="3"/>
    <n v="0.14863754743656529"/>
    <n v="4"/>
    <n v="0.19865541064876119"/>
    <n v="3"/>
    <n v="0.19866507914273715"/>
    <n v="0"/>
    <s v=""/>
    <n v="3"/>
    <n v="6.9093621175960143E-2"/>
    <n v="2"/>
    <n v="9.1767883154616869E-2"/>
    <n v="2"/>
    <n v="-2.0473919290567473E-2"/>
    <n v="99"/>
    <n v="0.13692028787587124"/>
    <n v="4"/>
    <n v="-0.11074246995664713"/>
    <n v="1"/>
    <n v="5"/>
    <n v="-3.2153384279475984E-2"/>
    <n v="0.55555555555555558"/>
    <n v="8"/>
    <n v="-0.29786513506750395"/>
    <n v="0.88888888888888884"/>
    <n v="7"/>
    <n v="-3.6670546261448431E-2"/>
    <n v="0.46666666666666667"/>
    <n v="0"/>
    <s v=""/>
    <n v="0"/>
    <n v="0"/>
    <s v=""/>
    <n v="0"/>
    <m/>
    <m/>
    <m/>
    <m/>
    <m/>
    <m/>
    <m/>
    <m/>
    <m/>
    <n v="7.333333333333333"/>
    <n v="123"/>
    <n v="5"/>
    <n v="0"/>
    <m/>
    <n v="0"/>
    <n v="1224187"/>
    <n v="611064"/>
    <n v="57205"/>
    <n v="0"/>
    <n v="0"/>
    <n v="0"/>
    <n v="52927.053174210872"/>
    <n v="9"/>
    <n v="126"/>
    <n v="3"/>
    <n v="0"/>
    <m/>
    <n v="0"/>
    <n v="1212746"/>
    <n v="625968"/>
    <n v="34323"/>
    <n v="0"/>
    <n v="0"/>
    <n v="0"/>
    <n v="31756.231904526521"/>
    <n v="9"/>
    <n v="124"/>
    <n v="99"/>
    <n v="0"/>
    <n v="0"/>
    <n v="1223135"/>
    <n v="1418684"/>
    <n v="1132659"/>
    <n v="0"/>
    <n v="0"/>
    <n v="0"/>
    <n v="1247067.2268907563"/>
    <n v="4"/>
    <n v="25"/>
    <n v="4"/>
    <n v="0"/>
    <n v="0"/>
    <n v="124200"/>
    <n v="45764"/>
    <x v="0"/>
    <x v="0"/>
    <n v="0"/>
    <n v="0"/>
    <n v="50386.554621848743"/>
    <n v="9"/>
    <n v="5"/>
    <n v="9"/>
    <m/>
    <n v="0"/>
    <n v="0"/>
    <n v="57205"/>
    <n v="44712"/>
    <x v="0"/>
    <n v="0"/>
    <n v="0"/>
    <n v="0"/>
    <n v="113369.74789915967"/>
    <n v="9"/>
    <n v="8"/>
    <n v="8"/>
    <m/>
    <n v="0"/>
    <n v="0"/>
    <n v="91528"/>
    <n v="39744"/>
    <n v="0"/>
    <n v="0"/>
    <n v="8"/>
    <n v="0"/>
    <n v="100773.10924369749"/>
    <n v="15"/>
    <n v="7"/>
    <n v="7"/>
    <n v="0"/>
    <n v="0"/>
    <n v="0"/>
    <n v="80087"/>
    <n v="34776"/>
    <n v="0"/>
    <n v="0"/>
    <n v="7"/>
    <n v="0"/>
    <n v="88176.470588235301"/>
    <n v="10"/>
    <n v="0"/>
    <n v="0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0"/>
    <n v="9"/>
    <n v="0"/>
    <n v="0"/>
    <n v="0"/>
    <n v="0"/>
    <n v="0"/>
    <m/>
    <n v="0"/>
    <n v="0"/>
    <n v="0"/>
    <n v="0"/>
    <n v="0"/>
    <n v="0"/>
    <n v="0"/>
    <n v="9"/>
    <n v="0"/>
    <n v="0"/>
    <m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5.3999999999999995"/>
    <n v="0"/>
    <n v="5.3999999999999995"/>
    <n v="0"/>
    <m/>
    <n v="0"/>
    <n v="61781.399999999994"/>
    <n v="0"/>
    <n v="0"/>
    <n v="0"/>
    <n v="68021.848739495792"/>
  </r>
  <r>
    <m/>
    <x v="3"/>
    <x v="8"/>
    <x v="17"/>
    <s v="LVFUEX"/>
    <x v="64"/>
    <x v="61"/>
    <x v="0"/>
    <x v="2"/>
    <n v="1"/>
    <x v="31"/>
    <n v="4"/>
    <m/>
    <n v="0"/>
    <n v="7961"/>
    <n v="31844"/>
    <n v="4.8"/>
    <n v="5244"/>
    <n v="12596.638655462186"/>
    <n v="8394.957983193277"/>
    <s v="Shenzhen"/>
    <x v="0"/>
    <n v="30"/>
    <m/>
    <n v="50"/>
    <n v="4"/>
    <n v="0.35900030935742655"/>
    <n v="2"/>
    <s v=""/>
    <n v="1"/>
    <s v=""/>
    <n v="1"/>
    <s v=""/>
    <n v="3"/>
    <n v="0.40571961779635718"/>
    <n v="1"/>
    <s v=""/>
    <n v="2"/>
    <n v="0.47340435714758194"/>
    <n v="0"/>
    <s v=""/>
    <n v="0"/>
    <s v=""/>
    <n v="2"/>
    <n v="0.32298834934943449"/>
    <n v="1"/>
    <n v="0.36812604174934521"/>
    <n v="1"/>
    <n v="0.47340918110861224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0"/>
    <n v="4"/>
    <n v="4"/>
    <n v="0"/>
    <m/>
    <n v="0"/>
    <n v="31844"/>
    <n v="19872"/>
    <n v="31844"/>
    <n v="0"/>
    <n v="4"/>
    <n v="31844"/>
    <n v="42341.642539368695"/>
    <n v="0"/>
    <n v="4"/>
    <n v="0"/>
    <n v="0"/>
    <m/>
    <n v="0"/>
    <n v="0"/>
    <n v="19872"/>
    <n v="0"/>
    <n v="0"/>
    <n v="4"/>
    <n v="31844"/>
    <n v="0"/>
    <n v="0"/>
    <n v="4"/>
    <n v="0"/>
    <n v="0"/>
    <n v="0"/>
    <n v="0"/>
    <n v="31844"/>
    <n v="0"/>
    <n v="0"/>
    <n v="4"/>
    <n v="31844"/>
    <n v="0"/>
    <n v="0"/>
    <n v="2"/>
    <n v="0"/>
    <n v="0"/>
    <n v="0"/>
    <n v="9936"/>
    <n v="0"/>
    <x v="0"/>
    <x v="0"/>
    <n v="4"/>
    <n v="31844"/>
    <n v="0"/>
    <n v="0"/>
    <n v="4"/>
    <n v="0"/>
    <m/>
    <n v="0"/>
    <n v="0"/>
    <n v="31844"/>
    <n v="0"/>
    <x v="0"/>
    <n v="0"/>
    <n v="4"/>
    <n v="31844"/>
    <n v="0"/>
    <n v="0"/>
    <n v="4"/>
    <n v="0"/>
    <m/>
    <n v="0"/>
    <n v="0"/>
    <n v="31844"/>
    <n v="0"/>
    <n v="0"/>
    <n v="0"/>
    <n v="4"/>
    <n v="31844"/>
    <n v="0"/>
    <n v="4"/>
    <n v="4"/>
    <n v="0"/>
    <n v="0"/>
    <n v="0"/>
    <n v="0"/>
    <n v="31844"/>
    <n v="0"/>
    <n v="0"/>
    <n v="0"/>
    <n v="4"/>
    <n v="31844"/>
    <n v="0"/>
    <n v="0"/>
    <n v="4"/>
    <n v="0"/>
    <n v="0"/>
    <n v="0"/>
    <n v="0"/>
    <n v="31844"/>
    <n v="0"/>
    <n v="0"/>
    <n v="0"/>
    <n v="4"/>
    <n v="31844"/>
    <n v="0"/>
    <n v="0"/>
    <n v="4"/>
    <n v="0"/>
    <n v="0"/>
    <n v="0"/>
    <n v="0"/>
    <n v="19872"/>
    <n v="0"/>
    <n v="0"/>
    <n v="0"/>
    <n v="4"/>
    <n v="31844"/>
    <n v="0"/>
    <n v="0"/>
    <n v="4"/>
    <n v="0"/>
    <n v="0"/>
    <n v="0"/>
    <n v="0"/>
    <m/>
    <n v="19872"/>
    <n v="0"/>
    <n v="0"/>
    <n v="0"/>
    <n v="4"/>
    <n v="19872"/>
    <n v="0"/>
    <n v="0"/>
    <n v="4"/>
    <n v="0"/>
    <m/>
    <n v="0"/>
    <n v="0"/>
    <n v="19872"/>
    <n v="0"/>
    <n v="0"/>
    <n v="0"/>
    <n v="4"/>
    <n v="19872"/>
    <n v="0"/>
    <n v="0"/>
    <n v="4"/>
    <n v="0"/>
    <n v="0"/>
    <n v="0"/>
    <n v="19872"/>
    <n v="0"/>
    <n v="0"/>
    <n v="0"/>
    <n v="4"/>
    <n v="19872"/>
    <n v="0"/>
    <n v="0"/>
    <n v="4"/>
    <n v="0"/>
    <n v="0"/>
    <m/>
    <n v="19872"/>
    <n v="0"/>
    <n v="0"/>
    <n v="4"/>
    <n v="19872"/>
    <n v="0"/>
  </r>
  <r>
    <s v="Levo-Mochilas y Fundas"/>
    <x v="3"/>
    <x v="8"/>
    <x v="18"/>
    <n v="1659999392257"/>
    <x v="65"/>
    <x v="62"/>
    <x v="0"/>
    <x v="3"/>
    <n v="0.8"/>
    <x v="31"/>
    <n v="343"/>
    <m/>
    <n v="0"/>
    <n v="3876"/>
    <n v="1329468"/>
    <n v="3.4"/>
    <n v="3714.4999999999995"/>
    <n v="10915.966386554623"/>
    <n v="8394.957983193277"/>
    <s v="Shenzhen"/>
    <x v="0"/>
    <n v="30"/>
    <m/>
    <n v="500"/>
    <n v="161"/>
    <n v="0.53843832208044251"/>
    <n v="7"/>
    <n v="0.66293037099251884"/>
    <n v="51"/>
    <n v="0.53228517126325114"/>
    <n v="27"/>
    <n v="0.56695241115235073"/>
    <n v="86"/>
    <n v="0.54884712019612314"/>
    <n v="131"/>
    <n v="0.67732134849422376"/>
    <n v="103"/>
    <n v="0.42027439211732021"/>
    <n v="11"/>
    <n v="0.66206302069759626"/>
    <n v="18"/>
    <n v="0.63347145560195717"/>
    <n v="221"/>
    <n v="0.58328444757807596"/>
    <n v="30"/>
    <n v="0.58681951741516747"/>
    <n v="80"/>
    <n v="0.59343046712841074"/>
    <n v="14"/>
    <n v="0.49156046767359496"/>
    <n v="158"/>
    <n v="0.46691832861567684"/>
    <n v="102"/>
    <n v="0.54092669142034067"/>
    <n v="6"/>
    <n v="0.51045380776307525"/>
    <n v="0.12"/>
    <n v="6"/>
    <n v="0.60509791122715395"/>
    <n v="7.4999999999999997E-2"/>
    <n v="28"/>
    <n v="0.56684601016913971"/>
    <n v="0.28000000000000003"/>
    <n v="0"/>
    <s v=""/>
    <n v="0"/>
    <n v="16"/>
    <n v="0.40393294721309353"/>
    <n v="0.22857142857142856"/>
    <n v="12"/>
    <n v="0.44702222437567846"/>
    <n v="0.17142857142857143"/>
    <m/>
    <m/>
    <m/>
    <m/>
    <m/>
    <m/>
    <m/>
    <m/>
    <m/>
    <n v="50"/>
    <n v="411"/>
    <n v="30"/>
    <n v="0"/>
    <m/>
    <n v="0"/>
    <n v="1430244"/>
    <n v="1446308.9999999998"/>
    <n v="116280"/>
    <n v="0"/>
    <n v="343"/>
    <n v="1329468"/>
    <n v="275192.42991314176"/>
    <n v="50"/>
    <n v="403"/>
    <n v="237"/>
    <n v="0"/>
    <m/>
    <n v="0"/>
    <n v="1337220"/>
    <n v="1418156.9999999998"/>
    <n v="918612"/>
    <n v="0"/>
    <n v="343"/>
    <n v="1329468"/>
    <n v="2174020.1963138198"/>
    <n v="100"/>
    <n v="240"/>
    <n v="102"/>
    <n v="0"/>
    <n v="0"/>
    <n v="643824"/>
    <n v="930240"/>
    <n v="395352"/>
    <n v="0"/>
    <n v="343"/>
    <n v="1329468"/>
    <n v="1113428.5714285716"/>
    <n v="50"/>
    <n v="134"/>
    <n v="6"/>
    <n v="50"/>
    <n v="0"/>
    <n v="471545.99999999994"/>
    <n v="23256"/>
    <x v="14"/>
    <x v="0"/>
    <n v="343"/>
    <n v="1329468"/>
    <n v="65495.798319327732"/>
    <n v="80"/>
    <n v="349"/>
    <n v="64"/>
    <m/>
    <n v="0"/>
    <n v="0"/>
    <n v="1352724"/>
    <n v="225215.99999999997"/>
    <x v="0"/>
    <n v="0"/>
    <n v="343"/>
    <n v="1329468"/>
    <n v="698621.84873949585"/>
    <n v="100"/>
    <n v="371"/>
    <n v="28"/>
    <m/>
    <n v="50"/>
    <n v="0"/>
    <n v="1437996"/>
    <n v="98531.999999999985"/>
    <n v="0"/>
    <n v="0"/>
    <n v="371"/>
    <n v="1329468"/>
    <n v="305647.05882352946"/>
    <n v="80"/>
    <n v="343"/>
    <n v="0"/>
    <n v="0"/>
    <n v="150"/>
    <n v="0"/>
    <n v="1329468"/>
    <n v="0"/>
    <n v="0"/>
    <n v="0"/>
    <n v="343"/>
    <n v="1329468"/>
    <n v="0"/>
    <n v="70"/>
    <n v="359"/>
    <n v="16"/>
    <n v="110"/>
    <n v="110"/>
    <n v="0"/>
    <n v="1391484"/>
    <n v="56303.999999999993"/>
    <n v="387089.99999999994"/>
    <n v="0"/>
    <n v="359"/>
    <n v="1391484"/>
    <n v="174655.46218487396"/>
    <n v="70"/>
    <n v="355"/>
    <n v="13.5"/>
    <n v="0"/>
    <n v="0"/>
    <n v="0"/>
    <n v="1249244.9999999998"/>
    <n v="47506.499999999993"/>
    <n v="0"/>
    <n v="0"/>
    <n v="343"/>
    <n v="1329468"/>
    <n v="147365.5462184874"/>
    <n v="70"/>
    <n v="341.5"/>
    <n v="56"/>
    <n v="0"/>
    <n v="0"/>
    <n v="0"/>
    <m/>
    <n v="1201738.4999999998"/>
    <n v="197063.99999999997"/>
    <n v="0"/>
    <n v="0"/>
    <n v="341.5"/>
    <n v="1201738.4999999998"/>
    <n v="470117.6470588235"/>
    <n v="70"/>
    <n v="285.5"/>
    <n v="56"/>
    <m/>
    <n v="0"/>
    <n v="0"/>
    <n v="1004674.4999999999"/>
    <n v="197063.99999999997"/>
    <n v="0"/>
    <n v="0"/>
    <n v="285.5"/>
    <n v="1004674.4999999999"/>
    <n v="470117.6470588235"/>
    <n v="70"/>
    <n v="229.5"/>
    <n v="56"/>
    <n v="0"/>
    <n v="0"/>
    <n v="807610.49999999988"/>
    <n v="197063.99999999997"/>
    <n v="0"/>
    <n v="0"/>
    <n v="229.5"/>
    <n v="807610.49999999988"/>
    <n v="611294.11764705891"/>
    <n v="42"/>
    <n v="173.5"/>
    <n v="33.6"/>
    <n v="0"/>
    <m/>
    <n v="610546.49999999988"/>
    <n v="130233.60000000001"/>
    <n v="0"/>
    <n v="173.5"/>
    <n v="610546.49999999988"/>
    <n v="366776.47058823536"/>
  </r>
  <r>
    <m/>
    <x v="3"/>
    <x v="8"/>
    <x v="18"/>
    <n v="1659999410637"/>
    <x v="66"/>
    <x v="63"/>
    <x v="0"/>
    <x v="3"/>
    <n v="0.8"/>
    <x v="31"/>
    <n v="414"/>
    <m/>
    <n v="0"/>
    <n v="3702"/>
    <n v="1532628"/>
    <n v="3.4"/>
    <n v="3714.4999999999995"/>
    <n v="10915.966386554623"/>
    <n v="8394.957983193277"/>
    <s v="Shenzhen"/>
    <x v="0"/>
    <n v="30"/>
    <m/>
    <n v="500"/>
    <n v="220"/>
    <n v="0.57322651907095767"/>
    <n v="79"/>
    <n v="0.66214208219278725"/>
    <n v="174"/>
    <n v="0.56125446946415081"/>
    <n v="71"/>
    <n v="0.62469833592504498"/>
    <n v="144"/>
    <n v="0.58679437471186902"/>
    <n v="301"/>
    <n v="0.60541405580178764"/>
    <n v="125"/>
    <n v="0.54410245465006835"/>
    <n v="30"/>
    <n v="0.63914190831303486"/>
    <n v="176"/>
    <n v="0.57613248053784172"/>
    <n v="21"/>
    <n v="0.64170941371029921"/>
    <n v="59"/>
    <n v="0.58381355132824075"/>
    <n v="57"/>
    <n v="0.61949605587790035"/>
    <n v="40"/>
    <n v="0.55256551188319847"/>
    <n v="35"/>
    <n v="0.42844983353731303"/>
    <n v="84"/>
    <n v="0.49861269742970599"/>
    <n v="42"/>
    <n v="0.59951013256006147"/>
    <n v="0.52500000000000002"/>
    <n v="180"/>
    <n v="0.55159765041752851"/>
    <n v="1.5"/>
    <n v="322"/>
    <n v="0.46414564860025076"/>
    <n v="2.476923076923077"/>
    <n v="0"/>
    <s v=""/>
    <n v="0"/>
    <n v="53"/>
    <n v="0.41498727866201823"/>
    <n v="1.5142857142857142"/>
    <n v="-124"/>
    <n v="0.39882952093655305"/>
    <n v="-3.5428571428571427"/>
    <m/>
    <m/>
    <m/>
    <m/>
    <m/>
    <m/>
    <m/>
    <m/>
    <m/>
    <n v="100"/>
    <n v="147"/>
    <n v="30"/>
    <n v="200"/>
    <n v="200"/>
    <n v="0"/>
    <n v="616383"/>
    <n v="517292.99999999994"/>
    <n v="111060"/>
    <n v="0"/>
    <n v="414"/>
    <n v="1532628"/>
    <n v="275192.42991314176"/>
    <n v="100"/>
    <n v="304"/>
    <n v="52.5"/>
    <n v="300"/>
    <n v="300"/>
    <n v="0"/>
    <n v="660807"/>
    <n v="1069775.9999999998"/>
    <n v="194355"/>
    <n v="0"/>
    <n v="414"/>
    <n v="1532628"/>
    <n v="481586.75234799809"/>
    <n v="150"/>
    <n v="572"/>
    <n v="84"/>
    <n v="0"/>
    <n v="0"/>
    <n v="804276"/>
    <n v="2117544"/>
    <n v="310968"/>
    <n v="0"/>
    <n v="414"/>
    <n v="1532628"/>
    <n v="916941.17647058831"/>
    <n v="80"/>
    <n v="477"/>
    <n v="42"/>
    <n v="50"/>
    <n v="0"/>
    <n v="1678562.9999999998"/>
    <n v="155484"/>
    <x v="14"/>
    <x v="0"/>
    <n v="414"/>
    <n v="1532628"/>
    <n v="458470.58823529416"/>
    <n v="120"/>
    <n v="594"/>
    <n v="96"/>
    <m/>
    <n v="0"/>
    <n v="0"/>
    <n v="2198988"/>
    <n v="337823.99999999994"/>
    <x v="0"/>
    <n v="0"/>
    <n v="414"/>
    <n v="1532628"/>
    <n v="1047932.7731092437"/>
    <n v="130"/>
    <n v="736"/>
    <n v="322"/>
    <m/>
    <n v="50"/>
    <n v="0"/>
    <n v="2724672"/>
    <n v="1133117.9999999998"/>
    <n v="0"/>
    <n v="0"/>
    <n v="736"/>
    <n v="1532628"/>
    <n v="3514941.1764705884"/>
    <n v="120"/>
    <n v="414"/>
    <n v="0"/>
    <n v="500"/>
    <n v="350"/>
    <n v="0"/>
    <n v="1532628"/>
    <n v="0"/>
    <n v="1700850"/>
    <n v="0"/>
    <n v="414"/>
    <n v="1532628"/>
    <n v="0"/>
    <n v="35"/>
    <n v="467"/>
    <n v="54"/>
    <n v="0"/>
    <n v="0"/>
    <n v="0"/>
    <n v="1728834"/>
    <n v="190025.99999999997"/>
    <n v="0"/>
    <n v="0"/>
    <n v="467"/>
    <n v="1728834"/>
    <n v="589462.18487394962"/>
    <n v="35"/>
    <n v="290"/>
    <n v="0"/>
    <n v="0"/>
    <n v="0"/>
    <n v="0"/>
    <n v="1020509.9999999999"/>
    <n v="0"/>
    <n v="0"/>
    <n v="0"/>
    <n v="414"/>
    <n v="1532628"/>
    <n v="0"/>
    <n v="35"/>
    <n v="290"/>
    <n v="28"/>
    <n v="0"/>
    <n v="0"/>
    <n v="0"/>
    <m/>
    <n v="1020509.9999999999"/>
    <n v="98531.999999999985"/>
    <n v="0"/>
    <n v="0"/>
    <n v="290"/>
    <n v="1020509.9999999999"/>
    <n v="235058.82352941175"/>
    <n v="35"/>
    <n v="262"/>
    <n v="28"/>
    <m/>
    <n v="0"/>
    <n v="0"/>
    <n v="921977.99999999988"/>
    <n v="98531.999999999985"/>
    <n v="0"/>
    <n v="0"/>
    <n v="262"/>
    <n v="921977.99999999988"/>
    <n v="235058.82352941175"/>
    <n v="35"/>
    <n v="234"/>
    <n v="28"/>
    <n v="0"/>
    <n v="0"/>
    <n v="823445.99999999988"/>
    <n v="98531.999999999985"/>
    <n v="0"/>
    <n v="0"/>
    <n v="234"/>
    <n v="823445.99999999988"/>
    <n v="305647.05882352946"/>
    <n v="21"/>
    <n v="206"/>
    <n v="16.8"/>
    <n v="0"/>
    <m/>
    <n v="724913.99999999988"/>
    <n v="62193.600000000006"/>
    <n v="0"/>
    <n v="206"/>
    <n v="724913.99999999988"/>
    <n v="183388.23529411768"/>
  </r>
  <r>
    <m/>
    <x v="3"/>
    <x v="8"/>
    <x v="18"/>
    <s v="LVMOMA"/>
    <x v="67"/>
    <x v="64"/>
    <x v="0"/>
    <x v="2"/>
    <n v="1"/>
    <x v="51"/>
    <n v="2"/>
    <m/>
    <n v="0"/>
    <n v="8666"/>
    <n v="17332"/>
    <n v="7"/>
    <n v="8666"/>
    <n v="21000"/>
    <n v="21000"/>
    <s v="Shenzhen"/>
    <x v="0"/>
    <n v="30"/>
    <m/>
    <n v="50"/>
    <n v="9"/>
    <n v="0.25930488822395487"/>
    <n v="4"/>
    <s v=""/>
    <n v="5"/>
    <n v="0.51140317427599702"/>
    <n v="5"/>
    <n v="0.52946702396903389"/>
    <n v="33"/>
    <n v="0.36724561238485171"/>
    <n v="17"/>
    <n v="0.41316634441144051"/>
    <n v="2"/>
    <n v="0.43469567486463573"/>
    <n v="2"/>
    <n v="0.35924652469683532"/>
    <n v="2"/>
    <n v="0.58322672181608315"/>
    <n v="43"/>
    <n v="0.40520946188745172"/>
    <n v="6"/>
    <n v="0.54918975159318506"/>
    <n v="3"/>
    <n v="0.57015404335139641"/>
    <n v="22"/>
    <n v="0.35723367322819344"/>
    <n v="22"/>
    <n v="0.3434506900066453"/>
    <n v="2"/>
    <n v="0.54454196949728273"/>
    <n v="0"/>
    <s v=""/>
    <n v="0"/>
    <n v="13"/>
    <n v="0.43077041968850316"/>
    <n v="1.3"/>
    <n v="-1"/>
    <n v="0.55364655956350406"/>
    <n v="-0.05"/>
    <n v="0"/>
    <s v=""/>
    <n v="0"/>
    <n v="0"/>
    <s v=""/>
    <n v="0"/>
    <n v="0"/>
    <s v=""/>
    <n v="0"/>
    <m/>
    <m/>
    <m/>
    <m/>
    <m/>
    <m/>
    <m/>
    <m/>
    <m/>
    <n v="0"/>
    <n v="35"/>
    <n v="2"/>
    <n v="0"/>
    <m/>
    <n v="0"/>
    <n v="320642"/>
    <n v="253574.99999999997"/>
    <n v="17332"/>
    <n v="0"/>
    <n v="2"/>
    <n v="17332"/>
    <n v="35294.117647058825"/>
    <n v="10"/>
    <n v="36"/>
    <n v="33"/>
    <n v="0"/>
    <n v="0"/>
    <n v="0"/>
    <n v="303310"/>
    <n v="260819.99999999997"/>
    <n v="285978"/>
    <n v="0"/>
    <n v="2"/>
    <n v="17332"/>
    <n v="582352.9411764706"/>
    <n v="10"/>
    <n v="13"/>
    <n v="2"/>
    <n v="0"/>
    <n v="0"/>
    <n v="89781.999999999985"/>
    <n v="112658"/>
    <n v="17332"/>
    <n v="0"/>
    <n v="2"/>
    <n v="17332"/>
    <n v="42000"/>
    <n v="10"/>
    <n v="9"/>
    <n v="0"/>
    <n v="0"/>
    <n v="0"/>
    <n v="65204.999999999993"/>
    <n v="0"/>
    <x v="0"/>
    <x v="0"/>
    <n v="2"/>
    <n v="17332"/>
    <n v="0"/>
    <n v="10"/>
    <n v="15"/>
    <n v="10"/>
    <m/>
    <n v="0"/>
    <n v="0"/>
    <n v="129990"/>
    <n v="72449.999999999985"/>
    <x v="0"/>
    <n v="0"/>
    <n v="2"/>
    <n v="17332"/>
    <n v="210000"/>
    <n v="20"/>
    <n v="1"/>
    <n v="-1"/>
    <m/>
    <n v="0"/>
    <n v="0"/>
    <n v="8666"/>
    <n v="-7244.9999999999991"/>
    <n v="0"/>
    <n v="0"/>
    <n v="1"/>
    <n v="17332"/>
    <n v="-21000"/>
    <n v="0"/>
    <n v="2"/>
    <n v="0"/>
    <n v="0"/>
    <n v="0"/>
    <n v="0"/>
    <n v="17332"/>
    <n v="0"/>
    <n v="0"/>
    <n v="0"/>
    <n v="2"/>
    <n v="17332"/>
    <n v="0"/>
    <n v="0"/>
    <n v="2"/>
    <n v="0"/>
    <n v="0"/>
    <n v="0"/>
    <n v="0"/>
    <n v="17332"/>
    <n v="0"/>
    <n v="0"/>
    <n v="0"/>
    <n v="2"/>
    <n v="17332"/>
    <n v="0"/>
    <n v="10"/>
    <n v="2"/>
    <n v="0"/>
    <n v="0"/>
    <n v="0"/>
    <n v="0"/>
    <n v="14489.999999999998"/>
    <n v="0"/>
    <n v="0"/>
    <n v="0"/>
    <n v="2"/>
    <n v="17332"/>
    <n v="0"/>
    <n v="0"/>
    <n v="2"/>
    <n v="0"/>
    <n v="0"/>
    <n v="0"/>
    <n v="0"/>
    <m/>
    <n v="14489.999999999998"/>
    <n v="0"/>
    <n v="0"/>
    <n v="0"/>
    <n v="2"/>
    <n v="14489.999999999998"/>
    <n v="0"/>
    <n v="0"/>
    <n v="2"/>
    <n v="0"/>
    <m/>
    <n v="0"/>
    <n v="0"/>
    <n v="14489.999999999998"/>
    <n v="0"/>
    <n v="0"/>
    <n v="0"/>
    <n v="2"/>
    <n v="14489.999999999998"/>
    <n v="0"/>
    <n v="0"/>
    <n v="2"/>
    <n v="0"/>
    <n v="0"/>
    <n v="0"/>
    <n v="14489.999999999998"/>
    <n v="0"/>
    <n v="0"/>
    <n v="0"/>
    <n v="2"/>
    <n v="14489.999999999998"/>
    <n v="0"/>
    <n v="0"/>
    <n v="2"/>
    <n v="0"/>
    <n v="0"/>
    <m/>
    <n v="14489.999999999998"/>
    <n v="0"/>
    <n v="0"/>
    <n v="2"/>
    <n v="14489.999999999998"/>
    <n v="0"/>
  </r>
  <r>
    <s v="Levo-Mochilas y Fundas"/>
    <x v="3"/>
    <x v="8"/>
    <x v="18"/>
    <s v="LVMOMA"/>
    <x v="68"/>
    <x v="65"/>
    <x v="0"/>
    <x v="2"/>
    <n v="1"/>
    <x v="52"/>
    <n v="1"/>
    <m/>
    <n v="0"/>
    <n v="8609"/>
    <n v="8609"/>
    <n v="7"/>
    <n v="8609"/>
    <n v="21000"/>
    <n v="21000"/>
    <s v="Shenzhen"/>
    <x v="0"/>
    <n v="30"/>
    <m/>
    <n v="50"/>
    <n v="2"/>
    <n v="0.39795749128919861"/>
    <n v="1"/>
    <n v="0.55481242914562512"/>
    <n v="0"/>
    <s v=""/>
    <n v="4"/>
    <n v="0.59672981149639281"/>
    <n v="0"/>
    <s v=""/>
    <n v="21"/>
    <n v="0.42404188643901886"/>
    <n v="3"/>
    <n v="0.57177902311237849"/>
    <n v="1"/>
    <n v="0.41433741496598642"/>
    <n v="2"/>
    <n v="0.48272658996004447"/>
    <n v="2"/>
    <n v="0.59929066790784269"/>
    <n v="4"/>
    <n v="0.53306450082032786"/>
    <n v="121"/>
    <n v="0.33099350592635601"/>
    <n v="0"/>
    <s v=""/>
    <n v="3"/>
    <n v="0.47461334840060165"/>
    <n v="0"/>
    <s v=""/>
    <n v="0"/>
    <s v=""/>
    <n v="0"/>
    <n v="0"/>
    <s v=""/>
    <n v="0"/>
    <n v="1"/>
    <n v="0.3019047619047619"/>
    <n v="0.05"/>
    <n v="0"/>
    <s v=""/>
    <n v="0"/>
    <n v="0"/>
    <s v=""/>
    <n v="0"/>
    <n v="0"/>
    <s v=""/>
    <n v="0"/>
    <m/>
    <m/>
    <m/>
    <m/>
    <m/>
    <m/>
    <m/>
    <m/>
    <m/>
    <n v="15"/>
    <n v="5"/>
    <n v="5"/>
    <n v="0"/>
    <m/>
    <n v="0"/>
    <n v="81785.5"/>
    <n v="36224.999999999993"/>
    <n v="43045"/>
    <n v="0"/>
    <n v="1"/>
    <n v="8609"/>
    <n v="88235.294117647063"/>
    <n v="0"/>
    <n v="5"/>
    <n v="4.5"/>
    <n v="0"/>
    <m/>
    <n v="0"/>
    <n v="38740.5"/>
    <n v="36224.999999999993"/>
    <n v="38740.5"/>
    <n v="0"/>
    <n v="1"/>
    <n v="8609"/>
    <n v="79411.76470588235"/>
    <n v="0"/>
    <n v="2"/>
    <n v="0"/>
    <n v="0"/>
    <n v="0"/>
    <n v="0"/>
    <n v="17218"/>
    <n v="0"/>
    <n v="0"/>
    <n v="1"/>
    <n v="8609"/>
    <n v="0"/>
    <n v="1"/>
    <n v="2"/>
    <n v="0"/>
    <n v="0"/>
    <n v="0"/>
    <n v="14489.999999999998"/>
    <n v="0"/>
    <x v="0"/>
    <x v="0"/>
    <n v="1"/>
    <n v="8609"/>
    <n v="0"/>
    <n v="0"/>
    <n v="1"/>
    <n v="0"/>
    <m/>
    <n v="0"/>
    <n v="0"/>
    <n v="8609"/>
    <n v="0"/>
    <x v="0"/>
    <n v="0"/>
    <n v="1"/>
    <n v="8609"/>
    <n v="0"/>
    <n v="20"/>
    <n v="2"/>
    <n v="1"/>
    <m/>
    <n v="0"/>
    <n v="0"/>
    <n v="17218"/>
    <n v="7244.9999999999991"/>
    <n v="0"/>
    <n v="0"/>
    <n v="2"/>
    <n v="8609"/>
    <n v="21000"/>
    <n v="0"/>
    <n v="1"/>
    <n v="0"/>
    <n v="0"/>
    <n v="0"/>
    <n v="0"/>
    <n v="8609"/>
    <n v="0"/>
    <n v="0"/>
    <n v="0"/>
    <n v="1"/>
    <n v="8609"/>
    <n v="0"/>
    <n v="0"/>
    <n v="1"/>
    <n v="0"/>
    <n v="0"/>
    <n v="0"/>
    <n v="0"/>
    <n v="8609"/>
    <n v="0"/>
    <n v="0"/>
    <n v="0"/>
    <n v="1"/>
    <n v="8609"/>
    <n v="0"/>
    <n v="0"/>
    <n v="1"/>
    <n v="0"/>
    <n v="0"/>
    <n v="0"/>
    <n v="0"/>
    <n v="7244.9999999999991"/>
    <n v="0"/>
    <n v="0"/>
    <n v="0"/>
    <n v="1"/>
    <n v="8609"/>
    <n v="0"/>
    <n v="0"/>
    <n v="1"/>
    <n v="0"/>
    <n v="0"/>
    <n v="0"/>
    <n v="0"/>
    <m/>
    <n v="7244.9999999999991"/>
    <n v="0"/>
    <n v="0"/>
    <n v="0"/>
    <n v="1"/>
    <n v="7244.9999999999991"/>
    <n v="0"/>
    <n v="0"/>
    <n v="1"/>
    <n v="0"/>
    <m/>
    <n v="0"/>
    <n v="0"/>
    <n v="7244.9999999999991"/>
    <n v="0"/>
    <n v="0"/>
    <n v="0"/>
    <n v="1"/>
    <n v="7244.9999999999991"/>
    <n v="0"/>
    <n v="0"/>
    <n v="1"/>
    <n v="0"/>
    <n v="0"/>
    <n v="0"/>
    <n v="7244.9999999999991"/>
    <n v="0"/>
    <n v="0"/>
    <n v="0"/>
    <n v="1"/>
    <n v="7244.9999999999991"/>
    <n v="0"/>
    <n v="0"/>
    <n v="1"/>
    <n v="0"/>
    <n v="0"/>
    <m/>
    <n v="7244.9999999999991"/>
    <n v="0"/>
    <n v="0"/>
    <n v="1"/>
    <n v="7244.9999999999991"/>
    <n v="0"/>
  </r>
  <r>
    <s v="Levo-Mochilas y Fundas"/>
    <x v="3"/>
    <x v="8"/>
    <x v="18"/>
    <s v="LVMOPRL-BK"/>
    <x v="69"/>
    <x v="66"/>
    <x v="0"/>
    <x v="4"/>
    <n v="1"/>
    <x v="31"/>
    <n v="96"/>
    <m/>
    <n v="0"/>
    <n v="8014"/>
    <n v="769344"/>
    <n v="7"/>
    <n v="7003.4999999999991"/>
    <n v="17655.882352941175"/>
    <n v="15007.499999999998"/>
    <s v="Shenzhen"/>
    <x v="0"/>
    <n v="45"/>
    <m/>
    <n v="200"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n v="0"/>
    <s v=""/>
    <n v="0"/>
    <n v="0"/>
    <s v=""/>
    <n v="0"/>
    <n v="0"/>
    <s v=""/>
    <n v="0"/>
    <n v="1"/>
    <s v=""/>
    <n v="0.2"/>
    <n v="2"/>
    <s v=""/>
    <n v="0.08"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96"/>
    <n v="769344"/>
    <n v="0"/>
    <n v="0"/>
    <n v="0"/>
    <n v="0"/>
    <n v="0"/>
    <n v="0"/>
    <n v="0"/>
    <n v="0"/>
    <n v="0"/>
    <n v="0"/>
    <n v="96"/>
    <n v="769344"/>
    <n v="0"/>
    <n v="0"/>
    <n v="0"/>
    <n v="0"/>
    <n v="0"/>
    <n v="0"/>
    <n v="0"/>
    <n v="0"/>
    <x v="0"/>
    <x v="0"/>
    <n v="96"/>
    <n v="769344"/>
    <n v="0"/>
    <n v="0"/>
    <n v="96"/>
    <n v="0"/>
    <m/>
    <n v="0"/>
    <n v="0"/>
    <n v="769344"/>
    <n v="0"/>
    <x v="0"/>
    <n v="0"/>
    <n v="96"/>
    <n v="769344"/>
    <n v="0"/>
    <n v="0"/>
    <n v="96"/>
    <n v="0"/>
    <m/>
    <n v="0"/>
    <n v="0"/>
    <n v="769344"/>
    <n v="0"/>
    <n v="0"/>
    <n v="0"/>
    <n v="96"/>
    <n v="769344"/>
    <n v="0"/>
    <n v="10"/>
    <n v="96"/>
    <n v="0"/>
    <n v="100"/>
    <n v="100"/>
    <n v="0"/>
    <n v="769344"/>
    <n v="0"/>
    <n v="700349.99999999988"/>
    <n v="0"/>
    <n v="96"/>
    <n v="769344"/>
    <n v="0"/>
    <n v="5"/>
    <n v="100"/>
    <n v="1"/>
    <n v="0"/>
    <n v="0"/>
    <n v="0"/>
    <n v="801400"/>
    <n v="7244.9999999999991"/>
    <n v="0"/>
    <n v="0"/>
    <n v="100"/>
    <n v="801400"/>
    <n v="17655.882352941175"/>
    <n v="25"/>
    <n v="98"/>
    <n v="1.5"/>
    <n v="0"/>
    <n v="0"/>
    <n v="0"/>
    <n v="710009.99999999988"/>
    <n v="10867.499999999998"/>
    <n v="0"/>
    <n v="0"/>
    <n v="96"/>
    <n v="769344"/>
    <n v="26483.823529411762"/>
    <n v="40"/>
    <n v="96.5"/>
    <n v="40"/>
    <n v="0"/>
    <n v="0"/>
    <n v="0"/>
    <n v="0"/>
    <n v="699142.49999999988"/>
    <n v="289799.99999999994"/>
    <n v="0"/>
    <n v="0"/>
    <n v="96.5"/>
    <n v="699142.49999999988"/>
    <n v="600299.99999999988"/>
    <n v="40"/>
    <n v="56.5"/>
    <n v="40"/>
    <n v="0"/>
    <n v="0"/>
    <n v="0"/>
    <n v="409342.49999999994"/>
    <n v="289799.99999999994"/>
    <n v="0"/>
    <n v="0"/>
    <n v="56.5"/>
    <n v="409342.49999999994"/>
    <n v="600299.99999999988"/>
    <n v="50"/>
    <n v="16.5"/>
    <n v="50"/>
    <n v="100"/>
    <n v="100"/>
    <n v="119542.49999999999"/>
    <n v="362249.99999999994"/>
    <n v="724499.99999999988"/>
    <n v="724499.99999999988"/>
    <n v="116.5"/>
    <n v="844042.49999999988"/>
    <n v="882794.1176470588"/>
    <n v="24"/>
    <n v="66.5"/>
    <n v="24"/>
    <n v="0"/>
    <m/>
    <n v="481792.49999999994"/>
    <n v="192336"/>
    <n v="0"/>
    <n v="66.5"/>
    <n v="481792.49999999994"/>
    <n v="423741.17647058819"/>
  </r>
  <r>
    <s v="Levo-Mochilas y Fundas"/>
    <x v="3"/>
    <x v="8"/>
    <x v="18"/>
    <s v="LVMOVEL-BK"/>
    <x v="70"/>
    <x v="67"/>
    <x v="0"/>
    <x v="4"/>
    <n v="1"/>
    <x v="31"/>
    <n v="15"/>
    <m/>
    <n v="0"/>
    <n v="6360"/>
    <n v="95400"/>
    <n v="6.5"/>
    <n v="6503.2499999999991"/>
    <n v="16394.747899159662"/>
    <n v="13935.535714285712"/>
    <s v="Shenzhen"/>
    <x v="0"/>
    <n v="45"/>
    <m/>
    <n v="200"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n v="0"/>
    <s v=""/>
    <n v="0"/>
    <n v="0"/>
    <s v=""/>
    <n v="0"/>
    <n v="0"/>
    <s v=""/>
    <n v="0"/>
    <n v="83"/>
    <s v=""/>
    <n v="1.0375000000000001"/>
    <n v="1"/>
    <s v=""/>
    <n v="0.04"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5"/>
    <n v="95400"/>
    <n v="0"/>
    <n v="0"/>
    <n v="0"/>
    <n v="0"/>
    <n v="0"/>
    <n v="0"/>
    <n v="0"/>
    <n v="0"/>
    <n v="0"/>
    <n v="0"/>
    <n v="15"/>
    <n v="95400"/>
    <n v="0"/>
    <n v="0"/>
    <n v="0"/>
    <n v="0"/>
    <n v="0"/>
    <n v="0"/>
    <n v="0"/>
    <n v="0"/>
    <x v="0"/>
    <x v="0"/>
    <n v="15"/>
    <n v="95400"/>
    <n v="0"/>
    <n v="0"/>
    <n v="15"/>
    <n v="0"/>
    <m/>
    <n v="0"/>
    <n v="0"/>
    <n v="95400"/>
    <n v="0"/>
    <x v="0"/>
    <n v="0"/>
    <n v="15"/>
    <n v="95400"/>
    <n v="0"/>
    <n v="0"/>
    <n v="15"/>
    <n v="0"/>
    <m/>
    <n v="0"/>
    <n v="0"/>
    <n v="95400"/>
    <n v="0"/>
    <n v="0"/>
    <n v="0"/>
    <n v="15"/>
    <n v="95400"/>
    <n v="0"/>
    <n v="10"/>
    <n v="15"/>
    <n v="0"/>
    <n v="100"/>
    <n v="100"/>
    <n v="0"/>
    <n v="95400"/>
    <n v="0"/>
    <n v="650324.99999999988"/>
    <n v="0"/>
    <n v="15"/>
    <n v="95400"/>
    <n v="0"/>
    <n v="80"/>
    <n v="100"/>
    <n v="85"/>
    <n v="0"/>
    <n v="0"/>
    <n v="0"/>
    <n v="636000"/>
    <n v="571837.49999999988"/>
    <n v="0"/>
    <n v="0"/>
    <n v="100"/>
    <n v="636000"/>
    <n v="1393553.5714285714"/>
    <n v="25"/>
    <n v="16"/>
    <n v="1.5"/>
    <n v="0"/>
    <n v="0"/>
    <n v="0"/>
    <n v="107639.99999999999"/>
    <n v="10091.249999999998"/>
    <n v="0"/>
    <n v="0"/>
    <n v="15"/>
    <n v="95400"/>
    <n v="24592.121848739494"/>
    <n v="0"/>
    <n v="14.5"/>
    <n v="0"/>
    <n v="0"/>
    <n v="0"/>
    <n v="0"/>
    <n v="0"/>
    <n v="97548.749999999985"/>
    <n v="0"/>
    <n v="0"/>
    <n v="0"/>
    <n v="14.5"/>
    <n v="97548.749999999985"/>
    <n v="0"/>
    <n v="40"/>
    <n v="14.5"/>
    <n v="14.5"/>
    <n v="0"/>
    <n v="0"/>
    <n v="0"/>
    <n v="97548.749999999985"/>
    <n v="97548.749999999985"/>
    <n v="0"/>
    <n v="0"/>
    <n v="14.5"/>
    <n v="97548.749999999985"/>
    <n v="202065.26785714281"/>
    <n v="50"/>
    <n v="0"/>
    <n v="50"/>
    <n v="100"/>
    <n v="100"/>
    <n v="0"/>
    <n v="336374.99999999994"/>
    <n v="672749.99999999988"/>
    <n v="672749.99999999988"/>
    <n v="100"/>
    <n v="672749.99999999988"/>
    <n v="819737.39495798305"/>
    <n v="24"/>
    <n v="50"/>
    <n v="24"/>
    <n v="0"/>
    <m/>
    <n v="336374.99999999994"/>
    <n v="152640"/>
    <n v="0"/>
    <n v="50"/>
    <n v="336374.99999999994"/>
    <n v="393473.94957983191"/>
  </r>
  <r>
    <s v="Levo-Mochilas y Fundas"/>
    <x v="3"/>
    <x v="8"/>
    <x v="18"/>
    <s v="LVMOVITR-BK"/>
    <x v="71"/>
    <x v="68"/>
    <x v="0"/>
    <x v="5"/>
    <n v="1"/>
    <x v="53"/>
    <n v="92"/>
    <m/>
    <n v="0"/>
    <n v="18057"/>
    <n v="1661244"/>
    <n v="18.7"/>
    <n v="20429.75"/>
    <n v="42008.403361344543"/>
    <n v="31084.033613445379"/>
    <s v="Shenzhen"/>
    <x v="0"/>
    <n v="60"/>
    <m/>
    <n v="300"/>
    <n v="0"/>
    <s v=""/>
    <n v="0"/>
    <s v=""/>
    <n v="0"/>
    <s v=""/>
    <n v="0"/>
    <s v=""/>
    <n v="0"/>
    <s v=""/>
    <n v="0"/>
    <s v=""/>
    <n v="0"/>
    <n v="0.6126299293818932"/>
    <n v="1"/>
    <n v="0.52165626290350009"/>
    <n v="1"/>
    <n v="0.39897183141575365"/>
    <n v="21"/>
    <n v="0.37402599282390092"/>
    <n v="8"/>
    <n v="0.36742286088258796"/>
    <n v="81"/>
    <n v="0.2733496105989533"/>
    <n v="4"/>
    <n v="0.47356763094968241"/>
    <n v="11"/>
    <n v="0.40819806436515754"/>
    <n v="25"/>
    <n v="0.32942913236917398"/>
    <n v="17"/>
    <n v="0.35254150412842455"/>
    <n v="1.1333333333333333"/>
    <n v="38"/>
    <n v="0.44892044353943333"/>
    <n v="1.2666666666666666"/>
    <n v="205"/>
    <n v="0.24384203871744356"/>
    <n v="5.125"/>
    <n v="21"/>
    <n v="0.44450389949340441"/>
    <n v="0.7"/>
    <n v="11"/>
    <n v="0.24284051331833001"/>
    <n v="0.36666666666666664"/>
    <n v="-49"/>
    <n v="0.23319544884033619"/>
    <n v="-1.6333333333333333"/>
    <m/>
    <m/>
    <m/>
    <m/>
    <m/>
    <m/>
    <m/>
    <m/>
    <m/>
    <n v="25"/>
    <n v="89"/>
    <n v="10"/>
    <n v="0"/>
    <n v="300"/>
    <n v="0"/>
    <n v="929935.5"/>
    <n v="1722550.5"/>
    <n v="180570"/>
    <n v="0"/>
    <n v="92"/>
    <n v="1661244"/>
    <n v="353011.79295247514"/>
    <n v="35"/>
    <n v="379"/>
    <n v="16.5"/>
    <n v="0"/>
    <n v="0"/>
    <n v="0"/>
    <n v="1056334.5"/>
    <n v="7335355.5"/>
    <n v="297940.5"/>
    <n v="0"/>
    <n v="92"/>
    <n v="1661244"/>
    <n v="582469.45837158395"/>
    <n v="40"/>
    <n v="359"/>
    <n v="25"/>
    <n v="0"/>
    <n v="0"/>
    <n v="1339029"/>
    <n v="6482463"/>
    <n v="451425"/>
    <n v="0"/>
    <n v="92"/>
    <n v="1661244"/>
    <n v="1050210.0840336136"/>
    <n v="15"/>
    <n v="338"/>
    <n v="17"/>
    <n v="0"/>
    <n v="0"/>
    <n v="6541821"/>
    <n v="306969"/>
    <x v="0"/>
    <x v="0"/>
    <n v="92"/>
    <n v="1661244"/>
    <n v="714142.85714285728"/>
    <n v="30"/>
    <n v="130"/>
    <n v="30"/>
    <m/>
    <n v="0"/>
    <n v="0"/>
    <n v="2347410"/>
    <n v="580635"/>
    <x v="0"/>
    <n v="0"/>
    <n v="92"/>
    <n v="1661244"/>
    <n v="1260252.1008403362"/>
    <n v="40"/>
    <n v="297"/>
    <n v="205"/>
    <m/>
    <n v="0"/>
    <n v="0"/>
    <n v="5362929"/>
    <n v="3967672.5"/>
    <n v="0"/>
    <n v="0"/>
    <n v="297"/>
    <n v="1661244"/>
    <n v="8611722.689075632"/>
    <n v="30"/>
    <n v="113"/>
    <n v="21"/>
    <n v="0"/>
    <n v="0"/>
    <n v="0"/>
    <n v="2040441"/>
    <n v="406444.5"/>
    <n v="0"/>
    <n v="0"/>
    <n v="113"/>
    <n v="1661244"/>
    <n v="882176.47058823542"/>
    <n v="30"/>
    <n v="103"/>
    <n v="11"/>
    <n v="0"/>
    <n v="0"/>
    <n v="0"/>
    <n v="1859871"/>
    <n v="212899.5"/>
    <n v="0"/>
    <n v="0"/>
    <n v="103"/>
    <n v="1859871"/>
    <n v="462092.43697478995"/>
    <n v="30"/>
    <n v="43"/>
    <n v="0"/>
    <n v="0"/>
    <n v="0"/>
    <n v="0"/>
    <n v="832243.5"/>
    <n v="0"/>
    <n v="0"/>
    <n v="0"/>
    <n v="92"/>
    <n v="1661244"/>
    <n v="0"/>
    <n v="40"/>
    <n v="43"/>
    <n v="40"/>
    <n v="0"/>
    <n v="0"/>
    <n v="0"/>
    <m/>
    <n v="832243.5"/>
    <n v="774180"/>
    <n v="0"/>
    <n v="0"/>
    <n v="43"/>
    <n v="832243.5"/>
    <n v="1243361.3445378151"/>
    <n v="40"/>
    <n v="3"/>
    <n v="3"/>
    <m/>
    <n v="0"/>
    <n v="0"/>
    <n v="58063.5"/>
    <n v="58063.5"/>
    <n v="0"/>
    <n v="0"/>
    <n v="3"/>
    <n v="58063.5"/>
    <n v="93252.100840336134"/>
    <n v="40"/>
    <n v="0"/>
    <n v="0"/>
    <n v="0"/>
    <n v="0"/>
    <n v="0"/>
    <n v="0"/>
    <n v="0"/>
    <n v="0"/>
    <n v="0"/>
    <n v="0"/>
    <n v="0"/>
    <n v="24"/>
    <n v="0"/>
    <n v="24"/>
    <n v="0"/>
    <m/>
    <n v="0"/>
    <n v="433368"/>
    <n v="0"/>
    <n v="0"/>
    <n v="0"/>
    <n v="1008201.6806722691"/>
  </r>
  <r>
    <m/>
    <x v="3"/>
    <x v="8"/>
    <x v="18"/>
    <s v="LVMOWO-BK"/>
    <x v="72"/>
    <x v="69"/>
    <x v="0"/>
    <x v="2"/>
    <n v="1"/>
    <x v="54"/>
    <n v="1"/>
    <m/>
    <n v="0"/>
    <n v="8775"/>
    <n v="8775"/>
    <n v="4.5"/>
    <n v="4916.25"/>
    <n v="21000"/>
    <n v="21000"/>
    <s v="Shenzhen"/>
    <x v="0"/>
    <n v="30"/>
    <m/>
    <n v="50"/>
    <n v="0"/>
    <s v=""/>
    <n v="0"/>
    <s v=""/>
    <n v="3"/>
    <n v="0.64420139631928086"/>
    <n v="14"/>
    <n v="0.56915882336609469"/>
    <n v="4"/>
    <n v="0.62962785063904436"/>
    <n v="10"/>
    <n v="0.54159412813363206"/>
    <n v="23"/>
    <n v="0.58144707944046381"/>
    <n v="12"/>
    <n v="0.46766539250162881"/>
    <n v="18"/>
    <n v="0.47062393364073291"/>
    <n v="24"/>
    <n v="0.543559044160285"/>
    <n v="11"/>
    <n v="0.49976952197476149"/>
    <n v="64"/>
    <n v="0.41631697440312976"/>
    <n v="5"/>
    <n v="0.56141401897263576"/>
    <n v="9"/>
    <n v="0.22139487168531807"/>
    <n v="78"/>
    <n v="0.42257482577500194"/>
    <n v="5"/>
    <n v="0.47559538981295757"/>
    <n v="0.625"/>
    <n v="18"/>
    <n v="0.40306878306878308"/>
    <n v="0.47368421052631576"/>
    <n v="-7"/>
    <n v="0.44286749482401655"/>
    <n v="-0.17499999999999999"/>
    <n v="0"/>
    <s v=""/>
    <n v="0"/>
    <n v="0"/>
    <s v=""/>
    <n v="0"/>
    <n v="0"/>
    <s v=""/>
    <n v="0"/>
    <m/>
    <m/>
    <m/>
    <m/>
    <m/>
    <m/>
    <m/>
    <m/>
    <m/>
    <n v="0"/>
    <n v="124"/>
    <n v="15"/>
    <n v="0"/>
    <m/>
    <n v="0"/>
    <n v="934537.5"/>
    <n v="577530"/>
    <n v="131625"/>
    <n v="0"/>
    <n v="1"/>
    <n v="8775"/>
    <n v="264705.8823529412"/>
    <n v="20"/>
    <n v="45"/>
    <n v="13.5"/>
    <n v="0"/>
    <n v="0"/>
    <n v="0"/>
    <n v="846787.5"/>
    <n v="209587.5"/>
    <n v="118462.5"/>
    <n v="0"/>
    <n v="1"/>
    <n v="8775"/>
    <n v="238235.29411764708"/>
    <n v="40"/>
    <n v="32"/>
    <n v="78"/>
    <n v="0"/>
    <n v="0"/>
    <n v="905310"/>
    <n v="280800"/>
    <n v="684450"/>
    <n v="0"/>
    <n v="1"/>
    <n v="8775"/>
    <n v="1638000"/>
    <n v="8"/>
    <n v="19"/>
    <n v="5"/>
    <n v="0"/>
    <n v="0"/>
    <n v="88492.5"/>
    <n v="43875"/>
    <x v="0"/>
    <x v="0"/>
    <n v="1"/>
    <n v="8775"/>
    <n v="105000"/>
    <n v="38"/>
    <n v="19"/>
    <n v="38"/>
    <m/>
    <n v="0"/>
    <n v="0"/>
    <n v="166725"/>
    <n v="176985"/>
    <x v="0"/>
    <n v="0"/>
    <n v="1"/>
    <n v="8775"/>
    <n v="798000"/>
    <n v="40"/>
    <n v="-6"/>
    <n v="-7"/>
    <m/>
    <n v="0"/>
    <n v="0"/>
    <n v="-52650"/>
    <n v="-32602.5"/>
    <n v="0"/>
    <n v="0"/>
    <n v="-6"/>
    <n v="8775"/>
    <n v="-147000"/>
    <n v="0"/>
    <n v="1"/>
    <n v="0"/>
    <n v="0"/>
    <n v="0"/>
    <n v="0"/>
    <n v="8775"/>
    <n v="0"/>
    <n v="0"/>
    <n v="0"/>
    <n v="1"/>
    <n v="8775"/>
    <n v="0"/>
    <n v="0"/>
    <n v="1"/>
    <n v="0"/>
    <n v="0"/>
    <n v="0"/>
    <n v="0"/>
    <n v="8775"/>
    <n v="0"/>
    <n v="0"/>
    <n v="0"/>
    <n v="1"/>
    <n v="8775"/>
    <n v="0"/>
    <n v="38"/>
    <n v="1"/>
    <n v="0"/>
    <n v="0"/>
    <n v="0"/>
    <n v="0"/>
    <n v="4657.5"/>
    <n v="0"/>
    <n v="0"/>
    <n v="0"/>
    <n v="1"/>
    <n v="8775"/>
    <n v="0"/>
    <n v="0"/>
    <n v="1"/>
    <n v="0"/>
    <n v="0"/>
    <n v="0"/>
    <n v="0"/>
    <m/>
    <n v="4657.5"/>
    <n v="0"/>
    <n v="0"/>
    <n v="0"/>
    <n v="1"/>
    <n v="4657.5"/>
    <n v="0"/>
    <n v="0"/>
    <n v="1"/>
    <n v="0"/>
    <m/>
    <n v="0"/>
    <n v="0"/>
    <n v="4657.5"/>
    <n v="0"/>
    <n v="0"/>
    <n v="0"/>
    <n v="1"/>
    <n v="4657.5"/>
    <n v="0"/>
    <n v="0"/>
    <n v="1"/>
    <n v="0"/>
    <n v="0"/>
    <n v="0"/>
    <n v="4657.5"/>
    <n v="0"/>
    <n v="0"/>
    <n v="0"/>
    <n v="1"/>
    <n v="4657.5"/>
    <n v="0"/>
    <n v="0"/>
    <n v="1"/>
    <n v="0"/>
    <n v="0"/>
    <m/>
    <n v="4657.5"/>
    <n v="0"/>
    <n v="0"/>
    <n v="1"/>
    <n v="4657.5"/>
    <n v="0"/>
  </r>
  <r>
    <s v="Levo-Pantallas"/>
    <x v="3"/>
    <x v="9"/>
    <x v="19"/>
    <s v="LVMONEXV-15"/>
    <x v="73"/>
    <x v="70"/>
    <x v="0"/>
    <x v="2"/>
    <n v="1"/>
    <x v="55"/>
    <n v="18"/>
    <m/>
    <n v="0"/>
    <n v="37116"/>
    <n v="668088"/>
    <n v="35"/>
    <n v="38237.5"/>
    <n v="84025.210084033621"/>
    <n v="58815.126050420171"/>
    <s v="Shenzhen"/>
    <x v="0"/>
    <n v="30"/>
    <m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6"/>
    <n v="0.31974090826214158"/>
    <n v="46"/>
    <n v="0.28314580803082257"/>
    <n v="49"/>
    <n v="0.39831586851414563"/>
    <n v="1.2250000000000001"/>
    <n v="34"/>
    <n v="0.46781476818026047"/>
    <n v="0.68"/>
    <n v="116"/>
    <n v="0.29278294721495918"/>
    <n v="1.3647058823529412"/>
    <n v="3"/>
    <n v="2.8090791180285342"/>
    <n v="8.5714285714285715E-2"/>
    <n v="-3"/>
    <n v="0.20553311363204257"/>
    <n v="0"/>
    <n v="9"/>
    <n v="0.34765339309222654"/>
    <n v="0"/>
    <m/>
    <m/>
    <m/>
    <m/>
    <m/>
    <m/>
    <m/>
    <m/>
    <m/>
    <n v="5"/>
    <n v="0"/>
    <n v="2"/>
    <n v="0"/>
    <n v="300"/>
    <n v="0"/>
    <n v="2115612"/>
    <n v="0"/>
    <n v="74232"/>
    <n v="0"/>
    <n v="18"/>
    <n v="668088"/>
    <n v="141218.84047736743"/>
    <n v="30"/>
    <n v="300"/>
    <n v="9"/>
    <n v="0"/>
    <n v="0"/>
    <n v="0"/>
    <n v="3860064"/>
    <n v="10867500"/>
    <n v="334044"/>
    <n v="0"/>
    <n v="18"/>
    <n v="668088"/>
    <n v="635484.7821481534"/>
    <n v="70"/>
    <n v="288"/>
    <n v="46"/>
    <n v="0"/>
    <n v="0"/>
    <n v="5337270"/>
    <n v="10689408"/>
    <n v="1707336"/>
    <n v="0"/>
    <n v="18"/>
    <n v="668088"/>
    <n v="3865159.6638655467"/>
    <n v="40"/>
    <n v="239"/>
    <n v="49"/>
    <n v="0"/>
    <n v="0"/>
    <n v="8657775"/>
    <n v="1818684"/>
    <x v="0"/>
    <x v="0"/>
    <n v="18"/>
    <n v="668088"/>
    <n v="4117235.2941176472"/>
    <n v="50"/>
    <n v="52"/>
    <n v="50"/>
    <m/>
    <n v="0"/>
    <n v="0"/>
    <n v="1930032"/>
    <n v="1811250"/>
    <x v="0"/>
    <n v="0"/>
    <n v="18"/>
    <n v="668088"/>
    <n v="4201260.5042016814"/>
    <n v="85"/>
    <n v="134"/>
    <n v="116"/>
    <m/>
    <n v="0"/>
    <n v="0"/>
    <n v="4973544"/>
    <n v="4202100"/>
    <n v="0"/>
    <n v="0"/>
    <n v="134"/>
    <n v="668088"/>
    <n v="9746924.3697478995"/>
    <n v="35"/>
    <n v="21"/>
    <n v="3"/>
    <n v="0"/>
    <n v="0"/>
    <n v="0"/>
    <n v="779436"/>
    <n v="108675"/>
    <n v="0"/>
    <n v="0"/>
    <n v="21"/>
    <n v="668088"/>
    <n v="252075.63025210088"/>
    <n v="0"/>
    <n v="15"/>
    <n v="-4"/>
    <n v="0"/>
    <n v="0"/>
    <n v="0"/>
    <n v="556740"/>
    <n v="-144900"/>
    <n v="0"/>
    <n v="0"/>
    <n v="15"/>
    <n v="556740"/>
    <n v="-336100.84033613448"/>
    <n v="0"/>
    <n v="27"/>
    <n v="7.5"/>
    <n v="0"/>
    <n v="0"/>
    <n v="0"/>
    <n v="978075"/>
    <n v="271687.5"/>
    <n v="0"/>
    <n v="0"/>
    <n v="18"/>
    <n v="668088"/>
    <n v="630189.07563025213"/>
    <n v="16"/>
    <n v="19.5"/>
    <n v="16"/>
    <n v="0"/>
    <n v="0"/>
    <n v="0"/>
    <n v="0"/>
    <n v="706387.5"/>
    <n v="579600"/>
    <n v="0"/>
    <n v="0"/>
    <n v="19.5"/>
    <n v="706387.5"/>
    <n v="941042.01680672274"/>
    <n v="0"/>
    <n v="3.5"/>
    <n v="0"/>
    <m/>
    <n v="0"/>
    <n v="0"/>
    <n v="126787.5"/>
    <n v="0"/>
    <n v="0"/>
    <n v="0"/>
    <n v="3.5"/>
    <n v="126787.5"/>
    <n v="0"/>
    <n v="0"/>
    <n v="3.5"/>
    <n v="0"/>
    <n v="0"/>
    <n v="0"/>
    <n v="126787.5"/>
    <n v="0"/>
    <n v="0"/>
    <n v="0"/>
    <n v="3.5"/>
    <n v="126787.5"/>
    <n v="0"/>
    <n v="0"/>
    <n v="3.5"/>
    <n v="0"/>
    <n v="0"/>
    <m/>
    <n v="126787.5"/>
    <n v="0"/>
    <n v="0"/>
    <n v="3.5"/>
    <n v="126787.5"/>
    <n v="0"/>
  </r>
  <r>
    <s v="Levo-Pantallas"/>
    <x v="3"/>
    <x v="9"/>
    <x v="19"/>
    <s v="LVMONEXV-15"/>
    <x v="74"/>
    <x v="71"/>
    <x v="0"/>
    <x v="4"/>
    <n v="1"/>
    <x v="31"/>
    <n v="0"/>
    <m/>
    <n v="0"/>
    <n v="40422.5"/>
    <n v="0"/>
    <n v="37"/>
    <n v="40422.5"/>
    <n v="84025.210084033621"/>
    <n v="0"/>
    <s v="Shenzhen"/>
    <x v="0"/>
    <n v="30"/>
    <m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5"/>
    <n v="0"/>
    <n v="2"/>
    <n v="0"/>
    <n v="300"/>
    <n v="0"/>
    <n v="80845"/>
    <n v="0"/>
    <n v="80845"/>
    <n v="0"/>
    <n v="0"/>
    <n v="0"/>
    <n v="141218.84047736743"/>
    <n v="30"/>
    <n v="300"/>
    <n v="0"/>
    <n v="0"/>
    <n v="0"/>
    <n v="0"/>
    <n v="0"/>
    <n v="11488500"/>
    <n v="0"/>
    <n v="0"/>
    <n v="0"/>
    <n v="0"/>
    <n v="0"/>
    <n v="70"/>
    <n v="288"/>
    <n v="0"/>
    <n v="0"/>
    <n v="0"/>
    <n v="1914750"/>
    <n v="11641680"/>
    <n v="0"/>
    <n v="0"/>
    <n v="0"/>
    <n v="0"/>
    <n v="0"/>
    <n v="40"/>
    <n v="239"/>
    <n v="0"/>
    <n v="0"/>
    <n v="0"/>
    <n v="9152505"/>
    <n v="0"/>
    <x v="0"/>
    <x v="0"/>
    <n v="0"/>
    <n v="0"/>
    <n v="0"/>
    <n v="50"/>
    <n v="0"/>
    <n v="50"/>
    <m/>
    <n v="0"/>
    <n v="0"/>
    <n v="0"/>
    <n v="1914750"/>
    <x v="0"/>
    <n v="0"/>
    <n v="0"/>
    <n v="0"/>
    <n v="4201260.5042016814"/>
    <n v="85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n v="300"/>
    <n v="300"/>
    <n v="0"/>
    <n v="0"/>
    <n v="0"/>
    <n v="0"/>
    <n v="11488500"/>
    <n v="0"/>
    <n v="0"/>
    <n v="0"/>
    <n v="0"/>
    <n v="50"/>
    <n v="0"/>
    <n v="0"/>
    <m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30"/>
    <n v="0"/>
    <n v="30"/>
    <n v="0"/>
    <m/>
    <n v="0"/>
    <n v="1212675"/>
    <n v="0"/>
    <n v="0"/>
    <n v="0"/>
    <n v="2520756.3025210085"/>
  </r>
  <r>
    <s v="Levo-Pantallas"/>
    <x v="3"/>
    <x v="9"/>
    <x v="19"/>
    <s v="LVMONPOR-15"/>
    <x v="75"/>
    <x v="72"/>
    <x v="0"/>
    <x v="2"/>
    <n v="1"/>
    <x v="56"/>
    <n v="5"/>
    <m/>
    <n v="0"/>
    <n v="48233"/>
    <n v="241165"/>
    <n v="44.1"/>
    <n v="48179.249999999993"/>
    <n v="84025.210084033621"/>
    <n v="84025.210084033621"/>
    <s v="Shenzhen"/>
    <x v="0"/>
    <n v="30"/>
    <m/>
    <n v="300"/>
    <n v="25"/>
    <n v="0.39086430708274261"/>
    <n v="43"/>
    <n v="0.33865871033075673"/>
    <n v="95"/>
    <n v="0.46167887717073969"/>
    <n v="58"/>
    <n v="0.43359442511005492"/>
    <n v="50"/>
    <n v="0.52190787164890562"/>
    <n v="64"/>
    <n v="0.39455229072402126"/>
    <n v="4"/>
    <n v="0.4577506708131715"/>
    <n v="20"/>
    <n v="0.34711272166113233"/>
    <n v="26"/>
    <n v="0.50629934144902233"/>
    <n v="67"/>
    <n v="0.48384709029856782"/>
    <n v="66"/>
    <n v="0.36584954791704088"/>
    <n v="126"/>
    <n v="0.3833852911976865"/>
    <n v="13"/>
    <n v="0.38247642500452694"/>
    <n v="18"/>
    <n v="0.32786699254531187"/>
    <n v="63"/>
    <n v="0.47496813302048402"/>
    <n v="13"/>
    <n v="0.35429922735225783"/>
    <n v="0.8666666666666667"/>
    <n v="1"/>
    <n v="0.42596739673967393"/>
    <n v="1"/>
    <n v="0"/>
    <s v=""/>
    <n v="0"/>
    <n v="1"/>
    <n v="0.42596739673967393"/>
    <n v="0"/>
    <n v="0"/>
    <s v=""/>
    <n v="0"/>
    <n v="0"/>
    <s v=""/>
    <n v="0"/>
    <m/>
    <m/>
    <m/>
    <m/>
    <m/>
    <m/>
    <m/>
    <m/>
    <m/>
    <n v="40"/>
    <n v="106"/>
    <n v="15"/>
    <n v="0"/>
    <m/>
    <n v="0"/>
    <n v="5064465"/>
    <n v="4838211"/>
    <n v="723495"/>
    <n v="0"/>
    <n v="5"/>
    <n v="241165"/>
    <n v="1059141.3035802557"/>
    <n v="30"/>
    <n v="100"/>
    <n v="27"/>
    <n v="0"/>
    <m/>
    <n v="0"/>
    <n v="4967999"/>
    <n v="4564350"/>
    <n v="1302291"/>
    <n v="0"/>
    <n v="5"/>
    <n v="241165"/>
    <n v="1906454.3464444603"/>
    <n v="25"/>
    <n v="81"/>
    <n v="63"/>
    <n v="0"/>
    <n v="0"/>
    <n v="3711351.5"/>
    <n v="3906873"/>
    <n v="3038679"/>
    <n v="0"/>
    <n v="5"/>
    <n v="241165"/>
    <n v="5293588.2352941185"/>
    <n v="15"/>
    <n v="14"/>
    <n v="13"/>
    <n v="0"/>
    <n v="0"/>
    <n v="639009"/>
    <n v="627029"/>
    <x v="0"/>
    <x v="0"/>
    <n v="5"/>
    <n v="241165"/>
    <n v="1092327.7310924372"/>
    <n v="1"/>
    <n v="6"/>
    <n v="1"/>
    <m/>
    <n v="0"/>
    <n v="0"/>
    <n v="289398"/>
    <n v="45643.5"/>
    <x v="0"/>
    <n v="0"/>
    <n v="5"/>
    <n v="241165"/>
    <n v="84025.210084033621"/>
    <n v="0"/>
    <n v="5"/>
    <n v="0"/>
    <m/>
    <n v="0"/>
    <n v="0"/>
    <n v="241165"/>
    <n v="0"/>
    <n v="0"/>
    <n v="0"/>
    <n v="5"/>
    <n v="241165"/>
    <n v="0"/>
    <n v="0"/>
    <n v="6"/>
    <n v="1"/>
    <n v="0"/>
    <n v="0"/>
    <n v="0"/>
    <n v="289398"/>
    <n v="45643.5"/>
    <n v="0"/>
    <n v="0"/>
    <n v="6"/>
    <n v="241165"/>
    <n v="84025.210084033621"/>
    <n v="0"/>
    <n v="5"/>
    <n v="0"/>
    <n v="0"/>
    <n v="0"/>
    <n v="0"/>
    <n v="241165"/>
    <n v="0"/>
    <n v="0"/>
    <n v="0"/>
    <n v="5"/>
    <n v="241165"/>
    <n v="0"/>
    <n v="0"/>
    <n v="5"/>
    <n v="0"/>
    <n v="0"/>
    <n v="0"/>
    <n v="0"/>
    <n v="228217.5"/>
    <n v="0"/>
    <n v="0"/>
    <n v="0"/>
    <n v="5"/>
    <n v="241165"/>
    <n v="0"/>
    <n v="0"/>
    <n v="5"/>
    <n v="0"/>
    <n v="0"/>
    <n v="0"/>
    <n v="0"/>
    <m/>
    <n v="228217.5"/>
    <n v="0"/>
    <n v="0"/>
    <n v="0"/>
    <n v="5"/>
    <n v="228217.5"/>
    <n v="0"/>
    <n v="0"/>
    <n v="5"/>
    <n v="0"/>
    <m/>
    <n v="0"/>
    <n v="0"/>
    <n v="228217.5"/>
    <n v="0"/>
    <n v="0"/>
    <n v="0"/>
    <n v="5"/>
    <n v="228217.5"/>
    <n v="0"/>
    <n v="0"/>
    <n v="5"/>
    <n v="0"/>
    <n v="0"/>
    <n v="0"/>
    <n v="228217.5"/>
    <n v="0"/>
    <n v="0"/>
    <n v="0"/>
    <n v="5"/>
    <n v="228217.5"/>
    <n v="0"/>
    <n v="0"/>
    <n v="5"/>
    <n v="0"/>
    <n v="0"/>
    <m/>
    <n v="228217.5"/>
    <n v="0"/>
    <n v="0"/>
    <n v="5"/>
    <n v="228217.5"/>
    <n v="0"/>
  </r>
  <r>
    <s v="Levo-Pantallas"/>
    <x v="3"/>
    <x v="9"/>
    <x v="20"/>
    <s v="LVPANTOTPUB-43"/>
    <x v="76"/>
    <x v="73"/>
    <x v="0"/>
    <x v="1"/>
    <n v="1"/>
    <x v="57"/>
    <n v="5"/>
    <m/>
    <n v="0"/>
    <n v="387292"/>
    <n v="1936460"/>
    <n v="380"/>
    <n v="355062.5"/>
    <n v="756294.11764705891"/>
    <n v="697470.5882352941"/>
    <s v="Shenzhen"/>
    <x v="0"/>
    <n v="30"/>
    <m/>
    <n v="1"/>
    <n v="0"/>
    <s v=""/>
    <n v="0"/>
    <s v=""/>
    <n v="0"/>
    <s v=""/>
    <n v="0"/>
    <s v=""/>
    <n v="1"/>
    <n v="0.60956793061756842"/>
    <n v="1"/>
    <n v="0.60956793061756842"/>
    <n v="0"/>
    <s v=""/>
    <n v="0"/>
    <s v=""/>
    <n v="0"/>
    <s v=""/>
    <n v="4"/>
    <n v="0.45215503836609311"/>
    <n v="1"/>
    <n v="0.34780489832000394"/>
    <n v="0"/>
    <s v=""/>
    <n v="0"/>
    <s v=""/>
    <n v="2"/>
    <n v="0.54933538150423888"/>
    <n v="7"/>
    <n v="0.4994280636481816"/>
    <n v="9"/>
    <n v="0.46502921017556836"/>
    <n v="1.2857142857142858"/>
    <n v="4"/>
    <n v="0.54933520198093633"/>
    <n v="0.66666666666666663"/>
    <n v="1"/>
    <n v="0.20155675190668462"/>
    <n v="0.1"/>
    <n v="10"/>
    <n v="0.40400357564623368"/>
    <n v="1.4285714285714286"/>
    <n v="6"/>
    <n v="0.1765994639194281"/>
    <n v="0.8571428571428571"/>
    <n v="3"/>
    <n v="0.27851481744664747"/>
    <n v="0.6"/>
    <m/>
    <m/>
    <m/>
    <m/>
    <m/>
    <m/>
    <m/>
    <m/>
    <m/>
    <n v="1"/>
    <n v="0"/>
    <n v="1"/>
    <n v="3"/>
    <n v="3"/>
    <n v="0"/>
    <n v="4260212"/>
    <n v="0"/>
    <n v="387292"/>
    <n v="0"/>
    <n v="5"/>
    <n v="1936460"/>
    <n v="635541.27533366298"/>
    <n v="3"/>
    <n v="9"/>
    <n v="3"/>
    <n v="6"/>
    <n v="6"/>
    <n v="0"/>
    <n v="7358548"/>
    <n v="3539699.9999999995"/>
    <n v="1161876"/>
    <n v="0"/>
    <n v="5"/>
    <n v="1936460"/>
    <n v="1906623.8260009889"/>
    <n v="5"/>
    <n v="7"/>
    <n v="7"/>
    <n v="0"/>
    <n v="0"/>
    <n v="8556472"/>
    <n v="2711044"/>
    <n v="2711044"/>
    <n v="0"/>
    <n v="5"/>
    <n v="1936460"/>
    <n v="5294058.823529412"/>
    <n v="7"/>
    <n v="13"/>
    <n v="9"/>
    <n v="7"/>
    <n v="0"/>
    <n v="5112899.9999999991"/>
    <n v="3485628"/>
    <x v="15"/>
    <x v="0"/>
    <n v="5"/>
    <n v="1936460"/>
    <n v="6806647.0588235306"/>
    <n v="6"/>
    <n v="9"/>
    <n v="6"/>
    <n v="7"/>
    <n v="7"/>
    <n v="0"/>
    <n v="3485628"/>
    <n v="2359799.9999999995"/>
    <x v="6"/>
    <n v="0"/>
    <n v="5"/>
    <n v="1936460"/>
    <n v="4537764.7058823537"/>
    <n v="10"/>
    <n v="6"/>
    <n v="1"/>
    <m/>
    <n v="0"/>
    <n v="0"/>
    <n v="2323752"/>
    <n v="393299.99999999994"/>
    <n v="0"/>
    <n v="0"/>
    <n v="6"/>
    <n v="1936460"/>
    <n v="756294.11764705891"/>
    <n v="7"/>
    <n v="15"/>
    <n v="10"/>
    <n v="11"/>
    <n v="11"/>
    <n v="0"/>
    <n v="5809380"/>
    <n v="3932999.9999999995"/>
    <n v="4182089.9999999995"/>
    <n v="0"/>
    <n v="15"/>
    <n v="1936460"/>
    <n v="7562941.1764705889"/>
    <n v="7"/>
    <n v="11"/>
    <n v="6"/>
    <n v="10"/>
    <n v="10"/>
    <n v="0"/>
    <n v="4260212"/>
    <n v="2359799.9999999995"/>
    <n v="3932999.9999999995"/>
    <n v="0"/>
    <n v="11"/>
    <n v="4260212"/>
    <n v="4537764.7058823537"/>
    <n v="5"/>
    <n v="8"/>
    <n v="12"/>
    <n v="8"/>
    <n v="8"/>
    <n v="0"/>
    <n v="3146399.9999999995"/>
    <n v="4719599.9999999991"/>
    <n v="3146399.9999999995"/>
    <n v="0"/>
    <n v="5"/>
    <n v="1936460"/>
    <n v="9075529.4117647074"/>
    <n v="8"/>
    <n v="0"/>
    <n v="0"/>
    <n v="10"/>
    <n v="10"/>
    <n v="0"/>
    <n v="8"/>
    <n v="0"/>
    <n v="0"/>
    <n v="3932999.9999999995"/>
    <n v="0"/>
    <n v="0"/>
    <n v="0"/>
    <n v="0"/>
    <n v="10"/>
    <n v="0"/>
    <n v="10"/>
    <m/>
    <n v="0"/>
    <n v="10"/>
    <n v="0"/>
    <n v="3932999.9999999995"/>
    <n v="0"/>
    <n v="3932999.9999999995"/>
    <n v="10"/>
    <n v="3932999.9999999995"/>
    <n v="0"/>
    <n v="15"/>
    <n v="0"/>
    <n v="15"/>
    <n v="15"/>
    <n v="15"/>
    <n v="0"/>
    <n v="5899499.9999999991"/>
    <n v="5899499.9999999991"/>
    <n v="5899499.9999999991"/>
    <n v="15"/>
    <n v="5899499.9999999991"/>
    <n v="11344411.764705883"/>
    <n v="6"/>
    <n v="0"/>
    <n v="6"/>
    <n v="0"/>
    <m/>
    <n v="0"/>
    <n v="2323752"/>
    <n v="0"/>
    <n v="0"/>
    <n v="0"/>
    <n v="4537764.7058823537"/>
  </r>
  <r>
    <s v="Levo-Pantallas"/>
    <x v="3"/>
    <x v="9"/>
    <x v="20"/>
    <s v="LVPANTOTPUB-50"/>
    <x v="77"/>
    <x v="74"/>
    <x v="0"/>
    <x v="1"/>
    <n v="1"/>
    <x v="58"/>
    <n v="0"/>
    <m/>
    <n v="0"/>
    <n v="430970"/>
    <n v="0"/>
    <n v="435"/>
    <n v="415149.99999999994"/>
    <n v="840327.73109243705"/>
    <n v="714277.31092436973"/>
    <s v="Shenzhen"/>
    <x v="0"/>
    <n v="30"/>
    <m/>
    <n v="1"/>
    <n v="0"/>
    <s v=""/>
    <n v="0"/>
    <s v=""/>
    <n v="0"/>
    <s v=""/>
    <n v="0"/>
    <s v=""/>
    <n v="1"/>
    <n v="0.57707107937266933"/>
    <n v="0"/>
    <s v=""/>
    <n v="0"/>
    <s v=""/>
    <n v="0"/>
    <s v=""/>
    <n v="0"/>
    <s v=""/>
    <n v="3"/>
    <n v="0.45072683374454908"/>
    <n v="3"/>
    <n v="0.55303350645521909"/>
    <n v="0"/>
    <s v=""/>
    <n v="0"/>
    <s v=""/>
    <n v="0"/>
    <s v=""/>
    <n v="3"/>
    <n v="0.42044457351328762"/>
    <n v="8"/>
    <n v="0.4623781683929527"/>
    <n v="1.6"/>
    <n v="6"/>
    <n v="0.5606260514546717"/>
    <n v="1.2"/>
    <n v="0"/>
    <n v="-7.8686369999999988"/>
    <n v="0"/>
    <n v="10"/>
    <n v="0.35121190829961257"/>
    <n v="2"/>
    <n v="8"/>
    <n v="0.31555699507463081"/>
    <n v="1.6"/>
    <n v="0"/>
    <s v=""/>
    <n v="0"/>
    <m/>
    <m/>
    <m/>
    <m/>
    <m/>
    <m/>
    <m/>
    <m/>
    <m/>
    <n v="0"/>
    <n v="0"/>
    <n v="0"/>
    <n v="0"/>
    <m/>
    <n v="0"/>
    <n v="1292910"/>
    <n v="0"/>
    <n v="0"/>
    <n v="0"/>
    <n v="0"/>
    <n v="0"/>
    <n v="0"/>
    <n v="1"/>
    <n v="4"/>
    <n v="0"/>
    <n v="4"/>
    <n v="4"/>
    <n v="0"/>
    <n v="4740670"/>
    <n v="1800899.9999999998"/>
    <n v="0"/>
    <n v="0"/>
    <n v="0"/>
    <n v="0"/>
    <n v="0"/>
    <n v="3"/>
    <n v="4"/>
    <n v="3"/>
    <n v="0"/>
    <n v="0"/>
    <n v="6991795"/>
    <n v="1723880"/>
    <n v="1292910"/>
    <n v="0"/>
    <n v="0"/>
    <n v="0"/>
    <n v="2520983.193277311"/>
    <n v="5"/>
    <n v="15"/>
    <n v="8"/>
    <n v="7"/>
    <n v="0"/>
    <n v="6753374.9999999991"/>
    <n v="3447760"/>
    <x v="16"/>
    <x v="0"/>
    <n v="0"/>
    <n v="0"/>
    <n v="6722621.8487394964"/>
    <n v="5"/>
    <n v="6"/>
    <n v="5"/>
    <n v="7"/>
    <n v="7"/>
    <n v="0"/>
    <n v="2585820"/>
    <n v="2251124.9999999995"/>
    <x v="7"/>
    <n v="0"/>
    <n v="0"/>
    <n v="0"/>
    <n v="4201638.6554621849"/>
    <n v="7"/>
    <n v="0"/>
    <n v="0"/>
    <m/>
    <n v="0"/>
    <n v="0"/>
    <n v="0"/>
    <n v="0"/>
    <n v="0"/>
    <n v="0"/>
    <n v="0"/>
    <n v="0"/>
    <n v="0"/>
    <n v="5"/>
    <n v="10"/>
    <n v="10"/>
    <n v="12"/>
    <n v="12"/>
    <n v="0"/>
    <n v="4309700"/>
    <n v="4502249.9999999991"/>
    <n v="5222609.9999999991"/>
    <n v="0"/>
    <n v="10"/>
    <n v="0"/>
    <n v="8403277.3109243698"/>
    <n v="5"/>
    <n v="8"/>
    <n v="8"/>
    <n v="10"/>
    <n v="10"/>
    <n v="0"/>
    <n v="3447760"/>
    <n v="3601799.9999999995"/>
    <n v="4502249.9999999991"/>
    <n v="0"/>
    <n v="8"/>
    <n v="3447760"/>
    <n v="6722621.8487394964"/>
    <n v="5"/>
    <n v="0"/>
    <n v="0"/>
    <n v="0"/>
    <n v="0"/>
    <n v="0"/>
    <n v="0"/>
    <n v="0"/>
    <n v="0"/>
    <n v="0"/>
    <n v="0"/>
    <n v="0"/>
    <n v="0"/>
    <n v="10"/>
    <n v="0"/>
    <n v="0"/>
    <n v="10"/>
    <n v="10"/>
    <n v="0"/>
    <n v="0"/>
    <n v="0"/>
    <n v="0"/>
    <n v="4502249.9999999991"/>
    <n v="0"/>
    <n v="0"/>
    <n v="0"/>
    <n v="0"/>
    <n v="10"/>
    <n v="0"/>
    <n v="10"/>
    <m/>
    <n v="0"/>
    <n v="10"/>
    <n v="0"/>
    <n v="4502249.9999999991"/>
    <n v="0"/>
    <n v="4502249.9999999991"/>
    <n v="10"/>
    <n v="4502249.9999999991"/>
    <n v="0"/>
    <n v="15"/>
    <n v="0"/>
    <n v="15"/>
    <n v="15"/>
    <n v="15"/>
    <n v="0"/>
    <n v="6753374.9999999991"/>
    <n v="6753374.9999999991"/>
    <n v="6753374.9999999991"/>
    <n v="15"/>
    <n v="6753374.9999999991"/>
    <n v="12604915.966386557"/>
    <n v="6"/>
    <n v="0"/>
    <n v="6"/>
    <n v="0"/>
    <m/>
    <n v="0"/>
    <n v="2585820"/>
    <n v="0"/>
    <n v="0"/>
    <n v="0"/>
    <n v="5041966.3865546221"/>
  </r>
  <r>
    <s v="Levo-Perifericos de Computacion"/>
    <x v="3"/>
    <x v="10"/>
    <x v="21"/>
    <n v="1479750635184"/>
    <x v="78"/>
    <x v="75"/>
    <x v="0"/>
    <x v="0"/>
    <n v="1"/>
    <x v="31"/>
    <n v="53"/>
    <m/>
    <n v="0"/>
    <n v="2782"/>
    <n v="147446"/>
    <n v="2.6"/>
    <n v="2840.5"/>
    <n v="7554.6218487394963"/>
    <n v="6714.2857142857147"/>
    <s v="Shenzhen"/>
    <x v="1"/>
    <n v="30"/>
    <m/>
    <n v="200"/>
    <n v="139"/>
    <n v="0.59803282191536411"/>
    <n v="55"/>
    <n v="0.61844836002420933"/>
    <n v="62"/>
    <n v="0.60455991828934608"/>
    <n v="66"/>
    <n v="0.59375181985818426"/>
    <n v="281"/>
    <n v="0.55222085337552107"/>
    <n v="88"/>
    <n v="0.59428018950521"/>
    <n v="108"/>
    <n v="0.61152772703609914"/>
    <n v="103"/>
    <n v="0.60063967471981106"/>
    <n v="78"/>
    <n v="0.62167723350595439"/>
    <n v="96"/>
    <n v="0.60275518599984446"/>
    <n v="296"/>
    <n v="0.59777389292017957"/>
    <n v="41"/>
    <n v="0.72549534176546626"/>
    <n v="17"/>
    <n v="0.54392618319821218"/>
    <n v="21"/>
    <n v="0.43579983801780364"/>
    <n v="95"/>
    <n v="0.45030197444354353"/>
    <n v="79"/>
    <n v="0.41116960777717754"/>
    <n v="1.2153846153846153"/>
    <n v="193"/>
    <n v="0.53353684055793515"/>
    <n v="3.2166666666666668"/>
    <n v="201"/>
    <n v="0.39932756283942689"/>
    <n v="1.0049999999999999"/>
    <n v="0"/>
    <s v=""/>
    <n v="0"/>
    <n v="129"/>
    <n v="0.3841714657006236"/>
    <n v="0.86"/>
    <n v="89"/>
    <n v="0.33959330779765318"/>
    <n v="1.78"/>
    <m/>
    <m/>
    <m/>
    <m/>
    <m/>
    <m/>
    <m/>
    <m/>
    <m/>
    <n v="3"/>
    <n v="18"/>
    <n v="18"/>
    <n v="0"/>
    <m/>
    <n v="0"/>
    <n v="401999"/>
    <n v="48438"/>
    <n v="50076"/>
    <n v="0"/>
    <n v="53"/>
    <n v="147446"/>
    <n v="114271.59098933692"/>
    <n v="10"/>
    <n v="200"/>
    <n v="31.5"/>
    <n v="200"/>
    <n v="200"/>
    <n v="0"/>
    <n v="571701"/>
    <n v="538200"/>
    <n v="87633"/>
    <n v="0"/>
    <n v="53"/>
    <n v="147446"/>
    <n v="199975.28423133961"/>
    <n v="80"/>
    <n v="169"/>
    <n v="95"/>
    <n v="0"/>
    <n v="0"/>
    <n v="645528"/>
    <n v="470158"/>
    <n v="264290"/>
    <n v="0"/>
    <n v="53"/>
    <n v="147446"/>
    <n v="717689.07563025213"/>
    <n v="65"/>
    <n v="332"/>
    <n v="79"/>
    <n v="250"/>
    <n v="0"/>
    <n v="893412"/>
    <n v="219778"/>
    <x v="17"/>
    <x v="0"/>
    <n v="53"/>
    <n v="147446"/>
    <n v="596815.12605042022"/>
    <n v="60"/>
    <n v="246"/>
    <n v="60"/>
    <n v="200"/>
    <n v="200"/>
    <n v="0"/>
    <n v="684372"/>
    <n v="161460"/>
    <x v="8"/>
    <n v="0"/>
    <n v="53"/>
    <n v="147446"/>
    <n v="453277.31092436978"/>
    <n v="200"/>
    <n v="254"/>
    <n v="201"/>
    <m/>
    <n v="200"/>
    <n v="0"/>
    <n v="706628"/>
    <n v="540891"/>
    <n v="0"/>
    <n v="0"/>
    <n v="254"/>
    <n v="147446"/>
    <n v="1518478.9915966387"/>
    <n v="80"/>
    <n v="53"/>
    <n v="0"/>
    <n v="150"/>
    <n v="150"/>
    <n v="0"/>
    <n v="147446"/>
    <n v="0"/>
    <n v="390194.99999999994"/>
    <n v="0"/>
    <n v="53"/>
    <n v="147446"/>
    <n v="0"/>
    <n v="150"/>
    <n v="182"/>
    <n v="133"/>
    <n v="200"/>
    <n v="200"/>
    <n v="0"/>
    <n v="506324"/>
    <n v="357903"/>
    <n v="538200"/>
    <n v="0"/>
    <n v="182"/>
    <n v="506324"/>
    <n v="1004764.705882353"/>
    <n v="50"/>
    <n v="142"/>
    <n v="84"/>
    <n v="0"/>
    <n v="0"/>
    <n v="0"/>
    <n v="382122"/>
    <n v="226044"/>
    <n v="0"/>
    <n v="0"/>
    <n v="53"/>
    <n v="147446"/>
    <n v="634588.23529411771"/>
    <n v="100"/>
    <n v="58"/>
    <n v="58"/>
    <n v="0"/>
    <n v="0"/>
    <n v="0"/>
    <m/>
    <n v="156078"/>
    <n v="156078"/>
    <n v="0"/>
    <n v="0"/>
    <n v="58"/>
    <n v="156078"/>
    <n v="389428.57142857148"/>
    <n v="250"/>
    <n v="0"/>
    <n v="0"/>
    <n v="0"/>
    <n v="0"/>
    <n v="0"/>
    <n v="0"/>
    <n v="0"/>
    <n v="0"/>
    <n v="0"/>
    <n v="0"/>
    <n v="0"/>
    <n v="0"/>
    <n v="300"/>
    <n v="0"/>
    <n v="300"/>
    <n v="300"/>
    <n v="300"/>
    <n v="0"/>
    <n v="807300"/>
    <n v="807300"/>
    <n v="807300"/>
    <n v="300"/>
    <n v="807300"/>
    <n v="2266386.5546218487"/>
    <n v="150"/>
    <n v="0"/>
    <n v="150"/>
    <n v="0"/>
    <m/>
    <n v="0"/>
    <n v="417300"/>
    <n v="0"/>
    <n v="0"/>
    <n v="0"/>
    <n v="1133193.2773109244"/>
  </r>
  <r>
    <s v="Levo-Perifericos de Computacion"/>
    <x v="3"/>
    <x v="10"/>
    <x v="21"/>
    <n v="1658329968514"/>
    <x v="79"/>
    <x v="76"/>
    <x v="0"/>
    <x v="5"/>
    <n v="1"/>
    <x v="31"/>
    <n v="364"/>
    <m/>
    <n v="0"/>
    <n v="6308"/>
    <n v="2296112"/>
    <n v="6.35"/>
    <n v="6937.3749999999991"/>
    <n v="16798.319327731093"/>
    <n v="15117.64705882353"/>
    <s v="Shenzhen"/>
    <x v="0"/>
    <n v="30"/>
    <m/>
    <n v="200"/>
    <n v="46"/>
    <n v="0.63010443733361876"/>
    <n v="45"/>
    <n v="0.58522302309152885"/>
    <n v="31"/>
    <n v="0.59783314928121833"/>
    <n v="26"/>
    <n v="0.5834393546373281"/>
    <n v="133"/>
    <n v="0.47453756408339265"/>
    <n v="26"/>
    <n v="0.58152359537662413"/>
    <n v="22"/>
    <n v="0.59342642781369692"/>
    <n v="47"/>
    <n v="0.59886558031046333"/>
    <n v="24"/>
    <n v="0.60748847235970749"/>
    <n v="101"/>
    <n v="0.51266799626109549"/>
    <n v="151"/>
    <n v="0.57713647672524016"/>
    <n v="163"/>
    <n v="0.59792314082049391"/>
    <n v="15"/>
    <n v="0.43309403263294283"/>
    <n v="2"/>
    <n v="0.29640297722062559"/>
    <n v="0"/>
    <s v=""/>
    <n v="15"/>
    <n v="0.42701250894544407"/>
    <n v="1"/>
    <n v="35"/>
    <n v="0.61400249850625299"/>
    <n v="1.75"/>
    <n v="182"/>
    <n v="0.42276782591053408"/>
    <n v="1.82"/>
    <n v="0"/>
    <s v=""/>
    <n v="0"/>
    <n v="46"/>
    <n v="0.3258404996827074"/>
    <n v="0.57499999999999996"/>
    <n v="15"/>
    <n v="0.28015201196326484"/>
    <n v="0.5"/>
    <m/>
    <m/>
    <m/>
    <m/>
    <m/>
    <m/>
    <m/>
    <m/>
    <m/>
    <n v="5"/>
    <n v="2"/>
    <n v="2"/>
    <n v="0"/>
    <m/>
    <n v="0"/>
    <n v="31540"/>
    <n v="13144.499999999998"/>
    <n v="12616"/>
    <n v="0"/>
    <n v="364"/>
    <n v="2296112"/>
    <n v="28232.469458371586"/>
    <n v="0"/>
    <n v="3"/>
    <n v="3"/>
    <n v="0"/>
    <m/>
    <n v="0"/>
    <n v="113544"/>
    <n v="19716.749999999996"/>
    <n v="18924"/>
    <n v="0"/>
    <n v="364"/>
    <n v="2296112"/>
    <n v="42348.704187557378"/>
    <n v="0"/>
    <n v="0"/>
    <n v="0"/>
    <n v="0"/>
    <n v="0"/>
    <n v="226064.99999999997"/>
    <n v="0"/>
    <n v="0"/>
    <n v="0"/>
    <n v="364"/>
    <n v="2296112"/>
    <n v="0"/>
    <n v="15"/>
    <n v="383"/>
    <n v="15"/>
    <n v="200"/>
    <n v="0"/>
    <n v="2517171.7499999995"/>
    <n v="94620"/>
    <x v="18"/>
    <x v="0"/>
    <n v="364"/>
    <n v="2296112"/>
    <n v="251974.78991596639"/>
    <n v="20"/>
    <n v="399"/>
    <n v="20"/>
    <n v="200"/>
    <n v="200"/>
    <n v="0"/>
    <n v="2516892"/>
    <n v="131444.99999999997"/>
    <x v="9"/>
    <n v="0"/>
    <n v="364"/>
    <n v="2296112"/>
    <n v="335966.38655462186"/>
    <n v="100"/>
    <n v="546"/>
    <n v="182"/>
    <m/>
    <n v="0"/>
    <n v="0"/>
    <n v="3444168"/>
    <n v="1196149.4999999998"/>
    <n v="0"/>
    <n v="0"/>
    <n v="546"/>
    <n v="2296112"/>
    <n v="3057294.1176470588"/>
    <n v="30"/>
    <n v="364"/>
    <n v="0"/>
    <n v="130"/>
    <n v="130"/>
    <n v="0"/>
    <n v="2296112"/>
    <n v="0"/>
    <n v="825912.74999999988"/>
    <n v="0"/>
    <n v="364"/>
    <n v="2296112"/>
    <n v="0"/>
    <n v="80"/>
    <n v="410"/>
    <n v="47"/>
    <n v="170"/>
    <n v="170"/>
    <n v="0"/>
    <n v="2586280"/>
    <n v="308895.74999999994"/>
    <n v="1117282.4999999998"/>
    <n v="0"/>
    <n v="410"/>
    <n v="2586280"/>
    <n v="789521.00840336131"/>
    <n v="30"/>
    <n v="379"/>
    <n v="16.5"/>
    <n v="0"/>
    <n v="0"/>
    <n v="0"/>
    <n v="2490882.7499999995"/>
    <n v="108442.12499999999"/>
    <n v="0"/>
    <n v="0"/>
    <n v="364"/>
    <n v="2296112"/>
    <n v="277172.26890756306"/>
    <n v="150"/>
    <n v="362.5"/>
    <n v="150"/>
    <n v="0"/>
    <n v="0"/>
    <n v="0"/>
    <m/>
    <n v="2382440.6249999995"/>
    <n v="985837.49999999988"/>
    <n v="0"/>
    <n v="0"/>
    <n v="362.5"/>
    <n v="2382440.6249999995"/>
    <n v="2267647.0588235296"/>
    <n v="150"/>
    <n v="212.5"/>
    <n v="150"/>
    <m/>
    <n v="0"/>
    <n v="0"/>
    <n v="1396603.1249999998"/>
    <n v="985837.49999999988"/>
    <n v="0"/>
    <n v="0"/>
    <n v="212.5"/>
    <n v="1396603.1249999998"/>
    <n v="2267647.0588235296"/>
    <n v="200"/>
    <n v="62.5"/>
    <n v="200"/>
    <n v="200"/>
    <n v="200"/>
    <n v="410765.62499999994"/>
    <n v="1314449.9999999998"/>
    <n v="1314449.9999999998"/>
    <n v="1314449.9999999998"/>
    <n v="262.5"/>
    <n v="1725215.6249999998"/>
    <n v="3359663.8655462186"/>
    <n v="90"/>
    <n v="62.5"/>
    <n v="90"/>
    <n v="0"/>
    <m/>
    <n v="410765.62499999994"/>
    <n v="567720"/>
    <n v="0"/>
    <n v="62.5"/>
    <n v="410765.62499999994"/>
    <n v="1511848.7394957985"/>
  </r>
  <r>
    <s v="Levo-Perifericos de Computacion"/>
    <x v="3"/>
    <x v="10"/>
    <x v="21"/>
    <n v="1659990788079"/>
    <x v="80"/>
    <x v="77"/>
    <x v="0"/>
    <x v="0"/>
    <n v="1"/>
    <x v="31"/>
    <n v="65"/>
    <m/>
    <n v="0"/>
    <n v="6113"/>
    <n v="397345"/>
    <n v="7"/>
    <n v="7647.4999999999991"/>
    <n v="16798.319327731093"/>
    <n v="14277.310924369749"/>
    <s v="Shenzhen"/>
    <x v="0"/>
    <n v="30"/>
    <m/>
    <n v="200"/>
    <n v="87"/>
    <n v="0.44057182279091045"/>
    <n v="47"/>
    <n v="0.44081914356011498"/>
    <n v="4"/>
    <n v="0.48614852566436112"/>
    <n v="0"/>
    <n v="0.43473835164240493"/>
    <n v="0"/>
    <s v=""/>
    <n v="32"/>
    <n v="0.63173232033623428"/>
    <n v="23"/>
    <n v="0.62923806009628203"/>
    <n v="55"/>
    <n v="0.58825015697244754"/>
    <n v="34"/>
    <n v="0.58854311895391964"/>
    <n v="55"/>
    <n v="0.49665618913259346"/>
    <n v="109"/>
    <n v="0.47377281209470001"/>
    <n v="201"/>
    <n v="0.53469469937914149"/>
    <n v="3"/>
    <n v="0.46003517025509322"/>
    <n v="7"/>
    <n v="0.45346339238305378"/>
    <n v="38"/>
    <n v="0.43438046309819539"/>
    <n v="29"/>
    <n v="0.41653642227029786"/>
    <n v="0.72499999999999998"/>
    <n v="51"/>
    <n v="0.63302583128158441"/>
    <n v="1.2749999999999999"/>
    <n v="85"/>
    <n v="0.45429064560057353"/>
    <n v="1.2142857142857142"/>
    <n v="0"/>
    <s v=""/>
    <n v="0"/>
    <n v="1"/>
    <n v="0.46713006503251625"/>
    <n v="1.4285714285714285E-2"/>
    <n v="20"/>
    <n v="0.39482830186719903"/>
    <n v="0.5714285714285714"/>
    <m/>
    <m/>
    <m/>
    <m/>
    <m/>
    <m/>
    <m/>
    <m/>
    <m/>
    <n v="50"/>
    <n v="1"/>
    <n v="1"/>
    <n v="0"/>
    <m/>
    <n v="0"/>
    <n v="302593.5"/>
    <n v="7244.9999999999991"/>
    <n v="6113"/>
    <n v="0"/>
    <n v="65"/>
    <n v="397345"/>
    <n v="14116.234729185793"/>
    <n v="40"/>
    <n v="52"/>
    <n v="10.5"/>
    <n v="50"/>
    <n v="50"/>
    <n v="0"/>
    <n v="473757.5"/>
    <n v="376739.99999999994"/>
    <n v="64186.5"/>
    <n v="0"/>
    <n v="65"/>
    <n v="397345"/>
    <n v="148220.46465645081"/>
    <n v="20"/>
    <n v="41"/>
    <n v="38"/>
    <n v="0"/>
    <n v="0"/>
    <n v="699371"/>
    <n v="250633"/>
    <n v="232294"/>
    <n v="0"/>
    <n v="65"/>
    <n v="397345"/>
    <n v="638336.13445378153"/>
    <n v="40"/>
    <n v="153"/>
    <n v="29"/>
    <n v="150"/>
    <n v="0"/>
    <n v="1108484.9999999998"/>
    <n v="177277"/>
    <x v="19"/>
    <x v="0"/>
    <n v="65"/>
    <n v="397345"/>
    <n v="487151.26050420169"/>
    <n v="40"/>
    <n v="116"/>
    <n v="40"/>
    <m/>
    <n v="0"/>
    <n v="0"/>
    <n v="709108"/>
    <n v="289799.99999999994"/>
    <x v="0"/>
    <n v="0"/>
    <n v="65"/>
    <n v="397345"/>
    <n v="671932.77310924372"/>
    <n v="70"/>
    <n v="150"/>
    <n v="85"/>
    <m/>
    <n v="0"/>
    <n v="0"/>
    <n v="916950"/>
    <n v="615824.99999999988"/>
    <n v="0"/>
    <n v="0"/>
    <n v="150"/>
    <n v="397345"/>
    <n v="1427857.142857143"/>
    <n v="40"/>
    <n v="65"/>
    <n v="0"/>
    <n v="52"/>
    <n v="52"/>
    <n v="0"/>
    <n v="397345"/>
    <n v="0"/>
    <n v="364181.99999999994"/>
    <n v="0"/>
    <n v="65"/>
    <n v="397345"/>
    <n v="0"/>
    <n v="70"/>
    <n v="66"/>
    <n v="1"/>
    <n v="85"/>
    <n v="85"/>
    <n v="0"/>
    <n v="403458"/>
    <n v="7244.9999999999991"/>
    <n v="615824.99999999988"/>
    <n v="0"/>
    <n v="66"/>
    <n v="403458"/>
    <n v="16798.319327731093"/>
    <n v="35"/>
    <n v="85"/>
    <n v="6"/>
    <n v="0"/>
    <n v="0"/>
    <n v="0"/>
    <n v="615824.99999999988"/>
    <n v="43469.999999999993"/>
    <n v="0"/>
    <n v="0"/>
    <n v="65"/>
    <n v="397345"/>
    <n v="100789.91596638656"/>
    <n v="80"/>
    <n v="79"/>
    <n v="79"/>
    <n v="0"/>
    <n v="0"/>
    <n v="0"/>
    <n v="0"/>
    <n v="572354.99999999988"/>
    <n v="572354.99999999988"/>
    <n v="0"/>
    <n v="0"/>
    <n v="79"/>
    <n v="572354.99999999988"/>
    <n v="1127907.5630252103"/>
    <n v="100"/>
    <n v="0"/>
    <n v="0"/>
    <n v="0"/>
    <n v="0"/>
    <n v="0"/>
    <n v="0"/>
    <n v="0"/>
    <n v="0"/>
    <n v="0"/>
    <n v="0"/>
    <n v="0"/>
    <n v="0"/>
    <n v="200"/>
    <n v="0"/>
    <n v="200"/>
    <n v="250"/>
    <n v="250"/>
    <n v="0"/>
    <n v="1448999.9999999998"/>
    <n v="1811249.9999999998"/>
    <n v="1811249.9999999998"/>
    <n v="250"/>
    <n v="1811249.9999999998"/>
    <n v="3359663.8655462186"/>
    <n v="60"/>
    <n v="50"/>
    <n v="60"/>
    <n v="0"/>
    <m/>
    <n v="362249.99999999994"/>
    <n v="366780"/>
    <n v="0"/>
    <n v="50"/>
    <n v="362249.99999999994"/>
    <n v="1007899.1596638656"/>
  </r>
  <r>
    <s v="Levo-Perifericos de Computacion"/>
    <x v="3"/>
    <x v="10"/>
    <x v="21"/>
    <n v="1659990828178"/>
    <x v="81"/>
    <x v="78"/>
    <x v="0"/>
    <x v="0"/>
    <n v="1"/>
    <x v="31"/>
    <n v="33"/>
    <m/>
    <n v="0"/>
    <n v="7525"/>
    <n v="248325"/>
    <n v="4.5"/>
    <n v="4812.75"/>
    <n v="16798.319327731093"/>
    <n v="14277.310924369749"/>
    <s v="Shenzhen"/>
    <x v="0"/>
    <n v="30"/>
    <m/>
    <n v="50"/>
    <n v="34"/>
    <n v="0.51441136956283984"/>
    <n v="61"/>
    <n v="0.49768274955744546"/>
    <n v="72"/>
    <n v="0.50315475998610126"/>
    <n v="50"/>
    <n v="0.51940022934733576"/>
    <n v="36"/>
    <n v="0.55677626026880001"/>
    <n v="100"/>
    <n v="0.52831329314068065"/>
    <n v="60"/>
    <n v="0.52113993350516785"/>
    <n v="58"/>
    <n v="0.52360138194715555"/>
    <n v="2"/>
    <n v="0.42156571469678439"/>
    <n v="91"/>
    <n v="0.40168600278656463"/>
    <n v="169"/>
    <n v="0.38894079188769071"/>
    <n v="76"/>
    <n v="0.42796582247993653"/>
    <n v="1"/>
    <n v="0.35696214794537806"/>
    <n v="7"/>
    <n v="0.42527932341988878"/>
    <n v="54"/>
    <n v="0.40311471989269126"/>
    <n v="83"/>
    <n v="0.39401725043740066"/>
    <n v="1.66"/>
    <n v="33"/>
    <n v="0.57967481277678867"/>
    <n v="0.82499999999999996"/>
    <n v="38"/>
    <n v="0.428320947920865"/>
    <n v="0.6333333333333333"/>
    <n v="0"/>
    <s v=""/>
    <n v="0"/>
    <n v="1"/>
    <n v="0.21859329664832416"/>
    <n v="1.6666666666666666E-2"/>
    <n v="28"/>
    <n v="0.27990132363045023"/>
    <n v="0.93333333333333335"/>
    <m/>
    <m/>
    <m/>
    <m/>
    <m/>
    <m/>
    <m/>
    <m/>
    <m/>
    <n v="0"/>
    <n v="0"/>
    <n v="0"/>
    <n v="0"/>
    <m/>
    <n v="0"/>
    <n v="485362.5"/>
    <n v="0"/>
    <n v="0"/>
    <n v="0"/>
    <n v="33"/>
    <n v="248325"/>
    <n v="0"/>
    <n v="40"/>
    <n v="99"/>
    <n v="10.5"/>
    <n v="100"/>
    <n v="100"/>
    <n v="0"/>
    <n v="1109937.5"/>
    <n v="461092.5"/>
    <n v="79012.5"/>
    <n v="0"/>
    <n v="33"/>
    <n v="248325"/>
    <n v="148220.46465645081"/>
    <n v="40"/>
    <n v="93"/>
    <n v="54"/>
    <n v="0"/>
    <n v="0"/>
    <n v="1217225"/>
    <n v="699825"/>
    <n v="406350"/>
    <n v="0"/>
    <n v="33"/>
    <n v="248325"/>
    <n v="907109.24369747902"/>
    <n v="50"/>
    <n v="127"/>
    <n v="83"/>
    <n v="95"/>
    <n v="0"/>
    <n v="591502.5"/>
    <n v="624575"/>
    <x v="20"/>
    <x v="0"/>
    <n v="33"/>
    <n v="248325"/>
    <n v="1394260.5042016807"/>
    <n v="40"/>
    <n v="66"/>
    <n v="40"/>
    <m/>
    <n v="0"/>
    <n v="0"/>
    <n v="496650"/>
    <n v="186300"/>
    <x v="0"/>
    <n v="0"/>
    <n v="33"/>
    <n v="248325"/>
    <n v="671932.77310924372"/>
    <n v="60"/>
    <n v="71"/>
    <n v="38"/>
    <m/>
    <n v="0"/>
    <n v="0"/>
    <n v="534275"/>
    <n v="176985"/>
    <n v="0"/>
    <n v="0"/>
    <n v="71"/>
    <n v="248325"/>
    <n v="638336.13445378153"/>
    <n v="50"/>
    <n v="33"/>
    <n v="0"/>
    <n v="75"/>
    <n v="75"/>
    <n v="0"/>
    <n v="248325"/>
    <n v="0"/>
    <n v="337668.75"/>
    <n v="0"/>
    <n v="33"/>
    <n v="248325"/>
    <n v="0"/>
    <n v="60"/>
    <n v="34"/>
    <n v="1"/>
    <n v="50"/>
    <n v="50"/>
    <n v="0"/>
    <n v="255850"/>
    <n v="4657.5"/>
    <n v="232875"/>
    <n v="0"/>
    <n v="34"/>
    <n v="255850"/>
    <n v="16798.319327731093"/>
    <n v="30"/>
    <n v="61"/>
    <n v="6"/>
    <n v="50"/>
    <n v="50"/>
    <n v="0"/>
    <n v="284107.5"/>
    <n v="27945"/>
    <n v="232875"/>
    <n v="0"/>
    <n v="33"/>
    <n v="248325"/>
    <n v="100789.91596638656"/>
    <n v="150"/>
    <n v="55"/>
    <n v="55"/>
    <n v="0"/>
    <n v="0"/>
    <n v="0"/>
    <n v="50"/>
    <n v="256162.5"/>
    <n v="256162.5"/>
    <n v="0"/>
    <n v="0"/>
    <n v="55"/>
    <n v="256162.5"/>
    <n v="785252.10084033618"/>
    <n v="150"/>
    <n v="0"/>
    <n v="50"/>
    <m/>
    <n v="0"/>
    <n v="50"/>
    <n v="0"/>
    <n v="232875"/>
    <n v="0"/>
    <n v="232875"/>
    <n v="50"/>
    <n v="232875"/>
    <n v="0"/>
    <n v="250"/>
    <n v="0"/>
    <n v="250"/>
    <n v="300"/>
    <n v="300"/>
    <n v="0"/>
    <n v="1164375"/>
    <n v="1397250"/>
    <n v="1397250"/>
    <n v="300"/>
    <n v="1397250"/>
    <n v="4199579.8319327729"/>
    <n v="90"/>
    <n v="50"/>
    <n v="90"/>
    <n v="0"/>
    <m/>
    <n v="232875"/>
    <n v="677250"/>
    <n v="0"/>
    <n v="50"/>
    <n v="232875"/>
    <n v="1511848.7394957985"/>
  </r>
  <r>
    <s v="Levo-Perifericos de Computacion"/>
    <x v="3"/>
    <x v="10"/>
    <x v="21"/>
    <n v="66436804863605"/>
    <x v="82"/>
    <x v="79"/>
    <x v="0"/>
    <x v="5"/>
    <n v="1"/>
    <x v="31"/>
    <n v="47"/>
    <m/>
    <n v="0"/>
    <n v="7517"/>
    <n v="353299"/>
    <n v="4.5"/>
    <n v="4812.75"/>
    <n v="16798.319327731093"/>
    <n v="14277.310924369749"/>
    <s v="Shenzhen"/>
    <x v="0"/>
    <n v="30"/>
    <m/>
    <n v="50"/>
    <n v="13"/>
    <n v="0.51735783446053041"/>
    <n v="29"/>
    <n v="0.49145999728059175"/>
    <n v="39"/>
    <n v="0.4866759704352972"/>
    <n v="34"/>
    <n v="0.47912514530447475"/>
    <n v="9"/>
    <n v="0.47298282969836325"/>
    <n v="36"/>
    <n v="0.50748685201616794"/>
    <n v="25"/>
    <n v="0.53547571551810891"/>
    <n v="29"/>
    <n v="0.52320248551710902"/>
    <n v="41"/>
    <n v="0.5189823374777317"/>
    <n v="58"/>
    <n v="0.41384273566748686"/>
    <n v="28"/>
    <n v="0.42143670771593517"/>
    <n v="16"/>
    <n v="0.41433620665226811"/>
    <n v="0"/>
    <s v=""/>
    <n v="9"/>
    <n v="0.43822524504281551"/>
    <n v="25"/>
    <n v="0.39245635243672505"/>
    <n v="31"/>
    <n v="0.40041193017869259"/>
    <n v="1.0333333333333334"/>
    <n v="66"/>
    <n v="0.55510629825917679"/>
    <n v="2.64"/>
    <n v="39"/>
    <n v="0.32465104999636391"/>
    <n v="1.1142857142857143"/>
    <n v="0"/>
    <s v=""/>
    <n v="0"/>
    <n v="0"/>
    <s v=""/>
    <n v="0"/>
    <n v="24"/>
    <n v="0.24059449960007978"/>
    <n v="1.6"/>
    <m/>
    <m/>
    <m/>
    <m/>
    <m/>
    <m/>
    <m/>
    <m/>
    <m/>
    <n v="30"/>
    <n v="9"/>
    <n v="30"/>
    <n v="60"/>
    <n v="60"/>
    <n v="0"/>
    <n v="514914.5"/>
    <n v="41917.5"/>
    <n v="225510"/>
    <n v="0"/>
    <n v="47"/>
    <n v="353299"/>
    <n v="423487.04187557381"/>
    <n v="25"/>
    <n v="146"/>
    <n v="13.5"/>
    <n v="75"/>
    <n v="75"/>
    <n v="0"/>
    <n v="522431.5"/>
    <n v="679995"/>
    <n v="101479.5"/>
    <n v="0"/>
    <n v="47"/>
    <n v="353299"/>
    <n v="190569.16884400821"/>
    <n v="20"/>
    <n v="129"/>
    <n v="25"/>
    <n v="0"/>
    <n v="0"/>
    <n v="537389.5"/>
    <n v="969693"/>
    <n v="187925"/>
    <n v="0"/>
    <n v="47"/>
    <n v="353299"/>
    <n v="419957.98319327732"/>
    <n v="30"/>
    <n v="142"/>
    <n v="31"/>
    <n v="30"/>
    <n v="0"/>
    <n v="661365"/>
    <n v="233027"/>
    <x v="21"/>
    <x v="0"/>
    <n v="47"/>
    <n v="353299"/>
    <n v="520747.89915966388"/>
    <n v="25"/>
    <n v="113"/>
    <n v="25"/>
    <m/>
    <n v="0"/>
    <n v="0"/>
    <n v="849421"/>
    <n v="116437.5"/>
    <x v="0"/>
    <n v="0"/>
    <n v="47"/>
    <n v="353299"/>
    <n v="419957.98319327732"/>
    <n v="35"/>
    <n v="86"/>
    <n v="39"/>
    <m/>
    <n v="0"/>
    <n v="0"/>
    <n v="646462"/>
    <n v="181642.5"/>
    <n v="0"/>
    <n v="0"/>
    <n v="86"/>
    <n v="353299"/>
    <n v="655134.45378151257"/>
    <n v="25"/>
    <n v="47"/>
    <n v="0"/>
    <n v="0"/>
    <n v="0"/>
    <n v="0"/>
    <n v="353299"/>
    <n v="0"/>
    <n v="0"/>
    <n v="0"/>
    <n v="47"/>
    <n v="353299"/>
    <n v="0"/>
    <n v="40"/>
    <n v="47"/>
    <n v="0"/>
    <n v="50"/>
    <n v="50"/>
    <n v="0"/>
    <n v="353299"/>
    <n v="0"/>
    <n v="232875"/>
    <n v="0"/>
    <n v="47"/>
    <n v="353299"/>
    <n v="0"/>
    <n v="15"/>
    <n v="71"/>
    <n v="12"/>
    <n v="50"/>
    <n v="50"/>
    <n v="0"/>
    <n v="330682.5"/>
    <n v="55890"/>
    <n v="232875"/>
    <n v="0"/>
    <n v="47"/>
    <n v="353299"/>
    <n v="201579.83193277312"/>
    <n v="70"/>
    <n v="59"/>
    <n v="59"/>
    <n v="0"/>
    <n v="0"/>
    <n v="0"/>
    <n v="50"/>
    <n v="274792.5"/>
    <n v="274792.5"/>
    <n v="0"/>
    <n v="0"/>
    <n v="59"/>
    <n v="274792.5"/>
    <n v="842361.3445378152"/>
    <n v="60"/>
    <n v="0"/>
    <n v="50"/>
    <m/>
    <n v="0"/>
    <n v="50"/>
    <n v="0"/>
    <n v="232875"/>
    <n v="0"/>
    <n v="232875"/>
    <n v="50"/>
    <n v="232875"/>
    <n v="0"/>
    <n v="80"/>
    <n v="0"/>
    <n v="80"/>
    <n v="100"/>
    <n v="100"/>
    <n v="0"/>
    <n v="372600"/>
    <n v="465750"/>
    <n v="465750"/>
    <n v="100"/>
    <n v="465750"/>
    <n v="1343865.5462184874"/>
    <n v="36"/>
    <n v="20"/>
    <n v="36"/>
    <n v="0"/>
    <m/>
    <n v="93150"/>
    <n v="270612"/>
    <n v="0"/>
    <n v="20"/>
    <n v="93150"/>
    <n v="604739.49579831935"/>
  </r>
  <r>
    <s v="Levo-Perifericos de Computacion"/>
    <x v="3"/>
    <x v="10"/>
    <x v="21"/>
    <s v="LVAUDGM-BK"/>
    <x v="83"/>
    <x v="80"/>
    <x v="0"/>
    <x v="1"/>
    <n v="1"/>
    <x v="59"/>
    <n v="1010"/>
    <m/>
    <n v="0"/>
    <n v="17868"/>
    <n v="18046680"/>
    <n v="17"/>
    <n v="18572.5"/>
    <n v="37806.722689075636"/>
    <n v="31924.36974789916"/>
    <s v="Shenzhen"/>
    <x v="0"/>
    <n v="45"/>
    <n v="60"/>
    <n v="1000"/>
    <n v="0"/>
    <s v=""/>
    <n v="0"/>
    <s v=""/>
    <n v="16"/>
    <n v="0.30542992034485911"/>
    <n v="23"/>
    <n v="0.31762034328764427"/>
    <n v="34"/>
    <n v="0.56337821191988169"/>
    <n v="85"/>
    <n v="0.53176576076061421"/>
    <n v="87"/>
    <n v="0.54798197905348467"/>
    <n v="128"/>
    <n v="0.52531330924968622"/>
    <n v="42"/>
    <n v="0.56137079282011759"/>
    <n v="96"/>
    <n v="0.47076461710617273"/>
    <n v="134"/>
    <n v="0.48374569926087185"/>
    <n v="309"/>
    <n v="0.49521197365852915"/>
    <n v="53"/>
    <n v="0.36644051515301701"/>
    <n v="107"/>
    <n v="0.30390444510406034"/>
    <n v="143"/>
    <n v="0.30633078706025818"/>
    <n v="110"/>
    <n v="0.32425163645810484"/>
    <n v="1.1000000000000001"/>
    <n v="91"/>
    <n v="0.54143288698927494"/>
    <n v="0.91"/>
    <n v="337"/>
    <n v="0.13658538792774508"/>
    <n v="1.6850000000000001"/>
    <n v="171"/>
    <n v="0.49001453267732459"/>
    <n v="1.1399999999999999"/>
    <n v="12"/>
    <n v="0.37665330107615996"/>
    <n v="0.10909090909090909"/>
    <n v="24"/>
    <n v="0.40584233528860852"/>
    <n v="0.34285714285714286"/>
    <m/>
    <m/>
    <m/>
    <m/>
    <m/>
    <m/>
    <m/>
    <m/>
    <m/>
    <n v="100"/>
    <n v="993"/>
    <n v="50"/>
    <n v="0"/>
    <n v="633"/>
    <n v="0"/>
    <n v="6316338"/>
    <n v="17471835"/>
    <n v="893400"/>
    <n v="0"/>
    <n v="1010"/>
    <n v="18046680"/>
    <n v="1588517.760045195"/>
    <n v="100"/>
    <n v="1005"/>
    <n v="160.5"/>
    <n v="0"/>
    <m/>
    <n v="0"/>
    <n v="7388418"/>
    <n v="17682975"/>
    <n v="2867814"/>
    <n v="0"/>
    <n v="1010"/>
    <n v="18046680"/>
    <n v="5099142.0097450754"/>
    <n v="150"/>
    <n v="822"/>
    <n v="143"/>
    <n v="0"/>
    <n v="0"/>
    <n v="6280104"/>
    <n v="14687496"/>
    <n v="2555124"/>
    <n v="0"/>
    <n v="1010"/>
    <n v="18046680"/>
    <n v="5406361.344537816"/>
    <n v="100"/>
    <n v="714"/>
    <n v="110"/>
    <n v="0"/>
    <n v="0"/>
    <n v="12562830"/>
    <n v="1965480"/>
    <x v="0"/>
    <x v="0"/>
    <n v="1010"/>
    <n v="18046680"/>
    <n v="4158739.49579832"/>
    <n v="100"/>
    <n v="1101"/>
    <n v="100"/>
    <m/>
    <n v="0"/>
    <n v="0"/>
    <n v="19672668"/>
    <n v="1759500"/>
    <x v="0"/>
    <n v="0"/>
    <n v="1010"/>
    <n v="18046680"/>
    <n v="3780672.2689075638"/>
    <n v="200"/>
    <n v="1347"/>
    <n v="337"/>
    <m/>
    <n v="0"/>
    <n v="0"/>
    <n v="24068196"/>
    <n v="5929515"/>
    <n v="0"/>
    <n v="0"/>
    <n v="1347"/>
    <n v="18046680"/>
    <n v="12740865.546218488"/>
    <n v="150"/>
    <n v="1181"/>
    <n v="171"/>
    <n v="0"/>
    <n v="0"/>
    <n v="0"/>
    <n v="21102108"/>
    <n v="3008745"/>
    <n v="0"/>
    <n v="0"/>
    <n v="1181"/>
    <n v="18046680"/>
    <n v="6464949.5798319336"/>
    <n v="110"/>
    <n v="1022"/>
    <n v="12"/>
    <n v="1000"/>
    <n v="1000"/>
    <n v="0"/>
    <n v="18261096"/>
    <n v="211140"/>
    <n v="17595000"/>
    <n v="0"/>
    <n v="1022"/>
    <n v="18261096"/>
    <n v="453680.67226890766"/>
    <n v="70"/>
    <n v="1034"/>
    <n v="31.5"/>
    <n v="0"/>
    <n v="0"/>
    <n v="0"/>
    <n v="18193230"/>
    <n v="554242.5"/>
    <n v="0"/>
    <n v="0"/>
    <n v="1010"/>
    <n v="18046680"/>
    <n v="1190911.7647058824"/>
    <n v="330"/>
    <n v="1002.5"/>
    <n v="330"/>
    <n v="0"/>
    <n v="0"/>
    <n v="0"/>
    <m/>
    <n v="17638987.5"/>
    <n v="5806350"/>
    <n v="0"/>
    <n v="0"/>
    <n v="1002.5"/>
    <n v="17638987.5"/>
    <n v="10535042.016806724"/>
    <n v="200"/>
    <n v="672.5"/>
    <n v="200"/>
    <m/>
    <n v="0"/>
    <n v="0"/>
    <n v="11832637.5"/>
    <n v="3519000"/>
    <n v="0"/>
    <n v="0"/>
    <n v="672.5"/>
    <n v="11832637.5"/>
    <n v="6384873.9495798321"/>
    <n v="400"/>
    <n v="472.5"/>
    <n v="400"/>
    <n v="0"/>
    <n v="0"/>
    <n v="8313637.5"/>
    <n v="7038000"/>
    <n v="0"/>
    <n v="0"/>
    <n v="472.5"/>
    <n v="8313637.5"/>
    <n v="15122689.075630255"/>
    <n v="120"/>
    <n v="72.5"/>
    <n v="120"/>
    <n v="1000"/>
    <m/>
    <n v="1275637.5"/>
    <n v="2144160"/>
    <n v="0"/>
    <n v="72.5"/>
    <n v="1275637.5"/>
    <n v="4536806.7226890763"/>
  </r>
  <r>
    <s v="Levo-Perifericos de Computacion"/>
    <x v="3"/>
    <x v="10"/>
    <x v="21"/>
    <s v="LVAUDGM-WH"/>
    <x v="84"/>
    <x v="81"/>
    <x v="0"/>
    <x v="1"/>
    <n v="1"/>
    <x v="60"/>
    <n v="18"/>
    <m/>
    <n v="0"/>
    <n v="17185"/>
    <n v="309330"/>
    <n v="17.2"/>
    <n v="18791"/>
    <n v="42008.403361344543"/>
    <n v="37806.722689075636"/>
    <s v="Shenzhen"/>
    <x v="0"/>
    <n v="45"/>
    <n v="60"/>
    <n v="1000"/>
    <m/>
    <m/>
    <m/>
    <m/>
    <m/>
    <m/>
    <m/>
    <m/>
    <m/>
    <m/>
    <m/>
    <m/>
    <m/>
    <m/>
    <m/>
    <m/>
    <m/>
    <m/>
    <m/>
    <m/>
    <n v="0"/>
    <s v=""/>
    <n v="0"/>
    <s v=""/>
    <n v="2"/>
    <n v="0.34983740771820293"/>
    <n v="34"/>
    <n v="0.27456664565154693"/>
    <n v="68"/>
    <n v="0.26591730224036386"/>
    <n v="59"/>
    <n v="0.34180855473006283"/>
    <n v="0.98333333333333328"/>
    <n v="43"/>
    <n v="0.5433322081253863"/>
    <n v="0.66153846153846152"/>
    <n v="66"/>
    <n v="0.37162959170688831"/>
    <n v="0.77647058823529413"/>
    <n v="95"/>
    <n v="0.54019416466968428"/>
    <n v="1.5833333333333333"/>
    <n v="102"/>
    <n v="0.38251673633646105"/>
    <n v="1.4571428571428571"/>
    <n v="17"/>
    <n v="0.42362719948903815"/>
    <n v="0.48571428571428571"/>
    <m/>
    <m/>
    <m/>
    <m/>
    <m/>
    <m/>
    <m/>
    <m/>
    <m/>
    <n v="30"/>
    <n v="500"/>
    <n v="10"/>
    <n v="0"/>
    <m/>
    <n v="0"/>
    <n v="2216865"/>
    <n v="8901000"/>
    <n v="171850"/>
    <n v="0"/>
    <n v="18"/>
    <n v="309330"/>
    <n v="353011.79295247514"/>
    <n v="50"/>
    <n v="498"/>
    <n v="51"/>
    <n v="0"/>
    <m/>
    <n v="0"/>
    <n v="3058930"/>
    <n v="8865396"/>
    <n v="876435"/>
    <n v="0"/>
    <n v="18"/>
    <n v="309330"/>
    <n v="1800360.1440576233"/>
    <n v="75"/>
    <n v="439"/>
    <n v="68"/>
    <n v="0"/>
    <n v="0"/>
    <n v="3339625"/>
    <n v="7544215"/>
    <n v="1168580"/>
    <n v="0"/>
    <n v="18"/>
    <n v="309330"/>
    <n v="2856571.4285714291"/>
    <n v="60"/>
    <n v="393"/>
    <n v="59"/>
    <n v="0"/>
    <n v="0"/>
    <n v="6996186"/>
    <n v="1013915"/>
    <x v="0"/>
    <x v="0"/>
    <n v="18"/>
    <n v="309330"/>
    <n v="2478495.7983193281"/>
    <n v="65"/>
    <n v="61"/>
    <n v="65"/>
    <m/>
    <n v="0"/>
    <n v="0"/>
    <n v="1048285"/>
    <n v="1157130"/>
    <x v="0"/>
    <n v="0"/>
    <n v="18"/>
    <n v="309330"/>
    <n v="2730546.2184873954"/>
    <n v="85"/>
    <n v="84"/>
    <n v="66"/>
    <m/>
    <n v="0"/>
    <n v="0"/>
    <n v="1443540"/>
    <n v="1174932"/>
    <n v="0"/>
    <n v="0"/>
    <n v="84"/>
    <n v="309330"/>
    <n v="2772554.6218487397"/>
    <n v="60"/>
    <n v="113"/>
    <n v="95"/>
    <n v="0"/>
    <n v="0"/>
    <n v="0"/>
    <n v="1941905"/>
    <n v="1691190"/>
    <n v="0"/>
    <n v="0"/>
    <n v="113"/>
    <n v="309330"/>
    <n v="3990798.3193277316"/>
    <n v="70"/>
    <n v="120"/>
    <n v="105"/>
    <n v="0"/>
    <n v="0"/>
    <n v="0"/>
    <n v="2062200"/>
    <n v="1869210"/>
    <n v="0"/>
    <n v="0"/>
    <n v="120"/>
    <n v="2062200"/>
    <n v="4410882.3529411769"/>
    <n v="35"/>
    <n v="35"/>
    <n v="27"/>
    <n v="0"/>
    <n v="0"/>
    <n v="0"/>
    <n v="623070"/>
    <n v="480654"/>
    <n v="0"/>
    <n v="0"/>
    <n v="18"/>
    <n v="309330"/>
    <n v="1134226.8907563027"/>
    <n v="120"/>
    <n v="8"/>
    <n v="8"/>
    <n v="1000"/>
    <n v="1000"/>
    <n v="0"/>
    <n v="0"/>
    <n v="142416"/>
    <n v="142416"/>
    <n v="17802000"/>
    <n v="0"/>
    <n v="8"/>
    <n v="142416"/>
    <n v="302453.78151260508"/>
    <n v="150"/>
    <n v="0"/>
    <n v="0"/>
    <m/>
    <n v="1000"/>
    <n v="0"/>
    <n v="0"/>
    <n v="0"/>
    <n v="0"/>
    <n v="0"/>
    <n v="0"/>
    <n v="0"/>
    <n v="0"/>
    <n v="200"/>
    <n v="0"/>
    <n v="0"/>
    <n v="0"/>
    <n v="0"/>
    <n v="0"/>
    <n v="0"/>
    <n v="0"/>
    <n v="0"/>
    <n v="0"/>
    <n v="0"/>
    <n v="0"/>
    <n v="90"/>
    <n v="0"/>
    <n v="90"/>
    <n v="0"/>
    <m/>
    <n v="0"/>
    <n v="1546650"/>
    <n v="0"/>
    <n v="0"/>
    <n v="0"/>
    <n v="3780756.302521009"/>
  </r>
  <r>
    <s v="Levo-Perifericos de Computacion"/>
    <x v="3"/>
    <x v="10"/>
    <x v="21"/>
    <s v="LVCONJOY-RB"/>
    <x v="85"/>
    <x v="82"/>
    <x v="0"/>
    <x v="4"/>
    <n v="1"/>
    <x v="61"/>
    <n v="2"/>
    <m/>
    <n v="0"/>
    <n v="9244"/>
    <n v="18488"/>
    <n v="9.5"/>
    <n v="10160.25"/>
    <n v="25614.0756302521"/>
    <n v="21771.964285714286"/>
    <s v="Shenzhen"/>
    <x v="0"/>
    <n v="30"/>
    <n v="0"/>
    <n v="200"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n v="0"/>
    <s v=""/>
    <n v="0"/>
    <n v="0"/>
    <s v=""/>
    <n v="0"/>
    <n v="42"/>
    <n v="0.61883483307084142"/>
    <n v="4.2"/>
    <n v="163"/>
    <n v="0.38633272086042708"/>
    <n v="1.3583333333333334"/>
    <n v="-3"/>
    <n v="0.6290802517702595"/>
    <n v="-0.15"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2"/>
    <n v="18488"/>
    <n v="0"/>
    <n v="0"/>
    <n v="0"/>
    <n v="0"/>
    <n v="0"/>
    <n v="0"/>
    <n v="0"/>
    <n v="0"/>
    <n v="0"/>
    <n v="0"/>
    <n v="2"/>
    <n v="18488"/>
    <n v="0"/>
    <n v="0"/>
    <n v="0"/>
    <n v="0"/>
    <n v="0"/>
    <n v="0"/>
    <n v="0"/>
    <n v="0"/>
    <x v="0"/>
    <x v="0"/>
    <n v="2"/>
    <n v="18488"/>
    <n v="0"/>
    <n v="0"/>
    <n v="2"/>
    <n v="0"/>
    <m/>
    <n v="0"/>
    <n v="0"/>
    <n v="18488"/>
    <n v="0"/>
    <x v="0"/>
    <n v="0"/>
    <n v="2"/>
    <n v="18488"/>
    <n v="0"/>
    <n v="0"/>
    <n v="2"/>
    <n v="0"/>
    <m/>
    <n v="0"/>
    <n v="0"/>
    <n v="18488"/>
    <n v="0"/>
    <n v="0"/>
    <n v="0"/>
    <n v="2"/>
    <n v="18488"/>
    <n v="0"/>
    <n v="10"/>
    <n v="44"/>
    <n v="42"/>
    <n v="200"/>
    <n v="200"/>
    <n v="0"/>
    <n v="406736"/>
    <n v="412965"/>
    <n v="1900950"/>
    <n v="0"/>
    <n v="44"/>
    <n v="18488"/>
    <n v="1075791.1764705882"/>
    <n v="120"/>
    <n v="165"/>
    <n v="168"/>
    <n v="0"/>
    <n v="0"/>
    <n v="0"/>
    <n v="1525260"/>
    <n v="1651860"/>
    <n v="0"/>
    <n v="0"/>
    <n v="165"/>
    <n v="1525260"/>
    <n v="4303164.7058823528"/>
    <n v="20"/>
    <n v="-1"/>
    <n v="0"/>
    <n v="0"/>
    <n v="0"/>
    <n v="0"/>
    <n v="-9832.5"/>
    <n v="0"/>
    <n v="0"/>
    <n v="0"/>
    <n v="2"/>
    <n v="18488"/>
    <n v="0"/>
    <n v="0"/>
    <n v="0"/>
    <n v="0"/>
    <n v="0"/>
    <n v="0"/>
    <n v="0"/>
    <m/>
    <n v="0"/>
    <n v="0"/>
    <n v="0"/>
    <n v="0"/>
    <n v="0"/>
    <n v="0"/>
    <n v="0"/>
    <n v="200"/>
    <n v="0"/>
    <n v="0"/>
    <n v="0"/>
    <n v="0"/>
    <n v="0"/>
    <n v="0"/>
    <n v="0"/>
    <n v="0"/>
    <n v="0"/>
    <n v="0"/>
    <n v="0"/>
    <n v="0"/>
    <n v="400"/>
    <n v="0"/>
    <n v="400"/>
    <n v="400"/>
    <n v="400"/>
    <n v="0"/>
    <n v="3933000"/>
    <n v="3933000"/>
    <n v="3933000"/>
    <n v="400"/>
    <n v="3933000"/>
    <n v="10245630.25210084"/>
    <n v="120"/>
    <n v="0"/>
    <n v="120"/>
    <n v="0"/>
    <m/>
    <n v="0"/>
    <n v="1109280"/>
    <n v="0"/>
    <n v="0"/>
    <n v="0"/>
    <n v="3073689.0756302522"/>
  </r>
  <r>
    <s v="Levo-Perifericos de Computacion"/>
    <x v="3"/>
    <x v="10"/>
    <x v="21"/>
    <s v="LVMSGMNEXP"/>
    <x v="86"/>
    <x v="83"/>
    <x v="1"/>
    <x v="4"/>
    <n v="1"/>
    <x v="31"/>
    <n v="0"/>
    <m/>
    <m/>
    <n v="4812.75"/>
    <m/>
    <n v="4.5"/>
    <n v="4812.75"/>
    <n v="12132.983193277312"/>
    <n v="10313.035714285716"/>
    <s v="Shenzhen"/>
    <x v="0"/>
    <n v="30"/>
    <n v="60"/>
    <n v="1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0"/>
    <m/>
    <m/>
    <m/>
    <m/>
    <m/>
    <m/>
    <n v="0"/>
    <m/>
    <m/>
    <m/>
    <m/>
    <m/>
    <n v="0"/>
    <m/>
    <m/>
    <m/>
    <m/>
    <m/>
    <n v="0"/>
    <n v="0"/>
    <m/>
    <m/>
    <m/>
    <m/>
    <m/>
    <m/>
    <m/>
    <m/>
    <n v="0"/>
    <m/>
    <m/>
    <n v="0"/>
    <n v="0"/>
    <m/>
    <m/>
    <n v="0"/>
    <n v="0"/>
    <m/>
    <m/>
    <n v="0"/>
    <n v="0"/>
    <n v="0"/>
    <m/>
    <m/>
    <n v="0"/>
    <n v="0"/>
    <m/>
    <m/>
    <n v="0"/>
    <m/>
    <m/>
    <m/>
    <n v="0"/>
    <n v="0"/>
    <n v="0"/>
    <m/>
    <n v="40"/>
    <n v="0"/>
    <n v="0"/>
    <n v="0"/>
    <n v="0"/>
    <n v="0"/>
    <n v="0"/>
    <n v="0"/>
    <n v="0"/>
    <n v="0"/>
    <n v="0"/>
    <n v="0"/>
    <n v="0"/>
    <n v="0"/>
    <n v="75"/>
    <n v="0"/>
    <n v="0"/>
    <m/>
    <n v="0"/>
    <n v="0"/>
    <n v="0"/>
    <n v="0"/>
    <n v="0"/>
    <n v="0"/>
    <n v="0"/>
    <n v="0"/>
    <n v="0"/>
    <n v="150"/>
    <n v="0"/>
    <n v="150"/>
    <n v="1000"/>
    <n v="1000"/>
    <n v="0"/>
    <n v="698625"/>
    <n v="4657500"/>
    <n v="4657500"/>
    <n v="1000"/>
    <n v="4657500"/>
    <n v="1819947.4789915967"/>
    <n v="150"/>
    <n v="850"/>
    <n v="150"/>
    <n v="0"/>
    <m/>
    <n v="3958875"/>
    <n v="721912.5"/>
    <n v="0"/>
    <n v="850"/>
    <n v="3958875"/>
    <n v="1819947.4789915967"/>
  </r>
  <r>
    <s v="Levo-Perifericos de Computacion"/>
    <x v="3"/>
    <x v="10"/>
    <x v="21"/>
    <s v="LVMPADBML-BK"/>
    <x v="87"/>
    <x v="84"/>
    <x v="0"/>
    <x v="3"/>
    <n v="1"/>
    <x v="62"/>
    <n v="621"/>
    <m/>
    <n v="0"/>
    <n v="2210"/>
    <n v="1372410"/>
    <n v="2.2000000000000002"/>
    <n v="2403.5"/>
    <n v="8394.957983193277"/>
    <n v="8394.957983193277"/>
    <s v="Shenzhen"/>
    <x v="0"/>
    <n v="30"/>
    <m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0"/>
    <s v=""/>
    <n v="0"/>
    <s v=""/>
    <n v="0"/>
    <n v="26"/>
    <n v="0.73913413413413409"/>
    <n v="0.52"/>
    <n v="44"/>
    <n v="0.49959125792459125"/>
    <n v="0.44"/>
    <n v="69"/>
    <n v="0.73675227082035288"/>
    <n v="1.7250000000000001"/>
    <n v="129"/>
    <n v="0.49264882871863919"/>
    <n v="1.6125"/>
    <n v="101"/>
    <n v="0.43722772081047323"/>
    <n v="1.6833333333333333"/>
    <m/>
    <m/>
    <m/>
    <m/>
    <m/>
    <m/>
    <m/>
    <m/>
    <m/>
    <n v="0"/>
    <n v="0"/>
    <n v="0"/>
    <n v="0"/>
    <n v="0"/>
    <n v="0"/>
    <n v="0"/>
    <n v="0"/>
    <n v="0"/>
    <n v="0"/>
    <n v="621"/>
    <n v="1372410"/>
    <n v="0"/>
    <n v="0"/>
    <n v="0"/>
    <n v="0"/>
    <n v="0"/>
    <n v="0"/>
    <n v="0"/>
    <n v="0"/>
    <n v="0"/>
    <n v="0"/>
    <n v="0"/>
    <n v="621"/>
    <n v="1372410"/>
    <n v="0"/>
    <n v="0"/>
    <n v="0"/>
    <n v="0"/>
    <n v="0"/>
    <n v="0"/>
    <n v="113850"/>
    <n v="0"/>
    <n v="0"/>
    <n v="0"/>
    <n v="621"/>
    <n v="1372410"/>
    <n v="0"/>
    <n v="5"/>
    <n v="500"/>
    <n v="0"/>
    <n v="500"/>
    <n v="0"/>
    <n v="1138500"/>
    <n v="0"/>
    <x v="23"/>
    <x v="0"/>
    <n v="621"/>
    <n v="1372410"/>
    <n v="0"/>
    <n v="50"/>
    <n v="647"/>
    <n v="50"/>
    <m/>
    <n v="500"/>
    <n v="0"/>
    <n v="1429870"/>
    <n v="113850"/>
    <x v="0"/>
    <n v="0"/>
    <n v="621"/>
    <n v="1372410"/>
    <n v="419747.89915966382"/>
    <n v="100"/>
    <n v="665"/>
    <n v="44"/>
    <m/>
    <n v="0"/>
    <n v="0"/>
    <n v="1469650"/>
    <n v="100188"/>
    <n v="0"/>
    <n v="0"/>
    <n v="665"/>
    <n v="1372410"/>
    <n v="369378.15126050421"/>
    <n v="40"/>
    <n v="690"/>
    <n v="69"/>
    <n v="500"/>
    <n v="250"/>
    <n v="0"/>
    <n v="1524900"/>
    <n v="157113"/>
    <n v="1100550"/>
    <n v="0"/>
    <n v="690"/>
    <n v="1372410"/>
    <n v="579252.10084033606"/>
    <n v="80"/>
    <n v="750"/>
    <n v="133"/>
    <n v="0"/>
    <n v="0"/>
    <n v="0"/>
    <n v="1657500"/>
    <n v="302841"/>
    <n v="0"/>
    <n v="0"/>
    <n v="750"/>
    <n v="1657500"/>
    <n v="1116529.4117647058"/>
    <n v="60"/>
    <n v="722"/>
    <n v="106.5"/>
    <n v="0"/>
    <n v="0"/>
    <n v="0"/>
    <n v="1643994"/>
    <n v="242500.5"/>
    <n v="0"/>
    <n v="0"/>
    <n v="621"/>
    <n v="1372410"/>
    <n v="894063.02521008404"/>
    <n v="100"/>
    <n v="615.5"/>
    <n v="100"/>
    <n v="0"/>
    <n v="0"/>
    <n v="0"/>
    <m/>
    <n v="1401493.5"/>
    <n v="227700"/>
    <n v="0"/>
    <n v="0"/>
    <n v="615.5"/>
    <n v="1401493.5"/>
    <n v="839495.79831932765"/>
    <n v="125"/>
    <n v="515.5"/>
    <n v="125"/>
    <m/>
    <n v="0"/>
    <n v="0"/>
    <n v="1173793.5"/>
    <n v="284625"/>
    <n v="0"/>
    <n v="0"/>
    <n v="515.5"/>
    <n v="1173793.5"/>
    <n v="1049369.7478991596"/>
    <n v="150"/>
    <n v="390.5"/>
    <n v="150"/>
    <n v="0"/>
    <n v="0"/>
    <n v="889168.5"/>
    <n v="341550"/>
    <n v="0"/>
    <n v="0"/>
    <n v="390.5"/>
    <n v="889168.5"/>
    <n v="1259243.6974789915"/>
    <n v="75"/>
    <n v="240.5"/>
    <n v="75"/>
    <n v="0"/>
    <m/>
    <n v="547618.5"/>
    <n v="165750"/>
    <n v="0"/>
    <n v="240.5"/>
    <n v="547618.5"/>
    <n v="629621.84873949573"/>
  </r>
  <r>
    <s v="Levo-Perifericos de Computacion"/>
    <x v="3"/>
    <x v="10"/>
    <x v="21"/>
    <s v="LVMPADOFS-BK"/>
    <x v="88"/>
    <x v="85"/>
    <x v="0"/>
    <x v="3"/>
    <n v="1"/>
    <x v="63"/>
    <n v="921"/>
    <m/>
    <n v="0"/>
    <n v="1187"/>
    <n v="1093227"/>
    <n v="1.2"/>
    <n v="1311"/>
    <n v="6714.2857142857147"/>
    <n v="5873.9495798319331"/>
    <s v="Shenzhen"/>
    <x v="0"/>
    <n v="30"/>
    <m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0"/>
    <s v=""/>
    <n v="2"/>
    <n v="0.84500593213806929"/>
    <n v="0.4"/>
    <n v="6"/>
    <n v="0.82302127659574464"/>
    <n v="0.15"/>
    <n v="17"/>
    <n v="0.32617704918032786"/>
    <n v="0.11333333333333333"/>
    <n v="15"/>
    <n v="0.82131070826306907"/>
    <n v="0.75"/>
    <n v="21"/>
    <n v="0.61855272105773274"/>
    <n v="0.52500000000000002"/>
    <n v="16"/>
    <n v="0.44770600345493888"/>
    <n v="0.32"/>
    <m/>
    <m/>
    <m/>
    <m/>
    <m/>
    <m/>
    <m/>
    <m/>
    <m/>
    <n v="0"/>
    <n v="0"/>
    <n v="0"/>
    <n v="0"/>
    <n v="0"/>
    <n v="0"/>
    <n v="0"/>
    <n v="0"/>
    <n v="0"/>
    <n v="0"/>
    <n v="921"/>
    <n v="1093227"/>
    <n v="0"/>
    <n v="0"/>
    <n v="0"/>
    <n v="0"/>
    <n v="0"/>
    <n v="0"/>
    <n v="0"/>
    <n v="2374"/>
    <n v="0"/>
    <n v="0"/>
    <n v="0"/>
    <n v="921"/>
    <n v="1093227"/>
    <n v="0"/>
    <n v="0"/>
    <n v="0"/>
    <n v="0"/>
    <n v="0"/>
    <n v="0"/>
    <n v="52054"/>
    <n v="0"/>
    <n v="0"/>
    <n v="0"/>
    <n v="921"/>
    <n v="1093227"/>
    <n v="0"/>
    <n v="5"/>
    <n v="500"/>
    <n v="2"/>
    <n v="500"/>
    <n v="0"/>
    <n v="621000"/>
    <n v="2374"/>
    <x v="24"/>
    <x v="0"/>
    <n v="921"/>
    <n v="1093227"/>
    <n v="13428.571428571429"/>
    <n v="40"/>
    <n v="927"/>
    <n v="40"/>
    <m/>
    <n v="500"/>
    <n v="0"/>
    <n v="1100349"/>
    <n v="49680"/>
    <x v="0"/>
    <n v="0"/>
    <n v="921"/>
    <n v="1093227"/>
    <n v="268571.42857142858"/>
    <n v="150"/>
    <n v="938"/>
    <n v="17"/>
    <m/>
    <n v="0"/>
    <n v="0"/>
    <n v="1113406"/>
    <n v="21114"/>
    <n v="0"/>
    <n v="0"/>
    <n v="938"/>
    <n v="1093227"/>
    <n v="114142.85714285714"/>
    <n v="20"/>
    <n v="936"/>
    <n v="15"/>
    <n v="500"/>
    <n v="250"/>
    <n v="0"/>
    <n v="1111032"/>
    <n v="18630"/>
    <n v="600300"/>
    <n v="0"/>
    <n v="936"/>
    <n v="1093227"/>
    <n v="100714.28571428572"/>
    <n v="40"/>
    <n v="942"/>
    <n v="21"/>
    <n v="0"/>
    <n v="0"/>
    <n v="0"/>
    <n v="1118154"/>
    <n v="26082"/>
    <n v="0"/>
    <n v="0"/>
    <n v="942"/>
    <n v="1118154"/>
    <n v="141000"/>
    <n v="50"/>
    <n v="937"/>
    <n v="10.5"/>
    <n v="0"/>
    <n v="0"/>
    <n v="0"/>
    <n v="1163754"/>
    <n v="13041"/>
    <n v="0"/>
    <n v="0"/>
    <n v="921"/>
    <n v="1093227"/>
    <n v="70500"/>
    <n v="150"/>
    <n v="926.5"/>
    <n v="150"/>
    <n v="0"/>
    <n v="0"/>
    <n v="0"/>
    <m/>
    <n v="1150713"/>
    <n v="186300"/>
    <n v="0"/>
    <n v="0"/>
    <n v="926.5"/>
    <n v="1150713"/>
    <n v="881092.43697478995"/>
    <n v="120"/>
    <n v="776.5"/>
    <n v="120"/>
    <m/>
    <n v="0"/>
    <n v="0"/>
    <n v="964413"/>
    <n v="149040"/>
    <n v="0"/>
    <n v="0"/>
    <n v="776.5"/>
    <n v="964413"/>
    <n v="704873.94957983191"/>
    <n v="150"/>
    <n v="656.5"/>
    <n v="150"/>
    <n v="0"/>
    <n v="0"/>
    <n v="815373"/>
    <n v="186300"/>
    <n v="0"/>
    <n v="0"/>
    <n v="656.5"/>
    <n v="815373"/>
    <n v="1007142.8571428572"/>
    <n v="72"/>
    <n v="506.5"/>
    <n v="72"/>
    <n v="0"/>
    <m/>
    <n v="629073"/>
    <n v="85464"/>
    <n v="0"/>
    <n v="506.5"/>
    <n v="629073"/>
    <n v="483428.57142857148"/>
  </r>
  <r>
    <s v="Levo-Perifericos de Computacion"/>
    <x v="3"/>
    <x v="10"/>
    <x v="21"/>
    <s v="LVMPADXXL-BK"/>
    <x v="89"/>
    <x v="86"/>
    <x v="0"/>
    <x v="1"/>
    <n v="1"/>
    <x v="64"/>
    <n v="294"/>
    <m/>
    <n v="0"/>
    <n v="3753"/>
    <n v="1103382"/>
    <n v="3.4"/>
    <n v="3714.4999999999995"/>
    <n v="10915.966386554623"/>
    <n v="9235.2941176470595"/>
    <s v="Shenzhen"/>
    <x v="0"/>
    <n v="30"/>
    <m/>
    <n v="500"/>
    <n v="0"/>
    <s v=""/>
    <n v="0"/>
    <s v=""/>
    <n v="0"/>
    <s v=""/>
    <n v="5"/>
    <n v="0.59516777731910142"/>
    <n v="2"/>
    <n v="0.65002879624294629"/>
    <n v="41"/>
    <n v="0.59800462845968028"/>
    <n v="93"/>
    <n v="0.61558837795742705"/>
    <n v="151"/>
    <n v="0.56021255948334003"/>
    <n v="212"/>
    <n v="0.56830610642752577"/>
    <n v="276"/>
    <n v="0.57738206000181158"/>
    <n v="197"/>
    <n v="0.58914855671715971"/>
    <n v="9"/>
    <n v="0.68039116680871869"/>
    <n v="2"/>
    <n v="0.20331728585099115"/>
    <n v="15"/>
    <n v="0.37714311140023687"/>
    <n v="143"/>
    <n v="0.41262479640278604"/>
    <n v="136"/>
    <n v="0.46988051851442353"/>
    <n v="0.90666666666666662"/>
    <n v="105"/>
    <n v="0.69208399784567276"/>
    <n v="0.7"/>
    <n v="424"/>
    <n v="0.40100623739857477"/>
    <n v="1.696"/>
    <n v="438"/>
    <n v="0.70886093987252807"/>
    <n v="1.1837837837837837"/>
    <n v="328"/>
    <n v="0.51297832491326845"/>
    <n v="1.0933333333333333"/>
    <n v="41"/>
    <n v="0.5103561233515892"/>
    <n v="0.20499999999999999"/>
    <m/>
    <m/>
    <m/>
    <m/>
    <m/>
    <m/>
    <m/>
    <m/>
    <m/>
    <n v="250"/>
    <n v="7"/>
    <n v="30"/>
    <n v="500"/>
    <n v="500"/>
    <n v="0"/>
    <n v="733711.5"/>
    <n v="24632.999999999996"/>
    <n v="112590"/>
    <n v="0"/>
    <n v="294"/>
    <n v="1103382"/>
    <n v="275192.42991314176"/>
    <n v="250"/>
    <n v="513"/>
    <n v="22.5"/>
    <n v="500"/>
    <n v="500"/>
    <n v="0"/>
    <n v="1131529.5"/>
    <n v="1805246.9999999998"/>
    <n v="84442.5"/>
    <n v="0"/>
    <n v="294"/>
    <n v="1103382"/>
    <n v="206394.32243485632"/>
    <n v="250"/>
    <n v="976"/>
    <n v="143"/>
    <n v="0"/>
    <n v="0"/>
    <n v="1574937"/>
    <n v="3662928"/>
    <n v="536679"/>
    <n v="0"/>
    <n v="294"/>
    <n v="1103382"/>
    <n v="1560983.193277311"/>
    <n v="150"/>
    <n v="1488"/>
    <n v="136"/>
    <n v="650"/>
    <n v="0"/>
    <n v="5236271.9999999991"/>
    <n v="510408"/>
    <x v="25"/>
    <x v="0"/>
    <n v="294"/>
    <n v="1103382"/>
    <n v="1484571.4285714286"/>
    <n v="150"/>
    <n v="399"/>
    <n v="150"/>
    <m/>
    <n v="0"/>
    <n v="0"/>
    <n v="1497447"/>
    <n v="527849.99999999988"/>
    <x v="0"/>
    <n v="0"/>
    <n v="294"/>
    <n v="1103382"/>
    <n v="1637394.9579831935"/>
    <n v="250"/>
    <n v="718"/>
    <n v="424"/>
    <m/>
    <n v="0"/>
    <n v="0"/>
    <n v="2694654"/>
    <n v="1492055.9999999998"/>
    <n v="0"/>
    <n v="0"/>
    <n v="718"/>
    <n v="1103382"/>
    <n v="4628369.7478991598"/>
    <n v="370"/>
    <n v="732"/>
    <n v="438"/>
    <n v="0"/>
    <n v="0"/>
    <n v="0"/>
    <n v="2747196"/>
    <n v="1541321.9999999998"/>
    <n v="0"/>
    <n v="0"/>
    <n v="732"/>
    <n v="1103382"/>
    <n v="4781193.2773109246"/>
    <n v="300"/>
    <n v="622"/>
    <n v="338"/>
    <n v="500"/>
    <n v="500"/>
    <n v="0"/>
    <n v="2334366"/>
    <n v="1189421.9999999998"/>
    <n v="1759499.9999999998"/>
    <n v="0"/>
    <n v="622"/>
    <n v="2334366"/>
    <n v="3689596.6386554623"/>
    <n v="200"/>
    <n v="335"/>
    <n v="52.5"/>
    <n v="0"/>
    <n v="0"/>
    <n v="0"/>
    <n v="1178864.9999999998"/>
    <n v="184747.49999999997"/>
    <n v="0"/>
    <n v="0"/>
    <n v="294"/>
    <n v="1103382"/>
    <n v="573088.23529411771"/>
    <n v="400"/>
    <n v="282.5"/>
    <n v="282.5"/>
    <n v="0"/>
    <n v="0"/>
    <n v="0"/>
    <n v="500"/>
    <n v="994117.49999999988"/>
    <n v="994117.49999999988"/>
    <n v="0"/>
    <n v="0"/>
    <n v="282.5"/>
    <n v="994117.49999999988"/>
    <n v="2608970.5882352944"/>
    <n v="350"/>
    <n v="0"/>
    <n v="0"/>
    <n v="0"/>
    <n v="0"/>
    <n v="0"/>
    <n v="0"/>
    <n v="0"/>
    <n v="0"/>
    <n v="0"/>
    <n v="0"/>
    <n v="0"/>
    <n v="0"/>
    <n v="500"/>
    <n v="0"/>
    <n v="500"/>
    <n v="1000"/>
    <n v="1000"/>
    <n v="0"/>
    <n v="1759499.9999999998"/>
    <n v="3518999.9999999995"/>
    <n v="3518999.9999999995"/>
    <n v="1000"/>
    <n v="3518999.9999999995"/>
    <n v="5457983.1932773115"/>
    <n v="210"/>
    <n v="500"/>
    <n v="210"/>
    <n v="0"/>
    <m/>
    <n v="1759499.9999999998"/>
    <n v="788130"/>
    <n v="0"/>
    <n v="500"/>
    <n v="1759499.9999999998"/>
    <n v="2292352.9411764708"/>
  </r>
  <r>
    <m/>
    <x v="3"/>
    <x v="10"/>
    <x v="21"/>
    <s v="LVMPADXXL-PK"/>
    <x v="90"/>
    <x v="87"/>
    <x v="0"/>
    <x v="4"/>
    <n v="1"/>
    <x v="64"/>
    <n v="0"/>
    <m/>
    <n v="0"/>
    <n v="3299"/>
    <n v="0"/>
    <n v="3.4"/>
    <n v="3714.4999999999995"/>
    <n v="10915.966386554623"/>
    <n v="0"/>
    <s v="Shenzhen"/>
    <x v="0"/>
    <n v="30"/>
    <m/>
    <n v="500"/>
    <n v="0"/>
    <s v=""/>
    <n v="0"/>
    <s v=""/>
    <n v="0"/>
    <s v=""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250"/>
    <n v="7"/>
    <n v="30"/>
    <n v="500"/>
    <n v="500"/>
    <n v="0"/>
    <n v="98970"/>
    <n v="24632.999999999996"/>
    <n v="98970"/>
    <n v="0"/>
    <n v="0"/>
    <n v="0"/>
    <n v="275192.42991314176"/>
    <n v="250"/>
    <n v="513"/>
    <n v="0"/>
    <n v="500"/>
    <n v="500"/>
    <n v="0"/>
    <n v="0"/>
    <n v="1805246.9999999998"/>
    <n v="0"/>
    <n v="0"/>
    <n v="0"/>
    <n v="0"/>
    <n v="0"/>
    <n v="250"/>
    <n v="976"/>
    <n v="0"/>
    <n v="0"/>
    <n v="0"/>
    <n v="527849.99999999988"/>
    <n v="3219824"/>
    <n v="0"/>
    <n v="0"/>
    <n v="0"/>
    <n v="0"/>
    <n v="0"/>
    <n v="150"/>
    <n v="1488"/>
    <n v="0"/>
    <n v="650"/>
    <n v="0"/>
    <n v="5236271.9999999991"/>
    <n v="0"/>
    <x v="25"/>
    <x v="0"/>
    <n v="0"/>
    <n v="0"/>
    <n v="0"/>
    <n v="150"/>
    <n v="0"/>
    <n v="150"/>
    <m/>
    <n v="0"/>
    <n v="0"/>
    <n v="0"/>
    <n v="527849.99999999988"/>
    <x v="0"/>
    <n v="0"/>
    <n v="0"/>
    <n v="0"/>
    <n v="1637394.9579831935"/>
    <n v="250"/>
    <n v="0"/>
    <n v="0"/>
    <m/>
    <n v="0"/>
    <n v="0"/>
    <n v="0"/>
    <n v="0"/>
    <n v="0"/>
    <n v="0"/>
    <n v="0"/>
    <n v="0"/>
    <n v="0"/>
    <n v="3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0"/>
    <n v="200"/>
    <n v="500"/>
    <n v="500"/>
    <n v="0"/>
    <n v="703799.99999999988"/>
    <n v="1759499.9999999998"/>
    <n v="1759499.9999999998"/>
    <n v="500"/>
    <n v="1759499.9999999998"/>
    <n v="2183193.2773109246"/>
    <n v="0"/>
    <n v="300"/>
    <n v="0"/>
    <n v="0"/>
    <m/>
    <n v="1055699.9999999998"/>
    <n v="0"/>
    <n v="0"/>
    <n v="300"/>
    <n v="1055699.9999999998"/>
    <n v="0"/>
  </r>
  <r>
    <s v="Levo-Perifericos de Computacion"/>
    <x v="3"/>
    <x v="10"/>
    <x v="21"/>
    <s v="LVMSGMNS-BK"/>
    <x v="91"/>
    <x v="88"/>
    <x v="0"/>
    <x v="0"/>
    <n v="1"/>
    <x v="65"/>
    <n v="83"/>
    <m/>
    <n v="0"/>
    <n v="14264"/>
    <n v="1183912"/>
    <n v="14.2"/>
    <n v="15513.499999999998"/>
    <n v="25201.680672268907"/>
    <n v="19319.327731092439"/>
    <s v="Shenzhen"/>
    <x v="0"/>
    <n v="30"/>
    <m/>
    <n v="500"/>
    <n v="0"/>
    <s v=""/>
    <n v="0"/>
    <s v=""/>
    <n v="0"/>
    <s v=""/>
    <n v="0"/>
    <s v=""/>
    <n v="0"/>
    <s v=""/>
    <n v="0"/>
    <s v=""/>
    <n v="0"/>
    <s v=""/>
    <n v="0"/>
    <s v=""/>
    <n v="1"/>
    <s v=""/>
    <n v="9"/>
    <n v="0.30605112787704841"/>
    <n v="14"/>
    <n v="0.20614240954563876"/>
    <n v="97"/>
    <n v="0.28008196693653892"/>
    <n v="22"/>
    <n v="0.12011704796425275"/>
    <n v="17"/>
    <n v="0.25222084431315367"/>
    <n v="24"/>
    <n v="0.24276817321348562"/>
    <n v="18"/>
    <n v="0.19273862827640534"/>
    <n v="0.72"/>
    <n v="22"/>
    <n v="0.37677494337960105"/>
    <n v="1.1000000000000001"/>
    <n v="51"/>
    <n v="3.9150617945540402E-2"/>
    <n v="1.02"/>
    <n v="50"/>
    <n v="0.32072272589411388"/>
    <n v="1.6666666666666667"/>
    <n v="54"/>
    <n v="2.3069379959609792E-2"/>
    <n v="1.35"/>
    <n v="23"/>
    <n v="8.2189181984633278E-2"/>
    <n v="1.1499999999999999"/>
    <m/>
    <m/>
    <m/>
    <m/>
    <m/>
    <m/>
    <m/>
    <m/>
    <m/>
    <n v="20"/>
    <n v="213"/>
    <n v="25"/>
    <n v="0"/>
    <m/>
    <n v="0"/>
    <n v="1062668"/>
    <n v="3130460.9999999995"/>
    <n v="356600"/>
    <n v="0"/>
    <n v="83"/>
    <n v="1183912"/>
    <n v="529447.07294682588"/>
    <n v="25"/>
    <n v="342"/>
    <n v="25.5"/>
    <n v="0"/>
    <m/>
    <n v="0"/>
    <n v="962820"/>
    <n v="5026373.9999999991"/>
    <n v="363732"/>
    <n v="0"/>
    <n v="83"/>
    <n v="1183912"/>
    <n v="540036.01440576231"/>
    <n v="40"/>
    <n v="323"/>
    <n v="24"/>
    <n v="0"/>
    <n v="0"/>
    <n v="893028"/>
    <n v="4607272"/>
    <n v="342336"/>
    <n v="0"/>
    <n v="83"/>
    <n v="1183912"/>
    <n v="604840.33613445377"/>
    <n v="25"/>
    <n v="303"/>
    <n v="18"/>
    <n v="0"/>
    <n v="0"/>
    <n v="4453190.9999999991"/>
    <n v="256752"/>
    <x v="0"/>
    <x v="0"/>
    <n v="83"/>
    <n v="1183912"/>
    <n v="453630.25210084033"/>
    <n v="20"/>
    <n v="105"/>
    <n v="20"/>
    <m/>
    <n v="0"/>
    <n v="0"/>
    <n v="1497720"/>
    <n v="293939.99999999994"/>
    <x v="0"/>
    <n v="0"/>
    <n v="83"/>
    <n v="1183912"/>
    <n v="504033.61344537814"/>
    <n v="50"/>
    <n v="134"/>
    <n v="51"/>
    <m/>
    <n v="0"/>
    <n v="0"/>
    <n v="1911376"/>
    <n v="749546.99999999988"/>
    <n v="0"/>
    <n v="0"/>
    <n v="134"/>
    <n v="1183912"/>
    <n v="1285285.7142857143"/>
    <n v="30"/>
    <n v="133"/>
    <n v="50"/>
    <n v="0"/>
    <n v="0"/>
    <n v="0"/>
    <n v="1897112"/>
    <n v="734849.99999999988"/>
    <n v="0"/>
    <n v="0"/>
    <n v="133"/>
    <n v="1183912"/>
    <n v="1260084.0336134452"/>
    <n v="40"/>
    <n v="137"/>
    <n v="55"/>
    <n v="0"/>
    <n v="0"/>
    <n v="0"/>
    <n v="1954168"/>
    <n v="808334.99999999988"/>
    <n v="0"/>
    <n v="0"/>
    <n v="137"/>
    <n v="1954168"/>
    <n v="1386092.4369747899"/>
    <n v="20"/>
    <n v="106"/>
    <n v="25.5"/>
    <n v="0"/>
    <n v="0"/>
    <n v="0"/>
    <n v="1557881.9999999998"/>
    <n v="374773.49999999994"/>
    <n v="0"/>
    <n v="0"/>
    <n v="83"/>
    <n v="1183912"/>
    <n v="642642.85714285716"/>
    <n v="40"/>
    <n v="80.5"/>
    <n v="40"/>
    <n v="0"/>
    <n v="0"/>
    <n v="0"/>
    <m/>
    <n v="1183108.4999999998"/>
    <n v="587879.99999999988"/>
    <n v="0"/>
    <n v="0"/>
    <n v="80.5"/>
    <n v="1183108.4999999998"/>
    <n v="772773.10924369749"/>
    <n v="30"/>
    <n v="40.5"/>
    <n v="30"/>
    <m/>
    <n v="0"/>
    <n v="0"/>
    <n v="595228.49999999988"/>
    <n v="440909.99999999994"/>
    <n v="0"/>
    <n v="0"/>
    <n v="40.5"/>
    <n v="595228.49999999988"/>
    <n v="579579.83193277312"/>
    <n v="43"/>
    <n v="10.5"/>
    <n v="10.5"/>
    <n v="0"/>
    <n v="0"/>
    <n v="154318.49999999997"/>
    <n v="154318.49999999997"/>
    <n v="0"/>
    <n v="0"/>
    <n v="10.5"/>
    <n v="154318.49999999997"/>
    <n v="264617.6470588235"/>
    <n v="18"/>
    <n v="0"/>
    <n v="18"/>
    <n v="0"/>
    <m/>
    <n v="0"/>
    <n v="256752"/>
    <n v="0"/>
    <n v="0"/>
    <n v="0"/>
    <n v="453630.25210084033"/>
  </r>
  <r>
    <m/>
    <x v="3"/>
    <x v="10"/>
    <x v="21"/>
    <s v="LVTECMCC-BK"/>
    <x v="92"/>
    <x v="89"/>
    <x v="0"/>
    <x v="1"/>
    <n v="1"/>
    <x v="66"/>
    <n v="499"/>
    <m/>
    <n v="0"/>
    <n v="9246"/>
    <n v="4613754"/>
    <n v="9.5"/>
    <n v="10378.75"/>
    <n v="22680.672268907565"/>
    <n v="21000"/>
    <s v="Shenzhen"/>
    <x v="0"/>
    <n v="45"/>
    <m/>
    <n v="1000"/>
    <n v="0"/>
    <s v=""/>
    <n v="0"/>
    <s v=""/>
    <n v="2"/>
    <n v="0.47284501790707945"/>
    <n v="34"/>
    <n v="0.57364272435448593"/>
    <n v="6"/>
    <n v="0.57628434319359367"/>
    <n v="6"/>
    <n v="0.55969943305647862"/>
    <n v="30"/>
    <n v="0.54280388842138505"/>
    <n v="39"/>
    <n v="0.54416405023668868"/>
    <n v="41"/>
    <n v="0.5140384703357882"/>
    <n v="128"/>
    <n v="0.47496824122803794"/>
    <n v="97"/>
    <n v="0.49692629380729025"/>
    <n v="237"/>
    <n v="0.50513076369667864"/>
    <n v="57"/>
    <n v="0.38268758993637042"/>
    <n v="90"/>
    <n v="0.36624670268848725"/>
    <n v="184"/>
    <n v="0.34049182383986409"/>
    <n v="24"/>
    <n v="0.46993574058553994"/>
    <n v="0.53333333333333333"/>
    <n v="16"/>
    <n v="0.62157254765571957"/>
    <n v="0.66666666666666663"/>
    <n v="156"/>
    <n v="0.224701453857722"/>
    <n v="1.04"/>
    <n v="200"/>
    <n v="0.55793915562580265"/>
    <n v="1"/>
    <n v="121"/>
    <n v="0.34356684560425982"/>
    <n v="0.80666666666666664"/>
    <n v="34"/>
    <n v="0.36159623177433292"/>
    <n v="0.34"/>
    <m/>
    <m/>
    <m/>
    <m/>
    <m/>
    <m/>
    <m/>
    <m/>
    <m/>
    <n v="70"/>
    <n v="325"/>
    <n v="40"/>
    <n v="0"/>
    <n v="364"/>
    <n v="0"/>
    <n v="3319314"/>
    <n v="3195562.5"/>
    <n v="369840"/>
    <n v="0"/>
    <n v="499"/>
    <n v="4613754"/>
    <n v="762375.5384506745"/>
    <n v="70"/>
    <n v="338"/>
    <n v="135"/>
    <n v="0"/>
    <m/>
    <n v="0"/>
    <n v="3171378"/>
    <n v="3323385"/>
    <n v="1248210"/>
    <n v="0"/>
    <n v="499"/>
    <n v="4613754"/>
    <n v="2573017.4422710263"/>
    <n v="120"/>
    <n v="216"/>
    <n v="184"/>
    <n v="0"/>
    <n v="0"/>
    <n v="2159148"/>
    <n v="1997136"/>
    <n v="1701264"/>
    <n v="0"/>
    <n v="499"/>
    <n v="4613754"/>
    <n v="4173243.6974789919"/>
    <n v="45"/>
    <n v="48"/>
    <n v="24"/>
    <n v="1000"/>
    <n v="0"/>
    <n v="471960"/>
    <n v="221904"/>
    <x v="26"/>
    <x v="0"/>
    <n v="499"/>
    <n v="4613754"/>
    <n v="544336.13445378153"/>
    <n v="24"/>
    <n v="515"/>
    <n v="24"/>
    <m/>
    <n v="0"/>
    <n v="0"/>
    <n v="4761690"/>
    <n v="235980"/>
    <x v="0"/>
    <n v="0"/>
    <n v="499"/>
    <n v="4613754"/>
    <n v="544336.13445378153"/>
    <n v="150"/>
    <n v="655"/>
    <n v="156"/>
    <m/>
    <n v="1000"/>
    <n v="0"/>
    <n v="6056130"/>
    <n v="1533870"/>
    <n v="0"/>
    <n v="0"/>
    <n v="655"/>
    <n v="4613754"/>
    <n v="3538184.8739495804"/>
    <n v="200"/>
    <n v="699"/>
    <n v="200"/>
    <n v="0"/>
    <n v="0"/>
    <n v="0"/>
    <n v="6462954"/>
    <n v="1966500"/>
    <n v="0"/>
    <n v="0"/>
    <n v="699"/>
    <n v="4613754"/>
    <n v="4536134.4537815126"/>
    <n v="150"/>
    <n v="620"/>
    <n v="125"/>
    <n v="0"/>
    <n v="0"/>
    <n v="0"/>
    <n v="5732520"/>
    <n v="1229062.5"/>
    <n v="0"/>
    <n v="0"/>
    <n v="620"/>
    <n v="5732520"/>
    <n v="2835084.0336134457"/>
    <n v="100"/>
    <n v="533"/>
    <n v="43.5"/>
    <n v="0"/>
    <n v="0"/>
    <n v="0"/>
    <n v="5240722.5"/>
    <n v="427713.75"/>
    <n v="0"/>
    <n v="0"/>
    <n v="499"/>
    <n v="4613754"/>
    <n v="986609.24369747913"/>
    <n v="200"/>
    <n v="489.5"/>
    <n v="200"/>
    <n v="0"/>
    <n v="0"/>
    <n v="0"/>
    <m/>
    <n v="4813008.75"/>
    <n v="1966500"/>
    <n v="0"/>
    <n v="0"/>
    <n v="489.5"/>
    <n v="4813008.75"/>
    <n v="4200000"/>
    <n v="200"/>
    <n v="289.5"/>
    <n v="200"/>
    <n v="0"/>
    <n v="0"/>
    <n v="0"/>
    <n v="2846508.75"/>
    <n v="1966500"/>
    <n v="0"/>
    <n v="0"/>
    <n v="289.5"/>
    <n v="2846508.75"/>
    <n v="4200000"/>
    <n v="400"/>
    <n v="89.5"/>
    <n v="400"/>
    <n v="1000"/>
    <n v="1000"/>
    <n v="880008.75"/>
    <n v="3933000"/>
    <n v="9832500"/>
    <n v="9832500"/>
    <n v="1089.5"/>
    <n v="10712508.75"/>
    <n v="9072268.9075630251"/>
    <n v="120"/>
    <n v="689.5"/>
    <n v="120"/>
    <n v="0"/>
    <m/>
    <n v="6779508.75"/>
    <n v="1109520"/>
    <n v="0"/>
    <n v="689.5"/>
    <n v="6779508.75"/>
    <n v="2721680.672268908"/>
  </r>
  <r>
    <m/>
    <x v="3"/>
    <x v="10"/>
    <x v="21"/>
    <s v="LVTECMCL-BK"/>
    <x v="93"/>
    <x v="90"/>
    <x v="0"/>
    <x v="4"/>
    <n v="1"/>
    <x v="31"/>
    <n v="1003"/>
    <m/>
    <m/>
    <n v="11060"/>
    <n v="11093180"/>
    <n v="9.5"/>
    <n v="10378.75"/>
    <n v="26164.915966386558"/>
    <n v="22240.178571428572"/>
    <s v="Shenzhen"/>
    <x v="0"/>
    <n v="45"/>
    <m/>
    <n v="1000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n v="0"/>
    <n v="0"/>
    <n v="0"/>
    <n v="0"/>
    <n v="0"/>
    <n v="0"/>
    <n v="0"/>
    <n v="0"/>
    <x v="0"/>
    <x v="0"/>
    <n v="1003"/>
    <n v="11093180"/>
    <n v="0"/>
    <n v="0"/>
    <n v="1003"/>
    <n v="0"/>
    <n v="0"/>
    <n v="0"/>
    <n v="0"/>
    <n v="11093180"/>
    <n v="0"/>
    <x v="0"/>
    <n v="0"/>
    <n v="1003"/>
    <n v="11093180"/>
    <n v="0"/>
    <n v="0"/>
    <n v="1003"/>
    <n v="0"/>
    <m/>
    <n v="0"/>
    <n v="0"/>
    <n v="11093180"/>
    <n v="0"/>
    <n v="0"/>
    <n v="0"/>
    <n v="1003"/>
    <n v="11093180"/>
    <n v="0"/>
    <n v="0"/>
    <n v="1003"/>
    <n v="0"/>
    <n v="0"/>
    <m/>
    <n v="0"/>
    <n v="11093180"/>
    <n v="0"/>
    <n v="0"/>
    <n v="0"/>
    <n v="1003"/>
    <n v="11093180"/>
    <n v="0"/>
    <n v="30"/>
    <n v="1003"/>
    <n v="0"/>
    <n v="1000"/>
    <n v="1000"/>
    <n v="0"/>
    <n v="11093180"/>
    <n v="0"/>
    <n v="9832500"/>
    <n v="0"/>
    <n v="1003"/>
    <n v="11093180"/>
    <n v="0"/>
    <n v="45"/>
    <n v="1003"/>
    <n v="0"/>
    <n v="0"/>
    <n v="0"/>
    <n v="0"/>
    <n v="9861997.5"/>
    <n v="0"/>
    <n v="0"/>
    <n v="0"/>
    <n v="1003"/>
    <n v="11093180"/>
    <n v="0"/>
    <n v="125"/>
    <n v="1003"/>
    <n v="125"/>
    <n v="0"/>
    <n v="0"/>
    <n v="0"/>
    <m/>
    <n v="9861997.5"/>
    <n v="1229062.5"/>
    <n v="0"/>
    <n v="0"/>
    <n v="1003"/>
    <n v="9861997.5"/>
    <n v="2780022.3214285714"/>
    <n v="120"/>
    <n v="878"/>
    <n v="120"/>
    <m/>
    <n v="0"/>
    <n v="0"/>
    <n v="8632935"/>
    <n v="1179900"/>
    <n v="0"/>
    <n v="0"/>
    <n v="878"/>
    <n v="8632935"/>
    <n v="2668821.4285714286"/>
    <n v="250"/>
    <n v="758"/>
    <n v="250"/>
    <n v="0"/>
    <n v="0"/>
    <n v="7453035"/>
    <n v="2458125"/>
    <n v="0"/>
    <n v="0"/>
    <n v="758"/>
    <n v="7453035"/>
    <n v="6541228.9915966392"/>
    <n v="72"/>
    <n v="508"/>
    <n v="72"/>
    <n v="0"/>
    <m/>
    <n v="4994910"/>
    <n v="796320"/>
    <n v="0"/>
    <n v="508"/>
    <n v="4994910"/>
    <n v="1883873.9495798321"/>
  </r>
  <r>
    <s v="Levo-Perifericos de Computacion"/>
    <x v="3"/>
    <x v="10"/>
    <x v="22"/>
    <n v="67898087132855"/>
    <x v="94"/>
    <x v="91"/>
    <x v="0"/>
    <x v="1"/>
    <n v="1"/>
    <x v="31"/>
    <n v="126"/>
    <m/>
    <n v="0"/>
    <n v="41213"/>
    <n v="5192838"/>
    <n v="35"/>
    <n v="38237.5"/>
    <n v="84025.210084033621"/>
    <n v="67218.487394957992"/>
    <s v="Ningbo"/>
    <x v="1"/>
    <n v="30"/>
    <m/>
    <n v="100"/>
    <n v="4"/>
    <n v="0.36688256499539051"/>
    <n v="1"/>
    <n v="0.45130753075307534"/>
    <n v="65"/>
    <n v="0.48299818344847073"/>
    <n v="42"/>
    <n v="0.47192638819699884"/>
    <n v="44"/>
    <n v="0.48528087478109921"/>
    <n v="115"/>
    <n v="0.44035195384353176"/>
    <n v="64"/>
    <n v="0.45503211889651962"/>
    <n v="182"/>
    <n v="0.38341626129384482"/>
    <n v="134"/>
    <n v="0.32710572527683368"/>
    <n v="77"/>
    <n v="0.45552379190560421"/>
    <n v="38"/>
    <n v="0.41798482650471375"/>
    <n v="39"/>
    <n v="0.42076207866024051"/>
    <n v="11"/>
    <n v="0.34227010049342904"/>
    <n v="35"/>
    <n v="0.25467086260909866"/>
    <n v="42"/>
    <n v="0.27975684379963134"/>
    <n v="39"/>
    <n v="0.34701228332705553"/>
    <n v="0.78"/>
    <n v="36"/>
    <n v="0.47064831141287744"/>
    <n v="0.72"/>
    <n v="41"/>
    <n v="0.2150470079431466"/>
    <n v="0.4823529411764706"/>
    <n v="10"/>
    <s v=""/>
    <n v="0.2"/>
    <n v="242"/>
    <n v="6.3542219782172921E-2"/>
    <n v="3.4571428571428573"/>
    <n v="61"/>
    <n v="9.5305028615234905E-2"/>
    <n v="1.3555555555555556"/>
    <m/>
    <m/>
    <m/>
    <m/>
    <m/>
    <m/>
    <m/>
    <m/>
    <m/>
    <n v="100"/>
    <n v="174"/>
    <n v="45"/>
    <n v="150"/>
    <n v="150"/>
    <n v="0"/>
    <n v="5749213.5"/>
    <n v="6303150"/>
    <n v="1854585"/>
    <n v="0"/>
    <n v="126"/>
    <n v="5192838"/>
    <n v="3177423.9107407671"/>
    <n v="100"/>
    <n v="152"/>
    <n v="52.5"/>
    <n v="250"/>
    <n v="250"/>
    <n v="0"/>
    <n v="5501935.5"/>
    <n v="5506200"/>
    <n v="2163682.5"/>
    <n v="0"/>
    <n v="126"/>
    <n v="5192838"/>
    <n v="3706994.5625308948"/>
    <n v="120"/>
    <n v="346"/>
    <n v="42"/>
    <n v="0"/>
    <n v="0"/>
    <n v="5149503"/>
    <n v="14259698"/>
    <n v="1730946"/>
    <n v="0"/>
    <n v="126"/>
    <n v="5192838"/>
    <n v="3529058.823529412"/>
    <n v="50"/>
    <n v="565"/>
    <n v="39"/>
    <n v="200"/>
    <n v="0"/>
    <n v="20467125"/>
    <n v="1607307"/>
    <x v="27"/>
    <x v="0"/>
    <n v="126"/>
    <n v="5192838"/>
    <n v="3276983.193277311"/>
    <n v="50"/>
    <n v="162"/>
    <n v="50"/>
    <n v="100"/>
    <n v="100"/>
    <n v="0"/>
    <n v="6676506"/>
    <n v="1811250"/>
    <x v="10"/>
    <n v="0"/>
    <n v="126"/>
    <n v="5192838"/>
    <n v="4201260.5042016814"/>
    <n v="85"/>
    <n v="167"/>
    <n v="41"/>
    <m/>
    <n v="0"/>
    <n v="0"/>
    <n v="6882571"/>
    <n v="1485225"/>
    <n v="0"/>
    <n v="0"/>
    <n v="167"/>
    <n v="5192838"/>
    <n v="3445033.6134453784"/>
    <n v="50"/>
    <n v="136"/>
    <n v="10"/>
    <n v="0"/>
    <n v="41"/>
    <n v="0"/>
    <n v="5604968"/>
    <n v="362250"/>
    <n v="0"/>
    <n v="0"/>
    <n v="136"/>
    <n v="5192838"/>
    <n v="840252.10084033618"/>
    <n v="70"/>
    <n v="368"/>
    <n v="250"/>
    <n v="70"/>
    <n v="70"/>
    <n v="0"/>
    <n v="15166384"/>
    <n v="9056250"/>
    <n v="2535750"/>
    <n v="0"/>
    <n v="368"/>
    <n v="15166384"/>
    <n v="21006302.521008406"/>
    <n v="45"/>
    <n v="187"/>
    <n v="24"/>
    <n v="0"/>
    <n v="0"/>
    <n v="0"/>
    <n v="6774075"/>
    <n v="869400"/>
    <n v="0"/>
    <n v="0"/>
    <n v="126"/>
    <n v="5192838"/>
    <n v="2016605.042016807"/>
    <n v="40"/>
    <n v="163"/>
    <n v="40"/>
    <n v="0"/>
    <n v="0"/>
    <n v="0"/>
    <m/>
    <n v="5904675"/>
    <n v="1449000"/>
    <n v="0"/>
    <n v="0"/>
    <n v="163"/>
    <n v="5904675"/>
    <n v="2688739.4957983196"/>
    <n v="40"/>
    <n v="123"/>
    <n v="40"/>
    <m/>
    <n v="0"/>
    <n v="0"/>
    <n v="4455675"/>
    <n v="1449000"/>
    <n v="0"/>
    <n v="0"/>
    <n v="123"/>
    <n v="4455675"/>
    <n v="2688739.4957983196"/>
    <n v="40"/>
    <n v="83"/>
    <n v="40"/>
    <n v="0"/>
    <n v="0"/>
    <n v="3006675"/>
    <n v="1449000"/>
    <n v="0"/>
    <n v="0"/>
    <n v="83"/>
    <n v="3006675"/>
    <n v="3361008.4033613447"/>
    <n v="24"/>
    <n v="43"/>
    <n v="24"/>
    <n v="0"/>
    <m/>
    <n v="1557675"/>
    <n v="989112"/>
    <n v="0"/>
    <n v="43"/>
    <n v="1557675"/>
    <n v="2016605.042016807"/>
  </r>
  <r>
    <s v="Levo-Perifericos de Computacion"/>
    <x v="3"/>
    <x v="10"/>
    <x v="22"/>
    <s v="LVMICPORT"/>
    <x v="95"/>
    <x v="92"/>
    <x v="0"/>
    <x v="2"/>
    <n v="1"/>
    <x v="67"/>
    <n v="0"/>
    <m/>
    <n v="0"/>
    <n v="13499"/>
    <n v="0"/>
    <n v="12.4"/>
    <n v="13546.999999999998"/>
    <n v="25201.680672268907"/>
    <n v="21000"/>
    <s v="Shenzhen"/>
    <x v="1"/>
    <n v="30"/>
    <m/>
    <n v="300"/>
    <n v="3"/>
    <n v="0.44622150204600697"/>
    <n v="6"/>
    <n v="0.46831673289337789"/>
    <n v="7"/>
    <n v="0.46135227340741769"/>
    <n v="6"/>
    <n v="0.44342742288762338"/>
    <n v="7"/>
    <n v="0.47289459592128152"/>
    <n v="15"/>
    <n v="0.48336025121199128"/>
    <n v="11"/>
    <n v="0.53115386004260956"/>
    <n v="16"/>
    <n v="0.34903821579264599"/>
    <n v="11"/>
    <n v="0.3109971324900937"/>
    <n v="17"/>
    <n v="0.32668446624730063"/>
    <n v="7"/>
    <n v="0.38931728880157174"/>
    <n v="11"/>
    <n v="0.36297738348548292"/>
    <n v="4"/>
    <n v="0.33567174994501847"/>
    <n v="2"/>
    <n v="0.19344660181943987"/>
    <n v="4"/>
    <n v="0.20762460961305265"/>
    <n v="3"/>
    <n v="0.17649553571428572"/>
    <n v="0.75"/>
    <n v="6"/>
    <n v="0.43617252534470552"/>
    <n v="3"/>
    <n v="0"/>
    <s v=""/>
    <n v="0"/>
    <n v="0"/>
    <s v=""/>
    <n v="0"/>
    <n v="0"/>
    <s v=""/>
    <n v="0"/>
    <n v="0"/>
    <s v=""/>
    <n v="0"/>
    <m/>
    <m/>
    <m/>
    <m/>
    <m/>
    <m/>
    <m/>
    <m/>
    <m/>
    <n v="5.333333333333333"/>
    <n v="18"/>
    <n v="5.333333333333333"/>
    <n v="0"/>
    <m/>
    <n v="0"/>
    <n v="166487.66666666666"/>
    <n v="231011.99999999997"/>
    <n v="71994.666666666657"/>
    <n v="0"/>
    <n v="0"/>
    <n v="0"/>
    <n v="112948.70889532284"/>
    <n v="4"/>
    <n v="15"/>
    <n v="3"/>
    <n v="0"/>
    <m/>
    <n v="0"/>
    <n v="134990"/>
    <n v="192509.99999999997"/>
    <n v="40497"/>
    <n v="0"/>
    <n v="0"/>
    <n v="0"/>
    <n v="63533.648753619098"/>
    <n v="4"/>
    <n v="13"/>
    <n v="4"/>
    <n v="0"/>
    <n v="0"/>
    <n v="120161"/>
    <n v="175487"/>
    <n v="53996"/>
    <n v="0"/>
    <n v="0"/>
    <n v="0"/>
    <n v="100806.72268907563"/>
    <n v="4"/>
    <n v="6"/>
    <n v="3"/>
    <n v="0"/>
    <n v="0"/>
    <n v="77003.999999999985"/>
    <n v="40497"/>
    <x v="0"/>
    <x v="0"/>
    <n v="0"/>
    <n v="0"/>
    <n v="75605.042016806721"/>
    <n v="2"/>
    <n v="6"/>
    <n v="2"/>
    <m/>
    <n v="0"/>
    <n v="0"/>
    <n v="80994"/>
    <n v="25667.999999999996"/>
    <x v="0"/>
    <n v="0"/>
    <n v="0"/>
    <n v="0"/>
    <n v="50403.361344537814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evo-Perifericos de Computacion"/>
    <x v="3"/>
    <x v="10"/>
    <x v="22"/>
    <s v="LVMSVEL-GR"/>
    <x v="96"/>
    <x v="93"/>
    <x v="0"/>
    <x v="0"/>
    <n v="1"/>
    <x v="68"/>
    <n v="855"/>
    <m/>
    <n v="0"/>
    <n v="3074"/>
    <n v="2628270"/>
    <n v="3.2"/>
    <n v="3495.9999999999995"/>
    <n v="8394.957983193277"/>
    <n v="7554.6218487394963"/>
    <s v="Shenzhen"/>
    <x v="0"/>
    <n v="30"/>
    <m/>
    <n v="1000"/>
    <n v="0"/>
    <s v=""/>
    <n v="0"/>
    <s v=""/>
    <n v="0"/>
    <s v=""/>
    <n v="0"/>
    <s v=""/>
    <n v="0"/>
    <s v=""/>
    <n v="0"/>
    <s v=""/>
    <n v="0"/>
    <s v=""/>
    <n v="0"/>
    <n v="0"/>
    <n v="19"/>
    <n v="0.58474997675257134"/>
    <n v="126"/>
    <n v="0.44249878893893974"/>
    <n v="89"/>
    <n v="0.53691477246627473"/>
    <n v="102"/>
    <n v="0.51721652771600779"/>
    <n v="63"/>
    <n v="0.38266653405928946"/>
    <n v="60"/>
    <n v="0.45329204185744493"/>
    <n v="85"/>
    <n v="0.49416065495615535"/>
    <n v="98"/>
    <n v="0.49821193728254831"/>
    <n v="1.3066666666666666"/>
    <n v="87"/>
    <n v="0.60042199690968756"/>
    <n v="1.1599999999999999"/>
    <n v="146"/>
    <n v="0.41087323894697664"/>
    <n v="1.2166666666666666"/>
    <n v="100"/>
    <n v="0.6081044871855481"/>
    <n v="1.1764705882352942"/>
    <n v="72"/>
    <n v="0.35961440256995414"/>
    <n v="0.8"/>
    <n v="54"/>
    <n v="0.23580459983681479"/>
    <n v="0.72"/>
    <m/>
    <m/>
    <m/>
    <m/>
    <m/>
    <m/>
    <m/>
    <m/>
    <m/>
    <n v="80"/>
    <n v="447"/>
    <n v="60"/>
    <n v="0"/>
    <m/>
    <n v="0"/>
    <n v="722390"/>
    <n v="1480463.9999999998"/>
    <n v="184440"/>
    <n v="0"/>
    <n v="855"/>
    <n v="2628270"/>
    <n v="423275.19242991315"/>
    <n v="100"/>
    <n v="568"/>
    <n v="90"/>
    <n v="0"/>
    <m/>
    <n v="0"/>
    <n v="839202"/>
    <n v="1881215.9999999998"/>
    <n v="276660"/>
    <n v="0"/>
    <n v="855"/>
    <n v="2628270"/>
    <n v="634912.7886448697"/>
    <n v="150"/>
    <n v="520"/>
    <n v="85"/>
    <n v="0"/>
    <n v="0"/>
    <n v="810942"/>
    <n v="1598480"/>
    <n v="261290"/>
    <n v="0"/>
    <n v="855"/>
    <n v="2628270"/>
    <n v="713571.42857142852"/>
    <n v="75"/>
    <n v="1414"/>
    <n v="98"/>
    <n v="1000"/>
    <n v="0"/>
    <n v="4683167.9999999991"/>
    <n v="301252"/>
    <x v="28"/>
    <x v="0"/>
    <n v="855"/>
    <n v="2628270"/>
    <n v="822705.88235294109"/>
    <n v="75"/>
    <n v="942"/>
    <n v="75"/>
    <m/>
    <n v="300"/>
    <n v="0"/>
    <n v="2895708"/>
    <n v="248399.99999999997"/>
    <x v="0"/>
    <n v="0"/>
    <n v="855"/>
    <n v="2628270"/>
    <n v="629621.84873949573"/>
    <n v="120"/>
    <n v="1001"/>
    <n v="146"/>
    <m/>
    <n v="0"/>
    <n v="0"/>
    <n v="3077074"/>
    <n v="483551.99999999994"/>
    <n v="0"/>
    <n v="0"/>
    <n v="1001"/>
    <n v="2628270"/>
    <n v="1225663.8655462184"/>
    <n v="85"/>
    <n v="955"/>
    <n v="100"/>
    <n v="0"/>
    <n v="0"/>
    <n v="0"/>
    <n v="2935670"/>
    <n v="331199.99999999994"/>
    <n v="0"/>
    <n v="0"/>
    <n v="955"/>
    <n v="2628270"/>
    <n v="839495.79831932765"/>
    <n v="90"/>
    <n v="927"/>
    <n v="74"/>
    <n v="0"/>
    <n v="0"/>
    <n v="0"/>
    <n v="2849598"/>
    <n v="245087.99999999997"/>
    <n v="0"/>
    <n v="0"/>
    <n v="927"/>
    <n v="2849598"/>
    <n v="621226.89075630251"/>
    <n v="75"/>
    <n v="909"/>
    <n v="52.5"/>
    <n v="0"/>
    <n v="0"/>
    <n v="0"/>
    <n v="3010607.9999999995"/>
    <n v="173879.99999999997"/>
    <n v="0"/>
    <n v="0"/>
    <n v="855"/>
    <n v="2628270"/>
    <n v="440735.29411764705"/>
    <n v="100"/>
    <n v="856.5"/>
    <n v="100"/>
    <n v="0"/>
    <n v="0"/>
    <n v="0"/>
    <m/>
    <n v="2836727.9999999995"/>
    <n v="331199.99999999994"/>
    <n v="0"/>
    <n v="0"/>
    <n v="856.5"/>
    <n v="2836727.9999999995"/>
    <n v="755462.18487394962"/>
    <n v="80"/>
    <n v="756.5"/>
    <n v="80"/>
    <m/>
    <n v="0"/>
    <n v="0"/>
    <n v="2505527.9999999995"/>
    <n v="264959.99999999994"/>
    <n v="0"/>
    <n v="0"/>
    <n v="756.5"/>
    <n v="2505527.9999999995"/>
    <n v="604369.74789915967"/>
    <n v="125"/>
    <n v="676.5"/>
    <n v="125"/>
    <n v="0"/>
    <n v="0"/>
    <n v="2240567.9999999995"/>
    <n v="413999.99999999994"/>
    <n v="0"/>
    <n v="0"/>
    <n v="676.5"/>
    <n v="2240567.9999999995"/>
    <n v="1049369.7478991596"/>
    <n v="48"/>
    <n v="551.5"/>
    <n v="48"/>
    <n v="0"/>
    <m/>
    <n v="1826567.9999999998"/>
    <n v="147552"/>
    <n v="0"/>
    <n v="551.5"/>
    <n v="1826567.9999999998"/>
    <n v="402957.98319327726"/>
  </r>
  <r>
    <s v="Levo-Perifericos de Computacion"/>
    <x v="3"/>
    <x v="10"/>
    <x v="22"/>
    <s v="LVSILLERGO-BL"/>
    <x v="97"/>
    <x v="94"/>
    <x v="0"/>
    <x v="1"/>
    <n v="1"/>
    <x v="69"/>
    <n v="123"/>
    <m/>
    <n v="0"/>
    <n v="36880"/>
    <n v="4536240"/>
    <n v="30.5"/>
    <n v="33321.25"/>
    <n v="75621.848739495807"/>
    <n v="71420.168067226899"/>
    <s v="Shenzhen"/>
    <x v="0"/>
    <n v="30"/>
    <m/>
    <n v="100"/>
    <n v="0"/>
    <s v=""/>
    <n v="0"/>
    <s v=""/>
    <n v="2"/>
    <n v="0.42897229638951717"/>
    <n v="20"/>
    <n v="0.57072010292801201"/>
    <n v="57"/>
    <n v="0.54441526411619512"/>
    <n v="119"/>
    <n v="0.49534823733964356"/>
    <n v="91"/>
    <n v="0.57865383828923844"/>
    <n v="60"/>
    <n v="0.45929549177425544"/>
    <n v="18"/>
    <n v="0.46155922038687808"/>
    <n v="117"/>
    <n v="0.46796768497652891"/>
    <n v="94"/>
    <n v="0.49442077822620034"/>
    <n v="159"/>
    <n v="0.47313148855635123"/>
    <n v="36"/>
    <n v="0.30312086041652753"/>
    <n v="79"/>
    <n v="0.31373222198771927"/>
    <n v="111"/>
    <n v="0.3050790974873116"/>
    <n v="71"/>
    <n v="0.35201670296356113"/>
    <n v="0.88749999999999996"/>
    <n v="78"/>
    <n v="0.47998517666488499"/>
    <n v="0.91764705882352937"/>
    <n v="77"/>
    <n v="0.2306258178038556"/>
    <n v="0.59230769230769231"/>
    <n v="90"/>
    <n v="0.4304190408579181"/>
    <n v="1.125"/>
    <n v="101"/>
    <n v="0.2902729159607334"/>
    <n v="1.2625"/>
    <n v="68"/>
    <n v="0.32246753386705845"/>
    <n v="1.7"/>
    <m/>
    <m/>
    <m/>
    <m/>
    <m/>
    <m/>
    <m/>
    <m/>
    <m/>
    <n v="125"/>
    <n v="33"/>
    <n v="25"/>
    <n v="150"/>
    <n v="150"/>
    <n v="0"/>
    <n v="9385960"/>
    <n v="1041727.4999999999"/>
    <n v="922000"/>
    <n v="0"/>
    <n v="123"/>
    <n v="4536240"/>
    <n v="1588694.301249912"/>
    <n v="125"/>
    <n v="388"/>
    <n v="118.5"/>
    <n v="325"/>
    <n v="325"/>
    <n v="0"/>
    <n v="11082440"/>
    <n v="12248189.999999998"/>
    <n v="4370280"/>
    <n v="0"/>
    <n v="123"/>
    <n v="4536240"/>
    <n v="7530410.9879245823"/>
    <n v="150"/>
    <n v="234"/>
    <n v="111"/>
    <n v="0"/>
    <n v="0"/>
    <n v="9395397.5"/>
    <n v="8629920"/>
    <n v="4093680"/>
    <n v="0"/>
    <n v="123"/>
    <n v="4536240"/>
    <n v="8394025.2100840341"/>
    <n v="80"/>
    <n v="469"/>
    <n v="71"/>
    <n v="200"/>
    <n v="0"/>
    <n v="14805157.499999998"/>
    <n v="2618480"/>
    <x v="29"/>
    <x v="0"/>
    <n v="123"/>
    <n v="4536240"/>
    <n v="5369151.260504202"/>
    <n v="85"/>
    <n v="201"/>
    <n v="85"/>
    <n v="100"/>
    <n v="100"/>
    <n v="0"/>
    <n v="7412880"/>
    <n v="2683237.4999999995"/>
    <x v="11"/>
    <n v="0"/>
    <n v="123"/>
    <n v="4536240"/>
    <n v="6427857.1428571437"/>
    <n v="130"/>
    <n v="200"/>
    <n v="77"/>
    <m/>
    <n v="100"/>
    <n v="0"/>
    <n v="7376000"/>
    <n v="2430697.4999999995"/>
    <n v="0"/>
    <n v="0"/>
    <n v="200"/>
    <n v="4536240"/>
    <n v="5822882.3529411769"/>
    <n v="80"/>
    <n v="213"/>
    <n v="90"/>
    <n v="100"/>
    <n v="100"/>
    <n v="0"/>
    <n v="7855440"/>
    <n v="2841074.9999999995"/>
    <n v="3051524.9999999995"/>
    <n v="0"/>
    <n v="213"/>
    <n v="4536240"/>
    <n v="6805966.386554623"/>
    <n v="80"/>
    <n v="224"/>
    <n v="104"/>
    <n v="104.72413793103448"/>
    <n v="104.72413793103448"/>
    <n v="0"/>
    <n v="8261120"/>
    <n v="3283019.9999999995"/>
    <n v="3305879.2241379307"/>
    <n v="0"/>
    <n v="224"/>
    <n v="8261120"/>
    <n v="7864672.2689075638"/>
    <n v="40"/>
    <n v="191"/>
    <n v="33"/>
    <n v="0"/>
    <n v="0"/>
    <n v="0"/>
    <n v="6029392.4999999991"/>
    <n v="1041727.4999999999"/>
    <n v="0"/>
    <n v="0"/>
    <n v="123"/>
    <n v="4536240"/>
    <n v="2495521.0084033618"/>
    <n v="80"/>
    <n v="158"/>
    <n v="80"/>
    <n v="0"/>
    <n v="0"/>
    <n v="0"/>
    <m/>
    <n v="4987664.9999999991"/>
    <n v="2525399.9999999995"/>
    <n v="0"/>
    <n v="0"/>
    <n v="158"/>
    <n v="4987664.9999999991"/>
    <n v="5713613.4453781517"/>
    <n v="70"/>
    <n v="78"/>
    <n v="70"/>
    <m/>
    <n v="0"/>
    <n v="105"/>
    <n v="2462264.9999999995"/>
    <n v="2209724.9999999995"/>
    <n v="0"/>
    <n v="3314587.4999999995"/>
    <n v="183"/>
    <n v="5776852.4999999991"/>
    <n v="4999411.7647058833"/>
    <n v="60"/>
    <n v="113"/>
    <n v="60"/>
    <n v="30"/>
    <n v="30"/>
    <n v="3567127.4999999995"/>
    <n v="1894049.9999999998"/>
    <n v="947024.99999999988"/>
    <n v="947024.99999999988"/>
    <n v="143"/>
    <n v="4514152.4999999991"/>
    <n v="4537310.9243697487"/>
    <n v="42"/>
    <n v="83"/>
    <n v="42"/>
    <n v="0"/>
    <m/>
    <n v="2620102.4999999995"/>
    <n v="1548960"/>
    <n v="0"/>
    <n v="83"/>
    <n v="2620102.4999999995"/>
    <n v="3176117.6470588241"/>
  </r>
  <r>
    <s v="Levo-Perifericos de Computacion"/>
    <x v="3"/>
    <x v="10"/>
    <x v="22"/>
    <s v="LVSILLLIT-BL"/>
    <x v="98"/>
    <x v="95"/>
    <x v="0"/>
    <x v="1"/>
    <n v="1"/>
    <x v="70"/>
    <n v="291"/>
    <m/>
    <n v="0"/>
    <n v="13053"/>
    <n v="3798423"/>
    <n v="9.1999999999999993"/>
    <n v="10051"/>
    <n v="33605.042016806721"/>
    <n v="33605.042016806721"/>
    <s v="Shenzhen"/>
    <x v="0"/>
    <n v="30"/>
    <m/>
    <n v="100"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4"/>
    <n v="0.26060589044401838"/>
    <n v="0.04"/>
    <n v="33"/>
    <n v="0.62607516664281793"/>
    <n v="0.33"/>
    <n v="89"/>
    <n v="0.31863508151213255"/>
    <n v="0.89"/>
    <n v="-5"/>
    <n v="0.75259242270766835"/>
    <n v="-8.3333333333333329E-2"/>
    <n v="27"/>
    <n v="0.31796625662903949"/>
    <n v="1.35"/>
    <n v="33"/>
    <n v="0.29108038015378879"/>
    <n v="1.65"/>
    <m/>
    <m/>
    <m/>
    <m/>
    <m/>
    <m/>
    <m/>
    <m/>
    <m/>
    <n v="0"/>
    <n v="0"/>
    <n v="0"/>
    <n v="0"/>
    <n v="0"/>
    <n v="0"/>
    <n v="0"/>
    <n v="0"/>
    <n v="0"/>
    <n v="0"/>
    <n v="291"/>
    <n v="3798423"/>
    <n v="0"/>
    <n v="0"/>
    <n v="0"/>
    <n v="0"/>
    <n v="200"/>
    <n v="200"/>
    <n v="0"/>
    <n v="52212"/>
    <n v="0"/>
    <n v="0"/>
    <n v="0"/>
    <n v="291"/>
    <n v="3798423"/>
    <n v="0"/>
    <n v="25"/>
    <n v="0"/>
    <n v="0"/>
    <n v="0"/>
    <n v="0"/>
    <n v="1004412"/>
    <n v="0"/>
    <n v="0"/>
    <n v="0"/>
    <n v="291"/>
    <n v="3798423"/>
    <n v="0"/>
    <n v="100"/>
    <n v="406"/>
    <n v="4"/>
    <n v="200"/>
    <n v="0"/>
    <n v="3865932"/>
    <n v="52212"/>
    <x v="30"/>
    <x v="0"/>
    <n v="291"/>
    <n v="3798423"/>
    <n v="134420.16806722688"/>
    <n v="100"/>
    <n v="324"/>
    <n v="100"/>
    <n v="100"/>
    <n v="100"/>
    <n v="0"/>
    <n v="4229172"/>
    <n v="952200"/>
    <x v="12"/>
    <n v="0"/>
    <n v="291"/>
    <n v="3798423"/>
    <n v="3360504.2016806724"/>
    <n v="100"/>
    <n v="380"/>
    <n v="89"/>
    <m/>
    <n v="0"/>
    <n v="0"/>
    <n v="4960140"/>
    <n v="847458"/>
    <n v="0"/>
    <n v="0"/>
    <n v="380"/>
    <n v="3798423"/>
    <n v="2990848.739495798"/>
    <n v="60"/>
    <n v="286"/>
    <n v="-5"/>
    <n v="0"/>
    <n v="0"/>
    <n v="0"/>
    <n v="3733158"/>
    <n v="-47610"/>
    <n v="0"/>
    <n v="0"/>
    <n v="286"/>
    <n v="3798423"/>
    <n v="-168025.21008403361"/>
    <n v="20"/>
    <n v="318"/>
    <n v="27"/>
    <n v="100"/>
    <n v="100"/>
    <n v="0"/>
    <n v="4150854"/>
    <n v="257094"/>
    <n v="952200"/>
    <n v="0"/>
    <n v="318"/>
    <n v="4150854"/>
    <n v="907336.13445378141"/>
    <n v="20"/>
    <n v="324"/>
    <n v="18"/>
    <n v="0"/>
    <n v="0"/>
    <n v="0"/>
    <n v="3085128"/>
    <n v="171396"/>
    <n v="0"/>
    <n v="0"/>
    <n v="291"/>
    <n v="3798423"/>
    <n v="604890.75630252098"/>
    <n v="50"/>
    <n v="306"/>
    <n v="50"/>
    <n v="0"/>
    <n v="0"/>
    <n v="0"/>
    <n v="0"/>
    <n v="2913732"/>
    <n v="476100"/>
    <n v="0"/>
    <n v="0"/>
    <n v="306"/>
    <n v="2913732"/>
    <n v="1680252.1008403362"/>
    <n v="30"/>
    <n v="256"/>
    <n v="30"/>
    <m/>
    <n v="0"/>
    <n v="0"/>
    <n v="2437632"/>
    <n v="285660"/>
    <n v="0"/>
    <n v="0"/>
    <n v="256"/>
    <n v="2437632"/>
    <n v="1008151.2605042016"/>
    <n v="30"/>
    <n v="226"/>
    <n v="30"/>
    <n v="0"/>
    <n v="0"/>
    <n v="2151972"/>
    <n v="285660"/>
    <n v="0"/>
    <n v="0"/>
    <n v="226"/>
    <n v="2151972"/>
    <n v="1008151.2605042016"/>
    <n v="18"/>
    <n v="196"/>
    <n v="18"/>
    <n v="0"/>
    <m/>
    <n v="1866312"/>
    <n v="234954"/>
    <n v="0"/>
    <n v="196"/>
    <n v="1866312"/>
    <n v="604890.75630252098"/>
  </r>
  <r>
    <s v="Levo-Perifericos de Computacion"/>
    <x v="3"/>
    <x v="10"/>
    <x v="22"/>
    <s v="LVTECOFSL-GR"/>
    <x v="99"/>
    <x v="96"/>
    <x v="0"/>
    <x v="1"/>
    <n v="1"/>
    <x v="71"/>
    <n v="10"/>
    <m/>
    <n v="0"/>
    <n v="12030"/>
    <n v="120300"/>
    <n v="13.2"/>
    <n v="14420.999999999998"/>
    <n v="27722.689075630253"/>
    <n v="24361.344537815126"/>
    <s v="Shenzhen"/>
    <x v="0"/>
    <n v="30"/>
    <m/>
    <n v="1000"/>
    <n v="0"/>
    <s v=""/>
    <n v="0"/>
    <s v=""/>
    <n v="1"/>
    <n v="0.55143579824430888"/>
    <n v="36"/>
    <n v="0.54573705113297066"/>
    <n v="47"/>
    <n v="0.56462813584416238"/>
    <n v="98"/>
    <n v="0.49236583395648503"/>
    <n v="77"/>
    <n v="0.53172214507156701"/>
    <n v="93"/>
    <n v="0.55061432513308362"/>
    <n v="43"/>
    <n v="0.55647963863933236"/>
    <n v="161"/>
    <n v="0.47950907138111826"/>
    <n v="116"/>
    <n v="0.52718074146322902"/>
    <n v="84"/>
    <n v="0.53142281421716153"/>
    <n v="77"/>
    <n v="0.40317766650401277"/>
    <n v="87"/>
    <n v="0.36505039361713776"/>
    <n v="126"/>
    <n v="0.33065902373142098"/>
    <n v="188"/>
    <n v="0.37330088320022847"/>
    <n v="1.5666666666666667"/>
    <n v="200"/>
    <n v="0.52134311986036852"/>
    <n v="2.2222222222222223"/>
    <n v="330"/>
    <n v="0.21255817244239567"/>
    <n v="2.3571428571428572"/>
    <n v="178"/>
    <n v="0.57213663991618269"/>
    <n v="0.71199999999999997"/>
    <n v="46"/>
    <n v="0.3901634729213378"/>
    <n v="0.33093525179856115"/>
    <n v="-4"/>
    <n v="0.52733894241881907"/>
    <n v="0"/>
    <m/>
    <m/>
    <m/>
    <m/>
    <m/>
    <m/>
    <m/>
    <m/>
    <m/>
    <n v="75"/>
    <n v="250"/>
    <n v="75"/>
    <n v="1000"/>
    <n v="1000"/>
    <n v="0"/>
    <n v="3987945"/>
    <n v="3415499.9999999995"/>
    <n v="902250"/>
    <n v="0"/>
    <n v="10"/>
    <n v="120300"/>
    <n v="1747228.3030859404"/>
    <n v="80"/>
    <n v="141"/>
    <n v="130.5"/>
    <n v="0"/>
    <m/>
    <n v="0"/>
    <n v="5347335"/>
    <n v="1926341.9999999998"/>
    <n v="1569915"/>
    <n v="0"/>
    <n v="10"/>
    <n v="120300"/>
    <n v="3040177.2473695362"/>
    <n v="120"/>
    <n v="1027"/>
    <n v="126"/>
    <n v="0"/>
    <n v="0"/>
    <n v="5007000"/>
    <n v="12354810"/>
    <n v="1515780"/>
    <n v="0"/>
    <n v="10"/>
    <n v="120300"/>
    <n v="3493058.823529412"/>
    <n v="120"/>
    <n v="914"/>
    <n v="188"/>
    <n v="0"/>
    <n v="0"/>
    <n v="12487067.999999998"/>
    <n v="2261640"/>
    <x v="0"/>
    <x v="0"/>
    <n v="10"/>
    <n v="120300"/>
    <n v="5211865.5462184874"/>
    <n v="90"/>
    <n v="210"/>
    <n v="90"/>
    <m/>
    <n v="0"/>
    <n v="0"/>
    <n v="2526300"/>
    <n v="1229579.9999999998"/>
    <x v="0"/>
    <n v="0"/>
    <n v="10"/>
    <n v="120300"/>
    <n v="2495042.0168067226"/>
    <n v="140"/>
    <n v="340"/>
    <n v="330"/>
    <m/>
    <n v="0"/>
    <n v="0"/>
    <n v="4090200"/>
    <n v="4508459.9999999991"/>
    <n v="0"/>
    <n v="0"/>
    <n v="340"/>
    <n v="120300"/>
    <n v="9148487.3949579839"/>
    <n v="250"/>
    <n v="188"/>
    <n v="178"/>
    <n v="0"/>
    <n v="0"/>
    <n v="0"/>
    <n v="2261640"/>
    <n v="2431835.9999999995"/>
    <n v="0"/>
    <n v="0"/>
    <n v="188"/>
    <n v="120300"/>
    <n v="4934638.6554621849"/>
    <n v="139"/>
    <n v="56"/>
    <n v="47"/>
    <n v="0"/>
    <n v="0"/>
    <n v="0"/>
    <n v="673680"/>
    <n v="642113.99999999988"/>
    <n v="0"/>
    <n v="0"/>
    <n v="56"/>
    <n v="673680"/>
    <n v="1302966.3865546219"/>
    <n v="0"/>
    <n v="6"/>
    <n v="0"/>
    <n v="0"/>
    <n v="0"/>
    <n v="0"/>
    <n v="81971.999999999985"/>
    <n v="0"/>
    <n v="0"/>
    <n v="0"/>
    <n v="10"/>
    <n v="120300"/>
    <n v="0"/>
    <n v="100"/>
    <n v="6"/>
    <n v="6"/>
    <n v="1000"/>
    <n v="1000"/>
    <n v="0"/>
    <n v="0"/>
    <n v="81971.999999999985"/>
    <n v="81971.999999999985"/>
    <n v="13661999.999999998"/>
    <n v="0"/>
    <n v="6"/>
    <n v="81971.999999999985"/>
    <n v="146168.06722689077"/>
    <n v="250"/>
    <n v="0"/>
    <n v="0"/>
    <m/>
    <n v="0"/>
    <n v="0"/>
    <n v="0"/>
    <n v="0"/>
    <n v="0"/>
    <n v="0"/>
    <n v="0"/>
    <n v="0"/>
    <n v="0"/>
    <n v="300"/>
    <n v="0"/>
    <n v="0"/>
    <n v="0"/>
    <n v="0"/>
    <n v="0"/>
    <n v="0"/>
    <n v="0"/>
    <n v="0"/>
    <n v="0"/>
    <n v="0"/>
    <n v="0"/>
    <n v="150"/>
    <n v="0"/>
    <n v="150"/>
    <n v="0"/>
    <m/>
    <n v="0"/>
    <n v="1804500"/>
    <n v="0"/>
    <n v="0"/>
    <n v="0"/>
    <n v="4158403.3613445377"/>
  </r>
  <r>
    <s v="Levo-Smart Home"/>
    <x v="3"/>
    <x v="11"/>
    <x v="23"/>
    <n v="1652825027456"/>
    <x v="100"/>
    <x v="97"/>
    <x v="0"/>
    <x v="3"/>
    <n v="0.9"/>
    <x v="31"/>
    <n v="22"/>
    <m/>
    <n v="0"/>
    <n v="6463"/>
    <n v="142186"/>
    <n v="6.5"/>
    <n v="7101.2499999999991"/>
    <n v="16798.319327731093"/>
    <n v="15117.64705882353"/>
    <s v="Shenzhen"/>
    <x v="1"/>
    <n v="30"/>
    <m/>
    <n v="300"/>
    <n v="91"/>
    <n v="0.60619619504897482"/>
    <n v="100"/>
    <n v="0.58807412773635404"/>
    <n v="91"/>
    <n v="0.63162312601463411"/>
    <n v="105"/>
    <n v="0.6165755820968829"/>
    <n v="51"/>
    <n v="0.66711490969526088"/>
    <n v="79"/>
    <n v="0.61229877820720258"/>
    <n v="114"/>
    <n v="0.57751407137123312"/>
    <n v="66"/>
    <n v="0.6164749808099762"/>
    <n v="85"/>
    <n v="0.5622003956349827"/>
    <n v="82"/>
    <n v="0.55645380097848451"/>
    <n v="60"/>
    <n v="0.56635651976822976"/>
    <n v="92"/>
    <n v="0.51739422471656082"/>
    <n v="26"/>
    <n v="0.57967529473712098"/>
    <n v="90"/>
    <n v="0.43612594092701773"/>
    <n v="58"/>
    <n v="0.50377433358320556"/>
    <n v="35"/>
    <n v="0.55538965256204098"/>
    <n v="0.4375"/>
    <n v="53"/>
    <n v="0.59176370469364725"/>
    <n v="0.66249999999999998"/>
    <n v="201"/>
    <n v="0.56640432153944709"/>
    <n v="2.0099999999999998"/>
    <n v="0"/>
    <s v=""/>
    <n v="0"/>
    <n v="62"/>
    <n v="0.37580617491917867"/>
    <n v="1.0333333333333334"/>
    <n v="4"/>
    <n v="0.30066711117656453"/>
    <n v="6.6666666666666666E-2"/>
    <m/>
    <m/>
    <m/>
    <m/>
    <m/>
    <m/>
    <m/>
    <m/>
    <m/>
    <n v="80"/>
    <n v="47"/>
    <n v="50"/>
    <n v="300"/>
    <n v="150"/>
    <n v="0"/>
    <n v="1570509"/>
    <n v="316192.49999999994"/>
    <n v="323150"/>
    <n v="0"/>
    <n v="22"/>
    <n v="142186"/>
    <n v="705811.73645928968"/>
    <n v="80"/>
    <n v="315"/>
    <n v="135"/>
    <n v="0"/>
    <m/>
    <n v="0"/>
    <n v="1473564"/>
    <n v="2119162.4999999995"/>
    <n v="872505"/>
    <n v="0"/>
    <n v="22"/>
    <n v="142186"/>
    <n v="1905691.6884400821"/>
    <n v="80"/>
    <n v="209"/>
    <n v="58"/>
    <n v="0"/>
    <n v="0"/>
    <n v="1085439"/>
    <n v="1350767"/>
    <n v="374854"/>
    <n v="0"/>
    <n v="22"/>
    <n v="142186"/>
    <n v="974302.52100840339"/>
    <n v="80"/>
    <n v="445"/>
    <n v="35"/>
    <n v="300"/>
    <n v="0"/>
    <n v="2993737.4999999995"/>
    <n v="226205"/>
    <x v="31"/>
    <x v="0"/>
    <n v="22"/>
    <n v="142186"/>
    <n v="587941.17647058819"/>
    <n v="80"/>
    <n v="75"/>
    <n v="72"/>
    <m/>
    <n v="0"/>
    <n v="0"/>
    <n v="484725"/>
    <n v="484379.99999999994"/>
    <x v="0"/>
    <n v="0"/>
    <n v="22"/>
    <n v="142186"/>
    <n v="1209478.9915966387"/>
    <n v="100"/>
    <n v="223"/>
    <n v="201"/>
    <m/>
    <n v="0"/>
    <n v="0"/>
    <n v="1441249"/>
    <n v="1352227.4999999998"/>
    <n v="0"/>
    <n v="0"/>
    <n v="223"/>
    <n v="142186"/>
    <n v="3376462.1848739497"/>
    <n v="70"/>
    <n v="22"/>
    <n v="0"/>
    <n v="0"/>
    <n v="0"/>
    <n v="0"/>
    <n v="142186"/>
    <n v="0"/>
    <n v="0"/>
    <n v="0"/>
    <n v="22"/>
    <n v="142186"/>
    <n v="0"/>
    <n v="60"/>
    <n v="84"/>
    <n v="64"/>
    <n v="0"/>
    <n v="0"/>
    <n v="0"/>
    <n v="542892"/>
    <n v="430559.99999999994"/>
    <n v="0"/>
    <n v="0"/>
    <n v="84"/>
    <n v="542892"/>
    <n v="1075092.4369747899"/>
    <n v="60"/>
    <n v="26"/>
    <n v="6"/>
    <n v="0"/>
    <n v="0"/>
    <n v="0"/>
    <n v="174914.99999999997"/>
    <n v="40364.999999999993"/>
    <n v="0"/>
    <n v="0"/>
    <n v="22"/>
    <n v="142186"/>
    <n v="100789.91596638656"/>
    <n v="90"/>
    <n v="20"/>
    <n v="20"/>
    <n v="0"/>
    <n v="0"/>
    <n v="0"/>
    <m/>
    <n v="134549.99999999997"/>
    <n v="134549.99999999997"/>
    <n v="0"/>
    <n v="0"/>
    <n v="20"/>
    <n v="134549.99999999997"/>
    <n v="302352.9411764706"/>
    <n v="80"/>
    <n v="0"/>
    <n v="0"/>
    <n v="0"/>
    <n v="0"/>
    <n v="0"/>
    <n v="0"/>
    <n v="0"/>
    <n v="0"/>
    <n v="0"/>
    <n v="0"/>
    <n v="0"/>
    <n v="0"/>
    <n v="90"/>
    <n v="0"/>
    <n v="81"/>
    <n v="300"/>
    <n v="300"/>
    <n v="0"/>
    <n v="544927.49999999988"/>
    <n v="2018249.9999999998"/>
    <n v="2018249.9999999998"/>
    <n v="300"/>
    <n v="2018249.9999999998"/>
    <n v="1360663.8655462186"/>
    <n v="48"/>
    <n v="219"/>
    <n v="43.2"/>
    <n v="0"/>
    <m/>
    <n v="1473322.4999999998"/>
    <n v="279201.60000000003"/>
    <n v="0"/>
    <n v="219"/>
    <n v="1473322.4999999998"/>
    <n v="725687.39495798328"/>
  </r>
  <r>
    <s v="Levo-Smart Home"/>
    <x v="3"/>
    <x v="11"/>
    <x v="24"/>
    <n v="67327559384453"/>
    <x v="101"/>
    <x v="98"/>
    <x v="0"/>
    <x v="1"/>
    <n v="1"/>
    <x v="31"/>
    <n v="86"/>
    <m/>
    <n v="0"/>
    <n v="11582"/>
    <n v="996052"/>
    <n v="13.4"/>
    <n v="14639.499999999998"/>
    <n v="25201.680672268907"/>
    <n v="25201.680672268907"/>
    <s v="Shenzhen"/>
    <x v="0"/>
    <n v="30"/>
    <m/>
    <n v="50"/>
    <n v="103"/>
    <n v="0.64575686889778683"/>
    <n v="58"/>
    <n v="0.66168817546325598"/>
    <n v="33"/>
    <n v="0.69131495459074543"/>
    <n v="20"/>
    <n v="0.7233715346778159"/>
    <n v="5"/>
    <n v="0.67548559116361739"/>
    <n v="56"/>
    <n v="0.66280045279664712"/>
    <n v="30"/>
    <n v="0.69780135304453195"/>
    <n v="46"/>
    <n v="0.65620693381004236"/>
    <n v="16"/>
    <n v="0.68086623531657564"/>
    <n v="60"/>
    <n v="0.61227444670969633"/>
    <n v="50"/>
    <n v="0.59268777797853922"/>
    <n v="85"/>
    <n v="0.558975139939484"/>
    <n v="33"/>
    <n v="0.45805336013478798"/>
    <n v="104"/>
    <n v="0.38281183383485712"/>
    <n v="126"/>
    <n v="0.33415635606597538"/>
    <n v="18"/>
    <n v="0.4489979455328193"/>
    <n v="0.4"/>
    <n v="2"/>
    <n v="0.54504301433811275"/>
    <n v="4.4444444444444446E-2"/>
    <n v="11"/>
    <n v="0.12124053470374313"/>
    <n v="2.2000000000000002"/>
    <n v="0"/>
    <s v=""/>
    <n v="0"/>
    <n v="12"/>
    <n v="0.17345035607436654"/>
    <n v="0.24"/>
    <n v="20"/>
    <n v="0.24924944903162155"/>
    <n v="0.4"/>
    <m/>
    <m/>
    <m/>
    <m/>
    <m/>
    <m/>
    <m/>
    <m/>
    <m/>
    <n v="50"/>
    <n v="149"/>
    <n v="30"/>
    <n v="50"/>
    <n v="50"/>
    <n v="0"/>
    <n v="3613584"/>
    <n v="2066480.9999999998"/>
    <n v="347460"/>
    <n v="0"/>
    <n v="86"/>
    <n v="996052"/>
    <n v="635336.48753619101"/>
    <n v="50"/>
    <n v="245"/>
    <n v="156"/>
    <n v="80"/>
    <n v="80"/>
    <n v="0"/>
    <n v="3474600"/>
    <n v="3397904.9999999995"/>
    <n v="1806792"/>
    <n v="0"/>
    <n v="86"/>
    <n v="996052"/>
    <n v="3303749.7351881932"/>
    <n v="50"/>
    <n v="93"/>
    <n v="126"/>
    <n v="0"/>
    <n v="0"/>
    <n v="2291913"/>
    <n v="1077126"/>
    <n v="1459332"/>
    <n v="0"/>
    <n v="86"/>
    <n v="996052"/>
    <n v="3175411.7647058824"/>
    <n v="45"/>
    <n v="19"/>
    <n v="18"/>
    <n v="0"/>
    <n v="0"/>
    <n v="263510.99999999994"/>
    <n v="208476"/>
    <x v="0"/>
    <x v="0"/>
    <n v="86"/>
    <n v="996052"/>
    <n v="453630.25210084033"/>
    <n v="45"/>
    <n v="88"/>
    <n v="45"/>
    <m/>
    <n v="0"/>
    <n v="0"/>
    <n v="1019216"/>
    <n v="624104.99999999988"/>
    <x v="0"/>
    <n v="0"/>
    <n v="86"/>
    <n v="996052"/>
    <n v="1134075.6302521008"/>
    <n v="5"/>
    <n v="97"/>
    <n v="11"/>
    <m/>
    <n v="0"/>
    <n v="0"/>
    <n v="1123454"/>
    <n v="152558.99999999997"/>
    <n v="0"/>
    <n v="0"/>
    <n v="97"/>
    <n v="996052"/>
    <n v="277218.48739495798"/>
    <n v="50"/>
    <n v="86"/>
    <n v="0"/>
    <n v="100"/>
    <n v="100"/>
    <n v="0"/>
    <n v="996052"/>
    <n v="0"/>
    <n v="1340670"/>
    <n v="0"/>
    <n v="86"/>
    <n v="996052"/>
    <n v="0"/>
    <n v="50"/>
    <n v="98"/>
    <n v="12"/>
    <n v="110"/>
    <n v="110"/>
    <n v="0"/>
    <n v="1135036"/>
    <n v="166427.99999999997"/>
    <n v="1525589.9999999998"/>
    <n v="0"/>
    <n v="98"/>
    <n v="1135036"/>
    <n v="302420.16806722688"/>
    <n v="50"/>
    <n v="106"/>
    <n v="10.5"/>
    <n v="100"/>
    <n v="100"/>
    <n v="0"/>
    <n v="1470113.9999999998"/>
    <n v="145624.49999999997"/>
    <n v="1386899.9999999998"/>
    <n v="0"/>
    <n v="86"/>
    <n v="996052"/>
    <n v="264617.6470588235"/>
    <n v="80"/>
    <n v="95.5"/>
    <n v="80"/>
    <n v="0"/>
    <n v="0"/>
    <n v="0"/>
    <n v="0"/>
    <n v="1324489.4999999998"/>
    <n v="1109519.9999999998"/>
    <n v="0"/>
    <n v="0"/>
    <n v="95.5"/>
    <n v="1324489.4999999998"/>
    <n v="2016134.4537815126"/>
    <n v="90"/>
    <n v="15.5"/>
    <n v="15.5"/>
    <n v="0"/>
    <n v="0"/>
    <n v="0"/>
    <n v="214969.49999999997"/>
    <n v="214969.49999999997"/>
    <n v="0"/>
    <n v="0"/>
    <n v="15.5"/>
    <n v="214969.49999999997"/>
    <n v="390626.05042016809"/>
    <n v="100"/>
    <n v="0"/>
    <n v="100"/>
    <n v="150"/>
    <n v="150"/>
    <n v="0"/>
    <n v="1386899.9999999998"/>
    <n v="2080349.9999999998"/>
    <n v="2080349.9999999998"/>
    <n v="150"/>
    <n v="2080349.9999999998"/>
    <n v="2520168.0672268905"/>
    <n v="54"/>
    <n v="50"/>
    <n v="54"/>
    <n v="0"/>
    <m/>
    <n v="693449.99999999988"/>
    <n v="625428"/>
    <n v="0"/>
    <n v="50"/>
    <n v="693449.99999999988"/>
    <n v="1360890.7563025211"/>
  </r>
  <r>
    <s v="Levo-Smart Home"/>
    <x v="3"/>
    <x v="11"/>
    <x v="25"/>
    <s v="LVCAMSEGEX-BK"/>
    <x v="102"/>
    <x v="99"/>
    <x v="0"/>
    <x v="3"/>
    <n v="1"/>
    <x v="72"/>
    <n v="120"/>
    <m/>
    <n v="0"/>
    <n v="7270"/>
    <n v="872400"/>
    <n v="7.4"/>
    <n v="7602"/>
    <n v="16798.319327731093"/>
    <n v="12596.638655462186"/>
    <s v="Shenzhen"/>
    <x v="0"/>
    <n v="30"/>
    <m/>
    <n v="100"/>
    <n v="0"/>
    <s v=""/>
    <n v="0"/>
    <s v=""/>
    <n v="0"/>
    <s v=""/>
    <n v="0"/>
    <s v=""/>
    <n v="0"/>
    <s v=""/>
    <n v="0"/>
    <s v=""/>
    <n v="0"/>
    <s v=""/>
    <n v="0"/>
    <s v=""/>
    <n v="0"/>
    <s v=""/>
    <n v="26"/>
    <n v="0.52362451435016921"/>
    <n v="79"/>
    <n v="0.50540088304681163"/>
    <n v="47"/>
    <n v="0.54710954594846029"/>
    <n v="27"/>
    <n v="0.35569676692676538"/>
    <n v="108"/>
    <n v="0.44180514774594781"/>
    <n v="236"/>
    <n v="0.57098561794105829"/>
    <n v="128"/>
    <n v="0.44804387864355211"/>
    <n v="1.0666666666666667"/>
    <n v="86"/>
    <n v="0.48276247469485595"/>
    <n v="0.71666666666666667"/>
    <n v="438"/>
    <n v="0.35946498473084365"/>
    <n v="1.752"/>
    <n v="180"/>
    <n v="0.44949056101891721"/>
    <n v="0.75"/>
    <n v="79"/>
    <n v="0.52402962754494031"/>
    <n v="1.3166666666666667"/>
    <n v="107"/>
    <n v="0.4007023818244837"/>
    <n v="1.7833333333333334"/>
    <m/>
    <m/>
    <m/>
    <m/>
    <m/>
    <m/>
    <m/>
    <m/>
    <m/>
    <n v="110"/>
    <n v="351"/>
    <n v="60"/>
    <n v="0"/>
    <n v="176"/>
    <n v="0"/>
    <n v="3329660"/>
    <n v="2688308.9999999995"/>
    <n v="436200"/>
    <n v="0"/>
    <n v="120"/>
    <n v="872400"/>
    <n v="846974.08375114761"/>
    <n v="160"/>
    <n v="318"/>
    <n v="162"/>
    <n v="700"/>
    <n v="700"/>
    <n v="0"/>
    <n v="3824020"/>
    <n v="2435561.9999999995"/>
    <n v="1177740"/>
    <n v="0"/>
    <n v="120"/>
    <n v="872400"/>
    <n v="2286830.0261280984"/>
    <n v="200"/>
    <n v="929"/>
    <n v="236"/>
    <n v="0"/>
    <n v="0"/>
    <n v="3565360"/>
    <n v="6753830"/>
    <n v="1715720"/>
    <n v="0"/>
    <n v="120"/>
    <n v="872400"/>
    <n v="3964403.3613445377"/>
    <n v="120"/>
    <n v="852"/>
    <n v="128"/>
    <n v="200"/>
    <n v="0"/>
    <n v="6525467.9999999991"/>
    <n v="930560"/>
    <x v="32"/>
    <x v="0"/>
    <n v="120"/>
    <n v="872400"/>
    <n v="2150184.8739495799"/>
    <n v="120"/>
    <n v="206"/>
    <n v="120"/>
    <m/>
    <n v="0"/>
    <n v="0"/>
    <n v="1497620"/>
    <n v="919079.99999999988"/>
    <x v="0"/>
    <n v="0"/>
    <n v="120"/>
    <n v="872400"/>
    <n v="2015798.3193277312"/>
    <n v="250"/>
    <n v="558"/>
    <n v="438"/>
    <m/>
    <n v="0"/>
    <n v="0"/>
    <n v="4056660"/>
    <n v="3354641.9999999995"/>
    <n v="0"/>
    <n v="0"/>
    <n v="558"/>
    <n v="872400"/>
    <n v="7357663.8655462191"/>
    <n v="240"/>
    <n v="300"/>
    <n v="180"/>
    <n v="0"/>
    <n v="0"/>
    <n v="0"/>
    <n v="2181000"/>
    <n v="1378619.9999999998"/>
    <n v="0"/>
    <n v="0"/>
    <n v="300"/>
    <n v="872400"/>
    <n v="3023697.478991597"/>
    <n v="60"/>
    <n v="199"/>
    <n v="81"/>
    <n v="300"/>
    <n v="300"/>
    <n v="0"/>
    <n v="1446730"/>
    <n v="620378.99999999988"/>
    <n v="2297699.9999999995"/>
    <n v="0"/>
    <n v="199"/>
    <n v="1446730"/>
    <n v="1360663.8655462186"/>
    <n v="60"/>
    <n v="227"/>
    <n v="126"/>
    <n v="0"/>
    <n v="0"/>
    <n v="0"/>
    <n v="1738592.9999999998"/>
    <n v="965033.99999999988"/>
    <n v="0"/>
    <n v="0"/>
    <n v="120"/>
    <n v="872400"/>
    <n v="2116588.2352941176"/>
    <n v="80"/>
    <n v="101"/>
    <n v="80"/>
    <n v="0"/>
    <n v="0"/>
    <n v="0"/>
    <m/>
    <n v="773558.99999999988"/>
    <n v="612719.99999999988"/>
    <n v="0"/>
    <n v="0"/>
    <n v="101"/>
    <n v="773558.99999999988"/>
    <n v="1007731.0924369749"/>
    <n v="80"/>
    <n v="21"/>
    <n v="21"/>
    <n v="0"/>
    <n v="0"/>
    <n v="0"/>
    <n v="160838.99999999997"/>
    <n v="160838.99999999997"/>
    <n v="0"/>
    <n v="0"/>
    <n v="21"/>
    <n v="160838.99999999997"/>
    <n v="264529.4117647059"/>
    <n v="100"/>
    <n v="0"/>
    <n v="100"/>
    <n v="100"/>
    <n v="100"/>
    <n v="0"/>
    <n v="765899.99999999988"/>
    <n v="765899.99999999988"/>
    <n v="765899.99999999988"/>
    <n v="100"/>
    <n v="765899.99999999988"/>
    <n v="1679831.9327731093"/>
    <n v="120"/>
    <n v="0"/>
    <n v="120"/>
    <n v="0"/>
    <m/>
    <n v="0"/>
    <n v="872400"/>
    <n v="0"/>
    <n v="0"/>
    <n v="0"/>
    <n v="2015798.3193277312"/>
  </r>
  <r>
    <s v="Levo-Smart Home"/>
    <x v="3"/>
    <x v="11"/>
    <x v="26"/>
    <s v="LVCITMONWF"/>
    <x v="103"/>
    <x v="100"/>
    <x v="0"/>
    <x v="2"/>
    <n v="1"/>
    <x v="73"/>
    <n v="1"/>
    <m/>
    <n v="0"/>
    <n v="65373"/>
    <n v="65373"/>
    <n v="62"/>
    <n v="67735"/>
    <n v="126042.01680672269"/>
    <n v="123521.00840336135"/>
    <s v="Shenzhen"/>
    <x v="0"/>
    <n v="30"/>
    <m/>
    <n v="50"/>
    <n v="0"/>
    <s v=""/>
    <n v="0"/>
    <n v="0"/>
    <n v="0"/>
    <s v=""/>
    <n v="2"/>
    <n v="0.4234259449123336"/>
    <n v="0"/>
    <n v="0.45972727272727271"/>
    <n v="4"/>
    <n v="0.51375723854852595"/>
    <n v="5"/>
    <n v="0.4948110801725259"/>
    <n v="2"/>
    <n v="0.48133958806184335"/>
    <n v="4"/>
    <n v="0.439285543038613"/>
    <n v="5"/>
    <n v="0.46712904604733607"/>
    <n v="0"/>
    <n v="1"/>
    <n v="5"/>
    <n v="0.42370694353472771"/>
    <n v="4"/>
    <n v="0.31733530750150568"/>
    <n v="0"/>
    <s v=""/>
    <n v="4"/>
    <n v="0.35511169120671726"/>
    <n v="2"/>
    <n v="0.32933692675469267"/>
    <n v="0.66666666666666663"/>
    <n v="1"/>
    <n v="0.46345078970963516"/>
    <n v="0.33333333333333331"/>
    <n v="2"/>
    <n v="0.31185709475385548"/>
    <n v="0.25"/>
    <n v="2"/>
    <n v="0.46345489344092694"/>
    <n v="0"/>
    <n v="3"/>
    <n v="0.25697952063469298"/>
    <n v="0"/>
    <n v="1"/>
    <n v="0.16535786652722395"/>
    <n v="0.33333333333333331"/>
    <m/>
    <m/>
    <m/>
    <m/>
    <m/>
    <m/>
    <m/>
    <m/>
    <m/>
    <n v="2"/>
    <n v="15"/>
    <n v="2"/>
    <n v="0"/>
    <m/>
    <n v="0"/>
    <n v="392238"/>
    <n v="962549.99999999988"/>
    <n v="130746"/>
    <n v="0"/>
    <n v="1"/>
    <n v="65373"/>
    <n v="211835.32236423984"/>
    <n v="2"/>
    <n v="18"/>
    <n v="0"/>
    <n v="0"/>
    <m/>
    <n v="0"/>
    <n v="392238"/>
    <n v="1155059.9999999998"/>
    <n v="0"/>
    <n v="0"/>
    <n v="1"/>
    <n v="65373"/>
    <n v="0"/>
    <n v="3"/>
    <n v="18"/>
    <n v="4"/>
    <n v="0"/>
    <n v="0"/>
    <n v="584748"/>
    <n v="1176714"/>
    <n v="261492"/>
    <n v="0"/>
    <n v="1"/>
    <n v="65373"/>
    <n v="504168.06722689077"/>
    <n v="3"/>
    <n v="14"/>
    <n v="2"/>
    <n v="0"/>
    <n v="0"/>
    <n v="898379.99999999988"/>
    <n v="130746"/>
    <x v="0"/>
    <x v="0"/>
    <n v="1"/>
    <n v="65373"/>
    <n v="252084.03361344538"/>
    <n v="3"/>
    <n v="2"/>
    <n v="3"/>
    <m/>
    <n v="0"/>
    <n v="0"/>
    <n v="130746"/>
    <n v="192509.99999999997"/>
    <x v="0"/>
    <n v="0"/>
    <n v="1"/>
    <n v="65373"/>
    <n v="378126.05042016809"/>
    <n v="8"/>
    <n v="3"/>
    <n v="2"/>
    <m/>
    <n v="0"/>
    <n v="0"/>
    <n v="196119"/>
    <n v="128339.99999999999"/>
    <n v="0"/>
    <n v="0"/>
    <n v="3"/>
    <n v="65373"/>
    <n v="252084.03361344538"/>
    <n v="0"/>
    <n v="3"/>
    <n v="2"/>
    <n v="0"/>
    <n v="0"/>
    <n v="0"/>
    <n v="196119"/>
    <n v="128339.99999999999"/>
    <n v="0"/>
    <n v="0"/>
    <n v="3"/>
    <n v="65373"/>
    <n v="252084.03361344538"/>
    <n v="0"/>
    <n v="4"/>
    <n v="3"/>
    <n v="0"/>
    <n v="0"/>
    <n v="0"/>
    <n v="261492"/>
    <n v="192509.99999999997"/>
    <n v="0"/>
    <n v="0"/>
    <n v="4"/>
    <n v="261492"/>
    <n v="378126.05042016809"/>
    <n v="3"/>
    <n v="2"/>
    <n v="1.5"/>
    <n v="0"/>
    <n v="0"/>
    <n v="0"/>
    <n v="128339.99999999999"/>
    <n v="96254.999999999985"/>
    <n v="0"/>
    <n v="0"/>
    <n v="1"/>
    <n v="65373"/>
    <n v="189063.02521008404"/>
    <n v="0"/>
    <n v="0.5"/>
    <n v="0"/>
    <n v="0"/>
    <n v="0"/>
    <n v="0"/>
    <m/>
    <n v="32084.999999999996"/>
    <n v="0"/>
    <n v="0"/>
    <n v="0"/>
    <n v="0.5"/>
    <n v="32084.999999999996"/>
    <n v="0"/>
    <n v="0"/>
    <n v="0.5"/>
    <n v="0"/>
    <m/>
    <n v="0"/>
    <n v="0"/>
    <n v="32084.999999999996"/>
    <n v="0"/>
    <n v="0"/>
    <n v="0"/>
    <n v="0.5"/>
    <n v="32084.999999999996"/>
    <n v="0"/>
    <n v="0"/>
    <n v="0.5"/>
    <n v="0"/>
    <n v="0"/>
    <n v="0"/>
    <n v="32084.999999999996"/>
    <n v="0"/>
    <n v="0"/>
    <n v="0"/>
    <n v="0.5"/>
    <n v="32084.999999999996"/>
    <n v="0"/>
    <n v="0"/>
    <n v="0.5"/>
    <n v="0"/>
    <n v="0"/>
    <m/>
    <n v="32084.999999999996"/>
    <n v="0"/>
    <n v="0"/>
    <n v="0.5"/>
    <n v="32084.999999999996"/>
    <n v="0"/>
  </r>
  <r>
    <s v="Levo-Smart Home"/>
    <x v="3"/>
    <x v="11"/>
    <x v="27"/>
    <n v="1538141129434"/>
    <x v="104"/>
    <x v="101"/>
    <x v="0"/>
    <x v="0"/>
    <n v="1"/>
    <x v="31"/>
    <n v="125"/>
    <m/>
    <n v="0"/>
    <n v="3348"/>
    <n v="418500"/>
    <n v="3.5300000000000002"/>
    <n v="3856.5250000000001"/>
    <n v="8394.957983193277"/>
    <n v="8394.957983193277"/>
    <s v="Shenzhen"/>
    <x v="0"/>
    <n v="30"/>
    <m/>
    <n v="100"/>
    <n v="55"/>
    <n v="0.71497455404704002"/>
    <n v="59"/>
    <n v="0.65447059749825853"/>
    <n v="79"/>
    <n v="0.67755968215068918"/>
    <n v="68"/>
    <n v="0.65438146532824493"/>
    <n v="46"/>
    <n v="0.65477951631414721"/>
    <n v="155"/>
    <n v="0.60753616826677392"/>
    <n v="133"/>
    <n v="0.64207232032981465"/>
    <n v="83"/>
    <n v="0.64650675370789279"/>
    <n v="46"/>
    <n v="0.68710011278693328"/>
    <n v="94"/>
    <n v="0.58193796285435362"/>
    <n v="96"/>
    <n v="0.59369825280329647"/>
    <n v="39"/>
    <n v="0.57023438577712626"/>
    <n v="9"/>
    <n v="0.57985306495764488"/>
    <n v="41"/>
    <n v="-6.5562552541616345E-2"/>
    <n v="106"/>
    <n v="0.27935398017422441"/>
    <n v="112"/>
    <n v="0.3960106138745958"/>
    <n v="1.6"/>
    <n v="110"/>
    <n v="0.62794202053740722"/>
    <n v="1.5714285714285714"/>
    <n v="65"/>
    <n v="0.52296470277499973"/>
    <n v="0.72222222222222221"/>
    <n v="0"/>
    <s v=""/>
    <n v="0"/>
    <n v="23"/>
    <n v="0.50654692716479022"/>
    <n v="0.32857142857142857"/>
    <n v="9"/>
    <n v="0.47438231088097038"/>
    <n v="0.12857142857142856"/>
    <m/>
    <m/>
    <m/>
    <m/>
    <m/>
    <m/>
    <m/>
    <m/>
    <m/>
    <n v="70"/>
    <n v="6"/>
    <n v="10"/>
    <n v="150"/>
    <n v="150"/>
    <n v="0"/>
    <n v="594270"/>
    <n v="21921.3"/>
    <n v="33480"/>
    <n v="0"/>
    <n v="125"/>
    <n v="418500"/>
    <n v="70545.865404985525"/>
    <n v="70"/>
    <n v="351"/>
    <n v="61.5"/>
    <n v="200"/>
    <n v="200"/>
    <n v="0"/>
    <n v="935766"/>
    <n v="1282396.0499999998"/>
    <n v="205902"/>
    <n v="0"/>
    <n v="125"/>
    <n v="418500"/>
    <n v="433857.07224066096"/>
    <n v="70"/>
    <n v="294"/>
    <n v="106"/>
    <n v="0"/>
    <n v="0"/>
    <n v="985612.5"/>
    <n v="984312"/>
    <n v="354888"/>
    <n v="0"/>
    <n v="125"/>
    <n v="418500"/>
    <n v="889865.54621848732"/>
    <n v="70"/>
    <n v="267"/>
    <n v="112"/>
    <n v="90"/>
    <n v="0"/>
    <n v="975497.85"/>
    <n v="374976"/>
    <x v="33"/>
    <x v="0"/>
    <n v="125"/>
    <n v="418500"/>
    <n v="940235.29411764699"/>
    <n v="70"/>
    <n v="235"/>
    <n v="70"/>
    <m/>
    <n v="0"/>
    <n v="0"/>
    <n v="786780"/>
    <n v="255748.49999999997"/>
    <x v="0"/>
    <n v="0"/>
    <n v="125"/>
    <n v="418500"/>
    <n v="587647.0588235294"/>
    <n v="90"/>
    <n v="190"/>
    <n v="65"/>
    <m/>
    <n v="0"/>
    <n v="0"/>
    <n v="636120"/>
    <n v="237480.74999999997"/>
    <n v="0"/>
    <n v="0"/>
    <n v="190"/>
    <n v="418500"/>
    <n v="545672.26890756295"/>
    <n v="70"/>
    <n v="125"/>
    <n v="0"/>
    <n v="100"/>
    <n v="100"/>
    <n v="0"/>
    <n v="418500"/>
    <n v="0"/>
    <n v="353176.50000000006"/>
    <n v="0"/>
    <n v="125"/>
    <n v="418500"/>
    <n v="0"/>
    <n v="70"/>
    <n v="148"/>
    <n v="23"/>
    <n v="100"/>
    <n v="100"/>
    <n v="0"/>
    <n v="495504"/>
    <n v="84031.65"/>
    <n v="365355"/>
    <n v="0"/>
    <n v="148"/>
    <n v="495504"/>
    <n v="193084.03361344538"/>
    <n v="70"/>
    <n v="134"/>
    <n v="6"/>
    <n v="0"/>
    <n v="0"/>
    <n v="0"/>
    <n v="489575.69999999995"/>
    <n v="21921.3"/>
    <n v="0"/>
    <n v="0"/>
    <n v="125"/>
    <n v="418500"/>
    <n v="50369.747899159658"/>
    <n v="0"/>
    <n v="128"/>
    <n v="0"/>
    <n v="0"/>
    <n v="0"/>
    <n v="0"/>
    <m/>
    <n v="467654.39999999997"/>
    <n v="0"/>
    <n v="0"/>
    <n v="0"/>
    <n v="128"/>
    <n v="467654.39999999997"/>
    <n v="0"/>
    <n v="90"/>
    <n v="128"/>
    <n v="90"/>
    <m/>
    <n v="0"/>
    <n v="0"/>
    <n v="467654.39999999997"/>
    <n v="328819.5"/>
    <n v="0"/>
    <n v="0"/>
    <n v="128"/>
    <n v="467654.39999999997"/>
    <n v="755546.21848739497"/>
    <n v="90"/>
    <n v="38"/>
    <n v="38"/>
    <n v="0"/>
    <n v="0"/>
    <n v="138834.9"/>
    <n v="138834.9"/>
    <n v="0"/>
    <n v="0"/>
    <n v="38"/>
    <n v="138834.9"/>
    <n v="319008.40336134454"/>
    <n v="54"/>
    <n v="0"/>
    <n v="54"/>
    <n v="0"/>
    <m/>
    <n v="0"/>
    <n v="180792"/>
    <n v="0"/>
    <n v="0"/>
    <n v="0"/>
    <n v="453327.73109243694"/>
  </r>
  <r>
    <s v="Levo-Smart Home"/>
    <x v="3"/>
    <x v="11"/>
    <x v="27"/>
    <n v="1543406075297"/>
    <x v="105"/>
    <x v="102"/>
    <x v="0"/>
    <x v="2"/>
    <n v="1"/>
    <x v="31"/>
    <n v="278"/>
    <m/>
    <n v="0"/>
    <n v="3366"/>
    <n v="935748"/>
    <n v="3.5300000000000002"/>
    <n v="3856.5250000000001"/>
    <n v="8394.957983193277"/>
    <n v="8394.957983193277"/>
    <s v="Shenzhen"/>
    <x v="0"/>
    <n v="30"/>
    <m/>
    <n v="100"/>
    <n v="178"/>
    <n v="0.66425932298221302"/>
    <n v="34"/>
    <n v="0.67679399117210781"/>
    <n v="106"/>
    <n v="0.68763161597372324"/>
    <n v="1"/>
    <n v="0.65754841416474208"/>
    <n v="0"/>
    <s v=""/>
    <n v="29"/>
    <n v="0.62954120963195326"/>
    <n v="42"/>
    <n v="0.67877488556371968"/>
    <n v="36"/>
    <n v="0.67173218398065804"/>
    <n v="39"/>
    <n v="0.64557692103088071"/>
    <n v="69"/>
    <n v="0.58958982339452648"/>
    <n v="55"/>
    <n v="0.62398147608954158"/>
    <n v="55"/>
    <n v="0.63337521895777449"/>
    <n v="53"/>
    <n v="0.43215090892202307"/>
    <n v="62"/>
    <n v="0.23933538724385711"/>
    <n v="54"/>
    <n v="0.31773748329849372"/>
    <n v="39"/>
    <n v="0.41675966512808477"/>
    <n v="0.78"/>
    <n v="12"/>
    <n v="0.56359225892559228"/>
    <n v="0.26666666666666666"/>
    <n v="16"/>
    <n v="0.38190494291760108"/>
    <n v="0.32"/>
    <n v="0"/>
    <s v=""/>
    <n v="0"/>
    <n v="6"/>
    <n v="0.56800258915142876"/>
    <n v="0.12"/>
    <n v="10"/>
    <n v="0.52486175014177006"/>
    <n v="0.22222222222222221"/>
    <m/>
    <m/>
    <m/>
    <m/>
    <m/>
    <m/>
    <m/>
    <m/>
    <m/>
    <n v="35"/>
    <n v="307"/>
    <n v="35"/>
    <n v="0"/>
    <m/>
    <n v="0"/>
    <n v="612612"/>
    <n v="1121639.8499999999"/>
    <n v="117810"/>
    <n v="0"/>
    <n v="278"/>
    <n v="935748"/>
    <n v="246910.52891744935"/>
    <n v="35"/>
    <n v="246"/>
    <n v="93"/>
    <n v="0"/>
    <m/>
    <n v="0"/>
    <n v="626076"/>
    <n v="898773.29999999993"/>
    <n v="313038"/>
    <n v="0"/>
    <n v="278"/>
    <n v="935748"/>
    <n v="656076.54826636543"/>
    <n v="50"/>
    <n v="171"/>
    <n v="54"/>
    <n v="0"/>
    <n v="0"/>
    <n v="477447.75"/>
    <n v="575586"/>
    <n v="181764"/>
    <n v="0"/>
    <n v="278"/>
    <n v="935748"/>
    <n v="453327.73109243694"/>
    <n v="50"/>
    <n v="119"/>
    <n v="39"/>
    <n v="0"/>
    <n v="0"/>
    <n v="434772.44999999995"/>
    <n v="131274"/>
    <x v="0"/>
    <x v="0"/>
    <n v="278"/>
    <n v="935748"/>
    <n v="327403.36134453781"/>
    <n v="45"/>
    <n v="290"/>
    <n v="45"/>
    <m/>
    <n v="0"/>
    <n v="0"/>
    <n v="976140"/>
    <n v="164409.75"/>
    <x v="0"/>
    <n v="0"/>
    <n v="278"/>
    <n v="935748"/>
    <n v="377773.10924369749"/>
    <n v="50"/>
    <n v="294"/>
    <n v="16"/>
    <m/>
    <n v="0"/>
    <n v="0"/>
    <n v="989604"/>
    <n v="58456.799999999996"/>
    <n v="0"/>
    <n v="0"/>
    <n v="294"/>
    <n v="935748"/>
    <n v="134319.32773109243"/>
    <n v="50"/>
    <n v="278"/>
    <n v="0"/>
    <n v="145"/>
    <n v="145"/>
    <n v="0"/>
    <n v="935748"/>
    <n v="0"/>
    <n v="512105.92500000005"/>
    <n v="0"/>
    <n v="278"/>
    <n v="935748"/>
    <n v="0"/>
    <n v="50"/>
    <n v="284"/>
    <n v="6"/>
    <n v="60"/>
    <n v="60"/>
    <n v="0"/>
    <n v="955944"/>
    <n v="21921.3"/>
    <n v="219212.99999999997"/>
    <n v="0"/>
    <n v="284"/>
    <n v="955944"/>
    <n v="50369.747899159658"/>
    <n v="45"/>
    <n v="288"/>
    <n v="10.5"/>
    <n v="0"/>
    <n v="0"/>
    <n v="0"/>
    <n v="1052222.3999999999"/>
    <n v="38362.274999999994"/>
    <n v="0"/>
    <n v="0"/>
    <n v="278"/>
    <n v="935748"/>
    <n v="88147.058823529413"/>
    <n v="60"/>
    <n v="277.5"/>
    <n v="60"/>
    <n v="0"/>
    <n v="0"/>
    <n v="0"/>
    <m/>
    <n v="1013860.1249999999"/>
    <n v="219212.99999999997"/>
    <n v="0"/>
    <n v="0"/>
    <n v="277.5"/>
    <n v="1013860.1249999999"/>
    <n v="503697.47899159661"/>
    <n v="60"/>
    <n v="217.5"/>
    <n v="60"/>
    <m/>
    <n v="0"/>
    <n v="0"/>
    <n v="794647.12499999988"/>
    <n v="219212.99999999997"/>
    <n v="0"/>
    <n v="0"/>
    <n v="217.5"/>
    <n v="794647.12499999988"/>
    <n v="503697.47899159661"/>
    <n v="60"/>
    <n v="157.5"/>
    <n v="60"/>
    <n v="0"/>
    <n v="0"/>
    <n v="575434.125"/>
    <n v="219212.99999999997"/>
    <n v="0"/>
    <n v="0"/>
    <n v="157.5"/>
    <n v="575434.125"/>
    <n v="503697.47899159661"/>
    <n v="36"/>
    <n v="97.5"/>
    <n v="36"/>
    <n v="0"/>
    <m/>
    <n v="356221.125"/>
    <n v="121176"/>
    <n v="0"/>
    <n v="97.5"/>
    <n v="356221.125"/>
    <n v="302218.48739495798"/>
  </r>
  <r>
    <s v="Levo-Soportes"/>
    <x v="3"/>
    <x v="12"/>
    <x v="28"/>
    <s v="LVSPALZNPLE"/>
    <x v="106"/>
    <x v="103"/>
    <x v="0"/>
    <x v="3"/>
    <n v="1.2"/>
    <x v="74"/>
    <n v="377"/>
    <m/>
    <n v="0"/>
    <n v="4960"/>
    <n v="1869920"/>
    <n v="5.28"/>
    <n v="5768.4"/>
    <n v="12596.638655462186"/>
    <n v="10915.966386554623"/>
    <s v="Shenzhen"/>
    <x v="0"/>
    <n v="30"/>
    <m/>
    <n v="300"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20"/>
    <n v="0.54798979948224713"/>
    <n v="61"/>
    <n v="0.54462078440336825"/>
    <n v="1.22"/>
    <n v="33"/>
    <n v="0.61205406138388219"/>
    <n v="0.55000000000000004"/>
    <n v="39"/>
    <n v="0.50766310646942259"/>
    <n v="0.48749999999999999"/>
    <n v="16"/>
    <n v="0.63611408938779135"/>
    <n v="0.4"/>
    <n v="25"/>
    <n v="0.40798835368998521"/>
    <n v="0.625"/>
    <n v="12"/>
    <n v="-0.3659672685598056"/>
    <n v="0.3"/>
    <m/>
    <m/>
    <m/>
    <m/>
    <m/>
    <m/>
    <m/>
    <m/>
    <m/>
    <n v="0"/>
    <n v="0"/>
    <n v="0"/>
    <n v="0"/>
    <m/>
    <n v="0"/>
    <n v="99200"/>
    <n v="0"/>
    <n v="0"/>
    <n v="0"/>
    <n v="377"/>
    <n v="1869920"/>
    <n v="0"/>
    <n v="10"/>
    <n v="0"/>
    <n v="0"/>
    <n v="300"/>
    <n v="300"/>
    <n v="0"/>
    <n v="401760"/>
    <n v="0"/>
    <n v="0"/>
    <n v="0"/>
    <n v="377"/>
    <n v="1869920"/>
    <n v="0"/>
    <n v="30"/>
    <n v="300"/>
    <n v="20"/>
    <n v="0"/>
    <n v="0"/>
    <n v="795225.59999999998"/>
    <n v="1488000"/>
    <n v="99200"/>
    <n v="0"/>
    <n v="377"/>
    <n v="1869920"/>
    <n v="251932.77310924372"/>
    <n v="50"/>
    <n v="277"/>
    <n v="61"/>
    <n v="0"/>
    <n v="0"/>
    <n v="1513749.5999999999"/>
    <n v="302560"/>
    <x v="0"/>
    <x v="0"/>
    <n v="377"/>
    <n v="1869920"/>
    <n v="768394.95798319334"/>
    <n v="60"/>
    <n v="410"/>
    <n v="72"/>
    <m/>
    <n v="0"/>
    <n v="0"/>
    <n v="2033600"/>
    <n v="393465.59999999998"/>
    <x v="0"/>
    <n v="0"/>
    <n v="377"/>
    <n v="1869920"/>
    <n v="906957.98319327738"/>
    <n v="80"/>
    <n v="416"/>
    <n v="39"/>
    <m/>
    <n v="0"/>
    <n v="0"/>
    <n v="2063360"/>
    <n v="213127.19999999998"/>
    <n v="0"/>
    <n v="0"/>
    <n v="416"/>
    <n v="1869920"/>
    <n v="491268.90756302525"/>
    <n v="40"/>
    <n v="393"/>
    <n v="16"/>
    <n v="0"/>
    <n v="0"/>
    <n v="0"/>
    <n v="1949280"/>
    <n v="87436.799999999988"/>
    <n v="0"/>
    <n v="0"/>
    <n v="393"/>
    <n v="1869920"/>
    <n v="201546.21848739497"/>
    <n v="40"/>
    <n v="402"/>
    <n v="25"/>
    <n v="300"/>
    <n v="300"/>
    <n v="0"/>
    <n v="1993920"/>
    <n v="136619.99999999997"/>
    <n v="1639439.9999999998"/>
    <n v="0"/>
    <n v="402"/>
    <n v="1993920"/>
    <n v="314915.96638655465"/>
    <n v="40"/>
    <n v="389"/>
    <n v="6"/>
    <n v="0"/>
    <n v="0"/>
    <n v="0"/>
    <n v="2125807.1999999997"/>
    <n v="32788.799999999996"/>
    <n v="0"/>
    <n v="0"/>
    <n v="377"/>
    <n v="1869920"/>
    <n v="75579.831932773115"/>
    <n v="60"/>
    <n v="383"/>
    <n v="72"/>
    <n v="0"/>
    <n v="0"/>
    <n v="0"/>
    <m/>
    <n v="2093018.3999999997"/>
    <n v="393465.59999999998"/>
    <n v="0"/>
    <n v="0"/>
    <n v="383"/>
    <n v="2093018.3999999997"/>
    <n v="785949.57983193279"/>
    <n v="60"/>
    <n v="311"/>
    <n v="72"/>
    <m/>
    <n v="0"/>
    <n v="0"/>
    <n v="1699552.7999999998"/>
    <n v="393465.59999999998"/>
    <n v="0"/>
    <n v="0"/>
    <n v="311"/>
    <n v="1699552.7999999998"/>
    <n v="785949.57983193279"/>
    <n v="60"/>
    <n v="239"/>
    <n v="72"/>
    <n v="0"/>
    <n v="0"/>
    <n v="1306087.1999999997"/>
    <n v="393465.59999999998"/>
    <n v="0"/>
    <n v="0"/>
    <n v="239"/>
    <n v="1306087.1999999997"/>
    <n v="906957.98319327738"/>
    <n v="36"/>
    <n v="167"/>
    <n v="43.199999999999996"/>
    <n v="0"/>
    <m/>
    <n v="912621.59999999986"/>
    <n v="214271.99999999997"/>
    <n v="0"/>
    <n v="167"/>
    <n v="912621.59999999986"/>
    <n v="544174.78991596634"/>
  </r>
  <r>
    <s v="Levo-Soportes"/>
    <x v="3"/>
    <x v="12"/>
    <x v="28"/>
    <s v="LVSPBRX2MN"/>
    <x v="107"/>
    <x v="104"/>
    <x v="0"/>
    <x v="3"/>
    <n v="1"/>
    <x v="75"/>
    <n v="291"/>
    <m/>
    <n v="0"/>
    <n v="9777"/>
    <n v="2845107"/>
    <n v="8.5"/>
    <n v="9286.25"/>
    <n v="21000"/>
    <n v="21000"/>
    <s v="Shenzhen"/>
    <x v="0"/>
    <n v="30"/>
    <m/>
    <n v="300"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22"/>
    <n v="0.34117865892961607"/>
    <n v="82"/>
    <n v="0.4029052407552185"/>
    <n v="1.64"/>
    <n v="62"/>
    <n v="0.62589757243179189"/>
    <n v="1.0333333333333334"/>
    <n v="105"/>
    <n v="0.26249740737539967"/>
    <n v="1.3125"/>
    <n v="17"/>
    <n v="0.63120897409636645"/>
    <n v="0.28333333333333333"/>
    <n v="8"/>
    <n v="0.35006041090518764"/>
    <n v="0.1"/>
    <n v="6"/>
    <n v="0.28577187221081646"/>
    <n v="0.1"/>
    <m/>
    <m/>
    <m/>
    <m/>
    <m/>
    <m/>
    <m/>
    <m/>
    <m/>
    <n v="0"/>
    <n v="0"/>
    <n v="0"/>
    <n v="0"/>
    <m/>
    <n v="0"/>
    <n v="215094"/>
    <n v="0"/>
    <n v="0"/>
    <n v="0"/>
    <n v="291"/>
    <n v="2845107"/>
    <n v="0"/>
    <n v="10"/>
    <n v="0"/>
    <n v="0"/>
    <n v="300"/>
    <n v="300"/>
    <n v="0"/>
    <n v="1016808"/>
    <n v="0"/>
    <n v="0"/>
    <n v="0"/>
    <n v="291"/>
    <n v="2845107"/>
    <n v="0"/>
    <n v="30"/>
    <n v="300"/>
    <n v="22"/>
    <n v="0"/>
    <n v="0"/>
    <n v="1544658"/>
    <n v="2933100"/>
    <n v="215094"/>
    <n v="0"/>
    <n v="291"/>
    <n v="2845107"/>
    <n v="462000"/>
    <n v="50"/>
    <n v="278"/>
    <n v="82"/>
    <n v="0"/>
    <n v="0"/>
    <n v="2445705"/>
    <n v="801714"/>
    <x v="0"/>
    <x v="0"/>
    <n v="291"/>
    <n v="2845107"/>
    <n v="1722000"/>
    <n v="60"/>
    <n v="353"/>
    <n v="60"/>
    <m/>
    <n v="0"/>
    <n v="0"/>
    <n v="3451281"/>
    <n v="527850"/>
    <x v="0"/>
    <n v="0"/>
    <n v="291"/>
    <n v="2845107"/>
    <n v="1260000"/>
    <n v="80"/>
    <n v="396"/>
    <n v="105"/>
    <m/>
    <n v="0"/>
    <n v="0"/>
    <n v="3871692"/>
    <n v="923737.5"/>
    <n v="0"/>
    <n v="0"/>
    <n v="396"/>
    <n v="2845107"/>
    <n v="2205000"/>
    <n v="60"/>
    <n v="308"/>
    <n v="17"/>
    <n v="0"/>
    <n v="0"/>
    <n v="0"/>
    <n v="3011316"/>
    <n v="149557.5"/>
    <n v="0"/>
    <n v="0"/>
    <n v="308"/>
    <n v="2845107"/>
    <n v="357000"/>
    <n v="80"/>
    <n v="299"/>
    <n v="8"/>
    <n v="300"/>
    <n v="300"/>
    <n v="0"/>
    <n v="2923323"/>
    <n v="70380"/>
    <n v="2639250"/>
    <n v="0"/>
    <n v="299"/>
    <n v="2923323"/>
    <n v="168000"/>
    <n v="60"/>
    <n v="297"/>
    <n v="4.5"/>
    <n v="0"/>
    <n v="0"/>
    <n v="0"/>
    <n v="2612857.5"/>
    <n v="39588.75"/>
    <n v="0"/>
    <n v="0"/>
    <n v="291"/>
    <n v="2845107"/>
    <n v="94500"/>
    <n v="100"/>
    <n v="292.5"/>
    <n v="100"/>
    <n v="0"/>
    <n v="0"/>
    <n v="0"/>
    <m/>
    <n v="2573268.75"/>
    <n v="879750"/>
    <n v="0"/>
    <n v="0"/>
    <n v="292.5"/>
    <n v="2573268.75"/>
    <n v="2100000"/>
    <n v="80"/>
    <n v="192.5"/>
    <n v="80"/>
    <n v="0"/>
    <n v="0"/>
    <n v="0"/>
    <n v="1693518.75"/>
    <n v="703800"/>
    <n v="0"/>
    <n v="0"/>
    <n v="192.5"/>
    <n v="1693518.75"/>
    <n v="1680000"/>
    <n v="80"/>
    <n v="112.5"/>
    <n v="80"/>
    <n v="0"/>
    <n v="0"/>
    <n v="989718.75"/>
    <n v="703800"/>
    <n v="0"/>
    <n v="0"/>
    <n v="112.5"/>
    <n v="989718.75"/>
    <n v="1680000"/>
    <n v="48"/>
    <n v="32.5"/>
    <n v="48"/>
    <n v="300"/>
    <m/>
    <n v="285918.75"/>
    <n v="469296"/>
    <n v="0"/>
    <n v="32.5"/>
    <n v="285918.75"/>
    <n v="1008000"/>
  </r>
  <r>
    <s v="Levo-Soportes"/>
    <x v="3"/>
    <x v="12"/>
    <x v="29"/>
    <s v="LVSPTVUN"/>
    <x v="108"/>
    <x v="105"/>
    <x v="0"/>
    <x v="0"/>
    <n v="1"/>
    <x v="76"/>
    <n v="32"/>
    <m/>
    <n v="0"/>
    <n v="2955"/>
    <n v="94560"/>
    <n v="2.9"/>
    <n v="3168.2499999999995"/>
    <n v="5873.9495798319331"/>
    <n v="5873.9495798319331"/>
    <s v="Shenzhen"/>
    <x v="0"/>
    <n v="30"/>
    <m/>
    <n v="2000"/>
    <n v="5"/>
    <n v="0.56322330273012799"/>
    <n v="4"/>
    <n v="0.59091504796292182"/>
    <n v="368"/>
    <n v="0.28847151565989293"/>
    <n v="153"/>
    <n v="0.31526392471107084"/>
    <n v="8"/>
    <n v="0.60885943380879748"/>
    <n v="46"/>
    <n v="0.58561289096649838"/>
    <n v="164"/>
    <n v="0.4733908181902442"/>
    <n v="46"/>
    <n v="0.51677629667849612"/>
    <n v="30"/>
    <n v="0.52028943178246523"/>
    <n v="184"/>
    <n v="0.49974837897733115"/>
    <n v="132"/>
    <n v="0.4690448597708135"/>
    <n v="198"/>
    <n v="0.48143060564669155"/>
    <n v="191"/>
    <n v="0.37869392305669081"/>
    <n v="161"/>
    <n v="0.43612372868070653"/>
    <n v="255"/>
    <n v="0.40104440387837148"/>
    <n v="241"/>
    <n v="0.33280391081140198"/>
    <n v="1.2050000000000001"/>
    <n v="398"/>
    <n v="0.4728484058748823"/>
    <n v="1.99"/>
    <n v="1174"/>
    <n v="0.27823503700975144"/>
    <n v="2.3479999999999999"/>
    <n v="29"/>
    <n v="0.68003412800156393"/>
    <n v="0.18954248366013071"/>
    <n v="20"/>
    <n v="0.62963330205179791"/>
    <n v="0"/>
    <n v="6"/>
    <n v="0.30415602811134895"/>
    <n v="0"/>
    <m/>
    <m/>
    <m/>
    <m/>
    <m/>
    <m/>
    <m/>
    <m/>
    <m/>
    <n v="120"/>
    <n v="2664"/>
    <n v="200"/>
    <n v="0"/>
    <m/>
    <n v="0"/>
    <n v="2058157.5"/>
    <n v="7995995.9999999991"/>
    <n v="591000"/>
    <n v="0"/>
    <n v="32"/>
    <n v="94560"/>
    <n v="987218.41677847621"/>
    <n v="200"/>
    <n v="2438"/>
    <n v="241.5"/>
    <n v="0"/>
    <m/>
    <n v="0"/>
    <n v="2179312.5"/>
    <n v="7317656.9999999991"/>
    <n v="713632.5"/>
    <n v="0"/>
    <n v="32"/>
    <n v="94560"/>
    <n v="1192066.23826001"/>
    <n v="200"/>
    <n v="2194"/>
    <n v="255"/>
    <n v="0"/>
    <n v="0"/>
    <n v="2065980"/>
    <n v="6483270"/>
    <n v="753525"/>
    <n v="0"/>
    <n v="32"/>
    <n v="94560"/>
    <n v="1497857.142857143"/>
    <n v="200"/>
    <n v="1853"/>
    <n v="241"/>
    <n v="0"/>
    <n v="0"/>
    <n v="5561779.4999999991"/>
    <n v="712155"/>
    <x v="0"/>
    <x v="0"/>
    <n v="32"/>
    <n v="94560"/>
    <n v="1415621.848739496"/>
    <n v="200"/>
    <n v="430"/>
    <n v="200"/>
    <m/>
    <n v="0"/>
    <n v="0"/>
    <n v="1270650"/>
    <n v="600299.99999999988"/>
    <x v="0"/>
    <n v="0"/>
    <n v="32"/>
    <n v="94560"/>
    <n v="1174789.9159663867"/>
    <n v="500"/>
    <n v="1206"/>
    <n v="1174"/>
    <m/>
    <n v="0"/>
    <n v="0"/>
    <n v="3563730"/>
    <n v="3523760.9999999995"/>
    <n v="0"/>
    <n v="0"/>
    <n v="1206"/>
    <n v="94560"/>
    <n v="6896016.8067226894"/>
    <n v="153"/>
    <n v="61"/>
    <n v="29"/>
    <n v="0"/>
    <n v="0"/>
    <n v="0"/>
    <n v="180255"/>
    <n v="87043.499999999985"/>
    <n v="0"/>
    <n v="0"/>
    <n v="61"/>
    <n v="94560"/>
    <n v="170344.53781512607"/>
    <n v="0"/>
    <n v="52"/>
    <n v="20"/>
    <n v="0"/>
    <n v="0"/>
    <n v="0"/>
    <n v="153660"/>
    <n v="60029.999999999993"/>
    <n v="0"/>
    <n v="0"/>
    <n v="52"/>
    <n v="153660"/>
    <n v="117478.99159663866"/>
    <n v="0"/>
    <n v="38"/>
    <n v="7.5"/>
    <n v="0"/>
    <n v="0"/>
    <n v="0"/>
    <n v="114056.99999999999"/>
    <n v="22511.249999999996"/>
    <n v="0"/>
    <n v="0"/>
    <n v="32"/>
    <n v="94560"/>
    <n v="44054.621848739494"/>
    <n v="300"/>
    <n v="30.5"/>
    <n v="30.5"/>
    <n v="1000"/>
    <n v="1000"/>
    <n v="0"/>
    <n v="0"/>
    <n v="91545.749999999985"/>
    <n v="91545.749999999985"/>
    <n v="3001499.9999999995"/>
    <n v="0"/>
    <n v="30.5"/>
    <n v="91545.749999999985"/>
    <n v="179155.46218487396"/>
    <n v="250"/>
    <n v="0"/>
    <n v="250"/>
    <m/>
    <n v="0"/>
    <n v="1000"/>
    <n v="0"/>
    <n v="750374.99999999988"/>
    <n v="0"/>
    <n v="3001499.9999999995"/>
    <n v="1000"/>
    <n v="3001499.9999999995"/>
    <n v="0"/>
    <n v="300"/>
    <n v="750"/>
    <n v="300"/>
    <n v="0"/>
    <n v="0"/>
    <n v="2251124.9999999995"/>
    <n v="900449.99999999988"/>
    <n v="0"/>
    <n v="0"/>
    <n v="750"/>
    <n v="2251124.9999999995"/>
    <n v="1762184.8739495799"/>
    <n v="150"/>
    <n v="450"/>
    <n v="150"/>
    <n v="0"/>
    <m/>
    <n v="1350674.9999999998"/>
    <n v="443250"/>
    <n v="0"/>
    <n v="450"/>
    <n v="1350674.9999999998"/>
    <n v="881092.43697478995"/>
  </r>
  <r>
    <s v="Levo-Telones y Proyectores"/>
    <x v="3"/>
    <x v="13"/>
    <x v="30"/>
    <s v="LVPROHEX"/>
    <x v="109"/>
    <x v="106"/>
    <x v="0"/>
    <x v="1"/>
    <n v="1"/>
    <x v="77"/>
    <n v="404"/>
    <n v="500"/>
    <n v="18050000"/>
    <n v="39626"/>
    <n v="16008904"/>
    <n v="38"/>
    <n v="41515"/>
    <n v="84025.210084033621"/>
    <n v="58815.126050420171"/>
    <s v="Shenzhen"/>
    <x v="2"/>
    <n v="30"/>
    <m/>
    <n v="250"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7"/>
    <n v="0.36833011947510241"/>
    <n v="31"/>
    <n v="0.34402010065313149"/>
    <n v="0.38750000000000001"/>
    <n v="68"/>
    <n v="0.44040845591326716"/>
    <n v="0.97142857142857142"/>
    <n v="208"/>
    <n v="0.21737935030550928"/>
    <n v="1.7333333333333334"/>
    <n v="148"/>
    <n v="0.44826975509451811"/>
    <n v="0.98666666666666669"/>
    <n v="18"/>
    <n v="0.29871417678804985"/>
    <n v="0.35294117647058826"/>
    <n v="84"/>
    <n v="0.2983736264952529"/>
    <n v="1.2"/>
    <m/>
    <m/>
    <m/>
    <m/>
    <m/>
    <m/>
    <m/>
    <m/>
    <m/>
    <n v="5"/>
    <n v="0"/>
    <n v="0"/>
    <n v="500"/>
    <n v="200"/>
    <n v="0"/>
    <n v="277382"/>
    <n v="0"/>
    <n v="0"/>
    <n v="0"/>
    <n v="404"/>
    <n v="16008904"/>
    <n v="0"/>
    <n v="5"/>
    <n v="0"/>
    <n v="0"/>
    <n v="0"/>
    <m/>
    <n v="0"/>
    <n v="1505788"/>
    <n v="0"/>
    <n v="0"/>
    <n v="0"/>
    <n v="404"/>
    <n v="16008904"/>
    <n v="0"/>
    <n v="70"/>
    <n v="200"/>
    <n v="7"/>
    <n v="0"/>
    <n v="0"/>
    <n v="4258888"/>
    <n v="7925200"/>
    <n v="277382"/>
    <n v="0"/>
    <n v="404"/>
    <n v="16008904"/>
    <n v="588176.4705882353"/>
    <n v="80"/>
    <n v="477"/>
    <n v="31"/>
    <n v="0"/>
    <n v="0"/>
    <n v="18760410"/>
    <n v="1228406"/>
    <x v="0"/>
    <x v="0"/>
    <n v="404"/>
    <n v="16008904"/>
    <n v="2604781.5126050422"/>
    <n v="70"/>
    <n v="472"/>
    <n v="70"/>
    <n v="500"/>
    <n v="250"/>
    <n v="0"/>
    <n v="18703472"/>
    <n v="2753100"/>
    <x v="13"/>
    <n v="0"/>
    <n v="404"/>
    <n v="16008904"/>
    <n v="5881764.7058823537"/>
    <n v="120"/>
    <n v="612"/>
    <n v="208"/>
    <m/>
    <n v="0"/>
    <n v="0"/>
    <n v="24251112"/>
    <n v="8180640"/>
    <n v="0"/>
    <n v="0"/>
    <n v="612"/>
    <n v="16008904"/>
    <n v="17477243.697478995"/>
    <n v="150"/>
    <n v="552"/>
    <n v="148"/>
    <n v="0"/>
    <n v="0"/>
    <n v="0"/>
    <n v="21873552"/>
    <n v="5820840"/>
    <n v="0"/>
    <n v="0"/>
    <n v="552"/>
    <n v="16008904"/>
    <n v="12435731.092436977"/>
    <n v="51"/>
    <n v="422"/>
    <n v="18"/>
    <n v="0"/>
    <n v="0"/>
    <n v="0"/>
    <n v="16722172"/>
    <n v="707940"/>
    <n v="0"/>
    <n v="0"/>
    <n v="422"/>
    <n v="16722172"/>
    <n v="1512453.7815126053"/>
    <n v="70"/>
    <n v="488"/>
    <n v="96"/>
    <n v="0"/>
    <n v="250"/>
    <n v="0"/>
    <n v="19193040"/>
    <n v="3775680"/>
    <n v="0"/>
    <n v="0"/>
    <n v="404"/>
    <n v="16008904"/>
    <n v="8066420.168067228"/>
    <n v="220"/>
    <n v="392"/>
    <n v="220"/>
    <n v="0"/>
    <n v="0"/>
    <n v="0"/>
    <n v="0"/>
    <n v="15417360"/>
    <n v="8652600"/>
    <n v="0"/>
    <n v="0"/>
    <n v="392"/>
    <n v="15417360"/>
    <n v="12939327.731092438"/>
    <n v="150"/>
    <n v="172"/>
    <n v="150"/>
    <m/>
    <n v="0"/>
    <n v="0"/>
    <n v="6764760"/>
    <n v="5899500"/>
    <n v="0"/>
    <n v="0"/>
    <n v="172"/>
    <n v="6764760"/>
    <n v="8822268.9075630251"/>
    <n v="200"/>
    <n v="22"/>
    <n v="22"/>
    <n v="0"/>
    <n v="0"/>
    <n v="865260"/>
    <n v="865260"/>
    <n v="0"/>
    <n v="0"/>
    <n v="22"/>
    <n v="865260"/>
    <n v="1848554.6218487397"/>
    <n v="90"/>
    <n v="0"/>
    <n v="90"/>
    <n v="0"/>
    <m/>
    <n v="0"/>
    <n v="3566340"/>
    <n v="0"/>
    <n v="0"/>
    <n v="0"/>
    <n v="7562268.9075630261"/>
  </r>
  <r>
    <s v="Levo-Telones y Proyectores"/>
    <x v="3"/>
    <x v="13"/>
    <x v="30"/>
    <s v="LVPROLUM"/>
    <x v="110"/>
    <x v="107"/>
    <x v="0"/>
    <x v="1"/>
    <n v="1"/>
    <x v="78"/>
    <n v="16"/>
    <m/>
    <n v="0"/>
    <n v="89444"/>
    <n v="1431104"/>
    <n v="90"/>
    <n v="98324.999999999985"/>
    <n v="168058.82352941178"/>
    <n v="151252.10084033615"/>
    <s v="Shenzhen"/>
    <x v="2"/>
    <n v="30"/>
    <m/>
    <n v="250"/>
    <n v="10"/>
    <n v="0.46856062700936507"/>
    <n v="40"/>
    <n v="0.42885586728135222"/>
    <n v="89"/>
    <n v="0.48127308889344517"/>
    <n v="45"/>
    <n v="0.43954809273642526"/>
    <n v="79"/>
    <n v="0.5303250097078902"/>
    <n v="76"/>
    <n v="0.41848966792255371"/>
    <n v="44"/>
    <n v="0.36983726609522544"/>
    <n v="53"/>
    <n v="0.36803474647444057"/>
    <n v="60"/>
    <n v="0.41046892635461579"/>
    <n v="60"/>
    <n v="0.41171067168626629"/>
    <n v="50"/>
    <n v="0.39321388611918706"/>
    <n v="31"/>
    <n v="0.45744366495177374"/>
    <n v="23"/>
    <n v="0.45175192942325887"/>
    <n v="13"/>
    <n v="0.41814943396000837"/>
    <n v="65"/>
    <n v="0.34044632690696885"/>
    <n v="14"/>
    <n v="0.45682656765305274"/>
    <n v="0.7"/>
    <n v="6"/>
    <n v="0.46760028355866118"/>
    <n v="0.3"/>
    <n v="33"/>
    <n v="0.35823627226246785"/>
    <n v="0.73333333333333328"/>
    <n v="43"/>
    <n v="0.40393778449777429"/>
    <n v="1.075"/>
    <n v="19"/>
    <n v="0.40561829636655639"/>
    <n v="0.6333333333333333"/>
    <n v="19"/>
    <n v="0.20985785243344443"/>
    <n v="0.95"/>
    <m/>
    <m/>
    <m/>
    <m/>
    <m/>
    <m/>
    <m/>
    <m/>
    <m/>
    <n v="30"/>
    <n v="134"/>
    <n v="15"/>
    <n v="0"/>
    <n v="100"/>
    <n v="0"/>
    <n v="8899678"/>
    <n v="12482100"/>
    <n v="1341660"/>
    <n v="0"/>
    <n v="16"/>
    <n v="1431104"/>
    <n v="2118388.5318833417"/>
    <n v="45"/>
    <n v="243"/>
    <n v="19.5"/>
    <n v="0"/>
    <m/>
    <n v="0"/>
    <n v="8810234"/>
    <n v="22635450"/>
    <n v="1744158"/>
    <n v="0"/>
    <n v="16"/>
    <n v="1431104"/>
    <n v="2753905.0914483443"/>
    <n v="40"/>
    <n v="236"/>
    <n v="65"/>
    <n v="0"/>
    <n v="0"/>
    <n v="8929076"/>
    <n v="21108784"/>
    <n v="5813860"/>
    <n v="0"/>
    <n v="16"/>
    <n v="1431104"/>
    <n v="10923823.529411765"/>
    <n v="20"/>
    <n v="159"/>
    <n v="14"/>
    <n v="0"/>
    <n v="0"/>
    <n v="14810850"/>
    <n v="1252216"/>
    <x v="0"/>
    <x v="0"/>
    <n v="16"/>
    <n v="1431104"/>
    <n v="2352823.5294117648"/>
    <n v="20"/>
    <n v="22"/>
    <n v="20"/>
    <m/>
    <n v="0"/>
    <n v="0"/>
    <n v="1967768"/>
    <n v="1863000"/>
    <x v="0"/>
    <n v="0"/>
    <n v="16"/>
    <n v="1431104"/>
    <n v="3361176.4705882357"/>
    <n v="45"/>
    <n v="49"/>
    <n v="33"/>
    <m/>
    <n v="0"/>
    <n v="0"/>
    <n v="4382756"/>
    <n v="3073950"/>
    <n v="0"/>
    <n v="0"/>
    <n v="49"/>
    <n v="1431104"/>
    <n v="5545941.1764705889"/>
    <n v="40"/>
    <n v="59"/>
    <n v="43"/>
    <n v="0"/>
    <n v="0"/>
    <n v="0"/>
    <n v="5277196"/>
    <n v="4005450"/>
    <n v="0"/>
    <n v="0"/>
    <n v="59"/>
    <n v="1431104"/>
    <n v="7226529.4117647065"/>
    <n v="30"/>
    <n v="35"/>
    <n v="19"/>
    <n v="0"/>
    <n v="0"/>
    <n v="0"/>
    <n v="3130540"/>
    <n v="1769850"/>
    <n v="0"/>
    <n v="0"/>
    <n v="35"/>
    <n v="3130540"/>
    <n v="3193117.6470588236"/>
    <n v="20"/>
    <n v="35"/>
    <n v="16.5"/>
    <n v="0"/>
    <n v="0"/>
    <n v="0"/>
    <n v="3260250"/>
    <n v="1536975"/>
    <n v="0"/>
    <n v="0"/>
    <n v="16"/>
    <n v="1431104"/>
    <n v="2772970.5882352944"/>
    <n v="25"/>
    <n v="18.5"/>
    <n v="18.5"/>
    <n v="0"/>
    <n v="0"/>
    <n v="0"/>
    <m/>
    <n v="1723275"/>
    <n v="1723275"/>
    <n v="0"/>
    <n v="0"/>
    <n v="18.5"/>
    <n v="1723275"/>
    <n v="2798163.8655462186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evo-Telones y Proyectores"/>
    <x v="3"/>
    <x v="13"/>
    <x v="30"/>
    <s v="LVPRONOV"/>
    <x v="111"/>
    <x v="108"/>
    <x v="0"/>
    <x v="1"/>
    <n v="1"/>
    <x v="79"/>
    <n v="31"/>
    <m/>
    <n v="0"/>
    <n v="56880"/>
    <n v="1763280"/>
    <n v="54"/>
    <n v="58994.999999999993"/>
    <n v="117638.65546218488"/>
    <n v="92428.571428571435"/>
    <s v="Shenzhen"/>
    <x v="2"/>
    <n v="30"/>
    <m/>
    <n v="250"/>
    <n v="32"/>
    <n v="0.4849181712483196"/>
    <n v="53"/>
    <n v="0.48315147158583427"/>
    <n v="84"/>
    <n v="0.48429110078129856"/>
    <n v="100"/>
    <n v="0.48103526099036514"/>
    <n v="236"/>
    <n v="0.49743984679917547"/>
    <n v="57"/>
    <n v="0.43010980703176838"/>
    <n v="22"/>
    <n v="0.45913391911788554"/>
    <n v="27"/>
    <n v="0.43780193801674172"/>
    <n v="122"/>
    <n v="0.44337225233698174"/>
    <n v="165"/>
    <n v="0.45873765639151554"/>
    <n v="130"/>
    <n v="0.49980768861943825"/>
    <n v="216"/>
    <n v="0.47149540517598659"/>
    <n v="87"/>
    <n v="0.40128979589134861"/>
    <n v="50"/>
    <n v="0.37686340169897575"/>
    <n v="132"/>
    <n v="0.35477975493955011"/>
    <n v="73"/>
    <n v="0.38477998274880215"/>
    <n v="0.91249999999999998"/>
    <n v="40"/>
    <n v="0.46409311237700673"/>
    <n v="0.5"/>
    <n v="200"/>
    <n v="0.3565500810728483"/>
    <n v="1.6666666666666667"/>
    <n v="95"/>
    <n v="0.38894679821087891"/>
    <n v="0.95"/>
    <n v="119"/>
    <n v="0.24432398047776571"/>
    <n v="1.19"/>
    <n v="37"/>
    <n v="0.335571315527319"/>
    <n v="0.52857142857142858"/>
    <m/>
    <m/>
    <m/>
    <m/>
    <m/>
    <m/>
    <m/>
    <m/>
    <m/>
    <n v="100"/>
    <n v="353"/>
    <n v="130"/>
    <n v="0"/>
    <m/>
    <n v="0"/>
    <n v="19168560"/>
    <n v="19729169.999999996"/>
    <n v="7394400"/>
    <n v="0"/>
    <n v="31"/>
    <n v="1763280"/>
    <n v="12851281.689146247"/>
    <n v="100"/>
    <n v="482"/>
    <n v="75"/>
    <n v="500"/>
    <n v="200"/>
    <n v="0"/>
    <n v="15926400"/>
    <n v="26938979.999999996"/>
    <n v="4266000"/>
    <n v="0"/>
    <n v="31"/>
    <n v="1763280"/>
    <n v="7414200.9745074501"/>
    <n v="150"/>
    <n v="440"/>
    <n v="132"/>
    <n v="0"/>
    <n v="0"/>
    <n v="16131600"/>
    <n v="25027200"/>
    <n v="7508160"/>
    <n v="0"/>
    <n v="31"/>
    <n v="1763280"/>
    <n v="15528302.521008404"/>
    <n v="80"/>
    <n v="305"/>
    <n v="73"/>
    <n v="0"/>
    <n v="0"/>
    <n v="17046449.999999996"/>
    <n v="4152240"/>
    <x v="0"/>
    <x v="0"/>
    <n v="31"/>
    <n v="1763280"/>
    <n v="8587621.8487394955"/>
    <n v="80"/>
    <n v="71"/>
    <n v="80"/>
    <m/>
    <n v="300"/>
    <n v="0"/>
    <n v="4038480"/>
    <n v="4471199.9999999991"/>
    <x v="0"/>
    <n v="0"/>
    <n v="31"/>
    <n v="1763280"/>
    <n v="9411092.4369747899"/>
    <n v="120"/>
    <n v="231"/>
    <n v="200"/>
    <m/>
    <n v="300"/>
    <n v="0"/>
    <n v="13139280"/>
    <n v="11177999.999999998"/>
    <n v="0"/>
    <n v="0"/>
    <n v="231"/>
    <n v="1763280"/>
    <n v="23527731.092436977"/>
    <n v="100"/>
    <n v="126"/>
    <n v="95"/>
    <n v="0"/>
    <n v="0"/>
    <n v="0"/>
    <n v="7166880"/>
    <n v="5309549.9999999991"/>
    <n v="0"/>
    <n v="0"/>
    <n v="126"/>
    <n v="1763280"/>
    <n v="11175672.268907564"/>
    <n v="100"/>
    <n v="150"/>
    <n v="122"/>
    <n v="0"/>
    <n v="0"/>
    <n v="0"/>
    <n v="8532000"/>
    <n v="6818579.9999999991"/>
    <n v="0"/>
    <n v="0"/>
    <n v="150"/>
    <n v="8532000"/>
    <n v="14351915.966386555"/>
    <n v="70"/>
    <n v="68"/>
    <n v="43.5"/>
    <n v="0"/>
    <n v="0"/>
    <n v="0"/>
    <n v="3800519.9999999995"/>
    <n v="2431214.9999999995"/>
    <n v="0"/>
    <n v="0"/>
    <n v="31"/>
    <n v="1763280"/>
    <n v="5117281.5126050422"/>
    <n v="150"/>
    <n v="24.5"/>
    <n v="24.5"/>
    <m/>
    <m/>
    <n v="0"/>
    <n v="0"/>
    <n v="1369304.9999999998"/>
    <n v="1369304.9999999998"/>
    <n v="0"/>
    <n v="0"/>
    <n v="24.5"/>
    <n v="1369304.9999999998"/>
    <n v="2264500"/>
    <n v="100"/>
    <n v="0"/>
    <n v="0"/>
    <m/>
    <n v="0"/>
    <n v="0"/>
    <n v="0"/>
    <n v="0"/>
    <n v="0"/>
    <n v="0"/>
    <n v="0"/>
    <n v="0"/>
    <n v="0"/>
    <n v="150"/>
    <n v="0"/>
    <n v="0"/>
    <n v="0"/>
    <n v="0"/>
    <n v="0"/>
    <n v="0"/>
    <n v="0"/>
    <n v="0"/>
    <n v="0"/>
    <n v="0"/>
    <n v="0"/>
    <n v="60"/>
    <n v="0"/>
    <n v="60"/>
    <n v="0"/>
    <n v="200"/>
    <n v="0"/>
    <n v="3412800"/>
    <n v="11177999.999999998"/>
    <n v="200"/>
    <n v="11177999.999999998"/>
    <n v="7058319.3277310925"/>
  </r>
  <r>
    <s v="Levo-Telones y Proyectores"/>
    <x v="3"/>
    <x v="13"/>
    <x v="30"/>
    <s v="LVPROORI"/>
    <x v="112"/>
    <x v="109"/>
    <x v="0"/>
    <x v="1"/>
    <n v="1"/>
    <x v="80"/>
    <n v="23"/>
    <m/>
    <n v="0"/>
    <n v="71626"/>
    <n v="1647398"/>
    <n v="74"/>
    <n v="80845"/>
    <n v="142848.73949579833"/>
    <n v="126042.01680672269"/>
    <s v="Shenzhen"/>
    <x v="2"/>
    <n v="30"/>
    <m/>
    <n v="250"/>
    <n v="15"/>
    <n v="0.48787178032596712"/>
    <n v="36"/>
    <n v="0.46444884309648377"/>
    <n v="73"/>
    <n v="0.49731945773554831"/>
    <n v="88"/>
    <n v="0.46253183122502628"/>
    <n v="107"/>
    <n v="0.52459469857397178"/>
    <n v="142"/>
    <n v="0.45722138762964321"/>
    <n v="86"/>
    <n v="0.43289579805891198"/>
    <n v="78"/>
    <n v="0.4250417873204107"/>
    <n v="12"/>
    <n v="0.47789647098189841"/>
    <n v="42"/>
    <n v="0.45740238927205396"/>
    <n v="50"/>
    <n v="0.43462820783417044"/>
    <n v="111"/>
    <n v="0.44587001391234776"/>
    <n v="37"/>
    <n v="0.3550906167555985"/>
    <n v="58"/>
    <n v="0.35357519244382096"/>
    <n v="67"/>
    <n v="0.34449425403461625"/>
    <n v="122"/>
    <n v="0.52165990851579069"/>
    <n v="2.0333333333333332"/>
    <n v="73"/>
    <n v="0.47834330142811693"/>
    <n v="1.825"/>
    <n v="171"/>
    <n v="0.26059207042921101"/>
    <n v="2.1375000000000002"/>
    <n v="79"/>
    <n v="0.42490801621005447"/>
    <n v="0.98750000000000004"/>
    <n v="83"/>
    <n v="0.37041113170445339"/>
    <n v="1.0375000000000001"/>
    <n v="38"/>
    <n v="0.33228551281755719"/>
    <n v="0.76"/>
    <m/>
    <m/>
    <m/>
    <m/>
    <m/>
    <m/>
    <m/>
    <m/>
    <m/>
    <n v="70"/>
    <n v="322"/>
    <n v="40"/>
    <n v="0"/>
    <n v="53"/>
    <n v="0"/>
    <n v="13895444"/>
    <n v="24661980"/>
    <n v="2865040"/>
    <n v="0"/>
    <n v="23"/>
    <n v="1647398"/>
    <n v="4801638.3023797758"/>
    <n v="70"/>
    <n v="295"/>
    <n v="87"/>
    <n v="500"/>
    <n v="250"/>
    <n v="0"/>
    <n v="19768776"/>
    <n v="22594050"/>
    <n v="6231462"/>
    <n v="0"/>
    <n v="23"/>
    <n v="1647398"/>
    <n v="10443563.307676014"/>
    <n v="100"/>
    <n v="257"/>
    <n v="67"/>
    <n v="0"/>
    <n v="0"/>
    <n v="16600914"/>
    <n v="18407882"/>
    <n v="4798942"/>
    <n v="0"/>
    <n v="23"/>
    <n v="1647398"/>
    <n v="9570865.5462184884"/>
    <n v="60"/>
    <n v="419"/>
    <n v="122"/>
    <n v="0"/>
    <n v="0"/>
    <n v="32091210"/>
    <n v="8738372"/>
    <x v="0"/>
    <x v="0"/>
    <n v="23"/>
    <n v="1647398"/>
    <n v="17427546.218487397"/>
    <n v="40"/>
    <n v="96"/>
    <n v="40"/>
    <m/>
    <n v="100"/>
    <n v="0"/>
    <n v="6876096"/>
    <n v="3063600"/>
    <x v="0"/>
    <n v="0"/>
    <n v="23"/>
    <n v="1647398"/>
    <n v="5713949.5798319336"/>
    <n v="80"/>
    <n v="194"/>
    <n v="171"/>
    <m/>
    <n v="150"/>
    <n v="0"/>
    <n v="13895444"/>
    <n v="13096890"/>
    <n v="0"/>
    <n v="0"/>
    <n v="194"/>
    <n v="1647398"/>
    <n v="24427134.453781515"/>
    <n v="80"/>
    <n v="102"/>
    <n v="79"/>
    <n v="0"/>
    <n v="100"/>
    <n v="0"/>
    <n v="7305852"/>
    <n v="6050610"/>
    <n v="0"/>
    <n v="0"/>
    <n v="102"/>
    <n v="1647398"/>
    <n v="11285050.420168068"/>
    <n v="80"/>
    <n v="106"/>
    <n v="85"/>
    <n v="0"/>
    <n v="0"/>
    <n v="0"/>
    <n v="7592356"/>
    <n v="6510150"/>
    <n v="0"/>
    <n v="0"/>
    <n v="106"/>
    <n v="7592356"/>
    <n v="12142142.857142858"/>
    <n v="50"/>
    <n v="61"/>
    <n v="60"/>
    <n v="0"/>
    <n v="0"/>
    <n v="0"/>
    <n v="4671990"/>
    <n v="4595400"/>
    <n v="0"/>
    <n v="0"/>
    <n v="23"/>
    <n v="1647398"/>
    <n v="8570924.3697478995"/>
    <n v="140"/>
    <n v="1"/>
    <n v="1"/>
    <m/>
    <m/>
    <n v="0"/>
    <n v="0"/>
    <n v="76590"/>
    <n v="76590"/>
    <n v="0"/>
    <n v="0"/>
    <n v="1"/>
    <n v="76590"/>
    <n v="126042.01680672269"/>
    <n v="80"/>
    <n v="0"/>
    <n v="0"/>
    <m/>
    <n v="0"/>
    <n v="0"/>
    <n v="0"/>
    <n v="0"/>
    <n v="0"/>
    <n v="0"/>
    <n v="0"/>
    <n v="0"/>
    <n v="0"/>
    <n v="120"/>
    <n v="0"/>
    <n v="0"/>
    <n v="0"/>
    <n v="0"/>
    <n v="0"/>
    <n v="0"/>
    <n v="0"/>
    <n v="0"/>
    <n v="0"/>
    <n v="0"/>
    <n v="0"/>
    <n v="48"/>
    <n v="0"/>
    <n v="48"/>
    <n v="0"/>
    <n v="250"/>
    <n v="0"/>
    <n v="3438048"/>
    <n v="19147500"/>
    <n v="250"/>
    <n v="19147500"/>
    <n v="6856739.4957983196"/>
  </r>
  <r>
    <m/>
    <x v="3"/>
    <x v="13"/>
    <x v="30"/>
    <s v="LVPROMNLX"/>
    <x v="113"/>
    <x v="110"/>
    <x v="0"/>
    <x v="4"/>
    <n v="1"/>
    <x v="31"/>
    <n v="0"/>
    <m/>
    <n v="0"/>
    <n v="22459.5"/>
    <n v="0"/>
    <n v="21"/>
    <n v="22459.5"/>
    <n v="50411.764705882357"/>
    <n v="42008.403361344543"/>
    <s v="Shenzhen"/>
    <x v="2"/>
    <n v="30"/>
    <m/>
    <n v="3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m/>
    <n v="0"/>
    <m/>
    <m/>
    <m/>
    <m/>
    <m/>
    <n v="0"/>
    <m/>
    <m/>
    <m/>
    <m/>
    <m/>
    <n v="0"/>
    <n v="0"/>
    <m/>
    <m/>
    <m/>
    <m/>
    <m/>
    <m/>
    <m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150"/>
    <n v="0"/>
    <n v="150"/>
    <n v="200"/>
    <n v="200"/>
    <n v="0"/>
    <n v="3260250"/>
    <n v="4347000"/>
    <n v="4347000"/>
    <n v="200"/>
    <n v="4347000"/>
    <n v="7561764.7058823537"/>
    <n v="60"/>
    <n v="50"/>
    <n v="60"/>
    <n v="0"/>
    <m/>
    <n v="1086750"/>
    <n v="1347570"/>
    <n v="0"/>
    <n v="50"/>
    <n v="1086750"/>
    <n v="3024705.8823529412"/>
  </r>
  <r>
    <m/>
    <x v="3"/>
    <x v="13"/>
    <x v="30"/>
    <s v="LVPROFLX"/>
    <x v="114"/>
    <x v="111"/>
    <x v="0"/>
    <x v="4"/>
    <n v="1"/>
    <x v="31"/>
    <m/>
    <m/>
    <n v="0"/>
    <n v="53474.999999999993"/>
    <n v="0"/>
    <n v="50"/>
    <n v="53474.999999999993"/>
    <n v="109235.29411764706"/>
    <n v="100831.93277310925"/>
    <s v="Shenzhen"/>
    <x v="2"/>
    <n v="30"/>
    <m/>
    <n v="3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n v="500"/>
    <n v="250"/>
    <n v="0"/>
    <n v="0"/>
    <n v="0"/>
    <n v="0"/>
    <n v="25874999.999999996"/>
    <n v="0"/>
    <n v="0"/>
    <n v="0"/>
    <n v="0"/>
    <n v="150"/>
    <n v="0"/>
    <n v="0"/>
    <n v="0"/>
    <n v="250"/>
    <n v="0"/>
    <n v="0"/>
    <n v="0"/>
    <n v="0"/>
    <n v="0"/>
    <n v="0"/>
    <n v="0"/>
    <n v="0"/>
    <n v="150"/>
    <n v="0"/>
    <n v="150"/>
    <n v="0"/>
    <n v="250"/>
    <n v="0"/>
    <n v="7762499.9999999991"/>
    <n v="0"/>
    <n v="12937499.999999998"/>
    <n v="250"/>
    <n v="12937499.999999998"/>
    <n v="16385294.117647059"/>
    <n v="90"/>
    <n v="100"/>
    <n v="90"/>
    <n v="0"/>
    <m/>
    <n v="5174999.9999999991"/>
    <n v="4812749.9999999991"/>
    <n v="0"/>
    <n v="100"/>
    <n v="5174999.9999999991"/>
    <n v="9831176.4705882352"/>
  </r>
  <r>
    <m/>
    <x v="3"/>
    <x v="13"/>
    <x v="30"/>
    <s v="LVPRONOV"/>
    <x v="115"/>
    <x v="112"/>
    <x v="0"/>
    <x v="4"/>
    <n v="1"/>
    <x v="31"/>
    <m/>
    <m/>
    <n v="0"/>
    <n v="64170"/>
    <n v="0"/>
    <n v="60"/>
    <n v="64170"/>
    <n v="142848.73949579833"/>
    <n v="126042.01680672269"/>
    <s v="Shenzhen"/>
    <x v="2"/>
    <n v="30"/>
    <m/>
    <n v="3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n v="500"/>
    <n v="250"/>
    <n v="0"/>
    <n v="0"/>
    <n v="0"/>
    <n v="0"/>
    <n v="31049999.999999996"/>
    <n v="0"/>
    <n v="0"/>
    <n v="0"/>
    <n v="0"/>
    <n v="140"/>
    <n v="0"/>
    <n v="0"/>
    <n v="0"/>
    <n v="250"/>
    <n v="0"/>
    <n v="0"/>
    <n v="0"/>
    <n v="0"/>
    <n v="0"/>
    <n v="0"/>
    <n v="0"/>
    <n v="0"/>
    <n v="120"/>
    <n v="0"/>
    <n v="120"/>
    <n v="0"/>
    <n v="250"/>
    <n v="0"/>
    <n v="7451999.9999999991"/>
    <n v="0"/>
    <n v="15524999.999999998"/>
    <n v="250"/>
    <n v="15524999.999999998"/>
    <n v="17141848.739495799"/>
    <n v="84"/>
    <n v="130"/>
    <n v="84"/>
    <n v="0"/>
    <m/>
    <n v="8072999.9999999991"/>
    <n v="5390280"/>
    <n v="0"/>
    <n v="130"/>
    <n v="8072999.9999999991"/>
    <n v="11999294.117647059"/>
  </r>
  <r>
    <m/>
    <x v="3"/>
    <x v="13"/>
    <x v="30"/>
    <s v="LVPRONEULT"/>
    <x v="116"/>
    <x v="113"/>
    <x v="0"/>
    <x v="4"/>
    <n v="1"/>
    <x v="31"/>
    <m/>
    <m/>
    <n v="0"/>
    <n v="73795.5"/>
    <n v="0"/>
    <n v="69"/>
    <n v="73795.5"/>
    <n v="168058.82352941178"/>
    <n v="151252.10084033615"/>
    <s v="Shenzhen"/>
    <x v="2"/>
    <n v="30"/>
    <m/>
    <n v="3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m/>
    <m/>
    <m/>
    <m/>
    <m/>
    <m/>
    <m/>
    <n v="0"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0"/>
    <n v="50"/>
    <n v="200"/>
    <n v="200"/>
    <n v="0"/>
    <n v="3570750"/>
    <n v="14283000"/>
    <n v="14283000"/>
    <n v="200"/>
    <n v="14283000"/>
    <n v="8402941.1764705889"/>
    <n v="0"/>
    <n v="150"/>
    <n v="0"/>
    <n v="300"/>
    <m/>
    <n v="10712250"/>
    <n v="0"/>
    <n v="0"/>
    <n v="150"/>
    <n v="10712250"/>
    <n v="0"/>
  </r>
  <r>
    <s v="Levo-Telones y Proyectores"/>
    <x v="3"/>
    <x v="13"/>
    <x v="31"/>
    <n v="1659991971809"/>
    <x v="117"/>
    <x v="114"/>
    <x v="0"/>
    <x v="1"/>
    <n v="1"/>
    <x v="31"/>
    <n v="327"/>
    <m/>
    <n v="0"/>
    <n v="20911"/>
    <n v="6837897"/>
    <n v="19"/>
    <n v="20757.5"/>
    <n v="54613.445378151264"/>
    <n v="50411.764705882357"/>
    <s v="Shenzhen"/>
    <x v="2"/>
    <n v="30"/>
    <m/>
    <n v="100"/>
    <n v="142"/>
    <n v="0.62670506653719982"/>
    <n v="130"/>
    <n v="0.632357005365073"/>
    <n v="175"/>
    <n v="0.62259612706611123"/>
    <n v="189"/>
    <n v="0.6545333027726179"/>
    <n v="13"/>
    <n v="0.63894544221087579"/>
    <n v="127"/>
    <n v="0.61650109730574643"/>
    <n v="174"/>
    <n v="0.63647310664033385"/>
    <n v="183"/>
    <n v="0.64906425412515889"/>
    <n v="178"/>
    <n v="0.656168767531357"/>
    <n v="214"/>
    <n v="0.59971861618214362"/>
    <n v="28"/>
    <n v="0.64496344141239548"/>
    <n v="122"/>
    <n v="0.55731029637962115"/>
    <n v="135"/>
    <n v="0.53564089146070804"/>
    <n v="122"/>
    <n v="0.53652786124060414"/>
    <n v="121"/>
    <n v="0.53117682241860797"/>
    <n v="113"/>
    <n v="0.56817263152100494"/>
    <n v="1.1299999999999999"/>
    <n v="77"/>
    <n v="0.61731358125504432"/>
    <n v="0.64166666666666672"/>
    <n v="159"/>
    <n v="0.43401206313804885"/>
    <n v="0.8833333333333333"/>
    <n v="18"/>
    <s v=""/>
    <n v="0.18"/>
    <n v="127"/>
    <n v="0.40133562982393051"/>
    <n v="2.54"/>
    <n v="144"/>
    <n v="0.33255217202306525"/>
    <n v="1.8"/>
    <m/>
    <m/>
    <m/>
    <m/>
    <m/>
    <m/>
    <m/>
    <m/>
    <m/>
    <n v="160"/>
    <n v="197"/>
    <n v="120"/>
    <n v="300"/>
    <n v="300"/>
    <n v="0"/>
    <n v="8866264"/>
    <n v="3874005"/>
    <n v="2509320"/>
    <n v="0"/>
    <n v="327"/>
    <n v="6837897"/>
    <n v="5507238.1893934049"/>
    <n v="180"/>
    <n v="624"/>
    <n v="183"/>
    <n v="275"/>
    <n v="275"/>
    <n v="0"/>
    <n v="8719887"/>
    <n v="12270960"/>
    <n v="3826713"/>
    <n v="0"/>
    <n v="327"/>
    <n v="6837897"/>
    <n v="8398538.2388249431"/>
    <n v="200"/>
    <n v="519"/>
    <n v="121"/>
    <n v="0"/>
    <n v="0"/>
    <n v="7252974"/>
    <n v="10852809"/>
    <n v="2530231"/>
    <n v="0"/>
    <n v="327"/>
    <n v="6837897"/>
    <n v="6608226.8907563025"/>
    <n v="100"/>
    <n v="589"/>
    <n v="113"/>
    <n v="200"/>
    <n v="0"/>
    <n v="11582685"/>
    <n v="2362943"/>
    <x v="34"/>
    <x v="0"/>
    <n v="327"/>
    <n v="6837897"/>
    <n v="6171319.3277310925"/>
    <n v="120"/>
    <n v="404"/>
    <n v="120"/>
    <n v="200"/>
    <n v="200"/>
    <n v="0"/>
    <n v="8448044"/>
    <n v="2359800"/>
    <x v="15"/>
    <n v="0"/>
    <n v="327"/>
    <n v="6837897"/>
    <n v="6553613.4453781517"/>
    <n v="180"/>
    <n v="486"/>
    <n v="159"/>
    <m/>
    <n v="200"/>
    <n v="0"/>
    <n v="10162746"/>
    <n v="3126735"/>
    <n v="0"/>
    <n v="0"/>
    <n v="486"/>
    <n v="6837897"/>
    <n v="8683537.8151260503"/>
    <n v="100"/>
    <n v="345"/>
    <n v="18"/>
    <n v="300"/>
    <n v="300"/>
    <n v="0"/>
    <n v="7214295"/>
    <n v="353970"/>
    <n v="5702850"/>
    <n v="0"/>
    <n v="345"/>
    <n v="6837897"/>
    <n v="983042.01680672274"/>
    <n v="50"/>
    <n v="454"/>
    <n v="131"/>
    <n v="80"/>
    <n v="80"/>
    <n v="0"/>
    <n v="9493594"/>
    <n v="2576115"/>
    <n v="1573200"/>
    <n v="0"/>
    <n v="454"/>
    <n v="9493594"/>
    <n v="7154361.344537816"/>
    <n v="80"/>
    <n v="471"/>
    <n v="142.5"/>
    <n v="0"/>
    <n v="0"/>
    <n v="0"/>
    <n v="9262215"/>
    <n v="2802262.5"/>
    <n v="0"/>
    <n v="0"/>
    <n v="327"/>
    <n v="6837897"/>
    <n v="7782415.9663865548"/>
    <n v="180"/>
    <n v="328.5"/>
    <n v="180"/>
    <n v="0"/>
    <n v="0"/>
    <n v="0"/>
    <m/>
    <n v="6459952.5"/>
    <n v="3539700"/>
    <n v="0"/>
    <n v="0"/>
    <n v="328.5"/>
    <n v="6459952.5"/>
    <n v="9074117.6470588241"/>
    <n v="120"/>
    <n v="148.5"/>
    <n v="120"/>
    <m/>
    <n v="0"/>
    <n v="0"/>
    <n v="2920252.5"/>
    <n v="2359800"/>
    <n v="0"/>
    <n v="0"/>
    <n v="148.5"/>
    <n v="2920252.5"/>
    <n v="6049411.7647058824"/>
    <n v="150"/>
    <n v="28.5"/>
    <n v="28.5"/>
    <n v="0"/>
    <n v="0"/>
    <n v="560452.5"/>
    <n v="560452.5"/>
    <n v="0"/>
    <n v="0"/>
    <n v="28.5"/>
    <n v="560452.5"/>
    <n v="1556483.193277311"/>
    <n v="80"/>
    <n v="0"/>
    <n v="80"/>
    <n v="0"/>
    <m/>
    <n v="0"/>
    <n v="1672880"/>
    <n v="0"/>
    <n v="0"/>
    <n v="0"/>
    <n v="4369075.6302521015"/>
  </r>
  <r>
    <s v="Levo-Telones y Proyectores"/>
    <x v="3"/>
    <x v="13"/>
    <x v="31"/>
    <n v="1659991999728"/>
    <x v="118"/>
    <x v="115"/>
    <x v="0"/>
    <x v="3"/>
    <n v="1"/>
    <x v="31"/>
    <n v="14"/>
    <m/>
    <n v="0"/>
    <n v="9695"/>
    <n v="135730"/>
    <n v="9.5"/>
    <n v="10378.75"/>
    <n v="33605.042016806721"/>
    <n v="25201.680672268907"/>
    <s v="Shenzhen"/>
    <x v="2"/>
    <n v="30"/>
    <m/>
    <n v="100"/>
    <n v="27"/>
    <n v="0.68067381834599761"/>
    <n v="16"/>
    <n v="0.59651128196519454"/>
    <n v="68"/>
    <n v="0.69323627220578565"/>
    <n v="66"/>
    <n v="0.58982155076357035"/>
    <n v="53"/>
    <n v="0.67797600912068845"/>
    <n v="65"/>
    <n v="0.6444661529533442"/>
    <n v="69"/>
    <n v="0.64395523778882779"/>
    <n v="71"/>
    <n v="0.64657736497946317"/>
    <n v="108"/>
    <n v="0.6981561732420174"/>
    <n v="155"/>
    <n v="0.69054980495745988"/>
    <n v="65"/>
    <n v="0.70782881092161198"/>
    <n v="20"/>
    <n v="0.74086195145613187"/>
    <n v="0"/>
    <s v=""/>
    <n v="29"/>
    <n v="0.6683098819600759"/>
    <n v="73"/>
    <n v="0.60528003304195721"/>
    <n v="53"/>
    <n v="0.65920834795688588"/>
    <n v="1.06"/>
    <n v="46"/>
    <n v="0.70419313902211345"/>
    <n v="0.76666666666666672"/>
    <n v="88"/>
    <n v="0.47933183898313414"/>
    <n v="0.88"/>
    <n v="32"/>
    <s v=""/>
    <n v="0.45714285714285713"/>
    <n v="65"/>
    <n v="0.51884894297403461"/>
    <n v="1.0833333333333333"/>
    <n v="27"/>
    <n v="0.44186829163552088"/>
    <n v="0.67500000000000004"/>
    <m/>
    <m/>
    <m/>
    <m/>
    <m/>
    <m/>
    <m/>
    <m/>
    <m/>
    <n v="60"/>
    <n v="2"/>
    <n v="2"/>
    <n v="100"/>
    <n v="100"/>
    <n v="0"/>
    <n v="1148857.5"/>
    <n v="19665"/>
    <n v="19390"/>
    <n v="0"/>
    <n v="14"/>
    <n v="135730"/>
    <n v="56479.062213120545"/>
    <n v="60"/>
    <n v="301"/>
    <n v="43.5"/>
    <n v="200"/>
    <n v="200"/>
    <n v="0"/>
    <n v="1643302.5"/>
    <n v="2959582.5"/>
    <n v="421732.5"/>
    <n v="0"/>
    <n v="14"/>
    <n v="135730"/>
    <n v="1228419.6031353718"/>
    <n v="50"/>
    <n v="280"/>
    <n v="73"/>
    <n v="0"/>
    <n v="0"/>
    <n v="1811520"/>
    <n v="2714600"/>
    <n v="707735"/>
    <n v="0"/>
    <n v="14"/>
    <n v="135730"/>
    <n v="2453168.0672268905"/>
    <n v="50"/>
    <n v="334"/>
    <n v="53"/>
    <n v="150"/>
    <n v="0"/>
    <n v="3284055"/>
    <n v="513835"/>
    <x v="35"/>
    <x v="0"/>
    <n v="14"/>
    <n v="135730"/>
    <n v="1781067.2268907563"/>
    <n v="60"/>
    <n v="60"/>
    <n v="60"/>
    <n v="50"/>
    <n v="50"/>
    <n v="0"/>
    <n v="581700"/>
    <n v="589950"/>
    <x v="16"/>
    <n v="0"/>
    <n v="14"/>
    <n v="135730"/>
    <n v="2016302.5210084033"/>
    <n v="100"/>
    <n v="102"/>
    <n v="88"/>
    <m/>
    <n v="50"/>
    <n v="0"/>
    <n v="988890"/>
    <n v="865260"/>
    <n v="0"/>
    <n v="0"/>
    <n v="102"/>
    <n v="135730"/>
    <n v="2957243.6974789915"/>
    <n v="70"/>
    <n v="46"/>
    <n v="32"/>
    <n v="0"/>
    <n v="0"/>
    <n v="0"/>
    <n v="445970"/>
    <n v="314640"/>
    <n v="0"/>
    <n v="0"/>
    <n v="46"/>
    <n v="135730"/>
    <n v="1075361.3445378151"/>
    <n v="60"/>
    <n v="79"/>
    <n v="67"/>
    <n v="0"/>
    <n v="0"/>
    <n v="0"/>
    <n v="765905"/>
    <n v="658777.5"/>
    <n v="0"/>
    <n v="0"/>
    <n v="79"/>
    <n v="765905"/>
    <n v="2251537.8151260503"/>
    <n v="40"/>
    <n v="41"/>
    <n v="43.5"/>
    <n v="0"/>
    <n v="0"/>
    <n v="0"/>
    <n v="403132.5"/>
    <n v="427713.75"/>
    <n v="0"/>
    <n v="0"/>
    <n v="14"/>
    <n v="135730"/>
    <n v="1461819.3277310925"/>
    <n v="100"/>
    <n v="0"/>
    <n v="0"/>
    <n v="0"/>
    <n v="0"/>
    <n v="0"/>
    <m/>
    <n v="0"/>
    <n v="0"/>
    <n v="0"/>
    <n v="0"/>
    <n v="0"/>
    <n v="0"/>
    <n v="0"/>
    <n v="80"/>
    <n v="0"/>
    <n v="0"/>
    <m/>
    <n v="0"/>
    <n v="0"/>
    <n v="0"/>
    <n v="0"/>
    <n v="0"/>
    <n v="0"/>
    <n v="0"/>
    <n v="0"/>
    <n v="0"/>
    <n v="80"/>
    <n v="0"/>
    <n v="80"/>
    <n v="80"/>
    <n v="80"/>
    <n v="0"/>
    <n v="786600"/>
    <n v="786600"/>
    <n v="786600"/>
    <n v="80"/>
    <n v="786600"/>
    <n v="2688403.3613445377"/>
    <n v="48"/>
    <n v="0"/>
    <n v="48"/>
    <n v="0"/>
    <m/>
    <n v="0"/>
    <n v="465360"/>
    <n v="0"/>
    <n v="0"/>
    <n v="0"/>
    <n v="1613042.0168067226"/>
  </r>
  <r>
    <s v="Levo-Telones y Proyectores"/>
    <x v="3"/>
    <x v="13"/>
    <x v="31"/>
    <s v="LVTEL-80"/>
    <x v="119"/>
    <x v="116"/>
    <x v="0"/>
    <x v="3"/>
    <n v="1"/>
    <x v="81"/>
    <n v="355"/>
    <m/>
    <n v="0"/>
    <n v="17957"/>
    <n v="6374735"/>
    <n v="17"/>
    <n v="18572.5"/>
    <n v="46210.08403361345"/>
    <n v="42008.403361344543"/>
    <s v="Shenzhen"/>
    <x v="2"/>
    <n v="30"/>
    <m/>
    <n v="100"/>
    <n v="28"/>
    <n v="0.6508188478188478"/>
    <n v="25"/>
    <n v="0.59107559075181704"/>
    <n v="66"/>
    <n v="0.62328616902927081"/>
    <n v="91"/>
    <n v="0.54379131494712241"/>
    <n v="90"/>
    <n v="0.62582100819780129"/>
    <n v="91"/>
    <n v="0.6056306623273755"/>
    <n v="62"/>
    <n v="0.6234281552614741"/>
    <n v="40"/>
    <n v="0.63550585238258073"/>
    <n v="77"/>
    <n v="0.64571694876026031"/>
    <n v="282"/>
    <n v="0.56643460333796736"/>
    <n v="89"/>
    <n v="0.63960615058782377"/>
    <n v="8"/>
    <n v="0.64019337435812751"/>
    <n v="3"/>
    <n v="0.5967957329688256"/>
    <n v="24"/>
    <n v="0.53534792799515629"/>
    <n v="58"/>
    <n v="0.50821357751286456"/>
    <n v="41"/>
    <n v="0.53557050431590003"/>
    <n v="1.0249999999999999"/>
    <n v="39"/>
    <n v="0.61017163659116713"/>
    <n v="0.65"/>
    <n v="47"/>
    <n v="0.29584967536715712"/>
    <n v="0.47"/>
    <n v="25"/>
    <n v="0.59077306807018193"/>
    <n v="0.5"/>
    <n v="35"/>
    <n v="0.42190206241287054"/>
    <n v="0.7"/>
    <n v="43"/>
    <n v="0.32785150910424593"/>
    <n v="1.075"/>
    <m/>
    <m/>
    <m/>
    <m/>
    <m/>
    <m/>
    <m/>
    <m/>
    <m/>
    <n v="80"/>
    <n v="3"/>
    <n v="3"/>
    <n v="150"/>
    <n v="150"/>
    <n v="0"/>
    <n v="1741829"/>
    <n v="52785"/>
    <n v="53871"/>
    <n v="0"/>
    <n v="355"/>
    <n v="6374735"/>
    <n v="116496.0101687734"/>
    <n v="100"/>
    <n v="376"/>
    <n v="36"/>
    <n v="225"/>
    <n v="225"/>
    <n v="0"/>
    <n v="2424195"/>
    <n v="6615720"/>
    <n v="646452"/>
    <n v="0"/>
    <n v="355"/>
    <n v="6374735"/>
    <n v="1397952.1220252807"/>
    <n v="75"/>
    <n v="350"/>
    <n v="58"/>
    <n v="0"/>
    <n v="0"/>
    <n v="2833443"/>
    <n v="6284950"/>
    <n v="1041506"/>
    <n v="0"/>
    <n v="355"/>
    <n v="6374735"/>
    <n v="2680184.8739495799"/>
    <n v="40"/>
    <n v="488"/>
    <n v="41"/>
    <n v="200"/>
    <n v="0"/>
    <n v="8586360"/>
    <n v="736237"/>
    <x v="36"/>
    <x v="0"/>
    <n v="355"/>
    <n v="6374735"/>
    <n v="1894613.4453781515"/>
    <n v="60"/>
    <n v="394"/>
    <n v="60"/>
    <n v="100"/>
    <n v="100"/>
    <n v="0"/>
    <n v="7075058"/>
    <n v="1055700"/>
    <x v="17"/>
    <n v="0"/>
    <n v="355"/>
    <n v="6374735"/>
    <n v="2772605.042016807"/>
    <n v="100"/>
    <n v="402"/>
    <n v="47"/>
    <m/>
    <n v="100"/>
    <n v="0"/>
    <n v="7218714"/>
    <n v="826965"/>
    <n v="0"/>
    <n v="0"/>
    <n v="402"/>
    <n v="6374735"/>
    <n v="2171873.9495798321"/>
    <n v="50"/>
    <n v="380"/>
    <n v="25"/>
    <n v="0"/>
    <n v="0"/>
    <n v="0"/>
    <n v="6823660"/>
    <n v="439875"/>
    <n v="0"/>
    <n v="0"/>
    <n v="380"/>
    <n v="6374735"/>
    <n v="1155252.1008403362"/>
    <n v="50"/>
    <n v="390"/>
    <n v="36"/>
    <n v="0"/>
    <n v="0"/>
    <n v="0"/>
    <n v="7003230"/>
    <n v="633420"/>
    <n v="0"/>
    <n v="0"/>
    <n v="390"/>
    <n v="7003230"/>
    <n v="1663563.0252100842"/>
    <n v="40"/>
    <n v="398"/>
    <n v="51"/>
    <n v="0"/>
    <n v="0"/>
    <n v="0"/>
    <n v="7002810"/>
    <n v="897345"/>
    <n v="0"/>
    <n v="0"/>
    <n v="355"/>
    <n v="6374735"/>
    <n v="2356714.2857142859"/>
    <n v="100"/>
    <n v="347"/>
    <n v="100"/>
    <n v="0"/>
    <n v="0"/>
    <n v="0"/>
    <m/>
    <n v="6105465"/>
    <n v="1759500"/>
    <n v="0"/>
    <n v="0"/>
    <n v="347"/>
    <n v="6105465"/>
    <n v="4200840.3361344542"/>
    <n v="70"/>
    <n v="247"/>
    <n v="70"/>
    <m/>
    <n v="0"/>
    <n v="0"/>
    <n v="4345965"/>
    <n v="1231650"/>
    <n v="0"/>
    <n v="0"/>
    <n v="247"/>
    <n v="4345965"/>
    <n v="2940588.2352941181"/>
    <n v="80"/>
    <n v="177"/>
    <n v="80"/>
    <n v="0"/>
    <n v="0"/>
    <n v="3114315"/>
    <n v="1407600"/>
    <n v="0"/>
    <n v="0"/>
    <n v="177"/>
    <n v="3114315"/>
    <n v="3696806.7226890759"/>
    <n v="42"/>
    <n v="97"/>
    <n v="42"/>
    <n v="0"/>
    <m/>
    <n v="1706715"/>
    <n v="754194"/>
    <n v="0"/>
    <n v="97"/>
    <n v="1706715"/>
    <n v="1940823.5294117648"/>
  </r>
  <r>
    <s v="Levo-Telones y Proyectores"/>
    <x v="3"/>
    <x v="13"/>
    <x v="31"/>
    <s v="LVTELBK-100"/>
    <x v="120"/>
    <x v="117"/>
    <x v="0"/>
    <x v="1"/>
    <n v="1"/>
    <x v="82"/>
    <n v="48"/>
    <m/>
    <n v="0"/>
    <n v="21053"/>
    <n v="1010544"/>
    <n v="19"/>
    <n v="20757.5"/>
    <n v="58815.126050420171"/>
    <n v="50411.764705882357"/>
    <s v="Shenzhen"/>
    <x v="2"/>
    <n v="30"/>
    <m/>
    <n v="1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"/>
    <n v="0.65767056536415769"/>
    <n v="10"/>
    <n v="0.58574820603749356"/>
    <n v="1"/>
    <n v="14"/>
    <n v="0.59429383607174402"/>
    <n v="0.35"/>
    <n v="54"/>
    <n v="0.49434693025475956"/>
    <n v="1.08"/>
    <n v="53"/>
    <n v="0.52118733825972252"/>
    <n v="0.8833333333333333"/>
    <n v="46"/>
    <n v="0.39979553785973604"/>
    <n v="2.2999999999999998"/>
    <n v="39"/>
    <n v="0.38473601659302981"/>
    <n v="2.6"/>
    <m/>
    <m/>
    <m/>
    <m/>
    <m/>
    <m/>
    <m/>
    <m/>
    <m/>
    <n v="0"/>
    <n v="0"/>
    <n v="0"/>
    <n v="0"/>
    <n v="0"/>
    <n v="0"/>
    <n v="21053"/>
    <n v="0"/>
    <n v="0"/>
    <n v="0"/>
    <n v="48"/>
    <n v="1010544"/>
    <n v="0"/>
    <n v="0"/>
    <n v="0"/>
    <n v="0"/>
    <n v="0"/>
    <n v="0"/>
    <n v="0"/>
    <n v="231583"/>
    <n v="0"/>
    <n v="0"/>
    <n v="0"/>
    <n v="48"/>
    <n v="1010544"/>
    <n v="0"/>
    <n v="0"/>
    <n v="0"/>
    <n v="1"/>
    <n v="0"/>
    <n v="0"/>
    <n v="1018183"/>
    <n v="0"/>
    <n v="21053"/>
    <n v="0"/>
    <n v="48"/>
    <n v="1010544"/>
    <n v="58815.126050420171"/>
    <n v="10"/>
    <n v="78"/>
    <n v="10"/>
    <n v="80"/>
    <n v="0"/>
    <n v="1533870"/>
    <n v="210530"/>
    <x v="37"/>
    <x v="0"/>
    <n v="48"/>
    <n v="1010544"/>
    <n v="588151.26050420175"/>
    <n v="40"/>
    <n v="62"/>
    <n v="40"/>
    <n v="80"/>
    <n v="80"/>
    <n v="0"/>
    <n v="1305286"/>
    <n v="786600"/>
    <x v="18"/>
    <n v="0"/>
    <n v="48"/>
    <n v="1010544"/>
    <n v="2352605.042016807"/>
    <n v="50"/>
    <n v="102"/>
    <n v="54"/>
    <m/>
    <n v="0"/>
    <n v="0"/>
    <n v="2147406"/>
    <n v="1061910"/>
    <n v="0"/>
    <n v="0"/>
    <n v="102"/>
    <n v="1010544"/>
    <n v="3176016.8067226894"/>
    <n v="60"/>
    <n v="101"/>
    <n v="53"/>
    <n v="150"/>
    <n v="150"/>
    <n v="0"/>
    <n v="2126353"/>
    <n v="1042245"/>
    <n v="2851425"/>
    <n v="0"/>
    <n v="101"/>
    <n v="1010544"/>
    <n v="3117201.6806722688"/>
    <n v="20"/>
    <n v="94"/>
    <n v="47"/>
    <n v="20"/>
    <n v="20"/>
    <n v="0"/>
    <n v="1978982"/>
    <n v="924255"/>
    <n v="393300"/>
    <n v="0"/>
    <n v="94"/>
    <n v="1978982"/>
    <n v="2764310.9243697482"/>
    <n v="15"/>
    <n v="87"/>
    <n v="43.5"/>
    <n v="0"/>
    <n v="0"/>
    <n v="0"/>
    <n v="1710855"/>
    <n v="855427.5"/>
    <n v="0"/>
    <n v="0"/>
    <n v="48"/>
    <n v="1010544"/>
    <n v="2558457.9831932774"/>
    <n v="30"/>
    <n v="43.5"/>
    <n v="30"/>
    <n v="70"/>
    <n v="70"/>
    <n v="0"/>
    <n v="0"/>
    <n v="855427.5"/>
    <n v="589950"/>
    <n v="1376550"/>
    <n v="0"/>
    <n v="43.5"/>
    <n v="855427.5"/>
    <n v="1512352.9411764706"/>
    <n v="30"/>
    <n v="13.5"/>
    <n v="30"/>
    <m/>
    <n v="0"/>
    <n v="70"/>
    <n v="265477.5"/>
    <n v="589950"/>
    <n v="0"/>
    <n v="1376550"/>
    <n v="83.5"/>
    <n v="1642027.5"/>
    <n v="680558.82352941181"/>
    <n v="80"/>
    <n v="53.5"/>
    <n v="53.5"/>
    <n v="0"/>
    <n v="0"/>
    <n v="1052077.5"/>
    <n v="1052077.5"/>
    <n v="0"/>
    <n v="0"/>
    <n v="53.5"/>
    <n v="1052077.5"/>
    <n v="3146609.2436974794"/>
    <n v="18"/>
    <n v="0"/>
    <n v="18"/>
    <n v="0"/>
    <m/>
    <n v="0"/>
    <n v="378954"/>
    <n v="0"/>
    <n v="0"/>
    <n v="0"/>
    <n v="1058672.2689075631"/>
  </r>
  <r>
    <s v="Levo-Telones y Proyectores"/>
    <x v="3"/>
    <x v="13"/>
    <x v="31"/>
    <s v="LVTELBK-60"/>
    <x v="121"/>
    <x v="118"/>
    <x v="0"/>
    <x v="3"/>
    <n v="1"/>
    <x v="83"/>
    <n v="4"/>
    <m/>
    <n v="0"/>
    <n v="9961"/>
    <n v="39844"/>
    <n v="9.5"/>
    <n v="10378.75"/>
    <n v="33605.042016806721"/>
    <n v="25201.680672268907"/>
    <s v="Shenzhen"/>
    <x v="2"/>
    <n v="30"/>
    <m/>
    <n v="1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"/>
    <n v="0.71413037503756427"/>
    <n v="12"/>
    <n v="0.52677920371198117"/>
    <n v="1.2"/>
    <n v="14"/>
    <n v="0.71034231474535292"/>
    <n v="0.7"/>
    <n v="55"/>
    <n v="0.51388758235638987"/>
    <n v="2.2000000000000002"/>
    <n v="50"/>
    <n v="0.65882885971180372"/>
    <n v="1"/>
    <n v="1"/>
    <n v="0.8397339239782794"/>
    <n v="0.2"/>
    <n v="-4"/>
    <n v="0.6612339239782794"/>
    <n v="0"/>
    <m/>
    <m/>
    <m/>
    <m/>
    <m/>
    <m/>
    <m/>
    <m/>
    <m/>
    <n v="0"/>
    <n v="0"/>
    <n v="0"/>
    <n v="0"/>
    <n v="0"/>
    <n v="0"/>
    <n v="9961"/>
    <n v="0"/>
    <n v="0"/>
    <n v="0"/>
    <n v="4"/>
    <n v="39844"/>
    <n v="0"/>
    <n v="0"/>
    <n v="0"/>
    <n v="0"/>
    <n v="0"/>
    <n v="0"/>
    <n v="0"/>
    <n v="129493"/>
    <n v="0"/>
    <n v="0"/>
    <n v="0"/>
    <n v="4"/>
    <n v="39844"/>
    <n v="0"/>
    <n v="0"/>
    <n v="0"/>
    <n v="1"/>
    <n v="0"/>
    <n v="0"/>
    <n v="326143"/>
    <n v="0"/>
    <n v="9961"/>
    <n v="0"/>
    <n v="4"/>
    <n v="39844"/>
    <n v="33605.042016806721"/>
    <n v="10"/>
    <n v="37"/>
    <n v="12"/>
    <n v="40"/>
    <n v="0"/>
    <n v="363802.5"/>
    <n v="119532"/>
    <x v="38"/>
    <x v="0"/>
    <n v="4"/>
    <n v="39844"/>
    <n v="403260.50420168065"/>
    <n v="20"/>
    <n v="18"/>
    <n v="20"/>
    <n v="40"/>
    <n v="40"/>
    <n v="0"/>
    <n v="179298"/>
    <n v="196650"/>
    <x v="19"/>
    <n v="0"/>
    <n v="4"/>
    <n v="39844"/>
    <n v="672100.84033613442"/>
    <n v="25"/>
    <n v="59"/>
    <n v="55"/>
    <m/>
    <n v="0"/>
    <n v="0"/>
    <n v="587699"/>
    <n v="540787.5"/>
    <n v="0"/>
    <n v="0"/>
    <n v="59"/>
    <n v="39844"/>
    <n v="1848277.3109243696"/>
    <n v="50"/>
    <n v="54"/>
    <n v="50"/>
    <n v="60"/>
    <n v="60"/>
    <n v="0"/>
    <n v="537894"/>
    <n v="491625"/>
    <n v="570285"/>
    <n v="0"/>
    <n v="54"/>
    <n v="39844"/>
    <n v="1680252.1008403362"/>
    <n v="5"/>
    <n v="5"/>
    <n v="1"/>
    <n v="0"/>
    <n v="0"/>
    <n v="0"/>
    <n v="49805"/>
    <n v="9832.5"/>
    <n v="0"/>
    <n v="0"/>
    <n v="5"/>
    <n v="49805"/>
    <n v="33605.042016806721"/>
    <n v="0"/>
    <n v="0"/>
    <n v="0"/>
    <n v="0"/>
    <n v="0"/>
    <n v="0"/>
    <n v="0"/>
    <n v="0"/>
    <n v="0"/>
    <n v="0"/>
    <n v="4"/>
    <n v="39844"/>
    <n v="0"/>
    <n v="30"/>
    <n v="0"/>
    <n v="0"/>
    <n v="0"/>
    <n v="0"/>
    <n v="0"/>
    <n v="0"/>
    <n v="0"/>
    <n v="0"/>
    <n v="0"/>
    <n v="0"/>
    <n v="0"/>
    <n v="0"/>
    <n v="0"/>
    <n v="20"/>
    <n v="0"/>
    <n v="0"/>
    <m/>
    <n v="0"/>
    <n v="0"/>
    <n v="0"/>
    <n v="0"/>
    <n v="0"/>
    <n v="0"/>
    <n v="0"/>
    <n v="0"/>
    <n v="0"/>
    <n v="25"/>
    <n v="0"/>
    <n v="25"/>
    <n v="50"/>
    <n v="50"/>
    <n v="0"/>
    <n v="245812.5"/>
    <n v="491625"/>
    <n v="491625"/>
    <n v="50"/>
    <n v="491625"/>
    <n v="840126.05042016809"/>
    <n v="12"/>
    <n v="25"/>
    <n v="12"/>
    <n v="0"/>
    <m/>
    <n v="245812.5"/>
    <n v="119532"/>
    <n v="0"/>
    <n v="25"/>
    <n v="245812.5"/>
    <n v="403260.50420168065"/>
  </r>
  <r>
    <s v="Levo-Telones y Proyectores"/>
    <x v="3"/>
    <x v="13"/>
    <x v="31"/>
    <s v="LVTELBK-80"/>
    <x v="122"/>
    <x v="119"/>
    <x v="0"/>
    <x v="3"/>
    <n v="1"/>
    <x v="84"/>
    <n v="124"/>
    <m/>
    <n v="0"/>
    <n v="20152"/>
    <n v="2498848"/>
    <n v="17"/>
    <n v="18572.5"/>
    <n v="50411.764705882357"/>
    <n v="42008.403361344543"/>
    <s v="Shenzhen"/>
    <x v="2"/>
    <n v="30"/>
    <m/>
    <n v="1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0"/>
    <s v=""/>
    <n v="6"/>
    <n v="0.44968931580537469"/>
    <n v="0.6"/>
    <n v="6"/>
    <n v="0.62874201652215689"/>
    <n v="0.2"/>
    <n v="26"/>
    <n v="0.47614656362504398"/>
    <n v="0.74285714285714288"/>
    <n v="14"/>
    <n v="0.5158588522454074"/>
    <n v="1.4"/>
    <n v="13"/>
    <n v="0.34890196631251696"/>
    <n v="0.8666666666666667"/>
    <n v="8"/>
    <n v="0.24027817890503791"/>
    <n v="0.53333333333333333"/>
    <m/>
    <m/>
    <m/>
    <m/>
    <m/>
    <m/>
    <m/>
    <m/>
    <m/>
    <n v="0"/>
    <n v="0"/>
    <n v="0"/>
    <n v="0"/>
    <n v="0"/>
    <n v="0"/>
    <n v="0"/>
    <n v="0"/>
    <n v="0"/>
    <n v="0"/>
    <n v="124"/>
    <n v="2498848"/>
    <n v="0"/>
    <n v="0"/>
    <n v="0"/>
    <n v="0"/>
    <n v="0"/>
    <n v="0"/>
    <n v="0"/>
    <n v="120912"/>
    <n v="0"/>
    <n v="0"/>
    <n v="0"/>
    <n v="124"/>
    <n v="2498848"/>
    <n v="0"/>
    <n v="0"/>
    <n v="0"/>
    <n v="0"/>
    <n v="0"/>
    <n v="0"/>
    <n v="648762"/>
    <n v="0"/>
    <n v="0"/>
    <n v="0"/>
    <n v="124"/>
    <n v="2498848"/>
    <n v="0"/>
    <n v="10"/>
    <n v="60"/>
    <n v="6"/>
    <n v="60"/>
    <n v="0"/>
    <n v="1055700"/>
    <n v="120912"/>
    <x v="39"/>
    <x v="0"/>
    <n v="124"/>
    <n v="2498848"/>
    <n v="302470.58823529416"/>
    <n v="30"/>
    <n v="130"/>
    <n v="30"/>
    <n v="60"/>
    <n v="60"/>
    <n v="0"/>
    <n v="2619760"/>
    <n v="527850"/>
    <x v="20"/>
    <n v="0"/>
    <n v="124"/>
    <n v="2498848"/>
    <n v="1512352.9411764706"/>
    <n v="35"/>
    <n v="150"/>
    <n v="26"/>
    <m/>
    <n v="0"/>
    <n v="0"/>
    <n v="3022800"/>
    <n v="457470"/>
    <n v="0"/>
    <n v="0"/>
    <n v="150"/>
    <n v="2498848"/>
    <n v="1310705.8823529412"/>
    <n v="10"/>
    <n v="138"/>
    <n v="14"/>
    <n v="90"/>
    <n v="90"/>
    <n v="0"/>
    <n v="2780976"/>
    <n v="246330"/>
    <n v="1530765"/>
    <n v="0"/>
    <n v="138"/>
    <n v="2498848"/>
    <n v="705764.70588235301"/>
    <n v="15"/>
    <n v="137"/>
    <n v="13"/>
    <n v="0"/>
    <n v="0"/>
    <n v="0"/>
    <n v="2760824"/>
    <n v="228735"/>
    <n v="0"/>
    <n v="0"/>
    <n v="137"/>
    <n v="2760824"/>
    <n v="655352.9411764706"/>
    <n v="15"/>
    <n v="132"/>
    <n v="13.5"/>
    <n v="0"/>
    <n v="0"/>
    <n v="0"/>
    <n v="2322540"/>
    <n v="237532.5"/>
    <n v="0"/>
    <n v="0"/>
    <n v="124"/>
    <n v="2498848"/>
    <n v="680558.82352941181"/>
    <n v="15"/>
    <n v="118.5"/>
    <n v="15"/>
    <n v="0"/>
    <n v="0"/>
    <n v="0"/>
    <m/>
    <n v="2085007.5"/>
    <n v="263925"/>
    <n v="0"/>
    <n v="0"/>
    <n v="118.5"/>
    <n v="2085007.5"/>
    <n v="630126.05042016809"/>
    <n v="15"/>
    <n v="103.5"/>
    <n v="15"/>
    <m/>
    <n v="0"/>
    <n v="0"/>
    <n v="1821082.5"/>
    <n v="263925"/>
    <n v="0"/>
    <n v="0"/>
    <n v="103.5"/>
    <n v="1821082.5"/>
    <n v="630126.05042016809"/>
    <n v="15"/>
    <n v="88.5"/>
    <n v="15"/>
    <n v="0"/>
    <n v="0"/>
    <n v="1557157.5"/>
    <n v="263925"/>
    <n v="0"/>
    <n v="0"/>
    <n v="88.5"/>
    <n v="1557157.5"/>
    <n v="756176.4705882353"/>
    <n v="9"/>
    <n v="73.5"/>
    <n v="9"/>
    <n v="0"/>
    <m/>
    <n v="1293232.5"/>
    <n v="181368"/>
    <n v="0"/>
    <n v="73.5"/>
    <n v="1293232.5"/>
    <n v="453705.8823529412"/>
  </r>
  <r>
    <s v="Levo-Telones y Proyectores"/>
    <x v="3"/>
    <x v="13"/>
    <x v="31"/>
    <s v="LVTELELE-100"/>
    <x v="123"/>
    <x v="120"/>
    <x v="0"/>
    <x v="1"/>
    <n v="1"/>
    <x v="85"/>
    <n v="9"/>
    <m/>
    <n v="0"/>
    <n v="23463"/>
    <n v="211167"/>
    <n v="22.5"/>
    <n v="24581.249999999996"/>
    <n v="63016.806722689078"/>
    <n v="58815.126050420171"/>
    <s v="Shenzhen"/>
    <x v="2"/>
    <n v="30"/>
    <m/>
    <n v="100"/>
    <n v="19"/>
    <n v="0.6182655435105997"/>
    <n v="89"/>
    <n v="0.55237934393275812"/>
    <n v="79"/>
    <n v="0.68443850720772759"/>
    <n v="80"/>
    <n v="0.63279558459688046"/>
    <n v="63"/>
    <n v="0.65311619403594168"/>
    <n v="143"/>
    <n v="0.61550883003189616"/>
    <n v="62"/>
    <n v="0.64847601921194653"/>
    <n v="51"/>
    <n v="0.67424530303403141"/>
    <n v="34"/>
    <n v="0.68261112246863653"/>
    <n v="129"/>
    <n v="0.61698553668888423"/>
    <n v="176"/>
    <n v="0.59921260659293307"/>
    <n v="144"/>
    <n v="0.60917394046986839"/>
    <n v="48"/>
    <n v="0.58581135387983141"/>
    <n v="63"/>
    <n v="0.56104533096021414"/>
    <n v="81"/>
    <n v="0.54826383333588735"/>
    <n v="94"/>
    <n v="0.57125406457108185"/>
    <n v="1.175"/>
    <n v="82"/>
    <n v="0.62997190198507225"/>
    <n v="1.0249999999999999"/>
    <n v="190"/>
    <n v="0.42963895903812743"/>
    <n v="1.5833333333333333"/>
    <n v="115"/>
    <n v="0.58379150152536385"/>
    <n v="1.4375"/>
    <n v="25"/>
    <n v="0.40192959849475046"/>
    <n v="0.41666666666666669"/>
    <n v="-13"/>
    <n v="0.59583954101218017"/>
    <n v="-0.32500000000000001"/>
    <m/>
    <m/>
    <m/>
    <m/>
    <m/>
    <m/>
    <m/>
    <m/>
    <m/>
    <n v="85"/>
    <n v="67"/>
    <n v="50"/>
    <n v="50"/>
    <n v="50"/>
    <n v="0"/>
    <n v="5290906.5"/>
    <n v="1560262.5"/>
    <n v="1173150"/>
    <n v="0"/>
    <n v="9"/>
    <n v="211167"/>
    <n v="2647764.9883482805"/>
    <n v="70"/>
    <n v="196"/>
    <n v="94.5"/>
    <n v="125"/>
    <n v="125"/>
    <n v="0"/>
    <n v="6323278.5"/>
    <n v="4564350"/>
    <n v="2217253.5"/>
    <n v="0"/>
    <n v="9"/>
    <n v="211167"/>
    <n v="5004275.8279782506"/>
    <n v="100"/>
    <n v="152"/>
    <n v="81"/>
    <n v="0"/>
    <n v="0"/>
    <n v="5969025"/>
    <n v="3566376"/>
    <n v="1900503"/>
    <n v="0"/>
    <n v="9"/>
    <n v="211167"/>
    <n v="5104361.3445378151"/>
    <n v="80"/>
    <n v="357"/>
    <n v="94"/>
    <n v="300"/>
    <n v="0"/>
    <n v="8313637.5"/>
    <n v="2205522"/>
    <x v="40"/>
    <x v="0"/>
    <n v="9"/>
    <n v="211167"/>
    <n v="5923579.8319327729"/>
    <n v="80"/>
    <n v="91"/>
    <n v="80"/>
    <n v="100"/>
    <n v="100"/>
    <n v="0"/>
    <n v="2135133"/>
    <n v="1863000"/>
    <x v="21"/>
    <n v="0"/>
    <n v="9"/>
    <n v="211167"/>
    <n v="5041344.5378151266"/>
    <n v="120"/>
    <n v="199"/>
    <n v="190"/>
    <m/>
    <n v="100"/>
    <n v="0"/>
    <n v="4669137"/>
    <n v="4424625"/>
    <n v="0"/>
    <n v="0"/>
    <n v="199"/>
    <n v="211167"/>
    <n v="11973193.277310925"/>
    <n v="80"/>
    <n v="124"/>
    <n v="115"/>
    <n v="60"/>
    <n v="60"/>
    <n v="0"/>
    <n v="2909412"/>
    <n v="2678062.5"/>
    <n v="1350675"/>
    <n v="0"/>
    <n v="124"/>
    <n v="211167"/>
    <n v="7246932.7731092442"/>
    <n v="60"/>
    <n v="34"/>
    <n v="25"/>
    <n v="0"/>
    <n v="0"/>
    <n v="0"/>
    <n v="797742"/>
    <n v="582187.5"/>
    <n v="0"/>
    <n v="0"/>
    <n v="34"/>
    <n v="797742"/>
    <n v="1575420.1680672269"/>
    <n v="40"/>
    <n v="-4"/>
    <n v="0"/>
    <n v="0"/>
    <n v="0"/>
    <n v="0"/>
    <n v="-93150"/>
    <n v="0"/>
    <n v="0"/>
    <n v="0"/>
    <n v="9"/>
    <n v="211167"/>
    <n v="0"/>
    <n v="80"/>
    <n v="0"/>
    <n v="0"/>
    <n v="150"/>
    <n v="150"/>
    <n v="0"/>
    <n v="0"/>
    <n v="0"/>
    <n v="0"/>
    <n v="3493125"/>
    <n v="0"/>
    <n v="0"/>
    <n v="0"/>
    <n v="0"/>
    <n v="80"/>
    <n v="0"/>
    <n v="80"/>
    <n v="0"/>
    <n v="0"/>
    <n v="150"/>
    <n v="0"/>
    <n v="1863000"/>
    <n v="0"/>
    <n v="3493125"/>
    <n v="150"/>
    <n v="3493125"/>
    <n v="0"/>
    <n v="100"/>
    <n v="70"/>
    <n v="100"/>
    <n v="75"/>
    <n v="75"/>
    <n v="1630125"/>
    <n v="2328750"/>
    <n v="1746562.5"/>
    <n v="1746562.5"/>
    <n v="145"/>
    <n v="3376687.5"/>
    <n v="6301680.6722689075"/>
    <n v="48"/>
    <n v="45"/>
    <n v="48"/>
    <n v="0"/>
    <m/>
    <n v="1047937.5"/>
    <n v="1126224"/>
    <n v="0"/>
    <n v="45"/>
    <n v="1047937.5"/>
    <n v="3024806.7226890759"/>
  </r>
  <r>
    <s v="Levo-Telones y Proyectores"/>
    <x v="3"/>
    <x v="13"/>
    <x v="31"/>
    <s v="LVTELELE-60"/>
    <x v="124"/>
    <x v="121"/>
    <x v="0"/>
    <x v="0"/>
    <n v="1"/>
    <x v="86"/>
    <n v="7"/>
    <m/>
    <n v="0"/>
    <n v="19752"/>
    <n v="138264"/>
    <n v="18.5"/>
    <n v="20211.25"/>
    <n v="42008.403361344543"/>
    <n v="40327.731092436974"/>
    <s v="Shenzhen"/>
    <x v="2"/>
    <n v="30"/>
    <m/>
    <n v="100"/>
    <n v="0"/>
    <s v=""/>
    <n v="0"/>
    <s v=""/>
    <n v="3"/>
    <n v="0.6079723105032232"/>
    <n v="5"/>
    <n v="0.57834134864892917"/>
    <n v="9"/>
    <n v="0.58850416950500262"/>
    <n v="19"/>
    <n v="0.56700371630983937"/>
    <n v="8"/>
    <n v="0.56607827339534655"/>
    <n v="20"/>
    <n v="0.50588813685464185"/>
    <n v="27"/>
    <n v="0.51158800659452619"/>
    <n v="47"/>
    <n v="0.47867487118942054"/>
    <n v="33"/>
    <n v="0.47860259088649038"/>
    <n v="77"/>
    <n v="0.49344606366925958"/>
    <n v="17"/>
    <n v="0.49142200176789264"/>
    <n v="19"/>
    <n v="0.40336355928132817"/>
    <n v="12"/>
    <n v="0.47875384027926776"/>
    <n v="23"/>
    <n v="0.52482994559812102"/>
    <n v="1.1499999999999999"/>
    <n v="18"/>
    <n v="0.58082008711715205"/>
    <n v="0.9"/>
    <n v="19"/>
    <n v="0.4564105729083483"/>
    <n v="0.54285714285714282"/>
    <n v="18"/>
    <n v="0.51192607011535729"/>
    <n v="0.9"/>
    <n v="35"/>
    <n v="0.37363096193468748"/>
    <n v="1.75"/>
    <n v="11"/>
    <n v="0.26265678853821711"/>
    <n v="1.1000000000000001"/>
    <m/>
    <m/>
    <m/>
    <m/>
    <m/>
    <m/>
    <m/>
    <m/>
    <m/>
    <n v="30"/>
    <n v="47"/>
    <n v="25"/>
    <n v="0"/>
    <m/>
    <n v="0"/>
    <n v="1293756"/>
    <n v="899932.5"/>
    <n v="493800"/>
    <n v="0"/>
    <n v="7"/>
    <n v="138264"/>
    <n v="882529.48238118785"/>
    <n v="22"/>
    <n v="32"/>
    <n v="28.5"/>
    <n v="0"/>
    <m/>
    <n v="0"/>
    <n v="1254252"/>
    <n v="612720"/>
    <n v="562932"/>
    <n v="0"/>
    <n v="7"/>
    <n v="138264"/>
    <n v="1006083.6099145542"/>
    <n v="30"/>
    <n v="20"/>
    <n v="12"/>
    <n v="0"/>
    <n v="0"/>
    <n v="1074270"/>
    <n v="395040"/>
    <n v="237024"/>
    <n v="0"/>
    <n v="7"/>
    <n v="138264"/>
    <n v="504100.84033613454"/>
    <n v="20"/>
    <n v="53"/>
    <n v="23"/>
    <n v="60"/>
    <n v="0"/>
    <n v="1014817.5"/>
    <n v="454296"/>
    <x v="41"/>
    <x v="0"/>
    <n v="7"/>
    <n v="138264"/>
    <n v="966193.27731092449"/>
    <n v="20"/>
    <n v="25"/>
    <n v="20"/>
    <m/>
    <n v="0"/>
    <n v="0"/>
    <n v="493800"/>
    <n v="382950"/>
    <x v="0"/>
    <n v="0"/>
    <n v="7"/>
    <n v="138264"/>
    <n v="840168.06722689082"/>
    <n v="35"/>
    <n v="26"/>
    <n v="19"/>
    <m/>
    <n v="0"/>
    <n v="0"/>
    <n v="513552"/>
    <n v="363802.5"/>
    <n v="0"/>
    <n v="0"/>
    <n v="26"/>
    <n v="138264"/>
    <n v="798159.66386554635"/>
    <n v="20"/>
    <n v="25"/>
    <n v="18"/>
    <n v="40"/>
    <n v="40"/>
    <n v="0"/>
    <n v="493800"/>
    <n v="344655"/>
    <n v="740370"/>
    <n v="0"/>
    <n v="25"/>
    <n v="138264"/>
    <n v="756151.26050420175"/>
    <n v="20"/>
    <n v="42"/>
    <n v="36"/>
    <n v="35"/>
    <n v="35"/>
    <n v="0"/>
    <n v="829584"/>
    <n v="689310"/>
    <n v="670162.5"/>
    <n v="0"/>
    <n v="42"/>
    <n v="829584"/>
    <n v="1512302.5210084035"/>
    <n v="10"/>
    <n v="18"/>
    <n v="16.5"/>
    <n v="0"/>
    <n v="0"/>
    <n v="0"/>
    <n v="344655"/>
    <n v="315933.75"/>
    <n v="0"/>
    <n v="0"/>
    <n v="7"/>
    <n v="138264"/>
    <n v="693138.65546218492"/>
    <n v="35"/>
    <n v="1.5"/>
    <n v="1.5"/>
    <n v="0"/>
    <n v="0"/>
    <n v="0"/>
    <n v="0"/>
    <n v="28721.25"/>
    <n v="28721.25"/>
    <n v="0"/>
    <n v="0"/>
    <n v="1.5"/>
    <n v="28721.25"/>
    <n v="60491.596638655465"/>
    <n v="30"/>
    <n v="0"/>
    <n v="0"/>
    <m/>
    <n v="0"/>
    <n v="0"/>
    <n v="0"/>
    <n v="0"/>
    <n v="0"/>
    <n v="0"/>
    <n v="0"/>
    <n v="0"/>
    <n v="0"/>
    <n v="40"/>
    <n v="0"/>
    <n v="40"/>
    <n v="50"/>
    <n v="50"/>
    <n v="0"/>
    <n v="765900"/>
    <n v="957375"/>
    <n v="957375"/>
    <n v="50"/>
    <n v="957375"/>
    <n v="1680336.1344537816"/>
    <n v="18"/>
    <n v="10"/>
    <n v="18"/>
    <n v="0"/>
    <m/>
    <n v="191475"/>
    <n v="355536"/>
    <n v="0"/>
    <n v="10"/>
    <n v="191475"/>
    <n v="756151.26050420175"/>
  </r>
  <r>
    <s v="Levo-Telones y Proyectores"/>
    <x v="3"/>
    <x v="13"/>
    <x v="31"/>
    <s v="LVTELELE-80"/>
    <x v="125"/>
    <x v="122"/>
    <x v="0"/>
    <x v="1"/>
    <n v="1"/>
    <x v="87"/>
    <n v="6"/>
    <m/>
    <n v="0"/>
    <n v="21626"/>
    <n v="129756"/>
    <n v="21"/>
    <n v="22942.5"/>
    <n v="54613.445378151264"/>
    <n v="50411.764705882357"/>
    <s v="Shenzhen"/>
    <x v="2"/>
    <n v="30"/>
    <m/>
    <n v="100"/>
    <n v="0"/>
    <s v=""/>
    <n v="0"/>
    <s v=""/>
    <n v="3"/>
    <n v="0.65430254288362288"/>
    <n v="10"/>
    <n v="0.59481550954506601"/>
    <n v="12"/>
    <n v="0.63281699147319814"/>
    <n v="49"/>
    <n v="0.57900988780011253"/>
    <n v="19"/>
    <n v="0.59742261333603586"/>
    <n v="32"/>
    <n v="0.59379906785858372"/>
    <n v="19"/>
    <n v="0.5902113960242239"/>
    <n v="35"/>
    <n v="0.58170257014326687"/>
    <n v="34"/>
    <n v="0.57802553194238548"/>
    <n v="46"/>
    <n v="0.59581946991640766"/>
    <n v="27"/>
    <n v="0.53431389374148885"/>
    <n v="23"/>
    <n v="0.49084281892204762"/>
    <n v="29"/>
    <n v="0.55174453811867008"/>
    <n v="24"/>
    <n v="0.52874076765008127"/>
    <n v="1.2"/>
    <n v="25"/>
    <n v="0.60404505459724633"/>
    <n v="1"/>
    <n v="77"/>
    <n v="0.3939677558275021"/>
    <n v="1.54"/>
    <n v="50"/>
    <n v="0.56299279496296506"/>
    <n v="1.25"/>
    <n v="1"/>
    <n v="0.47510063556706716"/>
    <n v="0.05"/>
    <n v="-1"/>
    <s v=""/>
    <n v="-0.05"/>
    <m/>
    <m/>
    <m/>
    <m/>
    <m/>
    <m/>
    <m/>
    <m/>
    <m/>
    <n v="30"/>
    <n v="34"/>
    <n v="30"/>
    <n v="75"/>
    <n v="75"/>
    <n v="0"/>
    <n v="2022031"/>
    <n v="738990"/>
    <n v="648780"/>
    <n v="0"/>
    <n v="6"/>
    <n v="129756"/>
    <n v="1376809.5473483512"/>
    <n v="30"/>
    <n v="87"/>
    <n v="34.5"/>
    <n v="0"/>
    <m/>
    <n v="0"/>
    <n v="1892275"/>
    <n v="1890945"/>
    <n v="746097"/>
    <n v="0"/>
    <n v="6"/>
    <n v="129756"/>
    <n v="1583330.9794506039"/>
    <n v="40"/>
    <n v="66"/>
    <n v="29"/>
    <n v="0"/>
    <n v="0"/>
    <n v="1689553"/>
    <n v="1427316"/>
    <n v="627154"/>
    <n v="0"/>
    <n v="6"/>
    <n v="129756"/>
    <n v="1583789.9159663867"/>
    <n v="20"/>
    <n v="94"/>
    <n v="24"/>
    <n v="90"/>
    <n v="0"/>
    <n v="2043090"/>
    <n v="519024"/>
    <x v="42"/>
    <x v="0"/>
    <n v="6"/>
    <n v="129756"/>
    <n v="1310722.6890756304"/>
    <n v="25"/>
    <n v="31"/>
    <n v="25"/>
    <n v="30"/>
    <n v="30"/>
    <n v="0"/>
    <n v="670406"/>
    <n v="543375"/>
    <x v="22"/>
    <n v="0"/>
    <n v="6"/>
    <n v="129756"/>
    <n v="1365336.1344537816"/>
    <n v="50"/>
    <n v="83"/>
    <n v="77"/>
    <m/>
    <n v="30"/>
    <n v="0"/>
    <n v="1794958"/>
    <n v="1673595"/>
    <n v="0"/>
    <n v="0"/>
    <n v="83"/>
    <n v="129756"/>
    <n v="4205235.2941176472"/>
    <n v="40"/>
    <n v="56"/>
    <n v="50"/>
    <n v="60"/>
    <n v="60"/>
    <n v="0"/>
    <n v="1211056"/>
    <n v="1086750"/>
    <n v="1260630"/>
    <n v="0"/>
    <n v="56"/>
    <n v="129756"/>
    <n v="2730672.2689075633"/>
    <n v="20"/>
    <n v="7"/>
    <n v="1"/>
    <n v="0"/>
    <n v="0"/>
    <n v="0"/>
    <n v="151382"/>
    <n v="21735"/>
    <n v="0"/>
    <n v="0"/>
    <n v="7"/>
    <n v="151382"/>
    <n v="54613.445378151264"/>
    <n v="20"/>
    <n v="5"/>
    <n v="0"/>
    <n v="0"/>
    <n v="0"/>
    <n v="0"/>
    <n v="108675"/>
    <n v="0"/>
    <n v="0"/>
    <n v="0"/>
    <n v="6"/>
    <n v="129756"/>
    <n v="0"/>
    <n v="40"/>
    <n v="5"/>
    <n v="5"/>
    <n v="75"/>
    <n v="75"/>
    <n v="0"/>
    <n v="0"/>
    <n v="108675"/>
    <n v="108675"/>
    <n v="1630125"/>
    <n v="0"/>
    <n v="5"/>
    <n v="108675"/>
    <n v="252058.82352941178"/>
    <n v="30"/>
    <n v="0"/>
    <n v="30"/>
    <m/>
    <n v="0"/>
    <n v="75"/>
    <n v="0"/>
    <n v="652050"/>
    <n v="0"/>
    <n v="1630125"/>
    <n v="75"/>
    <n v="1630125"/>
    <n v="0"/>
    <n v="40"/>
    <n v="45"/>
    <n v="40"/>
    <n v="0"/>
    <n v="0"/>
    <n v="978075"/>
    <n v="869400"/>
    <n v="0"/>
    <n v="0"/>
    <n v="45"/>
    <n v="978075"/>
    <n v="2184537.8151260507"/>
    <n v="18"/>
    <n v="5"/>
    <n v="18"/>
    <n v="0"/>
    <m/>
    <n v="108675"/>
    <n v="389268"/>
    <n v="0"/>
    <n v="5"/>
    <n v="108675"/>
    <n v="983042.01680672274"/>
  </r>
  <r>
    <s v="Levo-Telones y Proyectores"/>
    <x v="3"/>
    <x v="13"/>
    <x v="31"/>
    <s v="LVTELRETR-100"/>
    <x v="126"/>
    <x v="123"/>
    <x v="0"/>
    <x v="0"/>
    <n v="1"/>
    <x v="88"/>
    <n v="3"/>
    <m/>
    <n v="0"/>
    <n v="91837"/>
    <n v="275511"/>
    <n v="96"/>
    <n v="104879.99999999999"/>
    <n v="210075.63025210085"/>
    <n v="193268.90756302522"/>
    <s v="Shenzhen"/>
    <x v="2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1"/>
    <s v=""/>
    <n v="3"/>
    <n v="0.40751759798642145"/>
    <n v="3"/>
    <n v="0.49576393495753807"/>
    <n v="3"/>
    <n v="0.43573280442020257"/>
    <n v="3"/>
    <n v="0.42339984766136052"/>
    <n v="1"/>
    <n v="0.37994688351516942"/>
    <n v="3"/>
    <n v="0.39950216617466422"/>
    <n v="3"/>
    <n v="0.44041850036310765"/>
    <n v="1"/>
    <n v="4"/>
    <n v="0.56339135370352855"/>
    <n v="1.3333333333333333"/>
    <n v="4"/>
    <n v="0.40798148164819631"/>
    <n v="0.8"/>
    <n v="10"/>
    <n v="0.52058807613747204"/>
    <n v="3.3333333333333335"/>
    <n v="-1"/>
    <n v="0.2601114053429075"/>
    <n v="-0.33333333333333331"/>
    <n v="0"/>
    <s v=""/>
    <n v="0"/>
    <m/>
    <m/>
    <m/>
    <m/>
    <m/>
    <m/>
    <m/>
    <m/>
    <m/>
    <n v="3"/>
    <n v="2"/>
    <n v="2"/>
    <n v="5"/>
    <n v="5"/>
    <n v="0"/>
    <n v="596940.5"/>
    <n v="198719.99999999997"/>
    <n v="183674"/>
    <n v="0"/>
    <n v="3"/>
    <n v="275511"/>
    <n v="353068.28613798466"/>
    <n v="3"/>
    <n v="6"/>
    <n v="1.5"/>
    <n v="0"/>
    <m/>
    <n v="0"/>
    <n v="688777.5"/>
    <n v="596159.99999999988"/>
    <n v="137755.5"/>
    <n v="0"/>
    <n v="3"/>
    <n v="275511"/>
    <n v="264801.21460348851"/>
    <n v="3"/>
    <n v="5"/>
    <n v="3"/>
    <n v="0"/>
    <n v="0"/>
    <n v="849102"/>
    <n v="459185"/>
    <n v="275511"/>
    <n v="0"/>
    <n v="3"/>
    <n v="275511"/>
    <n v="630226.89075630251"/>
    <n v="3"/>
    <n v="15"/>
    <n v="3"/>
    <n v="15"/>
    <n v="0"/>
    <n v="1490399.9999999998"/>
    <n v="275511"/>
    <x v="43"/>
    <x v="0"/>
    <n v="3"/>
    <n v="275511"/>
    <n v="630226.89075630251"/>
    <n v="3"/>
    <n v="7"/>
    <n v="3"/>
    <m/>
    <n v="0"/>
    <n v="0"/>
    <n v="642859"/>
    <n v="298079.99999999994"/>
    <x v="0"/>
    <n v="0"/>
    <n v="3"/>
    <n v="275511"/>
    <n v="630226.89075630251"/>
    <n v="5"/>
    <n v="7"/>
    <n v="4"/>
    <m/>
    <n v="0"/>
    <n v="0"/>
    <n v="642859"/>
    <n v="397439.99999999994"/>
    <n v="0"/>
    <n v="0"/>
    <n v="7"/>
    <n v="275511"/>
    <n v="840302.52100840339"/>
    <n v="3"/>
    <n v="13"/>
    <n v="10"/>
    <n v="5"/>
    <n v="5"/>
    <n v="0"/>
    <n v="1193881"/>
    <n v="993599.99999999988"/>
    <n v="480239.99999999994"/>
    <n v="0"/>
    <n v="13"/>
    <n v="275511"/>
    <n v="2100756.3025210085"/>
    <n v="3"/>
    <n v="2"/>
    <n v="-2"/>
    <n v="0"/>
    <n v="0"/>
    <n v="0"/>
    <n v="183674"/>
    <n v="-198719.99999999997"/>
    <n v="0"/>
    <n v="0"/>
    <n v="2"/>
    <n v="183674"/>
    <n v="-420151.26050420169"/>
    <n v="3"/>
    <n v="3"/>
    <n v="0"/>
    <n v="0"/>
    <n v="0"/>
    <n v="0"/>
    <n v="298079.99999999994"/>
    <n v="0"/>
    <n v="0"/>
    <n v="0"/>
    <n v="3"/>
    <n v="275511"/>
    <n v="0"/>
    <n v="3"/>
    <n v="3"/>
    <n v="3"/>
    <n v="0"/>
    <n v="0"/>
    <n v="0"/>
    <n v="0"/>
    <n v="298079.99999999994"/>
    <n v="298079.99999999994"/>
    <n v="0"/>
    <n v="0"/>
    <n v="3"/>
    <n v="298079.99999999994"/>
    <n v="579806.72268907563"/>
    <n v="3"/>
    <n v="0"/>
    <n v="0"/>
    <m/>
    <n v="0"/>
    <n v="0"/>
    <n v="0"/>
    <n v="0"/>
    <n v="0"/>
    <n v="0"/>
    <n v="0"/>
    <n v="0"/>
    <n v="0"/>
    <n v="3"/>
    <n v="0"/>
    <n v="3"/>
    <n v="3"/>
    <n v="3"/>
    <n v="0"/>
    <n v="298079.99999999994"/>
    <n v="298079.99999999994"/>
    <n v="298079.99999999994"/>
    <n v="3"/>
    <n v="298079.99999999994"/>
    <n v="630226.89075630251"/>
    <n v="1.7999999999999998"/>
    <n v="0"/>
    <n v="1.7999999999999998"/>
    <n v="0"/>
    <m/>
    <n v="0"/>
    <n v="165306.59999999998"/>
    <n v="0"/>
    <n v="0"/>
    <n v="0"/>
    <n v="378136.13445378147"/>
  </r>
  <r>
    <m/>
    <x v="4"/>
    <x v="14"/>
    <x v="32"/>
    <s v="LHCALBAJ"/>
    <x v="127"/>
    <x v="124"/>
    <x v="0"/>
    <x v="0"/>
    <n v="1"/>
    <x v="89"/>
    <n v="52"/>
    <m/>
    <n v="0"/>
    <n v="1319"/>
    <n v="68588"/>
    <n v="1.34"/>
    <n v="1463.9499999999998"/>
    <n v="5873.9495798319331"/>
    <n v="5033.6134453781515"/>
    <s v="Shenzhen"/>
    <x v="0"/>
    <n v="30"/>
    <m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7"/>
    <n v="0.5287064519614969"/>
    <n v="6"/>
    <n v="0.51136643685536654"/>
    <n v="6"/>
    <n v="0.76336706688620259"/>
    <n v="8"/>
    <n v="0.60119048658078167"/>
    <n v="1"/>
    <n v="2"/>
    <n v="0.7754577968526466"/>
    <n v="0.18181818181818182"/>
    <n v="6"/>
    <n v="0.37870378063980059"/>
    <n v="0.4"/>
    <n v="9"/>
    <n v="0.7754577968526466"/>
    <n v="1.5"/>
    <n v="4"/>
    <n v="0.54234051304094044"/>
    <n v="0.66666666666666663"/>
    <n v="1"/>
    <n v="0.7754577968526466"/>
    <n v="0.16666666666666666"/>
    <m/>
    <m/>
    <m/>
    <m/>
    <m/>
    <m/>
    <m/>
    <m/>
    <m/>
    <n v="5"/>
    <n v="100"/>
    <n v="5"/>
    <n v="0"/>
    <n v="0"/>
    <n v="0"/>
    <n v="26380"/>
    <n v="138690"/>
    <n v="6595"/>
    <n v="0"/>
    <n v="52"/>
    <n v="68588"/>
    <n v="24680.460419461906"/>
    <n v="6"/>
    <n v="93"/>
    <n v="9"/>
    <n v="0"/>
    <n v="0"/>
    <n v="0"/>
    <n v="30337"/>
    <n v="128981.69999999998"/>
    <n v="11871"/>
    <n v="0"/>
    <n v="52"/>
    <n v="68588"/>
    <n v="44424.828755031427"/>
    <n v="9"/>
    <n v="82"/>
    <n v="6"/>
    <n v="0"/>
    <n v="0"/>
    <n v="33721.899999999994"/>
    <n v="108158"/>
    <n v="7914"/>
    <n v="0"/>
    <n v="52"/>
    <n v="68588"/>
    <n v="35243.697478991598"/>
    <n v="8"/>
    <n v="80"/>
    <n v="8"/>
    <n v="0"/>
    <n v="0"/>
    <n v="110951.99999999999"/>
    <n v="10552"/>
    <x v="0"/>
    <x v="0"/>
    <n v="52"/>
    <n v="68588"/>
    <n v="46991.596638655465"/>
    <n v="11"/>
    <n v="54"/>
    <n v="11"/>
    <m/>
    <n v="0"/>
    <n v="0"/>
    <n v="71226"/>
    <n v="15255.899999999998"/>
    <x v="0"/>
    <n v="0"/>
    <n v="52"/>
    <n v="68588"/>
    <n v="64613.445378151264"/>
    <n v="15"/>
    <n v="58"/>
    <n v="6"/>
    <m/>
    <n v="0"/>
    <n v="0"/>
    <n v="76502"/>
    <n v="8321.4"/>
    <n v="0"/>
    <n v="0"/>
    <n v="58"/>
    <n v="68588"/>
    <n v="35243.697478991598"/>
    <n v="6"/>
    <n v="61"/>
    <n v="9"/>
    <n v="0"/>
    <n v="0"/>
    <n v="0"/>
    <n v="80459"/>
    <n v="12482.099999999999"/>
    <n v="0"/>
    <n v="0"/>
    <n v="61"/>
    <n v="68588"/>
    <n v="52865.546218487398"/>
    <n v="6"/>
    <n v="56"/>
    <n v="4"/>
    <n v="0"/>
    <n v="0"/>
    <n v="0"/>
    <n v="73864"/>
    <n v="5547.5999999999995"/>
    <n v="0"/>
    <n v="0"/>
    <n v="56"/>
    <n v="73864"/>
    <n v="23495.798319327732"/>
    <n v="6"/>
    <n v="53"/>
    <n v="1.5"/>
    <n v="0"/>
    <n v="0"/>
    <n v="0"/>
    <n v="73505.7"/>
    <n v="2080.35"/>
    <n v="0"/>
    <n v="0"/>
    <n v="52"/>
    <n v="68588"/>
    <n v="8810.9243697478996"/>
    <n v="12"/>
    <n v="51.5"/>
    <n v="12"/>
    <n v="0"/>
    <n v="0"/>
    <n v="0"/>
    <m/>
    <n v="71425.349999999991"/>
    <n v="16642.8"/>
    <n v="0"/>
    <n v="0"/>
    <n v="51.5"/>
    <n v="71425.349999999991"/>
    <n v="60403.361344537814"/>
    <n v="15"/>
    <n v="39.5"/>
    <n v="15"/>
    <m/>
    <n v="0"/>
    <n v="0"/>
    <n v="54782.549999999996"/>
    <n v="20803.499999999996"/>
    <n v="0"/>
    <n v="0"/>
    <n v="39.5"/>
    <n v="54782.549999999996"/>
    <n v="75504.201680672268"/>
    <n v="20"/>
    <n v="24.5"/>
    <n v="20"/>
    <n v="0"/>
    <n v="0"/>
    <n v="33979.049999999996"/>
    <n v="27737.999999999996"/>
    <n v="0"/>
    <n v="0"/>
    <n v="24.5"/>
    <n v="33979.049999999996"/>
    <n v="117478.99159663866"/>
    <n v="9"/>
    <n v="4.5"/>
    <n v="9"/>
    <n v="0"/>
    <m/>
    <n v="6241.0499999999993"/>
    <n v="11871"/>
    <n v="0"/>
    <n v="4.5"/>
    <n v="6241.0499999999993"/>
    <n v="52865.546218487398"/>
  </r>
  <r>
    <m/>
    <x v="4"/>
    <x v="14"/>
    <x v="32"/>
    <s v="LHCALBAJ"/>
    <x v="128"/>
    <x v="125"/>
    <x v="0"/>
    <x v="0"/>
    <n v="1"/>
    <x v="31"/>
    <n v="87"/>
    <m/>
    <n v="0"/>
    <n v="1319"/>
    <n v="114753"/>
    <n v="1.34"/>
    <n v="1463.9499999999998"/>
    <n v="5873.9495798319331"/>
    <n v="5033.6134453781515"/>
    <s v="Shenzhen"/>
    <x v="0"/>
    <n v="30"/>
    <m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77545113411950817"/>
    <n v="1"/>
    <n v="0.43244976841068189"/>
    <n v="7"/>
    <n v="0.39753480484233988"/>
    <n v="3"/>
    <n v="0.77545113411950817"/>
    <n v="0.375"/>
    <n v="0"/>
    <s v=""/>
    <n v="0"/>
    <n v="0"/>
    <s v=""/>
    <n v="0"/>
    <n v="0"/>
    <s v=""/>
    <n v="0"/>
    <n v="2"/>
    <n v="0.57168831199180281"/>
    <n v="0.33333333333333331"/>
    <n v="1"/>
    <n v="0.36941792986396338"/>
    <n v="0.16666666666666666"/>
    <m/>
    <m/>
    <m/>
    <m/>
    <m/>
    <m/>
    <m/>
    <m/>
    <m/>
    <n v="5"/>
    <n v="100"/>
    <n v="5"/>
    <n v="0"/>
    <n v="0"/>
    <n v="0"/>
    <n v="17806.5"/>
    <n v="138690"/>
    <n v="6595"/>
    <n v="0"/>
    <n v="87"/>
    <n v="114753"/>
    <n v="24680.460419461906"/>
    <n v="6"/>
    <n v="99"/>
    <n v="1.5"/>
    <n v="0"/>
    <n v="0"/>
    <n v="0"/>
    <n v="15168.5"/>
    <n v="137303.09999999998"/>
    <n v="1978.5"/>
    <n v="0"/>
    <n v="87"/>
    <n v="114753"/>
    <n v="7404.1381258385718"/>
    <n v="9"/>
    <n v="98"/>
    <n v="7"/>
    <n v="0"/>
    <n v="0"/>
    <n v="25672.1"/>
    <n v="129262"/>
    <n v="9233"/>
    <n v="0"/>
    <n v="87"/>
    <n v="114753"/>
    <n v="41117.647058823532"/>
    <n v="8"/>
    <n v="89"/>
    <n v="3"/>
    <n v="0"/>
    <n v="0"/>
    <n v="123434.09999999999"/>
    <n v="3957"/>
    <x v="0"/>
    <x v="0"/>
    <n v="87"/>
    <n v="114753"/>
    <n v="17621.848739495799"/>
    <n v="9"/>
    <n v="87"/>
    <n v="9"/>
    <m/>
    <n v="0"/>
    <n v="0"/>
    <n v="114753"/>
    <n v="12482.099999999999"/>
    <x v="0"/>
    <n v="0"/>
    <n v="87"/>
    <n v="114753"/>
    <n v="52865.546218487398"/>
    <n v="12"/>
    <n v="87"/>
    <n v="0"/>
    <m/>
    <n v="0"/>
    <n v="0"/>
    <n v="114753"/>
    <n v="0"/>
    <n v="0"/>
    <n v="0"/>
    <n v="87"/>
    <n v="114753"/>
    <n v="0"/>
    <n v="6"/>
    <n v="87"/>
    <n v="0"/>
    <n v="0"/>
    <n v="0"/>
    <n v="0"/>
    <n v="114753"/>
    <n v="0"/>
    <n v="0"/>
    <n v="0"/>
    <n v="87"/>
    <n v="114753"/>
    <n v="0"/>
    <n v="6"/>
    <n v="89"/>
    <n v="2"/>
    <n v="0"/>
    <n v="0"/>
    <n v="0"/>
    <n v="117391"/>
    <n v="2773.7999999999997"/>
    <n v="0"/>
    <n v="0"/>
    <n v="89"/>
    <n v="117391"/>
    <n v="11747.899159663866"/>
    <n v="6"/>
    <n v="88"/>
    <n v="1.5"/>
    <n v="0"/>
    <n v="0"/>
    <n v="0"/>
    <n v="122047.19999999998"/>
    <n v="2080.35"/>
    <n v="0"/>
    <n v="0"/>
    <n v="87"/>
    <n v="114753"/>
    <n v="8810.9243697478996"/>
    <n v="12"/>
    <n v="86.5"/>
    <n v="12"/>
    <n v="0"/>
    <n v="0"/>
    <n v="0"/>
    <m/>
    <n v="119966.84999999999"/>
    <n v="16642.8"/>
    <n v="0"/>
    <n v="0"/>
    <n v="86.5"/>
    <n v="119966.84999999999"/>
    <n v="60403.361344537814"/>
    <n v="15"/>
    <n v="74.5"/>
    <n v="15"/>
    <m/>
    <n v="0"/>
    <n v="0"/>
    <n v="103324.04999999999"/>
    <n v="20803.499999999996"/>
    <n v="0"/>
    <n v="0"/>
    <n v="74.5"/>
    <n v="103324.04999999999"/>
    <n v="75504.201680672268"/>
    <n v="20"/>
    <n v="59.5"/>
    <n v="20"/>
    <n v="0"/>
    <n v="0"/>
    <n v="82520.549999999988"/>
    <n v="27737.999999999996"/>
    <n v="0"/>
    <n v="0"/>
    <n v="59.5"/>
    <n v="82520.549999999988"/>
    <n v="117478.99159663866"/>
    <n v="9"/>
    <n v="39.5"/>
    <n v="9"/>
    <n v="0"/>
    <m/>
    <n v="54782.549999999996"/>
    <n v="11871"/>
    <n v="0"/>
    <n v="39.5"/>
    <n v="54782.549999999996"/>
    <n v="52865.546218487398"/>
  </r>
  <r>
    <m/>
    <x v="4"/>
    <x v="14"/>
    <x v="32"/>
    <s v="LHCALBAJ"/>
    <x v="129"/>
    <x v="126"/>
    <x v="0"/>
    <x v="0"/>
    <n v="1"/>
    <x v="90"/>
    <n v="85"/>
    <m/>
    <n v="0"/>
    <n v="1319"/>
    <n v="112115"/>
    <n v="1.34"/>
    <n v="1463.9499999999998"/>
    <n v="5873.9495798319331"/>
    <n v="5033.6134453781515"/>
    <s v="Shenzhen"/>
    <x v="0"/>
    <n v="30"/>
    <m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54196439184076028"/>
    <n v="1"/>
    <n v="0.54526713365232693"/>
    <n v="2"/>
    <n v="0.73919893241959156"/>
    <n v="4"/>
    <n v="0.77545113411950817"/>
    <n v="0.5"/>
    <n v="1"/>
    <s v=""/>
    <n v="0.1111111111111111"/>
    <n v="2"/>
    <n v="0.3978255425709516"/>
    <n v="0.16666666666666666"/>
    <n v="4"/>
    <n v="0.76714391691394657"/>
    <n v="0.66666666666666663"/>
    <n v="0"/>
    <s v=""/>
    <n v="0"/>
    <n v="1"/>
    <n v="0.60039755145236762"/>
    <n v="0.16666666666666666"/>
    <m/>
    <m/>
    <m/>
    <m/>
    <m/>
    <m/>
    <m/>
    <m/>
    <m/>
    <n v="5"/>
    <n v="100"/>
    <n v="5"/>
    <n v="0"/>
    <n v="0"/>
    <n v="0"/>
    <n v="11211.5"/>
    <n v="138690"/>
    <n v="6595"/>
    <n v="0"/>
    <n v="85"/>
    <n v="112115"/>
    <n v="24680.460419461906"/>
    <n v="6"/>
    <n v="97"/>
    <n v="1.5"/>
    <n v="0"/>
    <n v="0"/>
    <n v="0"/>
    <n v="9892.5"/>
    <n v="134529.29999999999"/>
    <n v="1978.5"/>
    <n v="0"/>
    <n v="85"/>
    <n v="112115"/>
    <n v="7404.1381258385718"/>
    <n v="9"/>
    <n v="96"/>
    <n v="2"/>
    <n v="0"/>
    <n v="0"/>
    <n v="20396.099999999999"/>
    <n v="126624"/>
    <n v="2638"/>
    <n v="0"/>
    <n v="85"/>
    <n v="112115"/>
    <n v="11747.899159663866"/>
    <n v="8"/>
    <n v="92"/>
    <n v="4"/>
    <n v="0"/>
    <n v="0"/>
    <n v="127594.79999999999"/>
    <n v="5276"/>
    <x v="0"/>
    <x v="0"/>
    <n v="85"/>
    <n v="112115"/>
    <n v="23495.798319327732"/>
    <n v="9"/>
    <n v="86"/>
    <n v="9"/>
    <m/>
    <n v="0"/>
    <n v="0"/>
    <n v="113434"/>
    <n v="12482.099999999999"/>
    <x v="0"/>
    <n v="0"/>
    <n v="85"/>
    <n v="112115"/>
    <n v="52865.546218487398"/>
    <n v="12"/>
    <n v="87"/>
    <n v="2"/>
    <m/>
    <n v="0"/>
    <n v="0"/>
    <n v="114753"/>
    <n v="2773.7999999999997"/>
    <n v="0"/>
    <n v="0"/>
    <n v="87"/>
    <n v="112115"/>
    <n v="11747.899159663866"/>
    <n v="6"/>
    <n v="89"/>
    <n v="4"/>
    <n v="0"/>
    <n v="0"/>
    <n v="0"/>
    <n v="117391"/>
    <n v="5547.5999999999995"/>
    <n v="0"/>
    <n v="0"/>
    <n v="89"/>
    <n v="112115"/>
    <n v="23495.798319327732"/>
    <n v="6"/>
    <n v="85"/>
    <n v="0"/>
    <n v="0"/>
    <n v="0"/>
    <n v="0"/>
    <n v="112115"/>
    <n v="0"/>
    <n v="0"/>
    <n v="0"/>
    <n v="85"/>
    <n v="112115"/>
    <n v="0"/>
    <n v="6"/>
    <n v="86"/>
    <n v="0"/>
    <n v="0"/>
    <n v="0"/>
    <n v="0"/>
    <n v="119273.4"/>
    <n v="0"/>
    <n v="0"/>
    <n v="0"/>
    <n v="85"/>
    <n v="112115"/>
    <n v="0"/>
    <n v="12"/>
    <n v="86"/>
    <n v="12"/>
    <n v="0"/>
    <n v="0"/>
    <n v="0"/>
    <m/>
    <n v="119273.4"/>
    <n v="16642.8"/>
    <n v="0"/>
    <n v="0"/>
    <n v="86"/>
    <n v="119273.4"/>
    <n v="60403.361344537814"/>
    <n v="15"/>
    <n v="74"/>
    <n v="15"/>
    <m/>
    <n v="0"/>
    <n v="0"/>
    <n v="102630.59999999999"/>
    <n v="20803.499999999996"/>
    <n v="0"/>
    <n v="0"/>
    <n v="74"/>
    <n v="102630.59999999999"/>
    <n v="75504.201680672268"/>
    <n v="20"/>
    <n v="59"/>
    <n v="20"/>
    <n v="0"/>
    <n v="0"/>
    <n v="81827.099999999991"/>
    <n v="27737.999999999996"/>
    <n v="0"/>
    <n v="0"/>
    <n v="59"/>
    <n v="81827.099999999991"/>
    <n v="117478.99159663866"/>
    <n v="9"/>
    <n v="39"/>
    <n v="9"/>
    <n v="0"/>
    <m/>
    <n v="54089.099999999991"/>
    <n v="11871"/>
    <n v="0"/>
    <n v="39"/>
    <n v="54089.099999999991"/>
    <n v="52865.546218487398"/>
  </r>
  <r>
    <s v="Lhotse-Accesorio Vestuario"/>
    <x v="4"/>
    <x v="14"/>
    <x v="32"/>
    <s v="LHCALBAJ"/>
    <x v="130"/>
    <x v="127"/>
    <x v="0"/>
    <x v="0"/>
    <n v="1"/>
    <x v="91"/>
    <n v="75"/>
    <m/>
    <n v="0"/>
    <n v="1319"/>
    <n v="98925"/>
    <n v="1.34"/>
    <n v="1463.9499999999998"/>
    <n v="5873.9495798319331"/>
    <n v="5033.6134453781515"/>
    <s v="Shenzhen"/>
    <x v="0"/>
    <n v="30"/>
    <m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4"/>
    <n v="0.53575793016698459"/>
    <n v="5"/>
    <n v="0.61322963617491721"/>
    <n v="6"/>
    <n v="0.52288105894997128"/>
    <n v="0.75"/>
    <n v="0"/>
    <s v=""/>
    <n v="0"/>
    <n v="4"/>
    <n v="0.63288538873994638"/>
    <n v="0.30769230769230771"/>
    <n v="3"/>
    <n v="0.7754577968526466"/>
    <n v="0.5"/>
    <n v="3"/>
    <n v="0.50263033629752096"/>
    <n v="0.5"/>
    <n v="0"/>
    <s v=""/>
    <n v="0"/>
    <m/>
    <m/>
    <m/>
    <m/>
    <m/>
    <m/>
    <m/>
    <m/>
    <m/>
    <n v="5"/>
    <n v="100"/>
    <n v="5"/>
    <n v="0"/>
    <n v="0"/>
    <n v="0"/>
    <n v="21104"/>
    <n v="138690"/>
    <n v="6595"/>
    <n v="0"/>
    <n v="75"/>
    <n v="98925"/>
    <n v="24680.460419461906"/>
    <n v="6"/>
    <n v="99"/>
    <n v="6"/>
    <n v="0"/>
    <n v="0"/>
    <n v="0"/>
    <n v="22423"/>
    <n v="137303.09999999998"/>
    <n v="7914"/>
    <n v="0"/>
    <n v="75"/>
    <n v="98925"/>
    <n v="29616.552503354287"/>
    <n v="9"/>
    <n v="95"/>
    <n v="5"/>
    <n v="0"/>
    <n v="0"/>
    <n v="28378"/>
    <n v="125305"/>
    <n v="6595"/>
    <n v="0"/>
    <n v="75"/>
    <n v="98925"/>
    <n v="29369.747899159665"/>
    <n v="8"/>
    <n v="88"/>
    <n v="6"/>
    <n v="0"/>
    <n v="0"/>
    <n v="122047.19999999998"/>
    <n v="7914"/>
    <x v="0"/>
    <x v="0"/>
    <n v="75"/>
    <n v="98925"/>
    <n v="35243.697478991598"/>
    <n v="10"/>
    <n v="75"/>
    <n v="10"/>
    <m/>
    <n v="0"/>
    <n v="0"/>
    <n v="98925"/>
    <n v="13868.999999999998"/>
    <x v="0"/>
    <n v="0"/>
    <n v="75"/>
    <n v="98925"/>
    <n v="58739.495798319331"/>
    <n v="13"/>
    <n v="79"/>
    <n v="4"/>
    <m/>
    <n v="0"/>
    <n v="0"/>
    <n v="104201"/>
    <n v="5547.5999999999995"/>
    <n v="0"/>
    <n v="0"/>
    <n v="79"/>
    <n v="98925"/>
    <n v="23495.798319327732"/>
    <n v="6"/>
    <n v="78"/>
    <n v="3"/>
    <n v="0"/>
    <n v="0"/>
    <n v="0"/>
    <n v="102882"/>
    <n v="4160.7"/>
    <n v="0"/>
    <n v="0"/>
    <n v="78"/>
    <n v="98925"/>
    <n v="17621.848739495799"/>
    <n v="6"/>
    <n v="78"/>
    <n v="3"/>
    <n v="0"/>
    <n v="0"/>
    <n v="0"/>
    <n v="102882"/>
    <n v="4160.7"/>
    <n v="0"/>
    <n v="0"/>
    <n v="78"/>
    <n v="102882"/>
    <n v="17621.848739495799"/>
    <n v="6"/>
    <n v="75"/>
    <n v="0"/>
    <n v="0"/>
    <n v="0"/>
    <n v="0"/>
    <n v="104017.49999999999"/>
    <n v="0"/>
    <n v="0"/>
    <n v="0"/>
    <n v="75"/>
    <n v="98925"/>
    <n v="0"/>
    <n v="12"/>
    <n v="75"/>
    <n v="12"/>
    <n v="0"/>
    <n v="0"/>
    <n v="0"/>
    <m/>
    <n v="104017.49999999999"/>
    <n v="16642.8"/>
    <n v="0"/>
    <n v="0"/>
    <n v="75"/>
    <n v="104017.49999999999"/>
    <n v="60403.361344537814"/>
    <n v="15"/>
    <n v="63"/>
    <n v="15"/>
    <m/>
    <n v="0"/>
    <n v="0"/>
    <n v="87374.7"/>
    <n v="20803.499999999996"/>
    <n v="0"/>
    <n v="0"/>
    <n v="63"/>
    <n v="87374.7"/>
    <n v="75504.201680672268"/>
    <n v="20"/>
    <n v="48"/>
    <n v="20"/>
    <n v="0"/>
    <n v="0"/>
    <n v="66571.199999999997"/>
    <n v="27737.999999999996"/>
    <n v="0"/>
    <n v="0"/>
    <n v="48"/>
    <n v="66571.199999999997"/>
    <n v="117478.99159663866"/>
    <n v="9"/>
    <n v="28"/>
    <n v="9"/>
    <n v="0"/>
    <m/>
    <n v="38833.199999999997"/>
    <n v="11871"/>
    <n v="0"/>
    <n v="28"/>
    <n v="38833.199999999997"/>
    <n v="52865.546218487398"/>
  </r>
  <r>
    <s v="Lhotse-Accesorio Vestuario"/>
    <x v="4"/>
    <x v="14"/>
    <x v="32"/>
    <s v="LHCALBAJ"/>
    <x v="131"/>
    <x v="128"/>
    <x v="0"/>
    <x v="0"/>
    <n v="1"/>
    <x v="31"/>
    <n v="82"/>
    <m/>
    <n v="0"/>
    <n v="1319"/>
    <n v="108158"/>
    <n v="1.34"/>
    <n v="1463.9499999999998"/>
    <n v="5873.9495798319331"/>
    <n v="5033.6134453781515"/>
    <s v="Shenzhen"/>
    <x v="0"/>
    <n v="30"/>
    <m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63418257914162346"/>
    <n v="2"/>
    <n v="0.26770054731005105"/>
    <n v="2"/>
    <n v="0.73919893241959156"/>
    <n v="3"/>
    <n v="0.52953049576606503"/>
    <n v="0.375"/>
    <n v="1"/>
    <s v=""/>
    <n v="0.1"/>
    <n v="0"/>
    <s v=""/>
    <n v="0"/>
    <n v="0"/>
    <s v=""/>
    <n v="0"/>
    <n v="0"/>
    <s v=""/>
    <n v="0"/>
    <n v="1"/>
    <n v="0.7754577968526466"/>
    <n v="0.16666666666666666"/>
    <m/>
    <m/>
    <m/>
    <m/>
    <m/>
    <m/>
    <m/>
    <m/>
    <m/>
    <n v="5"/>
    <n v="100"/>
    <n v="5"/>
    <n v="0"/>
    <n v="0"/>
    <n v="0"/>
    <n v="13190"/>
    <n v="138690"/>
    <n v="6595"/>
    <n v="0"/>
    <n v="82"/>
    <n v="108158"/>
    <n v="24680.460419461906"/>
    <n v="6"/>
    <n v="93"/>
    <n v="3"/>
    <n v="0"/>
    <n v="0"/>
    <n v="0"/>
    <n v="10552"/>
    <n v="128981.69999999998"/>
    <n v="3957"/>
    <n v="0"/>
    <n v="82"/>
    <n v="108158"/>
    <n v="14808.276251677144"/>
    <n v="9"/>
    <n v="91"/>
    <n v="2"/>
    <n v="0"/>
    <n v="0"/>
    <n v="20464"/>
    <n v="120029"/>
    <n v="2638"/>
    <n v="0"/>
    <n v="82"/>
    <n v="108158"/>
    <n v="11747.899159663866"/>
    <n v="8"/>
    <n v="87"/>
    <n v="3"/>
    <n v="0"/>
    <n v="0"/>
    <n v="120660.29999999999"/>
    <n v="3957"/>
    <x v="0"/>
    <x v="0"/>
    <n v="82"/>
    <n v="108158"/>
    <n v="17621.848739495799"/>
    <n v="10"/>
    <n v="83"/>
    <n v="10"/>
    <m/>
    <n v="0"/>
    <n v="0"/>
    <n v="109477"/>
    <n v="13868.999999999998"/>
    <x v="0"/>
    <n v="0"/>
    <n v="82"/>
    <n v="108158"/>
    <n v="58739.495798319331"/>
    <n v="14"/>
    <n v="82"/>
    <n v="0"/>
    <m/>
    <n v="0"/>
    <n v="0"/>
    <n v="108158"/>
    <n v="0"/>
    <n v="0"/>
    <n v="0"/>
    <n v="82"/>
    <n v="108158"/>
    <n v="0"/>
    <n v="6"/>
    <n v="82"/>
    <n v="0"/>
    <n v="0"/>
    <n v="0"/>
    <n v="0"/>
    <n v="108158"/>
    <n v="0"/>
    <n v="0"/>
    <n v="0"/>
    <n v="82"/>
    <n v="108158"/>
    <n v="0"/>
    <n v="6"/>
    <n v="82"/>
    <n v="0"/>
    <n v="0"/>
    <n v="0"/>
    <n v="0"/>
    <n v="108158"/>
    <n v="0"/>
    <n v="0"/>
    <n v="0"/>
    <n v="82"/>
    <n v="108158"/>
    <n v="0"/>
    <n v="6"/>
    <n v="83"/>
    <n v="0"/>
    <n v="0"/>
    <n v="0"/>
    <n v="0"/>
    <n v="115112.69999999998"/>
    <n v="0"/>
    <n v="0"/>
    <n v="0"/>
    <n v="82"/>
    <n v="108158"/>
    <n v="0"/>
    <n v="12"/>
    <n v="83"/>
    <n v="12"/>
    <n v="0"/>
    <n v="0"/>
    <n v="0"/>
    <m/>
    <n v="115112.69999999998"/>
    <n v="16642.8"/>
    <n v="0"/>
    <n v="0"/>
    <n v="83"/>
    <n v="115112.69999999998"/>
    <n v="60403.361344537814"/>
    <n v="15"/>
    <n v="71"/>
    <n v="15"/>
    <m/>
    <n v="0"/>
    <n v="0"/>
    <n v="98469.9"/>
    <n v="20803.499999999996"/>
    <n v="0"/>
    <n v="0"/>
    <n v="71"/>
    <n v="98469.9"/>
    <n v="75504.201680672268"/>
    <n v="20"/>
    <n v="56"/>
    <n v="20"/>
    <n v="0"/>
    <n v="0"/>
    <n v="77666.399999999994"/>
    <n v="27737.999999999996"/>
    <n v="0"/>
    <n v="0"/>
    <n v="56"/>
    <n v="77666.399999999994"/>
    <n v="117478.99159663866"/>
    <n v="9"/>
    <n v="36"/>
    <n v="9"/>
    <n v="0"/>
    <m/>
    <n v="49928.399999999994"/>
    <n v="11871"/>
    <n v="0"/>
    <n v="36"/>
    <n v="49928.399999999994"/>
    <n v="52865.546218487398"/>
  </r>
  <r>
    <m/>
    <x v="4"/>
    <x v="14"/>
    <x v="32"/>
    <s v="LHCALBAJ"/>
    <x v="132"/>
    <x v="129"/>
    <x v="0"/>
    <x v="0"/>
    <n v="1"/>
    <x v="92"/>
    <n v="82"/>
    <m/>
    <n v="0"/>
    <n v="1319"/>
    <n v="108158"/>
    <n v="1.34"/>
    <n v="1463.9499999999998"/>
    <n v="5873.9495798319331"/>
    <n v="5033.6134453781515"/>
    <s v="Shenzhen"/>
    <x v="0"/>
    <n v="30"/>
    <m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7"/>
    <n v="0.39753480484233988"/>
    <n v="3"/>
    <n v="0.63244807096684363"/>
    <n v="0.375"/>
    <n v="2"/>
    <n v="0.47599999999999998"/>
    <n v="0.14285714285714285"/>
    <n v="1"/>
    <n v="0.6505121353818748"/>
    <n v="5.5555555555555552E-2"/>
    <n v="0"/>
    <s v=""/>
    <n v="0"/>
    <n v="5"/>
    <n v="0.44963061879253735"/>
    <n v="0.83333333333333337"/>
    <n v="1"/>
    <n v="0.53096566523605138"/>
    <n v="0.16666666666666666"/>
    <m/>
    <m/>
    <m/>
    <m/>
    <m/>
    <m/>
    <m/>
    <m/>
    <m/>
    <n v="5"/>
    <n v="100"/>
    <n v="5"/>
    <n v="0"/>
    <n v="0"/>
    <n v="0"/>
    <n v="15828"/>
    <n v="138690"/>
    <n v="6595"/>
    <n v="0"/>
    <n v="82"/>
    <n v="108158"/>
    <n v="24680.460419461906"/>
    <n v="6"/>
    <n v="100"/>
    <n v="0"/>
    <n v="0"/>
    <n v="0"/>
    <n v="0"/>
    <n v="13190"/>
    <n v="138690"/>
    <n v="0"/>
    <n v="0"/>
    <n v="82"/>
    <n v="108158"/>
    <n v="0"/>
    <n v="9"/>
    <n v="100"/>
    <n v="7"/>
    <n v="0"/>
    <n v="0"/>
    <n v="32606.6"/>
    <n v="131900"/>
    <n v="9233"/>
    <n v="0"/>
    <n v="82"/>
    <n v="108158"/>
    <n v="41117.647058823532"/>
    <n v="8"/>
    <n v="91"/>
    <n v="3"/>
    <n v="0"/>
    <n v="0"/>
    <n v="126207.9"/>
    <n v="3957"/>
    <x v="0"/>
    <x v="0"/>
    <n v="82"/>
    <n v="108158"/>
    <n v="17621.848739495799"/>
    <n v="14"/>
    <n v="84"/>
    <n v="14"/>
    <m/>
    <n v="0"/>
    <n v="0"/>
    <n v="110796"/>
    <n v="19416.599999999999"/>
    <x v="0"/>
    <n v="0"/>
    <n v="82"/>
    <n v="108158"/>
    <n v="82235.294117647063"/>
    <n v="18"/>
    <n v="83"/>
    <n v="1"/>
    <m/>
    <n v="0"/>
    <n v="0"/>
    <n v="109477"/>
    <n v="1386.8999999999999"/>
    <n v="0"/>
    <n v="0"/>
    <n v="83"/>
    <n v="108158"/>
    <n v="5873.9495798319331"/>
    <n v="6"/>
    <n v="82"/>
    <n v="0"/>
    <n v="0"/>
    <n v="0"/>
    <n v="0"/>
    <n v="108158"/>
    <n v="0"/>
    <n v="0"/>
    <n v="0"/>
    <n v="82"/>
    <n v="108158"/>
    <n v="0"/>
    <n v="6"/>
    <n v="87"/>
    <n v="5"/>
    <n v="0"/>
    <n v="0"/>
    <n v="0"/>
    <n v="114753"/>
    <n v="6934.4999999999991"/>
    <n v="0"/>
    <n v="0"/>
    <n v="87"/>
    <n v="114753"/>
    <n v="29369.747899159665"/>
    <n v="6"/>
    <n v="83"/>
    <n v="1.5"/>
    <n v="0"/>
    <n v="0"/>
    <n v="0"/>
    <n v="115112.69999999998"/>
    <n v="2080.35"/>
    <n v="0"/>
    <n v="0"/>
    <n v="82"/>
    <n v="108158"/>
    <n v="8810.9243697478996"/>
    <n v="12"/>
    <n v="81.5"/>
    <n v="12"/>
    <n v="0"/>
    <n v="0"/>
    <n v="0"/>
    <m/>
    <n v="113032.34999999999"/>
    <n v="16642.8"/>
    <n v="0"/>
    <n v="0"/>
    <n v="81.5"/>
    <n v="113032.34999999999"/>
    <n v="60403.361344537814"/>
    <n v="15"/>
    <n v="69.5"/>
    <n v="15"/>
    <m/>
    <n v="0"/>
    <n v="0"/>
    <n v="96389.549999999988"/>
    <n v="20803.499999999996"/>
    <n v="0"/>
    <n v="0"/>
    <n v="69.5"/>
    <n v="96389.549999999988"/>
    <n v="75504.201680672268"/>
    <n v="20"/>
    <n v="54.5"/>
    <n v="20"/>
    <n v="0"/>
    <n v="0"/>
    <n v="75586.049999999988"/>
    <n v="27737.999999999996"/>
    <n v="0"/>
    <n v="0"/>
    <n v="54.5"/>
    <n v="75586.049999999988"/>
    <n v="117478.99159663866"/>
    <n v="9"/>
    <n v="34.5"/>
    <n v="9"/>
    <n v="0"/>
    <m/>
    <n v="47848.049999999996"/>
    <n v="11871"/>
    <n v="0"/>
    <n v="34.5"/>
    <n v="47848.049999999996"/>
    <n v="52865.546218487398"/>
  </r>
  <r>
    <m/>
    <x v="4"/>
    <x v="14"/>
    <x v="32"/>
    <s v="LHCALLAR"/>
    <x v="133"/>
    <x v="130"/>
    <x v="0"/>
    <x v="0"/>
    <n v="1"/>
    <x v="93"/>
    <n v="78"/>
    <m/>
    <n v="0"/>
    <n v="2807"/>
    <n v="218946"/>
    <n v="1.91"/>
    <n v="2086.6749999999997"/>
    <n v="8394.957983193277"/>
    <n v="7554.6218487394963"/>
    <s v="Shenzhen"/>
    <x v="0"/>
    <n v="30"/>
    <m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1"/>
    <n v="0.66563431914822269"/>
    <n v="2"/>
    <n v="0.10113963994544968"/>
    <n v="2"/>
    <n v="0.66563431914822269"/>
    <n v="0.25"/>
    <n v="3"/>
    <n v="0.55104341203351104"/>
    <n v="0.33333333333333331"/>
    <n v="7"/>
    <n v="0.36097775616871275"/>
    <n v="0.58333333333333337"/>
    <n v="1"/>
    <s v=""/>
    <n v="0.16666666666666666"/>
    <n v="2"/>
    <s v=""/>
    <n v="0.33333333333333331"/>
    <n v="0"/>
    <s v=""/>
    <n v="0"/>
    <m/>
    <m/>
    <m/>
    <m/>
    <m/>
    <m/>
    <m/>
    <m/>
    <m/>
    <n v="5"/>
    <n v="100"/>
    <n v="5"/>
    <n v="0"/>
    <n v="0"/>
    <n v="0"/>
    <n v="23859.5"/>
    <n v="197685"/>
    <n v="14035"/>
    <n v="0"/>
    <n v="78"/>
    <n v="218946"/>
    <n v="35272.932702492762"/>
    <n v="6"/>
    <n v="99"/>
    <n v="1.5"/>
    <n v="0"/>
    <n v="0"/>
    <n v="0"/>
    <n v="15438.5"/>
    <n v="195708.15"/>
    <n v="4210.5"/>
    <n v="0"/>
    <n v="78"/>
    <n v="218946"/>
    <n v="10581.879810747829"/>
    <n v="9"/>
    <n v="98"/>
    <n v="2"/>
    <n v="0"/>
    <n v="0"/>
    <n v="29019.649999999998"/>
    <n v="275086"/>
    <n v="5614"/>
    <n v="0"/>
    <n v="78"/>
    <n v="218946"/>
    <n v="16789.915966386554"/>
    <n v="8"/>
    <n v="95"/>
    <n v="2"/>
    <n v="0"/>
    <n v="0"/>
    <n v="187800.75"/>
    <n v="5614"/>
    <x v="0"/>
    <x v="0"/>
    <n v="78"/>
    <n v="218946"/>
    <n v="16789.915966386554"/>
    <n v="9"/>
    <n v="81"/>
    <n v="9"/>
    <m/>
    <n v="0"/>
    <n v="0"/>
    <n v="227367"/>
    <n v="17791.649999999998"/>
    <x v="0"/>
    <n v="0"/>
    <n v="78"/>
    <n v="218946"/>
    <n v="75554.621848739494"/>
    <n v="12"/>
    <n v="85"/>
    <n v="7"/>
    <m/>
    <n v="0"/>
    <n v="0"/>
    <n v="238595"/>
    <n v="13837.949999999999"/>
    <n v="0"/>
    <n v="0"/>
    <n v="85"/>
    <n v="218946"/>
    <n v="58764.705882352937"/>
    <n v="6"/>
    <n v="79"/>
    <n v="1"/>
    <n v="0"/>
    <n v="0"/>
    <n v="0"/>
    <n v="221753"/>
    <n v="1976.85"/>
    <n v="0"/>
    <n v="0"/>
    <n v="79"/>
    <n v="218946"/>
    <n v="8394.957983193277"/>
    <n v="6"/>
    <n v="80"/>
    <n v="2"/>
    <n v="0"/>
    <n v="0"/>
    <n v="0"/>
    <n v="224560"/>
    <n v="3953.7"/>
    <n v="0"/>
    <n v="0"/>
    <n v="80"/>
    <n v="224560"/>
    <n v="16789.915966386554"/>
    <n v="6"/>
    <n v="78"/>
    <n v="0"/>
    <n v="0"/>
    <n v="0"/>
    <n v="0"/>
    <n v="154194.29999999999"/>
    <n v="0"/>
    <n v="0"/>
    <n v="0"/>
    <n v="78"/>
    <n v="218946"/>
    <n v="0"/>
    <n v="12"/>
    <n v="78"/>
    <n v="12"/>
    <n v="0"/>
    <n v="0"/>
    <n v="0"/>
    <m/>
    <n v="154194.29999999999"/>
    <n v="23722.199999999997"/>
    <n v="0"/>
    <n v="0"/>
    <n v="78"/>
    <n v="154194.29999999999"/>
    <n v="90655.462184873963"/>
    <n v="15"/>
    <n v="66"/>
    <n v="15"/>
    <m/>
    <n v="0"/>
    <n v="0"/>
    <n v="130472.09999999999"/>
    <n v="29652.75"/>
    <n v="0"/>
    <n v="0"/>
    <n v="66"/>
    <n v="130472.09999999999"/>
    <n v="113319.32773109245"/>
    <n v="20"/>
    <n v="51"/>
    <n v="20"/>
    <n v="0"/>
    <n v="0"/>
    <n v="100819.34999999999"/>
    <n v="39537"/>
    <n v="0"/>
    <n v="0"/>
    <n v="51"/>
    <n v="100819.34999999999"/>
    <n v="167899.15966386555"/>
    <n v="9"/>
    <n v="31"/>
    <n v="9"/>
    <n v="0"/>
    <m/>
    <n v="61282.35"/>
    <n v="25263"/>
    <n v="0"/>
    <n v="31"/>
    <n v="61282.35"/>
    <n v="75554.621848739494"/>
  </r>
  <r>
    <s v="Lhotse-Accesorio Vestuario"/>
    <x v="4"/>
    <x v="14"/>
    <x v="32"/>
    <s v="LHCALLAR"/>
    <x v="134"/>
    <x v="131"/>
    <x v="0"/>
    <x v="0"/>
    <n v="1"/>
    <x v="94"/>
    <n v="65"/>
    <m/>
    <n v="0"/>
    <n v="2807"/>
    <n v="182455"/>
    <n v="1.91"/>
    <n v="2086.6749999999997"/>
    <n v="8394.957983193277"/>
    <n v="7554.6218487394963"/>
    <s v="Shenzhen"/>
    <x v="0"/>
    <n v="30"/>
    <m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1"/>
    <n v="0.66563431914822269"/>
    <n v="5"/>
    <n v="0.4508345131694026"/>
    <n v="4"/>
    <n v="0.48926535774213159"/>
    <n v="0.5"/>
    <n v="2"/>
    <n v="0.66563763763763761"/>
    <n v="0.22222222222222221"/>
    <n v="11"/>
    <n v="0.4123204843167888"/>
    <n v="0.84615384615384615"/>
    <n v="4"/>
    <n v="0.65410976872626847"/>
    <n v="0.66666666666666663"/>
    <n v="4"/>
    <n v="0.25035219187759633"/>
    <n v="0.66666666666666663"/>
    <n v="1"/>
    <n v="0.3953324083666146"/>
    <n v="0.16666666666666666"/>
    <m/>
    <m/>
    <m/>
    <m/>
    <m/>
    <m/>
    <m/>
    <m/>
    <m/>
    <n v="5"/>
    <n v="100"/>
    <n v="5"/>
    <n v="0"/>
    <n v="0"/>
    <n v="0"/>
    <n v="32280.5"/>
    <n v="197685"/>
    <n v="14035"/>
    <n v="0"/>
    <n v="65"/>
    <n v="182455"/>
    <n v="35272.932702492762"/>
    <n v="6"/>
    <n v="99"/>
    <n v="1.5"/>
    <n v="0"/>
    <n v="0"/>
    <n v="0"/>
    <n v="29473.5"/>
    <n v="195708.15"/>
    <n v="4210.5"/>
    <n v="0"/>
    <n v="65"/>
    <n v="182455"/>
    <n v="10581.879810747829"/>
    <n v="9"/>
    <n v="98"/>
    <n v="5"/>
    <n v="0"/>
    <n v="0"/>
    <n v="43054.649999999994"/>
    <n v="275086"/>
    <n v="14035"/>
    <n v="0"/>
    <n v="65"/>
    <n v="182455"/>
    <n v="41974.789915966387"/>
    <n v="8"/>
    <n v="93"/>
    <n v="4"/>
    <n v="0"/>
    <n v="0"/>
    <n v="183847.05"/>
    <n v="11228"/>
    <x v="0"/>
    <x v="0"/>
    <n v="65"/>
    <n v="182455"/>
    <n v="33579.831932773108"/>
    <n v="9"/>
    <n v="67"/>
    <n v="9"/>
    <m/>
    <n v="0"/>
    <n v="0"/>
    <n v="188069"/>
    <n v="17791.649999999998"/>
    <x v="0"/>
    <n v="0"/>
    <n v="65"/>
    <n v="182455"/>
    <n v="75554.621848739494"/>
    <n v="13"/>
    <n v="76"/>
    <n v="11"/>
    <m/>
    <n v="0"/>
    <n v="0"/>
    <n v="213332"/>
    <n v="21745.35"/>
    <n v="0"/>
    <n v="0"/>
    <n v="76"/>
    <n v="182455"/>
    <n v="92344.537815126052"/>
    <n v="6"/>
    <n v="69"/>
    <n v="4"/>
    <n v="0"/>
    <n v="0"/>
    <n v="0"/>
    <n v="193683"/>
    <n v="7907.4"/>
    <n v="0"/>
    <n v="0"/>
    <n v="69"/>
    <n v="182455"/>
    <n v="33579.831932773108"/>
    <n v="6"/>
    <n v="69"/>
    <n v="4"/>
    <n v="0"/>
    <n v="0"/>
    <n v="0"/>
    <n v="193683"/>
    <n v="7907.4"/>
    <n v="0"/>
    <n v="0"/>
    <n v="69"/>
    <n v="193683"/>
    <n v="33579.831932773108"/>
    <n v="6"/>
    <n v="66"/>
    <n v="1.5"/>
    <n v="0"/>
    <n v="0"/>
    <n v="0"/>
    <n v="130472.09999999999"/>
    <n v="2965.2749999999996"/>
    <n v="0"/>
    <n v="0"/>
    <n v="65"/>
    <n v="182455"/>
    <n v="12592.436974789915"/>
    <n v="12"/>
    <n v="64.5"/>
    <n v="12"/>
    <n v="0"/>
    <n v="0"/>
    <n v="0"/>
    <m/>
    <n v="127506.825"/>
    <n v="23722.199999999997"/>
    <n v="0"/>
    <n v="0"/>
    <n v="64.5"/>
    <n v="127506.825"/>
    <n v="90655.462184873963"/>
    <n v="15"/>
    <n v="52.5"/>
    <n v="15"/>
    <m/>
    <n v="0"/>
    <n v="0"/>
    <n v="103784.625"/>
    <n v="29652.75"/>
    <n v="0"/>
    <n v="0"/>
    <n v="52.5"/>
    <n v="103784.625"/>
    <n v="113319.32773109245"/>
    <n v="20"/>
    <n v="37.5"/>
    <n v="20"/>
    <n v="0"/>
    <n v="0"/>
    <n v="74131.875"/>
    <n v="39537"/>
    <n v="0"/>
    <n v="0"/>
    <n v="37.5"/>
    <n v="74131.875"/>
    <n v="167899.15966386555"/>
    <n v="9"/>
    <n v="17.5"/>
    <n v="9"/>
    <n v="0"/>
    <m/>
    <n v="34594.875"/>
    <n v="25263"/>
    <n v="0"/>
    <n v="17.5"/>
    <n v="34594.875"/>
    <n v="75554.621848739494"/>
  </r>
  <r>
    <s v="Lhotse-Accesorio Vestuario"/>
    <x v="4"/>
    <x v="14"/>
    <x v="32"/>
    <s v="LHCALLAR"/>
    <x v="135"/>
    <x v="132"/>
    <x v="0"/>
    <x v="0"/>
    <n v="1"/>
    <x v="95"/>
    <n v="85"/>
    <m/>
    <n v="0"/>
    <n v="2807"/>
    <n v="238595"/>
    <n v="1.91"/>
    <n v="2086.6749999999997"/>
    <n v="8394.957983193277"/>
    <n v="7554.6218487394963"/>
    <s v="Shenzhen"/>
    <x v="0"/>
    <n v="30"/>
    <m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1"/>
    <n v="0.66563431914822269"/>
    <n v="1"/>
    <n v="0.71590329650274076"/>
    <n v="3"/>
    <n v="0.32637629823984204"/>
    <n v="0.375"/>
    <n v="1"/>
    <n v="0"/>
    <n v="0.1111111111111111"/>
    <n v="6"/>
    <n v="0.52935465689728056"/>
    <n v="0.5"/>
    <n v="1"/>
    <s v=""/>
    <n v="0.16666666666666666"/>
    <n v="2"/>
    <s v=""/>
    <n v="0.33333333333333331"/>
    <n v="1"/>
    <n v="0.51897886540600657"/>
    <n v="0.16666666666666666"/>
    <m/>
    <m/>
    <m/>
    <m/>
    <m/>
    <m/>
    <m/>
    <m/>
    <m/>
    <n v="5"/>
    <n v="100"/>
    <n v="5"/>
    <n v="0"/>
    <n v="0"/>
    <n v="0"/>
    <n v="21052.5"/>
    <n v="197685"/>
    <n v="14035"/>
    <n v="0"/>
    <n v="85"/>
    <n v="238595"/>
    <n v="35272.932702492762"/>
    <n v="6"/>
    <n v="99"/>
    <n v="1.5"/>
    <n v="0"/>
    <n v="0"/>
    <n v="0"/>
    <n v="15438.5"/>
    <n v="195708.15"/>
    <n v="4210.5"/>
    <n v="0"/>
    <n v="85"/>
    <n v="238595"/>
    <n v="10581.879810747829"/>
    <n v="9"/>
    <n v="98"/>
    <n v="1"/>
    <n v="0"/>
    <n v="0"/>
    <n v="29019.649999999998"/>
    <n v="275086"/>
    <n v="2807"/>
    <n v="0"/>
    <n v="85"/>
    <n v="238595"/>
    <n v="8394.957983193277"/>
    <n v="8"/>
    <n v="96"/>
    <n v="3"/>
    <n v="0"/>
    <n v="0"/>
    <n v="189777.59999999998"/>
    <n v="8421"/>
    <x v="0"/>
    <x v="0"/>
    <n v="85"/>
    <n v="238595"/>
    <n v="25184.873949579829"/>
    <n v="9"/>
    <n v="86"/>
    <n v="9"/>
    <m/>
    <n v="0"/>
    <n v="0"/>
    <n v="241402"/>
    <n v="17791.649999999998"/>
    <x v="0"/>
    <n v="0"/>
    <n v="85"/>
    <n v="238595"/>
    <n v="75554.621848739494"/>
    <n v="12"/>
    <n v="91"/>
    <n v="6"/>
    <m/>
    <n v="0"/>
    <n v="0"/>
    <n v="255437"/>
    <n v="11861.099999999999"/>
    <n v="0"/>
    <n v="0"/>
    <n v="91"/>
    <n v="238595"/>
    <n v="50369.747899159658"/>
    <n v="6"/>
    <n v="86"/>
    <n v="1"/>
    <n v="0"/>
    <n v="0"/>
    <n v="0"/>
    <n v="241402"/>
    <n v="1976.85"/>
    <n v="0"/>
    <n v="0"/>
    <n v="86"/>
    <n v="238595"/>
    <n v="8394.957983193277"/>
    <n v="6"/>
    <n v="87"/>
    <n v="2"/>
    <n v="0"/>
    <n v="0"/>
    <n v="0"/>
    <n v="244209"/>
    <n v="3953.7"/>
    <n v="0"/>
    <n v="0"/>
    <n v="87"/>
    <n v="244209"/>
    <n v="16789.915966386554"/>
    <n v="6"/>
    <n v="86"/>
    <n v="1.5"/>
    <n v="0"/>
    <n v="0"/>
    <n v="0"/>
    <n v="170009.1"/>
    <n v="2965.2749999999996"/>
    <n v="0"/>
    <n v="0"/>
    <n v="85"/>
    <n v="238595"/>
    <n v="12592.436974789915"/>
    <n v="12"/>
    <n v="84.5"/>
    <n v="12"/>
    <n v="0"/>
    <n v="0"/>
    <n v="0"/>
    <m/>
    <n v="167043.82499999998"/>
    <n v="23722.199999999997"/>
    <n v="0"/>
    <n v="0"/>
    <n v="84.5"/>
    <n v="167043.82499999998"/>
    <n v="90655.462184873963"/>
    <n v="15"/>
    <n v="72.5"/>
    <n v="15"/>
    <m/>
    <n v="0"/>
    <n v="0"/>
    <n v="143321.625"/>
    <n v="29652.75"/>
    <n v="0"/>
    <n v="0"/>
    <n v="72.5"/>
    <n v="143321.625"/>
    <n v="113319.32773109245"/>
    <n v="20"/>
    <n v="57.5"/>
    <n v="20"/>
    <n v="0"/>
    <n v="0"/>
    <n v="113668.875"/>
    <n v="39537"/>
    <n v="0"/>
    <n v="0"/>
    <n v="57.5"/>
    <n v="113668.875"/>
    <n v="167899.15966386555"/>
    <n v="9"/>
    <n v="37.5"/>
    <n v="9"/>
    <n v="0"/>
    <m/>
    <n v="74131.875"/>
    <n v="25263"/>
    <n v="0"/>
    <n v="37.5"/>
    <n v="74131.875"/>
    <n v="75554.621848739494"/>
  </r>
  <r>
    <s v="Lhotse-Accesorio Vestuario"/>
    <x v="4"/>
    <x v="14"/>
    <x v="32"/>
    <s v="LHCALLAR"/>
    <x v="136"/>
    <x v="133"/>
    <x v="0"/>
    <x v="0"/>
    <n v="1"/>
    <x v="96"/>
    <n v="84"/>
    <m/>
    <n v="0"/>
    <n v="2807"/>
    <n v="235788"/>
    <n v="1.91"/>
    <n v="2086.6749999999997"/>
    <n v="8394.957983193277"/>
    <n v="7554.6218487394963"/>
    <s v="Shenzhen"/>
    <x v="0"/>
    <n v="30"/>
    <m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4805777090277295"/>
    <n v="2"/>
    <n v="0.48889200758067547"/>
    <n v="0.25"/>
    <n v="2"/>
    <n v="0.66563763763763761"/>
    <n v="0.2"/>
    <n v="4"/>
    <n v="0.49901001053740779"/>
    <n v="0.30769230769230771"/>
    <n v="1"/>
    <s v=""/>
    <n v="0.16666666666666666"/>
    <n v="3"/>
    <n v="0.45824168694241685"/>
    <n v="0.5"/>
    <n v="1"/>
    <n v="0.15040266963292548"/>
    <n v="0.16666666666666666"/>
    <m/>
    <m/>
    <m/>
    <m/>
    <m/>
    <m/>
    <m/>
    <m/>
    <m/>
    <n v="5"/>
    <n v="100"/>
    <n v="5"/>
    <n v="0"/>
    <n v="0"/>
    <n v="0"/>
    <n v="22456"/>
    <n v="197685"/>
    <n v="14035"/>
    <n v="0"/>
    <n v="84"/>
    <n v="235788"/>
    <n v="35272.932702492762"/>
    <n v="6"/>
    <n v="100"/>
    <n v="0"/>
    <n v="0"/>
    <n v="0"/>
    <n v="0"/>
    <n v="14035"/>
    <n v="197685"/>
    <n v="0"/>
    <n v="0"/>
    <n v="84"/>
    <n v="235788"/>
    <n v="0"/>
    <n v="9"/>
    <n v="100"/>
    <n v="3"/>
    <n v="0"/>
    <n v="0"/>
    <n v="33803.5"/>
    <n v="280700"/>
    <n v="8421"/>
    <n v="0"/>
    <n v="84"/>
    <n v="235788"/>
    <n v="25184.873949579829"/>
    <n v="8"/>
    <n v="96"/>
    <n v="2"/>
    <n v="0"/>
    <n v="0"/>
    <n v="189777.59999999998"/>
    <n v="5614"/>
    <x v="0"/>
    <x v="0"/>
    <n v="84"/>
    <n v="235788"/>
    <n v="16789.915966386554"/>
    <n v="10"/>
    <n v="86"/>
    <n v="10"/>
    <m/>
    <n v="0"/>
    <n v="0"/>
    <n v="241402"/>
    <n v="19768.5"/>
    <x v="0"/>
    <n v="0"/>
    <n v="84"/>
    <n v="235788"/>
    <n v="83949.579831932773"/>
    <n v="13"/>
    <n v="88"/>
    <n v="4"/>
    <m/>
    <n v="0"/>
    <n v="0"/>
    <n v="247016"/>
    <n v="7907.4"/>
    <n v="0"/>
    <n v="0"/>
    <n v="88"/>
    <n v="235788"/>
    <n v="33579.831932773108"/>
    <n v="6"/>
    <n v="85"/>
    <n v="1"/>
    <n v="0"/>
    <n v="0"/>
    <n v="0"/>
    <n v="238595"/>
    <n v="1976.85"/>
    <n v="0"/>
    <n v="0"/>
    <n v="85"/>
    <n v="235788"/>
    <n v="8394.957983193277"/>
    <n v="6"/>
    <n v="87"/>
    <n v="3"/>
    <n v="0"/>
    <n v="0"/>
    <n v="0"/>
    <n v="244209"/>
    <n v="5930.5499999999993"/>
    <n v="0"/>
    <n v="0"/>
    <n v="87"/>
    <n v="244209"/>
    <n v="25184.873949579829"/>
    <n v="6"/>
    <n v="85"/>
    <n v="1.5"/>
    <n v="0"/>
    <n v="0"/>
    <n v="0"/>
    <n v="168032.25"/>
    <n v="2965.2749999999996"/>
    <n v="0"/>
    <n v="0"/>
    <n v="84"/>
    <n v="235788"/>
    <n v="12592.436974789915"/>
    <n v="12"/>
    <n v="83.5"/>
    <n v="12"/>
    <n v="0"/>
    <n v="0"/>
    <n v="0"/>
    <m/>
    <n v="165066.97500000001"/>
    <n v="23722.199999999997"/>
    <n v="0"/>
    <n v="0"/>
    <n v="83.5"/>
    <n v="165066.97500000001"/>
    <n v="90655.462184873963"/>
    <n v="15"/>
    <n v="71.5"/>
    <n v="15"/>
    <m/>
    <n v="0"/>
    <n v="0"/>
    <n v="141344.77499999999"/>
    <n v="29652.75"/>
    <n v="0"/>
    <n v="0"/>
    <n v="71.5"/>
    <n v="141344.77499999999"/>
    <n v="113319.32773109245"/>
    <n v="20"/>
    <n v="56.5"/>
    <n v="20"/>
    <n v="0"/>
    <n v="0"/>
    <n v="111692.02499999999"/>
    <n v="39537"/>
    <n v="0"/>
    <n v="0"/>
    <n v="56.5"/>
    <n v="111692.02499999999"/>
    <n v="167899.15966386555"/>
    <n v="9"/>
    <n v="36.5"/>
    <n v="9"/>
    <n v="0"/>
    <m/>
    <n v="72155.024999999994"/>
    <n v="25263"/>
    <n v="0"/>
    <n v="36.5"/>
    <n v="72155.024999999994"/>
    <n v="75554.621848739494"/>
  </r>
  <r>
    <m/>
    <x v="4"/>
    <x v="14"/>
    <x v="32"/>
    <s v="LHCALLAR"/>
    <x v="137"/>
    <x v="134"/>
    <x v="0"/>
    <x v="0"/>
    <n v="1"/>
    <x v="97"/>
    <n v="90"/>
    <m/>
    <n v="0"/>
    <n v="2807"/>
    <n v="252630"/>
    <n v="1.91"/>
    <n v="2086.6749999999997"/>
    <n v="8394.957983193277"/>
    <n v="7554.6218487394963"/>
    <s v="Shenzhen"/>
    <x v="0"/>
    <n v="30"/>
    <m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0"/>
    <s v=""/>
    <n v="0"/>
    <s v=""/>
    <n v="4"/>
    <n v="0.47170829130046243"/>
    <n v="0.5"/>
    <n v="0"/>
    <s v=""/>
    <n v="0"/>
    <n v="4"/>
    <n v="0.56727359101705888"/>
    <n v="0.33333333333333331"/>
    <n v="1"/>
    <s v=""/>
    <n v="0.16666666666666666"/>
    <n v="4"/>
    <n v="0"/>
    <n v="0.66666666666666663"/>
    <n v="0"/>
    <s v=""/>
    <n v="0"/>
    <m/>
    <m/>
    <m/>
    <m/>
    <m/>
    <m/>
    <m/>
    <m/>
    <m/>
    <n v="5"/>
    <n v="100"/>
    <n v="5"/>
    <n v="0"/>
    <n v="0"/>
    <n v="0"/>
    <n v="14035"/>
    <n v="197685"/>
    <n v="14035"/>
    <n v="0"/>
    <n v="90"/>
    <n v="252630"/>
    <n v="35272.932702492762"/>
    <n v="6"/>
    <n v="99"/>
    <n v="0"/>
    <n v="0"/>
    <n v="0"/>
    <n v="0"/>
    <n v="11228"/>
    <n v="195708.15"/>
    <n v="0"/>
    <n v="0"/>
    <n v="90"/>
    <n v="252630"/>
    <n v="0"/>
    <n v="9"/>
    <n v="99"/>
    <n v="0"/>
    <n v="0"/>
    <n v="0"/>
    <n v="29019.649999999998"/>
    <n v="277893"/>
    <n v="0"/>
    <n v="0"/>
    <n v="90"/>
    <n v="252630"/>
    <n v="0"/>
    <n v="8"/>
    <n v="98"/>
    <n v="4"/>
    <n v="0"/>
    <n v="0"/>
    <n v="193731.3"/>
    <n v="11228"/>
    <x v="0"/>
    <x v="0"/>
    <n v="90"/>
    <n v="252630"/>
    <n v="33579.831932773108"/>
    <n v="9"/>
    <n v="90"/>
    <n v="9"/>
    <m/>
    <n v="0"/>
    <n v="0"/>
    <n v="252630"/>
    <n v="17791.649999999998"/>
    <x v="0"/>
    <n v="0"/>
    <n v="90"/>
    <n v="252630"/>
    <n v="75554.621848739494"/>
    <n v="12"/>
    <n v="94"/>
    <n v="4"/>
    <m/>
    <n v="0"/>
    <n v="0"/>
    <n v="263858"/>
    <n v="7907.4"/>
    <n v="0"/>
    <n v="0"/>
    <n v="94"/>
    <n v="252630"/>
    <n v="33579.831932773108"/>
    <n v="6"/>
    <n v="91"/>
    <n v="1"/>
    <n v="0"/>
    <n v="0"/>
    <n v="0"/>
    <n v="255437"/>
    <n v="1976.85"/>
    <n v="0"/>
    <n v="0"/>
    <n v="91"/>
    <n v="252630"/>
    <n v="8394.957983193277"/>
    <n v="6"/>
    <n v="94"/>
    <n v="4"/>
    <n v="0"/>
    <n v="0"/>
    <n v="0"/>
    <n v="263858"/>
    <n v="7907.4"/>
    <n v="0"/>
    <n v="0"/>
    <n v="94"/>
    <n v="263858"/>
    <n v="33579.831932773108"/>
    <n v="6"/>
    <n v="90"/>
    <n v="0"/>
    <n v="0"/>
    <n v="0"/>
    <n v="0"/>
    <n v="177916.5"/>
    <n v="0"/>
    <n v="0"/>
    <n v="0"/>
    <n v="90"/>
    <n v="252630"/>
    <n v="0"/>
    <n v="12"/>
    <n v="90"/>
    <n v="12"/>
    <n v="0"/>
    <n v="0"/>
    <n v="0"/>
    <m/>
    <n v="177916.5"/>
    <n v="23722.199999999997"/>
    <n v="0"/>
    <n v="0"/>
    <n v="90"/>
    <n v="177916.5"/>
    <n v="90655.462184873963"/>
    <n v="15"/>
    <n v="78"/>
    <n v="15"/>
    <m/>
    <n v="0"/>
    <n v="0"/>
    <n v="154194.29999999999"/>
    <n v="29652.75"/>
    <n v="0"/>
    <n v="0"/>
    <n v="78"/>
    <n v="154194.29999999999"/>
    <n v="113319.32773109245"/>
    <n v="20"/>
    <n v="63"/>
    <n v="20"/>
    <n v="0"/>
    <n v="0"/>
    <n v="124541.54999999999"/>
    <n v="39537"/>
    <n v="0"/>
    <n v="0"/>
    <n v="63"/>
    <n v="124541.54999999999"/>
    <n v="167899.15966386555"/>
    <n v="9"/>
    <n v="43"/>
    <n v="9"/>
    <n v="0"/>
    <m/>
    <n v="85004.55"/>
    <n v="25263"/>
    <n v="0"/>
    <n v="43"/>
    <n v="85004.55"/>
    <n v="75554.621848739494"/>
  </r>
  <r>
    <m/>
    <x v="4"/>
    <x v="14"/>
    <x v="32"/>
    <s v="LHCALLAR"/>
    <x v="138"/>
    <x v="135"/>
    <x v="0"/>
    <x v="0"/>
    <n v="1"/>
    <x v="98"/>
    <n v="82"/>
    <m/>
    <n v="0"/>
    <n v="2807"/>
    <n v="230174"/>
    <n v="1.91"/>
    <n v="2086.6749999999997"/>
    <n v="8394.957983193277"/>
    <n v="7554.6218487394963"/>
    <s v="Shenzhen"/>
    <x v="0"/>
    <n v="30"/>
    <m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6"/>
    <n v="0.4599345888045569"/>
    <n v="4"/>
    <n v="0.55056982974807644"/>
    <n v="0.5"/>
    <n v="1"/>
    <s v=""/>
    <n v="0.1"/>
    <n v="8"/>
    <n v="0.48949661854713511"/>
    <n v="0.5714285714285714"/>
    <n v="2"/>
    <n v="0.66563763763763761"/>
    <n v="0.33333333333333331"/>
    <n v="2"/>
    <n v="3.560742070616397E-4"/>
    <n v="0.33333333333333331"/>
    <n v="0"/>
    <s v=""/>
    <n v="0"/>
    <m/>
    <m/>
    <m/>
    <m/>
    <m/>
    <m/>
    <m/>
    <m/>
    <m/>
    <n v="5"/>
    <n v="100"/>
    <n v="5"/>
    <n v="0"/>
    <n v="0"/>
    <n v="0"/>
    <n v="30877"/>
    <n v="197685"/>
    <n v="14035"/>
    <n v="0"/>
    <n v="82"/>
    <n v="230174"/>
    <n v="35272.932702492762"/>
    <n v="6"/>
    <n v="100"/>
    <n v="0"/>
    <n v="0"/>
    <n v="0"/>
    <n v="0"/>
    <n v="28070"/>
    <n v="197685"/>
    <n v="0"/>
    <n v="0"/>
    <n v="82"/>
    <n v="230174"/>
    <n v="0"/>
    <n v="9"/>
    <n v="100"/>
    <n v="6"/>
    <n v="0"/>
    <n v="0"/>
    <n v="47838.5"/>
    <n v="280700"/>
    <n v="16842"/>
    <n v="0"/>
    <n v="82"/>
    <n v="230174"/>
    <n v="50369.747899159658"/>
    <n v="8"/>
    <n v="94"/>
    <n v="4"/>
    <n v="0"/>
    <n v="0"/>
    <n v="185823.9"/>
    <n v="11228"/>
    <x v="0"/>
    <x v="0"/>
    <n v="82"/>
    <n v="230174"/>
    <n v="33579.831932773108"/>
    <n v="10"/>
    <n v="83"/>
    <n v="10"/>
    <m/>
    <n v="0"/>
    <n v="0"/>
    <n v="232981"/>
    <n v="19768.5"/>
    <x v="0"/>
    <n v="0"/>
    <n v="82"/>
    <n v="230174"/>
    <n v="83949.579831932773"/>
    <n v="14"/>
    <n v="90"/>
    <n v="8"/>
    <m/>
    <n v="0"/>
    <n v="0"/>
    <n v="252630"/>
    <n v="15814.8"/>
    <n v="0"/>
    <n v="0"/>
    <n v="90"/>
    <n v="230174"/>
    <n v="67159.663865546216"/>
    <n v="6"/>
    <n v="84"/>
    <n v="2"/>
    <n v="0"/>
    <n v="0"/>
    <n v="0"/>
    <n v="235788"/>
    <n v="3953.7"/>
    <n v="0"/>
    <n v="0"/>
    <n v="84"/>
    <n v="230174"/>
    <n v="16789.915966386554"/>
    <n v="6"/>
    <n v="84"/>
    <n v="2"/>
    <n v="0"/>
    <n v="0"/>
    <n v="0"/>
    <n v="235788"/>
    <n v="3953.7"/>
    <n v="0"/>
    <n v="0"/>
    <n v="84"/>
    <n v="235788"/>
    <n v="16789.915966386554"/>
    <n v="6"/>
    <n v="82"/>
    <n v="0"/>
    <n v="0"/>
    <n v="0"/>
    <n v="0"/>
    <n v="162101.69999999998"/>
    <n v="0"/>
    <n v="0"/>
    <n v="0"/>
    <n v="82"/>
    <n v="230174"/>
    <n v="0"/>
    <n v="12"/>
    <n v="82"/>
    <n v="12"/>
    <n v="0"/>
    <n v="0"/>
    <n v="0"/>
    <m/>
    <n v="162101.69999999998"/>
    <n v="23722.199999999997"/>
    <n v="0"/>
    <n v="0"/>
    <n v="82"/>
    <n v="162101.69999999998"/>
    <n v="90655.462184873963"/>
    <n v="15"/>
    <n v="70"/>
    <n v="15"/>
    <m/>
    <n v="0"/>
    <n v="0"/>
    <n v="138379.5"/>
    <n v="29652.75"/>
    <n v="0"/>
    <n v="0"/>
    <n v="70"/>
    <n v="138379.5"/>
    <n v="113319.32773109245"/>
    <n v="20"/>
    <n v="55"/>
    <n v="20"/>
    <n v="0"/>
    <n v="0"/>
    <n v="108726.75"/>
    <n v="39537"/>
    <n v="0"/>
    <n v="0"/>
    <n v="55"/>
    <n v="108726.75"/>
    <n v="167899.15966386555"/>
    <n v="9"/>
    <n v="35"/>
    <n v="9"/>
    <n v="0"/>
    <m/>
    <n v="69189.75"/>
    <n v="25263"/>
    <n v="0"/>
    <n v="35"/>
    <n v="69189.75"/>
    <n v="75554.621848739494"/>
  </r>
  <r>
    <m/>
    <x v="4"/>
    <x v="14"/>
    <x v="32"/>
    <s v="LHCALMEDBK"/>
    <x v="139"/>
    <x v="136"/>
    <x v="0"/>
    <x v="0"/>
    <n v="1"/>
    <x v="98"/>
    <n v="81"/>
    <m/>
    <n v="0"/>
    <n v="2807"/>
    <n v="227367"/>
    <n v="1.91"/>
    <n v="2086.6749999999997"/>
    <n v="8394.957983193277"/>
    <n v="7554.6218487394963"/>
    <s v="Shenzhen"/>
    <x v="0"/>
    <n v="30"/>
    <m/>
    <n v="2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1"/>
    <n v="0.52229408198042016"/>
    <n v="0"/>
    <n v="2"/>
    <n v="0.66563763763763761"/>
    <n v="0"/>
    <n v="4"/>
    <n v="0.49885371342835705"/>
    <n v="0"/>
    <n v="3"/>
    <n v="0.66563763763763761"/>
    <n v="0"/>
    <n v="2"/>
    <n v="0.62848943270300328"/>
    <n v="0"/>
    <n v="1"/>
    <n v="0.31725472747497208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82"/>
    <n v="1.5"/>
    <n v="0"/>
    <n v="0"/>
    <n v="0"/>
    <n v="162101.69999999998"/>
    <n v="2965.2749999999996"/>
    <n v="0"/>
    <n v="0"/>
    <n v="81"/>
    <n v="227367"/>
    <n v="12592.436974789915"/>
    <n v="12"/>
    <n v="80.5"/>
    <n v="12"/>
    <n v="0"/>
    <n v="0"/>
    <n v="0"/>
    <m/>
    <n v="159136.42499999999"/>
    <n v="23722.199999999997"/>
    <n v="0"/>
    <n v="0"/>
    <n v="80.5"/>
    <n v="159136.42499999999"/>
    <n v="90655.462184873963"/>
    <n v="15"/>
    <n v="68.5"/>
    <n v="15"/>
    <m/>
    <n v="0"/>
    <n v="0"/>
    <n v="135414.22500000001"/>
    <n v="29652.75"/>
    <n v="0"/>
    <n v="0"/>
    <n v="68.5"/>
    <n v="135414.22500000001"/>
    <n v="113319.32773109245"/>
    <n v="20"/>
    <n v="53.5"/>
    <n v="20"/>
    <n v="0"/>
    <n v="0"/>
    <n v="105761.47499999999"/>
    <n v="39537"/>
    <n v="0"/>
    <n v="0"/>
    <n v="53.5"/>
    <n v="105761.47499999999"/>
    <n v="167899.15966386555"/>
    <n v="9"/>
    <n v="33.5"/>
    <n v="9"/>
    <n v="0"/>
    <m/>
    <n v="66224.474999999991"/>
    <n v="25263"/>
    <n v="0"/>
    <n v="33.5"/>
    <n v="66224.474999999991"/>
    <n v="75554.621848739494"/>
  </r>
  <r>
    <m/>
    <x v="4"/>
    <x v="14"/>
    <x v="32"/>
    <s v="LHCALMEDBK"/>
    <x v="140"/>
    <x v="137"/>
    <x v="0"/>
    <x v="0"/>
    <n v="1"/>
    <x v="98"/>
    <n v="60"/>
    <m/>
    <n v="0"/>
    <n v="2807"/>
    <n v="168420"/>
    <n v="1.91"/>
    <n v="2086.6749999999997"/>
    <n v="8394.957983193277"/>
    <n v="7554.6218487394963"/>
    <s v="Shenzhen"/>
    <x v="0"/>
    <n v="30"/>
    <m/>
    <n v="200"/>
    <m/>
    <m/>
    <m/>
    <m/>
    <m/>
    <m/>
    <m/>
    <m/>
    <m/>
    <m/>
    <m/>
    <m/>
    <m/>
    <m/>
    <m/>
    <m/>
    <m/>
    <m/>
    <m/>
    <m/>
    <m/>
    <m/>
    <m/>
    <m/>
    <n v="0"/>
    <s v=""/>
    <n v="2"/>
    <n v="0.66563431914822269"/>
    <n v="7"/>
    <n v="0.56800194540433047"/>
    <n v="5"/>
    <n v="0.4680226796706537"/>
    <n v="0"/>
    <n v="1"/>
    <n v="0"/>
    <n v="0"/>
    <n v="10"/>
    <n v="0.49880349173929467"/>
    <n v="0"/>
    <n v="1"/>
    <s v=""/>
    <n v="0"/>
    <n v="4"/>
    <n v="0.39928788410062915"/>
    <n v="0"/>
    <n v="2"/>
    <n v="0.4370951677790136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62"/>
    <n v="1.5"/>
    <n v="0"/>
    <n v="0"/>
    <n v="0"/>
    <n v="122564.7"/>
    <n v="2965.2749999999996"/>
    <n v="0"/>
    <n v="0"/>
    <n v="60"/>
    <n v="168420"/>
    <n v="12592.436974789915"/>
    <n v="12"/>
    <n v="60.5"/>
    <n v="12"/>
    <n v="0"/>
    <n v="0"/>
    <n v="0"/>
    <m/>
    <n v="119599.42499999999"/>
    <n v="23722.199999999997"/>
    <n v="0"/>
    <n v="0"/>
    <n v="60.5"/>
    <n v="119599.42499999999"/>
    <n v="90655.462184873963"/>
    <n v="15"/>
    <n v="48.5"/>
    <n v="15"/>
    <m/>
    <n v="0"/>
    <n v="0"/>
    <n v="95877.224999999991"/>
    <n v="29652.75"/>
    <n v="0"/>
    <n v="0"/>
    <n v="48.5"/>
    <n v="95877.224999999991"/>
    <n v="113319.32773109245"/>
    <n v="20"/>
    <n v="33.5"/>
    <n v="20"/>
    <n v="0"/>
    <n v="0"/>
    <n v="66224.474999999991"/>
    <n v="39537"/>
    <n v="0"/>
    <n v="0"/>
    <n v="33.5"/>
    <n v="66224.474999999991"/>
    <n v="167899.15966386555"/>
    <n v="9"/>
    <n v="13.5"/>
    <n v="9"/>
    <n v="0"/>
    <m/>
    <n v="26687.474999999999"/>
    <n v="25263"/>
    <n v="0"/>
    <n v="13.5"/>
    <n v="26687.474999999999"/>
    <n v="75554.621848739494"/>
  </r>
  <r>
    <s v="Lhotse-Accesorio Vestuario"/>
    <x v="4"/>
    <x v="14"/>
    <x v="32"/>
    <s v="LHCALMED"/>
    <x v="141"/>
    <x v="138"/>
    <x v="0"/>
    <x v="0"/>
    <n v="1"/>
    <x v="99"/>
    <n v="41"/>
    <m/>
    <n v="0"/>
    <n v="2303"/>
    <n v="94423"/>
    <n v="1.56"/>
    <n v="1704.3"/>
    <n v="7554.6218487394963"/>
    <n v="6714.2857142857147"/>
    <s v="Shenzhen"/>
    <x v="0"/>
    <n v="30"/>
    <m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5"/>
    <n v="0.63293383270399439"/>
    <n v="10"/>
    <n v="0.35500935487649621"/>
    <n v="7"/>
    <n v="0.50763005645892856"/>
    <n v="0.875"/>
    <n v="2"/>
    <n v="0.69520355951056723"/>
    <n v="0.2"/>
    <n v="12"/>
    <n v="0.20549328465837388"/>
    <n v="0.8571428571428571"/>
    <n v="3"/>
    <n v="0.56055748570206854"/>
    <n v="0.5"/>
    <n v="13"/>
    <n v="0.42562455514916325"/>
    <n v="2.1666666666666665"/>
    <n v="8"/>
    <n v="0.13697607634130543"/>
    <n v="1.3333333333333333"/>
    <m/>
    <m/>
    <m/>
    <m/>
    <m/>
    <m/>
    <m/>
    <m/>
    <m/>
    <n v="5"/>
    <n v="100"/>
    <n v="5"/>
    <n v="0"/>
    <n v="0"/>
    <n v="0"/>
    <n v="51817.5"/>
    <n v="161460"/>
    <n v="11515"/>
    <n v="0"/>
    <n v="41"/>
    <n v="94423"/>
    <n v="31742.108608149145"/>
    <n v="6"/>
    <n v="100"/>
    <n v="7.5"/>
    <n v="0"/>
    <n v="0"/>
    <n v="0"/>
    <n v="56423.5"/>
    <n v="161460"/>
    <n v="17272.5"/>
    <n v="0"/>
    <n v="41"/>
    <n v="94423"/>
    <n v="47613.162912223721"/>
    <n v="9"/>
    <n v="93"/>
    <n v="10"/>
    <n v="0"/>
    <n v="0"/>
    <n v="55297"/>
    <n v="214179"/>
    <n v="23030"/>
    <n v="0"/>
    <n v="41"/>
    <n v="94423"/>
    <n v="75546.218487394959"/>
    <n v="8"/>
    <n v="79"/>
    <n v="7"/>
    <n v="0"/>
    <n v="0"/>
    <n v="127553.4"/>
    <n v="16121"/>
    <x v="0"/>
    <x v="0"/>
    <n v="41"/>
    <n v="94423"/>
    <n v="52882.352941176476"/>
    <n v="10"/>
    <n v="43"/>
    <n v="10"/>
    <m/>
    <n v="0"/>
    <n v="0"/>
    <n v="99029"/>
    <n v="16146"/>
    <x v="0"/>
    <n v="0"/>
    <n v="41"/>
    <n v="94423"/>
    <n v="75546.218487394959"/>
    <n v="14"/>
    <n v="53"/>
    <n v="12"/>
    <m/>
    <n v="0"/>
    <n v="0"/>
    <n v="122059"/>
    <n v="19375.199999999997"/>
    <n v="0"/>
    <n v="0"/>
    <n v="53"/>
    <n v="94423"/>
    <n v="90655.462184873963"/>
    <n v="6"/>
    <n v="44"/>
    <n v="3"/>
    <n v="0"/>
    <n v="0"/>
    <n v="0"/>
    <n v="101332"/>
    <n v="4843.7999999999993"/>
    <n v="0"/>
    <n v="0"/>
    <n v="44"/>
    <n v="94423"/>
    <n v="22663.865546218491"/>
    <n v="6"/>
    <n v="54"/>
    <n v="13"/>
    <n v="0"/>
    <n v="0"/>
    <n v="0"/>
    <n v="124362"/>
    <n v="20989.8"/>
    <n v="0"/>
    <n v="0"/>
    <n v="54"/>
    <n v="124362"/>
    <n v="98210.084033613457"/>
    <n v="6"/>
    <n v="49"/>
    <n v="4.5"/>
    <n v="0"/>
    <n v="0"/>
    <n v="0"/>
    <n v="79115.399999999994"/>
    <n v="7265.7"/>
    <n v="0"/>
    <n v="0"/>
    <n v="41"/>
    <n v="94423"/>
    <n v="33995.798319327732"/>
    <n v="12"/>
    <n v="44.5"/>
    <n v="12"/>
    <n v="0"/>
    <n v="0"/>
    <n v="0"/>
    <m/>
    <n v="71849.7"/>
    <n v="19375.199999999997"/>
    <n v="0"/>
    <n v="0"/>
    <n v="44.5"/>
    <n v="71849.7"/>
    <n v="80571.42857142858"/>
    <n v="15"/>
    <n v="32.5"/>
    <n v="15"/>
    <m/>
    <n v="0"/>
    <n v="0"/>
    <n v="52474.5"/>
    <n v="24219"/>
    <n v="0"/>
    <n v="0"/>
    <n v="32.5"/>
    <n v="52474.5"/>
    <n v="100714.28571428572"/>
    <n v="20"/>
    <n v="17.5"/>
    <n v="17.5"/>
    <n v="0"/>
    <n v="0"/>
    <n v="28255.5"/>
    <n v="28255.5"/>
    <n v="0"/>
    <n v="0"/>
    <n v="17.5"/>
    <n v="28255.5"/>
    <n v="132205.88235294117"/>
    <n v="9"/>
    <n v="0"/>
    <n v="9"/>
    <n v="0"/>
    <m/>
    <n v="0"/>
    <n v="20727"/>
    <n v="0"/>
    <n v="0"/>
    <n v="0"/>
    <n v="67991.596638655465"/>
  </r>
  <r>
    <m/>
    <x v="4"/>
    <x v="14"/>
    <x v="32"/>
    <s v="LHCALMED"/>
    <x v="142"/>
    <x v="139"/>
    <x v="0"/>
    <x v="0"/>
    <n v="1"/>
    <x v="100"/>
    <n v="78"/>
    <m/>
    <n v="0"/>
    <n v="2303"/>
    <n v="179634"/>
    <n v="1.56"/>
    <n v="1704.3"/>
    <n v="7554.6218487394963"/>
    <n v="6714.2857142857147"/>
    <s v="Shenzhen"/>
    <x v="0"/>
    <n v="30"/>
    <m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774236225699991"/>
    <n v="3"/>
    <n v="0.68934527539339596"/>
    <n v="0.375"/>
    <n v="6"/>
    <n v="0.68094598370197901"/>
    <n v="0.66666666666666663"/>
    <n v="2"/>
    <n v="0.65695744680851065"/>
    <n v="0.16666666666666666"/>
    <n v="2"/>
    <n v="0.58734020929007003"/>
    <n v="0.33333333333333331"/>
    <n v="4"/>
    <n v="0.39677028567754868"/>
    <n v="0.66666666666666663"/>
    <n v="5"/>
    <n v="0.3326826338629546"/>
    <n v="0.83333333333333337"/>
    <m/>
    <m/>
    <m/>
    <m/>
    <m/>
    <m/>
    <m/>
    <m/>
    <m/>
    <n v="5"/>
    <n v="100"/>
    <n v="5"/>
    <n v="0"/>
    <n v="0"/>
    <n v="0"/>
    <n v="13818"/>
    <n v="161460"/>
    <n v="11515"/>
    <n v="0"/>
    <n v="78"/>
    <n v="179634"/>
    <n v="31742.108608149145"/>
    <n v="6"/>
    <n v="100"/>
    <n v="0"/>
    <n v="0"/>
    <n v="0"/>
    <n v="0"/>
    <n v="9212"/>
    <n v="161460"/>
    <n v="0"/>
    <n v="0"/>
    <n v="78"/>
    <n v="179634"/>
    <n v="0"/>
    <n v="9"/>
    <n v="100"/>
    <n v="1"/>
    <n v="0"/>
    <n v="0"/>
    <n v="23743.4"/>
    <n v="230300"/>
    <n v="2303"/>
    <n v="0"/>
    <n v="78"/>
    <n v="179634"/>
    <n v="7554.6218487394963"/>
    <n v="8"/>
    <n v="98"/>
    <n v="3"/>
    <n v="0"/>
    <n v="0"/>
    <n v="158230.79999999999"/>
    <n v="6909"/>
    <x v="0"/>
    <x v="0"/>
    <n v="78"/>
    <n v="179634"/>
    <n v="22663.865546218491"/>
    <n v="9"/>
    <n v="84"/>
    <n v="9"/>
    <m/>
    <n v="0"/>
    <n v="0"/>
    <n v="193452"/>
    <n v="14531.4"/>
    <x v="0"/>
    <n v="0"/>
    <n v="78"/>
    <n v="179634"/>
    <n v="67991.596638655465"/>
    <n v="12"/>
    <n v="80"/>
    <n v="2"/>
    <m/>
    <n v="0"/>
    <n v="0"/>
    <n v="184240"/>
    <n v="3229.2"/>
    <n v="0"/>
    <n v="0"/>
    <n v="80"/>
    <n v="179634"/>
    <n v="15109.243697478993"/>
    <n v="6"/>
    <n v="80"/>
    <n v="2"/>
    <n v="0"/>
    <n v="0"/>
    <n v="0"/>
    <n v="184240"/>
    <n v="3229.2"/>
    <n v="0"/>
    <n v="0"/>
    <n v="80"/>
    <n v="179634"/>
    <n v="15109.243697478993"/>
    <n v="6"/>
    <n v="82"/>
    <n v="4"/>
    <n v="0"/>
    <n v="0"/>
    <n v="0"/>
    <n v="188846"/>
    <n v="6458.4"/>
    <n v="0"/>
    <n v="0"/>
    <n v="82"/>
    <n v="188846"/>
    <n v="30218.487394957985"/>
    <n v="6"/>
    <n v="83"/>
    <n v="6"/>
    <n v="0"/>
    <n v="0"/>
    <n v="0"/>
    <n v="134011.79999999999"/>
    <n v="9687.5999999999985"/>
    <n v="0"/>
    <n v="0"/>
    <n v="78"/>
    <n v="179634"/>
    <n v="45327.731092436981"/>
    <n v="12"/>
    <n v="77"/>
    <n v="12"/>
    <n v="0"/>
    <n v="0"/>
    <n v="0"/>
    <m/>
    <n v="124324.2"/>
    <n v="19375.199999999997"/>
    <n v="0"/>
    <n v="0"/>
    <n v="77"/>
    <n v="124324.2"/>
    <n v="80571.42857142858"/>
    <n v="15"/>
    <n v="65"/>
    <n v="15"/>
    <m/>
    <n v="0"/>
    <n v="0"/>
    <n v="104949"/>
    <n v="24219"/>
    <n v="0"/>
    <n v="0"/>
    <n v="65"/>
    <n v="104949"/>
    <n v="100714.28571428572"/>
    <n v="20"/>
    <n v="50"/>
    <n v="20"/>
    <n v="0"/>
    <n v="0"/>
    <n v="80730"/>
    <n v="32292"/>
    <n v="0"/>
    <n v="0"/>
    <n v="50"/>
    <n v="80730"/>
    <n v="151092.43697478992"/>
    <n v="9"/>
    <n v="30"/>
    <n v="9"/>
    <n v="0"/>
    <m/>
    <n v="48438"/>
    <n v="20727"/>
    <n v="0"/>
    <n v="30"/>
    <n v="48438"/>
    <n v="67991.596638655465"/>
  </r>
  <r>
    <s v="Lhotse-Accesorio Vestuario"/>
    <x v="4"/>
    <x v="14"/>
    <x v="32"/>
    <s v="LHCALMED"/>
    <x v="143"/>
    <x v="140"/>
    <x v="0"/>
    <x v="0"/>
    <n v="1"/>
    <x v="101"/>
    <n v="85"/>
    <m/>
    <n v="0"/>
    <n v="2303"/>
    <n v="195755"/>
    <n v="1.56"/>
    <n v="1704.3"/>
    <n v="7554.6218487394963"/>
    <n v="6714.2857142857147"/>
    <s v="Shenzhen"/>
    <x v="0"/>
    <n v="30"/>
    <m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"/>
    <n v="1"/>
    <n v="0.6951687473068483"/>
    <n v="1"/>
    <n v="0.6951687473068483"/>
    <n v="4"/>
    <n v="0.47133865594797258"/>
    <n v="0.5"/>
    <n v="4"/>
    <n v="0.60324115631484965"/>
    <n v="0.44444444444444442"/>
    <n v="3"/>
    <s v=""/>
    <n v="0.25"/>
    <n v="0"/>
    <s v=""/>
    <n v="0"/>
    <n v="5"/>
    <s v=""/>
    <n v="0.83333333333333337"/>
    <n v="5"/>
    <n v="0.44905401093807923"/>
    <n v="0.83333333333333337"/>
    <m/>
    <m/>
    <m/>
    <m/>
    <m/>
    <m/>
    <m/>
    <m/>
    <m/>
    <n v="5"/>
    <n v="100"/>
    <n v="5"/>
    <n v="0"/>
    <n v="0"/>
    <n v="0"/>
    <n v="17272.5"/>
    <n v="161460"/>
    <n v="11515"/>
    <n v="0"/>
    <n v="85"/>
    <n v="195755"/>
    <n v="31742.108608149145"/>
    <n v="6"/>
    <n v="97"/>
    <n v="1.5"/>
    <n v="0"/>
    <n v="0"/>
    <n v="0"/>
    <n v="14969.5"/>
    <n v="156616.19999999998"/>
    <n v="3454.5"/>
    <n v="0"/>
    <n v="85"/>
    <n v="195755"/>
    <n v="9522.6325824447449"/>
    <n v="9"/>
    <n v="96"/>
    <n v="1"/>
    <n v="0"/>
    <n v="0"/>
    <n v="26046.400000000001"/>
    <n v="221088"/>
    <n v="2303"/>
    <n v="0"/>
    <n v="85"/>
    <n v="195755"/>
    <n v="7554.6218487394963"/>
    <n v="8"/>
    <n v="91"/>
    <n v="4"/>
    <n v="0"/>
    <n v="0"/>
    <n v="146928.6"/>
    <n v="9212"/>
    <x v="0"/>
    <x v="0"/>
    <n v="85"/>
    <n v="195755"/>
    <n v="30218.487394957985"/>
    <n v="9"/>
    <n v="89"/>
    <n v="9"/>
    <m/>
    <n v="0"/>
    <n v="0"/>
    <n v="204967"/>
    <n v="14531.4"/>
    <x v="0"/>
    <n v="0"/>
    <n v="85"/>
    <n v="195755"/>
    <n v="67991.596638655465"/>
    <n v="12"/>
    <n v="88"/>
    <n v="3"/>
    <m/>
    <n v="0"/>
    <n v="0"/>
    <n v="202664"/>
    <n v="4843.7999999999993"/>
    <n v="0"/>
    <n v="0"/>
    <n v="88"/>
    <n v="195755"/>
    <n v="22663.865546218491"/>
    <n v="6"/>
    <n v="85"/>
    <n v="0"/>
    <n v="0"/>
    <n v="0"/>
    <n v="0"/>
    <n v="195755"/>
    <n v="0"/>
    <n v="0"/>
    <n v="0"/>
    <n v="85"/>
    <n v="195755"/>
    <n v="0"/>
    <n v="6"/>
    <n v="90"/>
    <n v="5"/>
    <n v="0"/>
    <n v="0"/>
    <n v="0"/>
    <n v="207270"/>
    <n v="8073"/>
    <n v="0"/>
    <n v="0"/>
    <n v="90"/>
    <n v="207270"/>
    <n v="37773.10924369748"/>
    <n v="6"/>
    <n v="90"/>
    <n v="4.5"/>
    <n v="0"/>
    <n v="0"/>
    <n v="0"/>
    <n v="145314"/>
    <n v="7265.7"/>
    <n v="0"/>
    <n v="0"/>
    <n v="85"/>
    <n v="195755"/>
    <n v="33995.798319327732"/>
    <n v="12"/>
    <n v="85.5"/>
    <n v="12"/>
    <n v="0"/>
    <n v="0"/>
    <n v="0"/>
    <m/>
    <n v="138048.29999999999"/>
    <n v="19375.199999999997"/>
    <n v="0"/>
    <n v="0"/>
    <n v="85.5"/>
    <n v="138048.29999999999"/>
    <n v="80571.42857142858"/>
    <n v="15"/>
    <n v="73.5"/>
    <n v="15"/>
    <m/>
    <n v="0"/>
    <n v="0"/>
    <n v="118673.09999999999"/>
    <n v="24219"/>
    <n v="0"/>
    <n v="0"/>
    <n v="73.5"/>
    <n v="118673.09999999999"/>
    <n v="100714.28571428572"/>
    <n v="20"/>
    <n v="58.5"/>
    <n v="20"/>
    <n v="0"/>
    <n v="0"/>
    <n v="94454.099999999991"/>
    <n v="32292"/>
    <n v="0"/>
    <n v="0"/>
    <n v="58.5"/>
    <n v="94454.099999999991"/>
    <n v="151092.43697478992"/>
    <n v="9"/>
    <n v="38.5"/>
    <n v="9"/>
    <n v="0"/>
    <m/>
    <n v="62162.1"/>
    <n v="20727"/>
    <n v="0"/>
    <n v="38.5"/>
    <n v="62162.1"/>
    <n v="67991.596638655465"/>
  </r>
  <r>
    <s v="Lhotse-Accesorio Vestuario"/>
    <x v="4"/>
    <x v="14"/>
    <x v="32"/>
    <s v="LHCALMED"/>
    <x v="144"/>
    <x v="141"/>
    <x v="0"/>
    <x v="0"/>
    <n v="1"/>
    <x v="102"/>
    <n v="84"/>
    <m/>
    <n v="0"/>
    <n v="2303"/>
    <n v="193452"/>
    <n v="1.56"/>
    <n v="1704.3"/>
    <n v="7554.6218487394963"/>
    <n v="6714.2857142857147"/>
    <s v="Shenzhen"/>
    <x v="0"/>
    <n v="30"/>
    <m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780561422813987"/>
    <n v="1"/>
    <n v="0.31433707170509417"/>
    <n v="2"/>
    <n v="0.44858043612574588"/>
    <n v="0.25"/>
    <n v="2"/>
    <n v="0.66125818811024595"/>
    <n v="0.22222222222222221"/>
    <n v="2"/>
    <n v="0.61093617021276592"/>
    <n v="0.16666666666666666"/>
    <n v="1"/>
    <n v="0.56446051167964406"/>
    <n v="0.16666666666666666"/>
    <n v="5"/>
    <n v="0.3899915258174978"/>
    <n v="0.83333333333333337"/>
    <n v="5"/>
    <n v="0.46156765427709318"/>
    <n v="0.83333333333333337"/>
    <m/>
    <m/>
    <m/>
    <m/>
    <m/>
    <m/>
    <m/>
    <m/>
    <m/>
    <n v="5"/>
    <n v="100"/>
    <n v="5"/>
    <n v="0"/>
    <n v="0"/>
    <n v="0"/>
    <n v="17272.5"/>
    <n v="161460"/>
    <n v="11515"/>
    <n v="0"/>
    <n v="84"/>
    <n v="193452"/>
    <n v="31742.108608149145"/>
    <n v="6"/>
    <n v="100"/>
    <n v="1.5"/>
    <n v="0"/>
    <n v="0"/>
    <n v="0"/>
    <n v="10363.5"/>
    <n v="161460"/>
    <n v="3454.5"/>
    <n v="0"/>
    <n v="84"/>
    <n v="193452"/>
    <n v="9522.6325824447449"/>
    <n v="9"/>
    <n v="99"/>
    <n v="1"/>
    <n v="0"/>
    <n v="0"/>
    <n v="21440.400000000001"/>
    <n v="227997"/>
    <n v="2303"/>
    <n v="0"/>
    <n v="84"/>
    <n v="193452"/>
    <n v="7554.6218487394963"/>
    <n v="8"/>
    <n v="97"/>
    <n v="2"/>
    <n v="0"/>
    <n v="0"/>
    <n v="156616.19999999998"/>
    <n v="4606"/>
    <x v="0"/>
    <x v="0"/>
    <n v="84"/>
    <n v="193452"/>
    <n v="15109.243697478993"/>
    <n v="9"/>
    <n v="86"/>
    <n v="9"/>
    <m/>
    <n v="0"/>
    <n v="0"/>
    <n v="198058"/>
    <n v="14531.4"/>
    <x v="0"/>
    <n v="0"/>
    <n v="84"/>
    <n v="193452"/>
    <n v="67991.596638655465"/>
    <n v="12"/>
    <n v="86"/>
    <n v="2"/>
    <m/>
    <n v="0"/>
    <n v="0"/>
    <n v="198058"/>
    <n v="3229.2"/>
    <n v="0"/>
    <n v="0"/>
    <n v="86"/>
    <n v="193452"/>
    <n v="15109.243697478993"/>
    <n v="6"/>
    <n v="85"/>
    <n v="1"/>
    <n v="0"/>
    <n v="0"/>
    <n v="0"/>
    <n v="195755"/>
    <n v="1614.6"/>
    <n v="0"/>
    <n v="0"/>
    <n v="85"/>
    <n v="193452"/>
    <n v="7554.6218487394963"/>
    <n v="6"/>
    <n v="89"/>
    <n v="5"/>
    <n v="0"/>
    <n v="0"/>
    <n v="0"/>
    <n v="204967"/>
    <n v="8073"/>
    <n v="0"/>
    <n v="0"/>
    <n v="89"/>
    <n v="204967"/>
    <n v="37773.10924369748"/>
    <n v="6"/>
    <n v="89"/>
    <n v="4.5"/>
    <n v="0"/>
    <n v="0"/>
    <n v="0"/>
    <n v="143699.4"/>
    <n v="7265.7"/>
    <n v="0"/>
    <n v="0"/>
    <n v="84"/>
    <n v="193452"/>
    <n v="33995.798319327732"/>
    <n v="12"/>
    <n v="84.5"/>
    <n v="12"/>
    <n v="0"/>
    <n v="0"/>
    <n v="0"/>
    <m/>
    <n v="136433.69999999998"/>
    <n v="19375.199999999997"/>
    <n v="0"/>
    <n v="0"/>
    <n v="84.5"/>
    <n v="136433.69999999998"/>
    <n v="80571.42857142858"/>
    <n v="15"/>
    <n v="72.5"/>
    <n v="15"/>
    <m/>
    <n v="0"/>
    <n v="0"/>
    <n v="117058.5"/>
    <n v="24219"/>
    <n v="0"/>
    <n v="0"/>
    <n v="72.5"/>
    <n v="117058.5"/>
    <n v="100714.28571428572"/>
    <n v="20"/>
    <n v="57.5"/>
    <n v="20"/>
    <n v="0"/>
    <n v="0"/>
    <n v="92839.5"/>
    <n v="32292"/>
    <n v="0"/>
    <n v="0"/>
    <n v="57.5"/>
    <n v="92839.5"/>
    <n v="151092.43697478992"/>
    <n v="9"/>
    <n v="37.5"/>
    <n v="9"/>
    <n v="0"/>
    <m/>
    <n v="60547.5"/>
    <n v="20727"/>
    <n v="0"/>
    <n v="37.5"/>
    <n v="60547.5"/>
    <n v="67991.596638655465"/>
  </r>
  <r>
    <m/>
    <x v="4"/>
    <x v="14"/>
    <x v="32"/>
    <s v="LHCALMED"/>
    <x v="145"/>
    <x v="142"/>
    <x v="0"/>
    <x v="0"/>
    <n v="1"/>
    <x v="103"/>
    <n v="73"/>
    <m/>
    <n v="0"/>
    <n v="2303"/>
    <n v="168119"/>
    <n v="1.56"/>
    <n v="1704.3"/>
    <n v="7554.6218487394963"/>
    <n v="6714.2857142857147"/>
    <s v="Shenzhen"/>
    <x v="0"/>
    <n v="30"/>
    <m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1"/>
    <n v="0.6951687473068483"/>
    <n v="4"/>
    <n v="0.51091993799621249"/>
    <n v="5"/>
    <n v="0.47008473292135827"/>
    <n v="0.625"/>
    <n v="3"/>
    <n v="0.53276617509163748"/>
    <n v="0.33333333333333331"/>
    <n v="9"/>
    <n v="0.38251001177856297"/>
    <n v="0.75"/>
    <n v="0"/>
    <s v=""/>
    <n v="0"/>
    <n v="5"/>
    <s v=""/>
    <n v="0.83333333333333337"/>
    <n v="4"/>
    <n v="0.42679474342928658"/>
    <n v="0.66666666666666663"/>
    <m/>
    <m/>
    <m/>
    <m/>
    <m/>
    <m/>
    <m/>
    <m/>
    <m/>
    <n v="5"/>
    <n v="100"/>
    <n v="5"/>
    <n v="0"/>
    <n v="0"/>
    <n v="0"/>
    <n v="24181.5"/>
    <n v="161460"/>
    <n v="11515"/>
    <n v="0"/>
    <n v="73"/>
    <n v="168119"/>
    <n v="31742.108608149145"/>
    <n v="6"/>
    <n v="99"/>
    <n v="1.5"/>
    <n v="0"/>
    <n v="0"/>
    <n v="0"/>
    <n v="24181.5"/>
    <n v="159845.4"/>
    <n v="3454.5"/>
    <n v="0"/>
    <n v="73"/>
    <n v="168119"/>
    <n v="9522.6325824447449"/>
    <n v="9"/>
    <n v="98"/>
    <n v="4"/>
    <n v="0"/>
    <n v="0"/>
    <n v="35258.400000000001"/>
    <n v="225694"/>
    <n v="9212"/>
    <n v="0"/>
    <n v="73"/>
    <n v="168119"/>
    <n v="30218.487394957985"/>
    <n v="8"/>
    <n v="90"/>
    <n v="5"/>
    <n v="0"/>
    <n v="0"/>
    <n v="145314"/>
    <n v="11515"/>
    <x v="0"/>
    <x v="0"/>
    <n v="73"/>
    <n v="168119"/>
    <n v="37773.10924369748"/>
    <n v="9"/>
    <n v="76"/>
    <n v="9"/>
    <m/>
    <n v="0"/>
    <n v="0"/>
    <n v="175028"/>
    <n v="14531.4"/>
    <x v="0"/>
    <n v="0"/>
    <n v="73"/>
    <n v="168119"/>
    <n v="67991.596638655465"/>
    <n v="12"/>
    <n v="82"/>
    <n v="9"/>
    <m/>
    <n v="0"/>
    <n v="0"/>
    <n v="188846"/>
    <n v="14531.4"/>
    <n v="0"/>
    <n v="0"/>
    <n v="82"/>
    <n v="168119"/>
    <n v="67991.596638655465"/>
    <n v="6"/>
    <n v="73"/>
    <n v="0"/>
    <n v="0"/>
    <n v="0"/>
    <n v="0"/>
    <n v="168119"/>
    <n v="0"/>
    <n v="0"/>
    <n v="0"/>
    <n v="73"/>
    <n v="168119"/>
    <n v="0"/>
    <n v="6"/>
    <n v="78"/>
    <n v="5"/>
    <n v="0"/>
    <n v="0"/>
    <n v="0"/>
    <n v="179634"/>
    <n v="8073"/>
    <n v="0"/>
    <n v="0"/>
    <n v="78"/>
    <n v="179634"/>
    <n v="37773.10924369748"/>
    <n v="6"/>
    <n v="77"/>
    <n v="4.5"/>
    <n v="0"/>
    <n v="0"/>
    <n v="0"/>
    <n v="124324.2"/>
    <n v="7265.7"/>
    <n v="0"/>
    <n v="0"/>
    <n v="73"/>
    <n v="168119"/>
    <n v="33995.798319327732"/>
    <n v="12"/>
    <n v="72.5"/>
    <n v="12"/>
    <n v="0"/>
    <n v="0"/>
    <n v="0"/>
    <m/>
    <n v="117058.5"/>
    <n v="19375.199999999997"/>
    <n v="0"/>
    <n v="0"/>
    <n v="72.5"/>
    <n v="117058.5"/>
    <n v="80571.42857142858"/>
    <n v="15"/>
    <n v="60.5"/>
    <n v="15"/>
    <m/>
    <n v="0"/>
    <n v="0"/>
    <n v="97683.299999999988"/>
    <n v="24219"/>
    <n v="0"/>
    <n v="0"/>
    <n v="60.5"/>
    <n v="97683.299999999988"/>
    <n v="100714.28571428572"/>
    <n v="20"/>
    <n v="45.5"/>
    <n v="20"/>
    <n v="0"/>
    <n v="0"/>
    <n v="73464.3"/>
    <n v="32292"/>
    <n v="0"/>
    <n v="0"/>
    <n v="45.5"/>
    <n v="73464.3"/>
    <n v="151092.43697478992"/>
    <n v="9"/>
    <n v="25.5"/>
    <n v="9"/>
    <n v="0"/>
    <m/>
    <n v="41172.299999999996"/>
    <n v="20727"/>
    <n v="0"/>
    <n v="25.5"/>
    <n v="41172.299999999996"/>
    <n v="67991.596638655465"/>
  </r>
  <r>
    <s v="Lhotse-Accesorio Vestuario"/>
    <x v="4"/>
    <x v="14"/>
    <x v="32"/>
    <s v="LHCALMED"/>
    <x v="146"/>
    <x v="143"/>
    <x v="0"/>
    <x v="0"/>
    <n v="1"/>
    <x v="104"/>
    <n v="78"/>
    <m/>
    <n v="0"/>
    <n v="2303"/>
    <n v="179634"/>
    <n v="1.56"/>
    <n v="1704.3"/>
    <n v="7554.6218487394963"/>
    <n v="6714.2857142857147"/>
    <s v="Shenzhen"/>
    <x v="0"/>
    <n v="30"/>
    <m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780561422813987"/>
    <n v="2"/>
    <n v="0.39158200678621941"/>
    <n v="5"/>
    <n v="0.61262112102037858"/>
    <n v="0.625"/>
    <n v="2"/>
    <n v="0.69520355951056723"/>
    <n v="0.22222222222222221"/>
    <n v="6"/>
    <n v="0.40825282191194562"/>
    <n v="0.5"/>
    <n v="0"/>
    <s v=""/>
    <n v="0"/>
    <n v="3"/>
    <s v=""/>
    <n v="0.5"/>
    <n v="3"/>
    <s v=""/>
    <n v="0.5"/>
    <m/>
    <m/>
    <m/>
    <m/>
    <m/>
    <m/>
    <m/>
    <m/>
    <m/>
    <n v="5"/>
    <n v="100"/>
    <n v="5"/>
    <n v="0"/>
    <n v="0"/>
    <n v="0"/>
    <n v="19575.5"/>
    <n v="161460"/>
    <n v="11515"/>
    <n v="0"/>
    <n v="78"/>
    <n v="179634"/>
    <n v="31742.108608149145"/>
    <n v="6"/>
    <n v="100"/>
    <n v="1.5"/>
    <n v="0"/>
    <n v="0"/>
    <n v="0"/>
    <n v="19575.5"/>
    <n v="161460"/>
    <n v="3454.5"/>
    <n v="0"/>
    <n v="78"/>
    <n v="179634"/>
    <n v="9522.6325824447449"/>
    <n v="9"/>
    <n v="99"/>
    <n v="2"/>
    <n v="0"/>
    <n v="0"/>
    <n v="30652.400000000001"/>
    <n v="227997"/>
    <n v="4606"/>
    <n v="0"/>
    <n v="78"/>
    <n v="179634"/>
    <n v="15109.243697478993"/>
    <n v="8"/>
    <n v="96"/>
    <n v="5"/>
    <n v="0"/>
    <n v="0"/>
    <n v="155001.59999999998"/>
    <n v="11515"/>
    <x v="0"/>
    <x v="0"/>
    <n v="78"/>
    <n v="179634"/>
    <n v="37773.10924369748"/>
    <n v="9"/>
    <n v="80"/>
    <n v="9"/>
    <m/>
    <n v="0"/>
    <n v="0"/>
    <n v="184240"/>
    <n v="14531.4"/>
    <x v="0"/>
    <n v="0"/>
    <n v="78"/>
    <n v="179634"/>
    <n v="67991.596638655465"/>
    <n v="12"/>
    <n v="84"/>
    <n v="6"/>
    <m/>
    <n v="0"/>
    <n v="0"/>
    <n v="193452"/>
    <n v="9687.5999999999985"/>
    <n v="0"/>
    <n v="0"/>
    <n v="84"/>
    <n v="179634"/>
    <n v="45327.731092436981"/>
    <n v="6"/>
    <n v="78"/>
    <n v="0"/>
    <n v="0"/>
    <n v="0"/>
    <n v="0"/>
    <n v="179634"/>
    <n v="0"/>
    <n v="0"/>
    <n v="0"/>
    <n v="78"/>
    <n v="179634"/>
    <n v="0"/>
    <n v="6"/>
    <n v="81"/>
    <n v="3"/>
    <n v="0"/>
    <n v="0"/>
    <n v="0"/>
    <n v="186543"/>
    <n v="4843.7999999999993"/>
    <n v="0"/>
    <n v="0"/>
    <n v="81"/>
    <n v="186543"/>
    <n v="22663.865546218491"/>
    <n v="6"/>
    <n v="81"/>
    <n v="4.5"/>
    <n v="0"/>
    <n v="0"/>
    <n v="0"/>
    <n v="130782.59999999999"/>
    <n v="7265.7"/>
    <n v="0"/>
    <n v="0"/>
    <n v="78"/>
    <n v="179634"/>
    <n v="33995.798319327732"/>
    <n v="12"/>
    <n v="76.5"/>
    <n v="12"/>
    <n v="0"/>
    <n v="0"/>
    <n v="0"/>
    <m/>
    <n v="123516.9"/>
    <n v="19375.199999999997"/>
    <n v="0"/>
    <n v="0"/>
    <n v="76.5"/>
    <n v="123516.9"/>
    <n v="80571.42857142858"/>
    <n v="15"/>
    <n v="64.5"/>
    <n v="15"/>
    <m/>
    <n v="0"/>
    <n v="0"/>
    <n v="104141.7"/>
    <n v="24219"/>
    <n v="0"/>
    <n v="0"/>
    <n v="64.5"/>
    <n v="104141.7"/>
    <n v="100714.28571428572"/>
    <n v="20"/>
    <n v="49.5"/>
    <n v="20"/>
    <n v="0"/>
    <n v="0"/>
    <n v="79922.7"/>
    <n v="32292"/>
    <n v="0"/>
    <n v="0"/>
    <n v="49.5"/>
    <n v="79922.7"/>
    <n v="151092.43697478992"/>
    <n v="9"/>
    <n v="29.5"/>
    <n v="9"/>
    <n v="0"/>
    <m/>
    <n v="47630.7"/>
    <n v="20727"/>
    <n v="0"/>
    <n v="29.5"/>
    <n v="47630.7"/>
    <n v="67991.596638655465"/>
  </r>
  <r>
    <s v="Lhotse-Accesorio Vestuario"/>
    <x v="4"/>
    <x v="14"/>
    <x v="33"/>
    <s v="LHJOCK5PDEC-BK"/>
    <x v="147"/>
    <x v="144"/>
    <x v="0"/>
    <x v="4"/>
    <n v="1"/>
    <x v="31"/>
    <n v="0"/>
    <m/>
    <n v="0"/>
    <n v="3358"/>
    <n v="0"/>
    <n v="3.65"/>
    <n v="3358"/>
    <n v="8465.5462184873959"/>
    <n v="7195.7142857142862"/>
    <s v="Shenzhen"/>
    <x v="0"/>
    <n v="60"/>
    <m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n v="0"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15"/>
    <n v="0"/>
    <n v="0"/>
    <m/>
    <n v="0"/>
    <n v="0"/>
    <n v="0"/>
    <n v="0"/>
    <n v="0"/>
    <n v="0"/>
    <n v="0"/>
    <n v="0"/>
    <n v="0"/>
    <n v="30"/>
    <n v="0"/>
    <n v="30"/>
    <n v="100"/>
    <n v="100"/>
    <n v="0"/>
    <n v="113332.49999999999"/>
    <n v="377774.99999999994"/>
    <n v="377774.99999999994"/>
    <n v="100"/>
    <n v="377774.99999999994"/>
    <n v="253966.38655462189"/>
    <n v="9"/>
    <n v="70"/>
    <n v="9"/>
    <n v="0"/>
    <m/>
    <n v="264442.49999999994"/>
    <n v="30222"/>
    <n v="0"/>
    <n v="70"/>
    <n v="264442.49999999994"/>
    <n v="76189.915966386558"/>
  </r>
  <r>
    <m/>
    <x v="4"/>
    <x v="14"/>
    <x v="33"/>
    <s v="LHJOCK5PDEC-ML"/>
    <x v="148"/>
    <x v="145"/>
    <x v="0"/>
    <x v="4"/>
    <n v="1"/>
    <x v="31"/>
    <n v="0"/>
    <m/>
    <n v="0"/>
    <n v="3358"/>
    <n v="0"/>
    <n v="3.65"/>
    <n v="3358"/>
    <n v="8465.5462184873959"/>
    <n v="7195.7142857142862"/>
    <s v="Shenzhen"/>
    <x v="0"/>
    <n v="60"/>
    <m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n v="0"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15"/>
    <n v="0"/>
    <n v="0"/>
    <m/>
    <n v="0"/>
    <n v="0"/>
    <n v="0"/>
    <n v="0"/>
    <n v="0"/>
    <n v="0"/>
    <n v="0"/>
    <n v="0"/>
    <n v="0"/>
    <n v="30"/>
    <n v="0"/>
    <n v="30"/>
    <n v="100"/>
    <n v="100"/>
    <n v="0"/>
    <n v="113332.49999999999"/>
    <n v="377774.99999999994"/>
    <n v="377774.99999999994"/>
    <n v="100"/>
    <n v="377774.99999999994"/>
    <n v="253966.38655462189"/>
    <n v="9"/>
    <n v="70"/>
    <n v="9"/>
    <n v="0"/>
    <m/>
    <n v="264442.49999999994"/>
    <n v="30222"/>
    <n v="0"/>
    <n v="70"/>
    <n v="264442.49999999994"/>
    <n v="76189.915966386558"/>
  </r>
  <r>
    <s v="Lhotse-Accesorio Vestuario"/>
    <x v="4"/>
    <x v="14"/>
    <x v="33"/>
    <s v="LHJOCKTR-BK"/>
    <x v="149"/>
    <x v="146"/>
    <x v="0"/>
    <x v="4"/>
    <n v="1"/>
    <x v="31"/>
    <n v="0"/>
    <m/>
    <n v="0"/>
    <n v="3496"/>
    <n v="0"/>
    <n v="3.8"/>
    <n v="3496"/>
    <n v="8813.4453781512602"/>
    <n v="7491.4285714285706"/>
    <s v="Shenzhen"/>
    <x v="0"/>
    <n v="60"/>
    <m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n v="0"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15"/>
    <n v="0"/>
    <n v="0"/>
    <m/>
    <n v="0"/>
    <n v="0"/>
    <n v="0"/>
    <n v="0"/>
    <n v="0"/>
    <n v="0"/>
    <n v="0"/>
    <n v="0"/>
    <n v="0"/>
    <n v="30"/>
    <n v="0"/>
    <n v="0"/>
    <n v="0"/>
    <n v="0"/>
    <n v="0"/>
    <n v="0"/>
    <n v="0"/>
    <n v="0"/>
    <n v="0"/>
    <n v="0"/>
    <n v="0"/>
    <n v="9"/>
    <n v="0"/>
    <n v="9"/>
    <n v="0"/>
    <m/>
    <n v="0"/>
    <n v="31464"/>
    <n v="0"/>
    <n v="0"/>
    <n v="0"/>
    <n v="79321.008403361338"/>
  </r>
  <r>
    <s v="Lhotse-Accesorio Vestuario"/>
    <x v="4"/>
    <x v="14"/>
    <x v="33"/>
    <s v="LHJOCKTR-GR"/>
    <x v="150"/>
    <x v="147"/>
    <x v="0"/>
    <x v="4"/>
    <n v="1"/>
    <x v="31"/>
    <n v="0"/>
    <m/>
    <n v="0"/>
    <n v="3496"/>
    <n v="0"/>
    <n v="3.8"/>
    <n v="3496"/>
    <n v="8813.4453781512602"/>
    <n v="7491.4285714285706"/>
    <s v="Shenzhen"/>
    <x v="0"/>
    <n v="60"/>
    <m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n v="0"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15"/>
    <n v="0"/>
    <n v="0"/>
    <m/>
    <n v="0"/>
    <n v="0"/>
    <n v="0"/>
    <n v="0"/>
    <n v="0"/>
    <n v="0"/>
    <n v="0"/>
    <n v="0"/>
    <n v="0"/>
    <n v="30"/>
    <n v="0"/>
    <n v="0"/>
    <n v="0"/>
    <n v="0"/>
    <n v="0"/>
    <n v="0"/>
    <n v="0"/>
    <n v="0"/>
    <n v="0"/>
    <n v="0"/>
    <n v="0"/>
    <n v="9"/>
    <n v="0"/>
    <n v="9"/>
    <n v="0"/>
    <m/>
    <n v="0"/>
    <n v="31464"/>
    <n v="0"/>
    <n v="0"/>
    <n v="0"/>
    <n v="79321.008403361338"/>
  </r>
  <r>
    <s v="Lhotse-Accesorio Vestuario"/>
    <x v="4"/>
    <x v="14"/>
    <x v="33"/>
    <s v="LHJOCKTR-PP"/>
    <x v="151"/>
    <x v="148"/>
    <x v="0"/>
    <x v="4"/>
    <n v="1"/>
    <x v="31"/>
    <n v="0"/>
    <m/>
    <n v="0"/>
    <n v="3496"/>
    <n v="0"/>
    <n v="3.8"/>
    <n v="3496"/>
    <n v="8813.4453781512602"/>
    <n v="7491.4285714285706"/>
    <s v="Shenzhen"/>
    <x v="0"/>
    <n v="60"/>
    <m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n v="0"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15"/>
    <n v="0"/>
    <n v="0"/>
    <m/>
    <n v="0"/>
    <n v="0"/>
    <n v="0"/>
    <n v="0"/>
    <n v="0"/>
    <n v="0"/>
    <n v="0"/>
    <n v="0"/>
    <n v="0"/>
    <n v="30"/>
    <n v="0"/>
    <n v="0"/>
    <n v="0"/>
    <n v="0"/>
    <n v="0"/>
    <n v="0"/>
    <n v="0"/>
    <n v="0"/>
    <n v="0"/>
    <n v="0"/>
    <n v="0"/>
    <n v="9"/>
    <n v="0"/>
    <n v="9"/>
    <n v="0"/>
    <m/>
    <n v="0"/>
    <n v="31464"/>
    <n v="0"/>
    <n v="0"/>
    <n v="0"/>
    <n v="79321.008403361338"/>
  </r>
  <r>
    <s v="Lhotse-Accesorio Vestuario"/>
    <x v="4"/>
    <x v="14"/>
    <x v="33"/>
    <s v="LHJOCTREKRIS-BL"/>
    <x v="152"/>
    <x v="149"/>
    <x v="0"/>
    <x v="4"/>
    <n v="1"/>
    <x v="31"/>
    <n v="0"/>
    <m/>
    <n v="0"/>
    <n v="2944"/>
    <n v="0"/>
    <n v="3.2"/>
    <n v="2944"/>
    <n v="7421.8487394957983"/>
    <n v="6308.5714285714284"/>
    <s v="Shenzhen"/>
    <x v="0"/>
    <n v="60"/>
    <m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n v="0"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15"/>
    <n v="0"/>
    <n v="0"/>
    <m/>
    <n v="0"/>
    <n v="0"/>
    <n v="0"/>
    <n v="0"/>
    <n v="0"/>
    <n v="0"/>
    <n v="0"/>
    <n v="0"/>
    <n v="0"/>
    <n v="30"/>
    <n v="0"/>
    <n v="30"/>
    <n v="100"/>
    <n v="100"/>
    <n v="0"/>
    <n v="99359.999999999985"/>
    <n v="331199.99999999994"/>
    <n v="331199.99999999994"/>
    <n v="100"/>
    <n v="331199.99999999994"/>
    <n v="222655.46218487396"/>
    <n v="9"/>
    <n v="70"/>
    <n v="9"/>
    <n v="0"/>
    <m/>
    <n v="231839.99999999997"/>
    <n v="26496"/>
    <n v="0"/>
    <n v="70"/>
    <n v="231839.99999999997"/>
    <n v="66796.638655462186"/>
  </r>
  <r>
    <s v="Lhotse-Accesorio Vestuario"/>
    <x v="4"/>
    <x v="14"/>
    <x v="33"/>
    <s v="LHJOCTREKSOU-OR"/>
    <x v="153"/>
    <x v="150"/>
    <x v="0"/>
    <x v="4"/>
    <n v="1"/>
    <x v="31"/>
    <n v="0"/>
    <m/>
    <n v="0"/>
    <n v="2944"/>
    <n v="0"/>
    <n v="3.2"/>
    <n v="2944"/>
    <n v="7421.8487394957983"/>
    <n v="6308.5714285714284"/>
    <s v="Shenzhen"/>
    <x v="0"/>
    <n v="60"/>
    <m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n v="0"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15"/>
    <n v="0"/>
    <n v="0"/>
    <m/>
    <n v="0"/>
    <n v="0"/>
    <n v="0"/>
    <n v="0"/>
    <n v="0"/>
    <n v="0"/>
    <n v="0"/>
    <n v="0"/>
    <n v="0"/>
    <n v="30"/>
    <n v="0"/>
    <n v="30"/>
    <n v="100"/>
    <n v="100"/>
    <n v="0"/>
    <n v="99359.999999999985"/>
    <n v="331199.99999999994"/>
    <n v="331199.99999999994"/>
    <n v="100"/>
    <n v="331199.99999999994"/>
    <n v="222655.46218487396"/>
    <n v="9"/>
    <n v="70"/>
    <n v="9"/>
    <n v="0"/>
    <m/>
    <n v="231839.99999999997"/>
    <n v="26496"/>
    <n v="0"/>
    <n v="70"/>
    <n v="231839.99999999997"/>
    <n v="66796.638655462186"/>
  </r>
  <r>
    <s v="Lhotse-Accesorio Vestuario"/>
    <x v="4"/>
    <x v="14"/>
    <x v="33"/>
    <s v="LHJOCTREKSUM-GR"/>
    <x v="154"/>
    <x v="151"/>
    <x v="0"/>
    <x v="4"/>
    <n v="1"/>
    <x v="31"/>
    <n v="0"/>
    <m/>
    <n v="0"/>
    <n v="2944"/>
    <n v="0"/>
    <n v="3.2"/>
    <n v="2944"/>
    <n v="7421.8487394957983"/>
    <n v="6308.5714285714284"/>
    <s v="Shenzhen"/>
    <x v="0"/>
    <n v="60"/>
    <m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n v="0"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15"/>
    <n v="0"/>
    <n v="0"/>
    <m/>
    <n v="0"/>
    <n v="0"/>
    <n v="0"/>
    <n v="0"/>
    <n v="0"/>
    <n v="0"/>
    <n v="0"/>
    <n v="0"/>
    <n v="0"/>
    <n v="30"/>
    <n v="0"/>
    <n v="30"/>
    <n v="100"/>
    <n v="100"/>
    <n v="0"/>
    <n v="99359.999999999985"/>
    <n v="331199.99999999994"/>
    <n v="331199.99999999994"/>
    <n v="100"/>
    <n v="331199.99999999994"/>
    <n v="222655.46218487396"/>
    <n v="9"/>
    <n v="70"/>
    <n v="9"/>
    <n v="0"/>
    <m/>
    <n v="231839.99999999997"/>
    <n v="26496"/>
    <n v="0"/>
    <n v="70"/>
    <n v="231839.99999999997"/>
    <n v="66796.638655462186"/>
  </r>
  <r>
    <s v="Lhotse-Accesorio Vestuario"/>
    <x v="4"/>
    <x v="14"/>
    <x v="33"/>
    <s v="LHJOKFLF"/>
    <x v="155"/>
    <x v="152"/>
    <x v="0"/>
    <x v="2"/>
    <n v="1"/>
    <x v="31"/>
    <n v="3"/>
    <m/>
    <n v="0"/>
    <n v="3557"/>
    <n v="10671"/>
    <n v="3.28"/>
    <n v="3583.3999999999996"/>
    <n v="6714.2857142857147"/>
    <n v="6714.2857142857147"/>
    <s v="Shenzhen"/>
    <x v="0"/>
    <n v="30"/>
    <m/>
    <n v="200"/>
    <n v="0"/>
    <s v=""/>
    <n v="0"/>
    <s v=""/>
    <n v="0"/>
    <s v=""/>
    <n v="1"/>
    <n v="0.69748256506208539"/>
    <n v="12"/>
    <n v="0.55383573327981539"/>
    <n v="4"/>
    <n v="0.53899400615583992"/>
    <n v="8"/>
    <n v="0.5036888462544693"/>
    <n v="24"/>
    <n v="0.5568462703823307"/>
    <n v="5"/>
    <n v="0.67469042088127162"/>
    <n v="16"/>
    <n v="0.51287735485693253"/>
    <n v="8"/>
    <n v="0.54188936827870438"/>
    <n v="102"/>
    <n v="0.45863685603698079"/>
    <n v="0"/>
    <s v=""/>
    <n v="8"/>
    <n v="0.5029877309477222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15"/>
    <n v="2"/>
    <n v="0"/>
    <n v="0"/>
    <n v="0"/>
    <n v="0"/>
    <n v="42684"/>
    <n v="6789.5999999999995"/>
    <n v="0"/>
    <n v="0"/>
    <n v="3"/>
    <n v="10671"/>
    <n v="0"/>
    <n v="10"/>
    <n v="10"/>
    <n v="12"/>
    <n v="0"/>
    <n v="0"/>
    <n v="0"/>
    <n v="42684"/>
    <n v="33948"/>
    <n v="42684"/>
    <n v="0"/>
    <n v="3"/>
    <n v="10671"/>
    <n v="67707.08283313326"/>
    <n v="10"/>
    <n v="2"/>
    <n v="0"/>
    <n v="0"/>
    <n v="0"/>
    <n v="0"/>
    <n v="7114"/>
    <n v="0"/>
    <n v="0"/>
    <n v="3"/>
    <n v="10671"/>
    <n v="0"/>
    <n v="10"/>
    <n v="2"/>
    <n v="0"/>
    <n v="0"/>
    <n v="0"/>
    <n v="6789.5999999999995"/>
    <n v="0"/>
    <x v="0"/>
    <x v="0"/>
    <n v="3"/>
    <n v="10671"/>
    <n v="0"/>
    <n v="0"/>
    <n v="3"/>
    <n v="0"/>
    <m/>
    <n v="0"/>
    <n v="0"/>
    <n v="10671"/>
    <n v="0"/>
    <x v="0"/>
    <n v="0"/>
    <n v="3"/>
    <n v="10671"/>
    <n v="0"/>
    <n v="0"/>
    <n v="3"/>
    <n v="0"/>
    <m/>
    <n v="0"/>
    <n v="0"/>
    <n v="10671"/>
    <n v="0"/>
    <n v="0"/>
    <n v="0"/>
    <n v="3"/>
    <n v="10671"/>
    <n v="0"/>
    <n v="0"/>
    <n v="3"/>
    <n v="0"/>
    <n v="0"/>
    <n v="0"/>
    <n v="0"/>
    <n v="10671"/>
    <n v="0"/>
    <n v="0"/>
    <n v="0"/>
    <n v="3"/>
    <n v="10671"/>
    <n v="0"/>
    <n v="0"/>
    <n v="3"/>
    <n v="0"/>
    <n v="0"/>
    <n v="0"/>
    <n v="0"/>
    <n v="10671"/>
    <n v="0"/>
    <n v="0"/>
    <n v="0"/>
    <n v="3"/>
    <n v="10671"/>
    <n v="0"/>
    <n v="0"/>
    <n v="3"/>
    <n v="0"/>
    <n v="0"/>
    <n v="0"/>
    <n v="0"/>
    <n v="10184.4"/>
    <n v="0"/>
    <n v="0"/>
    <n v="0"/>
    <n v="3"/>
    <n v="10671"/>
    <n v="0"/>
    <n v="0"/>
    <n v="3"/>
    <n v="0"/>
    <n v="0"/>
    <n v="0"/>
    <n v="0"/>
    <m/>
    <n v="10184.4"/>
    <n v="0"/>
    <n v="0"/>
    <n v="0"/>
    <n v="3"/>
    <n v="10184.4"/>
    <n v="0"/>
    <n v="0"/>
    <n v="3"/>
    <n v="0"/>
    <m/>
    <n v="0"/>
    <n v="0"/>
    <n v="10184.4"/>
    <n v="0"/>
    <n v="0"/>
    <n v="0"/>
    <n v="3"/>
    <n v="10184.4"/>
    <n v="0"/>
    <n v="0"/>
    <n v="3"/>
    <n v="0"/>
    <n v="0"/>
    <n v="0"/>
    <n v="10184.4"/>
    <n v="0"/>
    <n v="0"/>
    <n v="0"/>
    <n v="3"/>
    <n v="10184.4"/>
    <n v="0"/>
    <n v="0"/>
    <n v="3"/>
    <n v="0"/>
    <n v="0"/>
    <m/>
    <n v="10184.4"/>
    <n v="0"/>
    <n v="0"/>
    <n v="3"/>
    <n v="10184.4"/>
    <n v="0"/>
  </r>
  <r>
    <s v="Lhotse-Accesorio Vestuario"/>
    <x v="4"/>
    <x v="14"/>
    <x v="33"/>
    <s v="LHJOKFLF"/>
    <x v="156"/>
    <x v="152"/>
    <x v="0"/>
    <x v="2"/>
    <n v="1"/>
    <x v="105"/>
    <n v="3"/>
    <m/>
    <n v="0"/>
    <n v="3557"/>
    <n v="10671"/>
    <n v="3.28"/>
    <n v="3583.3999999999996"/>
    <n v="6714.2857142857147"/>
    <n v="6714.2857142857147"/>
    <s v="Shenzhen"/>
    <x v="0"/>
    <n v="30"/>
    <m/>
    <n v="200"/>
    <n v="0"/>
    <s v=""/>
    <n v="0"/>
    <s v=""/>
    <n v="0"/>
    <s v=""/>
    <n v="4"/>
    <n v="0.52303817555454224"/>
    <n v="7"/>
    <n v="0.46236938362168861"/>
    <n v="4"/>
    <n v="0.70584985495515229"/>
    <n v="5"/>
    <n v="0.39445011916922029"/>
    <n v="45"/>
    <n v="0.54759020994788155"/>
    <n v="1"/>
    <n v="0.71767600603222481"/>
    <n v="7"/>
    <n v="0.65328004678818596"/>
    <n v="5"/>
    <n v="0.57628531948348982"/>
    <n v="105"/>
    <n v="0.45196056093259807"/>
    <n v="0"/>
    <s v=""/>
    <n v="3"/>
    <n v="0.30701445402496941"/>
    <n v="0"/>
    <s v=""/>
    <n v="1"/>
    <n v="0.23265444766746862"/>
    <n v="0.1"/>
    <n v="0"/>
    <s v=""/>
    <n v="0"/>
    <n v="0"/>
    <s v=""/>
    <n v="0"/>
    <n v="1"/>
    <n v="0.25928421421071052"/>
    <n v="0"/>
    <n v="0"/>
    <s v=""/>
    <n v="0"/>
    <n v="0"/>
    <s v=""/>
    <n v="0"/>
    <m/>
    <m/>
    <m/>
    <m/>
    <m/>
    <m/>
    <m/>
    <m/>
    <m/>
    <n v="11"/>
    <n v="2"/>
    <n v="0"/>
    <n v="0"/>
    <n v="0"/>
    <n v="0"/>
    <n v="16006.5"/>
    <n v="6789.5999999999995"/>
    <n v="0"/>
    <n v="0"/>
    <n v="3"/>
    <n v="10671"/>
    <n v="0"/>
    <n v="10"/>
    <n v="5"/>
    <n v="4.5"/>
    <n v="0"/>
    <n v="0"/>
    <n v="0"/>
    <n v="19563.5"/>
    <n v="16974"/>
    <n v="16006.5"/>
    <n v="0"/>
    <n v="3"/>
    <n v="10671"/>
    <n v="25390.156062424972"/>
    <n v="10"/>
    <n v="2"/>
    <n v="0"/>
    <n v="0"/>
    <n v="0"/>
    <n v="3557"/>
    <n v="7114"/>
    <n v="0"/>
    <n v="0"/>
    <n v="3"/>
    <n v="10671"/>
    <n v="0"/>
    <n v="10"/>
    <n v="3"/>
    <n v="1"/>
    <n v="0"/>
    <n v="0"/>
    <n v="10184.4"/>
    <n v="3557"/>
    <x v="0"/>
    <x v="0"/>
    <n v="3"/>
    <n v="10671"/>
    <n v="6714.2857142857147"/>
    <n v="0"/>
    <n v="3"/>
    <n v="0"/>
    <m/>
    <n v="0"/>
    <n v="0"/>
    <n v="10671"/>
    <n v="0"/>
    <x v="0"/>
    <n v="0"/>
    <n v="3"/>
    <n v="10671"/>
    <n v="0"/>
    <n v="0"/>
    <n v="3"/>
    <n v="0"/>
    <m/>
    <n v="0"/>
    <n v="0"/>
    <n v="10671"/>
    <n v="0"/>
    <n v="0"/>
    <n v="0"/>
    <n v="3"/>
    <n v="10671"/>
    <n v="0"/>
    <n v="0"/>
    <n v="4"/>
    <n v="1"/>
    <n v="0"/>
    <n v="0"/>
    <n v="0"/>
    <n v="14228"/>
    <n v="3394.7999999999997"/>
    <n v="0"/>
    <n v="0"/>
    <n v="4"/>
    <n v="10671"/>
    <n v="6714.2857142857147"/>
    <n v="0"/>
    <n v="3"/>
    <n v="0"/>
    <n v="0"/>
    <n v="0"/>
    <n v="0"/>
    <n v="10671"/>
    <n v="0"/>
    <n v="0"/>
    <n v="0"/>
    <n v="3"/>
    <n v="10671"/>
    <n v="0"/>
    <n v="0"/>
    <n v="3"/>
    <n v="0"/>
    <n v="0"/>
    <n v="0"/>
    <n v="0"/>
    <n v="10184.4"/>
    <n v="0"/>
    <n v="0"/>
    <n v="0"/>
    <n v="3"/>
    <n v="10671"/>
    <n v="0"/>
    <n v="0"/>
    <n v="3"/>
    <n v="0"/>
    <n v="0"/>
    <n v="0"/>
    <n v="0"/>
    <m/>
    <n v="10184.4"/>
    <n v="0"/>
    <n v="0"/>
    <n v="0"/>
    <n v="3"/>
    <n v="10184.4"/>
    <n v="0"/>
    <n v="0"/>
    <n v="3"/>
    <n v="0"/>
    <m/>
    <n v="0"/>
    <n v="0"/>
    <n v="10184.4"/>
    <n v="0"/>
    <n v="0"/>
    <n v="0"/>
    <n v="3"/>
    <n v="10184.4"/>
    <n v="0"/>
    <n v="0"/>
    <n v="3"/>
    <n v="0"/>
    <n v="0"/>
    <n v="0"/>
    <n v="10184.4"/>
    <n v="0"/>
    <n v="0"/>
    <n v="0"/>
    <n v="3"/>
    <n v="10184.4"/>
    <n v="0"/>
    <n v="0"/>
    <n v="3"/>
    <n v="0"/>
    <n v="0"/>
    <m/>
    <n v="10184.4"/>
    <n v="0"/>
    <n v="0"/>
    <n v="3"/>
    <n v="10184.4"/>
    <n v="0"/>
  </r>
  <r>
    <s v="Lhotse-Accesorio Vestuario"/>
    <x v="4"/>
    <x v="14"/>
    <x v="33"/>
    <s v="LHJOKHIK"/>
    <x v="157"/>
    <x v="153"/>
    <x v="0"/>
    <x v="2"/>
    <n v="1"/>
    <x v="31"/>
    <n v="5"/>
    <m/>
    <n v="0"/>
    <n v="3101"/>
    <n v="15505"/>
    <n v="2.5"/>
    <n v="2731.25"/>
    <n v="6714.2857142857147"/>
    <n v="6714.2857142857147"/>
    <s v="Shenzhen"/>
    <x v="0"/>
    <n v="30"/>
    <m/>
    <n v="200"/>
    <n v="2"/>
    <n v="0.63064681357951169"/>
    <n v="2"/>
    <n v="0.60497866106121423"/>
    <n v="2"/>
    <n v="0.66424255549539801"/>
    <n v="1"/>
    <n v="0.63064681357951169"/>
    <n v="5"/>
    <n v="0.67388304585612124"/>
    <n v="1"/>
    <n v="0.71592158299743491"/>
    <n v="19"/>
    <n v="0.46122271301453177"/>
    <n v="23"/>
    <n v="0.61663302681400201"/>
    <n v="2"/>
    <n v="0.66581667295360247"/>
    <n v="8"/>
    <n v="0.62595735697698962"/>
    <n v="20"/>
    <n v="0.57802057534768525"/>
    <n v="50"/>
    <n v="0.5290810409289689"/>
    <n v="2"/>
    <n v="0.37556917230485398"/>
    <n v="12"/>
    <n v="0.29124698745461047"/>
    <n v="8"/>
    <n v="0.24511472511297183"/>
    <n v="1"/>
    <n v="0.41301756713877746"/>
    <n v="0.2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0"/>
    <n v="7"/>
    <n v="0"/>
    <n v="0"/>
    <n v="0"/>
    <n v="0"/>
    <n v="80626"/>
    <n v="18112.5"/>
    <n v="0"/>
    <n v="0"/>
    <n v="5"/>
    <n v="15505"/>
    <n v="0"/>
    <n v="0"/>
    <n v="20"/>
    <n v="18"/>
    <n v="0"/>
    <n v="0"/>
    <n v="0"/>
    <n v="83727"/>
    <n v="51750"/>
    <n v="55818"/>
    <n v="0"/>
    <n v="5"/>
    <n v="15505"/>
    <n v="101560.62424969989"/>
    <n v="5"/>
    <n v="7"/>
    <n v="8"/>
    <n v="0"/>
    <n v="0"/>
    <n v="40846.5"/>
    <n v="21707"/>
    <n v="24808"/>
    <n v="0"/>
    <n v="5"/>
    <n v="15505"/>
    <n v="53714.285714285717"/>
    <n v="5"/>
    <n v="3"/>
    <n v="1"/>
    <n v="0"/>
    <n v="0"/>
    <n v="7762.5"/>
    <n v="3101"/>
    <x v="0"/>
    <x v="0"/>
    <n v="5"/>
    <n v="15505"/>
    <n v="6714.2857142857147"/>
    <n v="5"/>
    <n v="5"/>
    <n v="5"/>
    <m/>
    <n v="0"/>
    <n v="0"/>
    <n v="15505"/>
    <n v="12937.5"/>
    <x v="0"/>
    <n v="0"/>
    <n v="5"/>
    <n v="15505"/>
    <n v="33571.428571428572"/>
    <n v="1"/>
    <n v="5"/>
    <n v="0"/>
    <m/>
    <n v="0"/>
    <n v="0"/>
    <n v="15505"/>
    <n v="0"/>
    <n v="0"/>
    <n v="0"/>
    <n v="5"/>
    <n v="15505"/>
    <n v="0"/>
    <n v="0"/>
    <n v="5"/>
    <n v="0"/>
    <n v="0"/>
    <n v="0"/>
    <n v="0"/>
    <n v="15505"/>
    <n v="0"/>
    <n v="0"/>
    <n v="0"/>
    <n v="5"/>
    <n v="15505"/>
    <n v="0"/>
    <n v="0"/>
    <n v="5"/>
    <n v="0"/>
    <n v="0"/>
    <n v="0"/>
    <n v="0"/>
    <n v="15505"/>
    <n v="0"/>
    <n v="0"/>
    <n v="0"/>
    <n v="5"/>
    <n v="15505"/>
    <n v="0"/>
    <n v="0"/>
    <n v="5"/>
    <n v="0"/>
    <n v="0"/>
    <n v="0"/>
    <n v="0"/>
    <n v="12937.5"/>
    <n v="0"/>
    <n v="0"/>
    <n v="0"/>
    <n v="5"/>
    <n v="15505"/>
    <n v="0"/>
    <n v="0"/>
    <n v="5"/>
    <n v="0"/>
    <n v="0"/>
    <n v="0"/>
    <n v="0"/>
    <m/>
    <n v="12937.5"/>
    <n v="0"/>
    <n v="0"/>
    <n v="0"/>
    <n v="5"/>
    <n v="12937.5"/>
    <n v="0"/>
    <n v="0"/>
    <n v="5"/>
    <n v="0"/>
    <m/>
    <n v="0"/>
    <n v="0"/>
    <n v="12937.5"/>
    <n v="0"/>
    <n v="0"/>
    <n v="0"/>
    <n v="5"/>
    <n v="12937.5"/>
    <n v="0"/>
    <n v="0"/>
    <n v="5"/>
    <n v="0"/>
    <n v="0"/>
    <n v="0"/>
    <n v="12937.5"/>
    <n v="0"/>
    <n v="0"/>
    <n v="0"/>
    <n v="5"/>
    <n v="12937.5"/>
    <n v="0"/>
    <n v="0"/>
    <n v="5"/>
    <n v="0"/>
    <n v="0"/>
    <m/>
    <n v="12937.5"/>
    <n v="0"/>
    <n v="0"/>
    <n v="5"/>
    <n v="12937.5"/>
    <n v="0"/>
  </r>
  <r>
    <s v="Lhotse-Accesorio Vestuario"/>
    <x v="4"/>
    <x v="14"/>
    <x v="33"/>
    <s v="LHJOKHIK"/>
    <x v="158"/>
    <x v="153"/>
    <x v="0"/>
    <x v="2"/>
    <n v="1"/>
    <x v="31"/>
    <n v="5"/>
    <m/>
    <n v="0"/>
    <n v="3101"/>
    <n v="15505"/>
    <n v="2.5"/>
    <n v="2731.25"/>
    <n v="6714.2857142857147"/>
    <n v="6714.2857142857147"/>
    <s v="Shenzhen"/>
    <x v="0"/>
    <n v="30"/>
    <m/>
    <n v="200"/>
    <n v="6"/>
    <n v="0.68791839552817913"/>
    <n v="8"/>
    <n v="0.64400057405281297"/>
    <n v="6"/>
    <n v="0.66424433769473701"/>
    <n v="2"/>
    <n v="0.71594723341883482"/>
    <n v="5"/>
    <n v="0.71594723341883482"/>
    <n v="18"/>
    <n v="0.61466121705030319"/>
    <n v="21"/>
    <n v="0.50554259265959478"/>
    <n v="32"/>
    <n v="0.60478670607260365"/>
    <n v="2"/>
    <n v="0.66581606762551293"/>
    <n v="11"/>
    <n v="0.61524444917152532"/>
    <n v="8"/>
    <n v="0.62593344646238558"/>
    <n v="71"/>
    <n v="0.53975847127366983"/>
    <n v="3"/>
    <n v="0.52221251590304918"/>
    <n v="7"/>
    <n v="0.30920470069836353"/>
    <n v="1"/>
    <n v="0.24694792827326145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6"/>
    <n v="7"/>
    <n v="3"/>
    <n v="0"/>
    <n v="0"/>
    <n v="0"/>
    <n v="44964.5"/>
    <n v="18112.5"/>
    <n v="9303"/>
    <n v="0"/>
    <n v="5"/>
    <n v="15505"/>
    <n v="16926.770708283315"/>
    <n v="5"/>
    <n v="11"/>
    <n v="10.5"/>
    <n v="0"/>
    <n v="0"/>
    <n v="0"/>
    <n v="35661.5"/>
    <n v="28462.5"/>
    <n v="32560.5"/>
    <n v="0"/>
    <n v="5"/>
    <n v="15505"/>
    <n v="59243.697478991606"/>
    <n v="6"/>
    <n v="4"/>
    <n v="1"/>
    <n v="0"/>
    <n v="0"/>
    <n v="3101"/>
    <n v="12404"/>
    <n v="3101"/>
    <n v="0"/>
    <n v="5"/>
    <n v="15505"/>
    <n v="6714.2857142857147"/>
    <n v="6"/>
    <n v="3"/>
    <n v="0"/>
    <n v="0"/>
    <n v="0"/>
    <n v="7762.5"/>
    <n v="0"/>
    <x v="0"/>
    <x v="0"/>
    <n v="5"/>
    <n v="15505"/>
    <n v="0"/>
    <n v="0"/>
    <n v="5"/>
    <n v="0"/>
    <m/>
    <n v="0"/>
    <n v="0"/>
    <n v="15505"/>
    <n v="0"/>
    <x v="0"/>
    <n v="0"/>
    <n v="5"/>
    <n v="15505"/>
    <n v="0"/>
    <n v="0"/>
    <n v="5"/>
    <n v="0"/>
    <m/>
    <n v="0"/>
    <n v="0"/>
    <n v="15505"/>
    <n v="0"/>
    <n v="0"/>
    <n v="0"/>
    <n v="5"/>
    <n v="15505"/>
    <n v="0"/>
    <n v="0"/>
    <n v="5"/>
    <n v="0"/>
    <n v="0"/>
    <n v="0"/>
    <n v="0"/>
    <n v="15505"/>
    <n v="0"/>
    <n v="0"/>
    <n v="0"/>
    <n v="5"/>
    <n v="15505"/>
    <n v="0"/>
    <n v="0"/>
    <n v="5"/>
    <n v="0"/>
    <n v="0"/>
    <n v="0"/>
    <n v="0"/>
    <n v="15505"/>
    <n v="0"/>
    <n v="0"/>
    <n v="0"/>
    <n v="5"/>
    <n v="15505"/>
    <n v="0"/>
    <n v="0"/>
    <n v="5"/>
    <n v="0"/>
    <n v="0"/>
    <n v="0"/>
    <n v="0"/>
    <n v="12937.5"/>
    <n v="0"/>
    <n v="0"/>
    <n v="0"/>
    <n v="5"/>
    <n v="15505"/>
    <n v="0"/>
    <n v="0"/>
    <n v="5"/>
    <n v="0"/>
    <n v="0"/>
    <n v="0"/>
    <n v="0"/>
    <m/>
    <n v="12937.5"/>
    <n v="0"/>
    <n v="0"/>
    <n v="0"/>
    <n v="5"/>
    <n v="12937.5"/>
    <n v="0"/>
    <n v="0"/>
    <n v="5"/>
    <n v="0"/>
    <m/>
    <n v="0"/>
    <n v="0"/>
    <n v="12937.5"/>
    <n v="0"/>
    <n v="0"/>
    <n v="0"/>
    <n v="5"/>
    <n v="12937.5"/>
    <n v="0"/>
    <n v="0"/>
    <n v="5"/>
    <n v="0"/>
    <n v="0"/>
    <n v="0"/>
    <n v="12937.5"/>
    <n v="0"/>
    <n v="0"/>
    <n v="0"/>
    <n v="5"/>
    <n v="12937.5"/>
    <n v="0"/>
    <n v="0"/>
    <n v="5"/>
    <n v="0"/>
    <n v="0"/>
    <m/>
    <n v="12937.5"/>
    <n v="0"/>
    <n v="0"/>
    <n v="5"/>
    <n v="12937.5"/>
    <n v="0"/>
  </r>
  <r>
    <s v="Lhotse-Accesorio Vestuario"/>
    <x v="4"/>
    <x v="14"/>
    <x v="33"/>
    <s v="LHJOKRD"/>
    <x v="159"/>
    <x v="154"/>
    <x v="0"/>
    <x v="2"/>
    <n v="1.2"/>
    <x v="106"/>
    <n v="7"/>
    <m/>
    <n v="0"/>
    <n v="3218"/>
    <n v="22526"/>
    <n v="2.6"/>
    <n v="2840.5"/>
    <n v="6714.2857142857147"/>
    <n v="6714.2857142857147"/>
    <s v="Shenzhen"/>
    <x v="0"/>
    <n v="30"/>
    <m/>
    <n v="200"/>
    <n v="0"/>
    <s v=""/>
    <n v="2"/>
    <n v="0.65153221440173248"/>
    <n v="4"/>
    <n v="0.62601133052491253"/>
    <n v="1"/>
    <n v="0.70518504946866989"/>
    <n v="1"/>
    <n v="0.70518504946866989"/>
    <n v="0"/>
    <s v=""/>
    <n v="5"/>
    <n v="0.6515361621296808"/>
    <n v="2"/>
    <n v="0.68219458565012225"/>
    <n v="4"/>
    <n v="0.68127902580850941"/>
    <n v="20"/>
    <n v="0.61664568957409904"/>
    <n v="10"/>
    <n v="0.60109809467272324"/>
    <n v="54"/>
    <n v="0.487167639220838"/>
    <n v="30"/>
    <n v="0.30977351485655702"/>
    <n v="24"/>
    <n v="0.2455759385883782"/>
    <n v="12"/>
    <n v="0.37009205159671565"/>
    <n v="19"/>
    <n v="0.33563544939960194"/>
    <n v="1.5833333333333333"/>
    <n v="3"/>
    <n v="0.52068085106382977"/>
    <n v="1.5"/>
    <n v="0"/>
    <s v=""/>
    <n v="0"/>
    <n v="0"/>
    <s v=""/>
    <n v="0"/>
    <n v="6"/>
    <n v="0.27671691129909665"/>
    <n v="0"/>
    <n v="1"/>
    <n v="0.62548894973596714"/>
    <n v="0"/>
    <m/>
    <m/>
    <m/>
    <m/>
    <m/>
    <m/>
    <m/>
    <m/>
    <m/>
    <n v="10"/>
    <n v="72"/>
    <n v="15"/>
    <n v="0"/>
    <n v="0"/>
    <n v="0"/>
    <n v="202734"/>
    <n v="193752"/>
    <n v="48270"/>
    <n v="0"/>
    <n v="7"/>
    <n v="22526"/>
    <n v="84633.853541416582"/>
    <n v="7"/>
    <n v="56"/>
    <n v="36"/>
    <n v="0"/>
    <n v="0"/>
    <n v="0"/>
    <n v="215606"/>
    <n v="150696"/>
    <n v="115848"/>
    <n v="0"/>
    <n v="7"/>
    <n v="22526"/>
    <n v="203121.24849939978"/>
    <n v="12"/>
    <n v="31"/>
    <n v="12"/>
    <n v="0"/>
    <n v="0"/>
    <n v="106216.4"/>
    <n v="99758"/>
    <n v="38616"/>
    <n v="0"/>
    <n v="7"/>
    <n v="22526"/>
    <n v="80571.42857142858"/>
    <n v="12"/>
    <n v="20"/>
    <n v="19"/>
    <n v="0"/>
    <n v="0"/>
    <n v="53820"/>
    <n v="61142"/>
    <x v="0"/>
    <x v="0"/>
    <n v="7"/>
    <n v="22526"/>
    <n v="127571.42857142858"/>
    <n v="2"/>
    <n v="10"/>
    <n v="2.4"/>
    <m/>
    <n v="0"/>
    <n v="0"/>
    <n v="32180"/>
    <n v="6458.4"/>
    <x v="0"/>
    <n v="0"/>
    <n v="7"/>
    <n v="22526"/>
    <n v="16114.285714285714"/>
    <n v="19"/>
    <n v="7"/>
    <n v="0"/>
    <m/>
    <n v="0"/>
    <n v="0"/>
    <n v="22526"/>
    <n v="0"/>
    <n v="0"/>
    <n v="0"/>
    <n v="7"/>
    <n v="22526"/>
    <n v="0"/>
    <n v="0"/>
    <n v="7"/>
    <n v="0"/>
    <n v="0"/>
    <n v="0"/>
    <n v="0"/>
    <n v="22526"/>
    <n v="0"/>
    <n v="0"/>
    <n v="0"/>
    <n v="7"/>
    <n v="22526"/>
    <n v="0"/>
    <n v="0"/>
    <n v="13"/>
    <n v="6"/>
    <n v="0"/>
    <n v="0"/>
    <n v="0"/>
    <n v="41834"/>
    <n v="16146"/>
    <n v="0"/>
    <n v="0"/>
    <n v="13"/>
    <n v="41834"/>
    <n v="40285.71428571429"/>
    <n v="0"/>
    <n v="8"/>
    <n v="0"/>
    <n v="0"/>
    <n v="0"/>
    <n v="0"/>
    <n v="21528"/>
    <n v="0"/>
    <n v="0"/>
    <n v="0"/>
    <n v="7"/>
    <n v="22526"/>
    <n v="0"/>
    <n v="0"/>
    <n v="8"/>
    <n v="0"/>
    <n v="0"/>
    <n v="0"/>
    <n v="0"/>
    <m/>
    <n v="21528"/>
    <n v="0"/>
    <n v="0"/>
    <n v="0"/>
    <n v="8"/>
    <n v="21528"/>
    <n v="0"/>
    <n v="0"/>
    <n v="8"/>
    <n v="0"/>
    <m/>
    <n v="0"/>
    <n v="0"/>
    <n v="21528"/>
    <n v="0"/>
    <n v="0"/>
    <n v="0"/>
    <n v="8"/>
    <n v="21528"/>
    <n v="0"/>
    <n v="0"/>
    <n v="8"/>
    <n v="0"/>
    <n v="0"/>
    <n v="0"/>
    <n v="21528"/>
    <n v="0"/>
    <n v="0"/>
    <n v="0"/>
    <n v="8"/>
    <n v="21528"/>
    <n v="0"/>
    <n v="0"/>
    <n v="8"/>
    <n v="0"/>
    <n v="0"/>
    <m/>
    <n v="21528"/>
    <n v="0"/>
    <n v="0"/>
    <n v="8"/>
    <n v="21528"/>
    <n v="0"/>
  </r>
  <r>
    <s v="Lhotse-Accesorio Vestuario"/>
    <x v="4"/>
    <x v="14"/>
    <x v="33"/>
    <s v="LHJOKRD"/>
    <x v="160"/>
    <x v="154"/>
    <x v="0"/>
    <x v="2"/>
    <n v="1"/>
    <x v="31"/>
    <n v="9"/>
    <m/>
    <n v="0"/>
    <n v="3218"/>
    <n v="28962"/>
    <n v="2.6"/>
    <n v="2840.5"/>
    <n v="6714.2857142857147"/>
    <n v="6714.2857142857147"/>
    <s v="Shenzhen"/>
    <x v="0"/>
    <n v="30"/>
    <m/>
    <n v="200"/>
    <n v="5"/>
    <n v="0.56295240035309291"/>
    <n v="12"/>
    <n v="0.63077212854554621"/>
    <n v="7"/>
    <n v="0.64222345747637577"/>
    <n v="4"/>
    <n v="0.54623708978109908"/>
    <n v="0"/>
    <s v=""/>
    <n v="2"/>
    <n v="0.70518504946866989"/>
    <n v="10"/>
    <n v="0.4649456946953639"/>
    <n v="4"/>
    <n v="0.6350414379317294"/>
    <n v="3"/>
    <n v="0.70518414164742116"/>
    <n v="14"/>
    <n v="0.60824248988880192"/>
    <n v="17"/>
    <n v="0.63998123074132496"/>
    <n v="52"/>
    <n v="0.50171412430772477"/>
    <n v="30"/>
    <n v="0.1868481176091715"/>
    <n v="26"/>
    <n v="0.30657215590359149"/>
    <n v="1"/>
    <n v="0.52070299845552326"/>
    <n v="1"/>
    <n v="0.24986794318022357"/>
    <n v="0.1111111111111111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10"/>
    <n v="50"/>
    <n v="20"/>
    <n v="0"/>
    <n v="0"/>
    <n v="0"/>
    <n v="193080"/>
    <n v="134550"/>
    <n v="64360"/>
    <n v="0"/>
    <n v="9"/>
    <n v="28962"/>
    <n v="112845.13805522211"/>
    <n v="7"/>
    <n v="30"/>
    <n v="39"/>
    <n v="0"/>
    <n v="0"/>
    <n v="0"/>
    <n v="131938"/>
    <n v="80730"/>
    <n v="125502"/>
    <n v="0"/>
    <n v="9"/>
    <n v="28962"/>
    <n v="220048.0192076831"/>
    <n v="9"/>
    <n v="3"/>
    <n v="1"/>
    <n v="0"/>
    <n v="0"/>
    <n v="6436"/>
    <n v="9654"/>
    <n v="3218"/>
    <n v="0"/>
    <n v="9"/>
    <n v="28962"/>
    <n v="6714.2857142857147"/>
    <n v="9"/>
    <n v="3"/>
    <n v="1"/>
    <n v="0"/>
    <n v="0"/>
    <n v="8073"/>
    <n v="3218"/>
    <x v="0"/>
    <x v="0"/>
    <n v="9"/>
    <n v="28962"/>
    <n v="6714.2857142857147"/>
    <n v="0"/>
    <n v="9"/>
    <n v="0"/>
    <m/>
    <n v="0"/>
    <n v="0"/>
    <n v="28962"/>
    <n v="0"/>
    <x v="0"/>
    <n v="0"/>
    <n v="9"/>
    <n v="28962"/>
    <n v="0"/>
    <n v="0"/>
    <n v="9"/>
    <n v="0"/>
    <m/>
    <n v="0"/>
    <n v="0"/>
    <n v="28962"/>
    <n v="0"/>
    <n v="0"/>
    <n v="0"/>
    <n v="9"/>
    <n v="28962"/>
    <n v="0"/>
    <n v="0"/>
    <n v="9"/>
    <n v="0"/>
    <n v="0"/>
    <n v="0"/>
    <n v="0"/>
    <n v="28962"/>
    <n v="0"/>
    <n v="0"/>
    <n v="0"/>
    <n v="9"/>
    <n v="28962"/>
    <n v="0"/>
    <n v="0"/>
    <n v="9"/>
    <n v="0"/>
    <n v="0"/>
    <n v="0"/>
    <n v="0"/>
    <n v="28962"/>
    <n v="0"/>
    <n v="0"/>
    <n v="0"/>
    <n v="9"/>
    <n v="28962"/>
    <n v="0"/>
    <n v="0"/>
    <n v="9"/>
    <n v="0"/>
    <n v="0"/>
    <n v="0"/>
    <n v="0"/>
    <n v="24219"/>
    <n v="0"/>
    <n v="0"/>
    <n v="0"/>
    <n v="9"/>
    <n v="28962"/>
    <n v="0"/>
    <n v="0"/>
    <n v="9"/>
    <n v="0"/>
    <n v="0"/>
    <n v="0"/>
    <n v="0"/>
    <m/>
    <n v="24219"/>
    <n v="0"/>
    <n v="0"/>
    <n v="0"/>
    <n v="9"/>
    <n v="24219"/>
    <n v="0"/>
    <n v="0"/>
    <n v="9"/>
    <n v="0"/>
    <m/>
    <n v="0"/>
    <n v="0"/>
    <n v="24219"/>
    <n v="0"/>
    <n v="0"/>
    <n v="0"/>
    <n v="9"/>
    <n v="24219"/>
    <n v="0"/>
    <n v="0"/>
    <n v="9"/>
    <n v="0"/>
    <n v="0"/>
    <n v="0"/>
    <n v="24219"/>
    <n v="0"/>
    <n v="0"/>
    <n v="0"/>
    <n v="9"/>
    <n v="24219"/>
    <n v="0"/>
    <n v="0"/>
    <n v="9"/>
    <n v="0"/>
    <n v="0"/>
    <m/>
    <n v="24219"/>
    <n v="0"/>
    <n v="0"/>
    <n v="9"/>
    <n v="24219"/>
    <n v="0"/>
  </r>
  <r>
    <s v="Lhotse-Accesorio Vestuario"/>
    <x v="4"/>
    <x v="14"/>
    <x v="33"/>
    <s v="LHJOKTRE"/>
    <x v="161"/>
    <x v="155"/>
    <x v="0"/>
    <x v="2"/>
    <n v="1.2"/>
    <x v="107"/>
    <n v="3"/>
    <m/>
    <n v="0"/>
    <n v="3101"/>
    <n v="9303"/>
    <n v="2.5"/>
    <n v="2731.25"/>
    <n v="6714.2857142857147"/>
    <n v="6714.2857142857147"/>
    <s v="Shenzhen"/>
    <x v="0"/>
    <n v="30"/>
    <m/>
    <n v="200"/>
    <n v="4"/>
    <n v="0.65404479651892566"/>
    <n v="9"/>
    <n v="0.67090859208460774"/>
    <n v="5"/>
    <n v="0.66424363833243105"/>
    <n v="3"/>
    <n v="0.61284679735297798"/>
    <n v="3"/>
    <n v="0.71594814950531327"/>
    <n v="3"/>
    <n v="0.70847947351927298"/>
    <n v="20"/>
    <n v="0.36572837990936563"/>
    <n v="3"/>
    <n v="0.71594814950531327"/>
    <n v="2"/>
    <n v="0.73627774337173424"/>
    <n v="17"/>
    <n v="0.6533192181033225"/>
    <n v="9"/>
    <n v="0.53050301133878408"/>
    <n v="25"/>
    <n v="0.52554617080193311"/>
    <n v="20"/>
    <n v="0.35409677877900869"/>
    <n v="16"/>
    <n v="0.38526421467777533"/>
    <n v="9"/>
    <n v="0.41063163179280693"/>
    <n v="6"/>
    <n v="0.19899695670601458"/>
    <n v="1.2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10"/>
    <n v="58"/>
    <n v="10"/>
    <n v="0"/>
    <n v="0"/>
    <n v="0"/>
    <n v="133343"/>
    <n v="150075"/>
    <n v="31010"/>
    <n v="0"/>
    <n v="3"/>
    <n v="9303"/>
    <n v="56422.569027611054"/>
    <n v="10"/>
    <n v="40"/>
    <n v="24"/>
    <n v="0"/>
    <n v="0"/>
    <n v="0"/>
    <n v="120939"/>
    <n v="103500"/>
    <n v="74424"/>
    <n v="0"/>
    <n v="3"/>
    <n v="9303"/>
    <n v="135414.16566626652"/>
    <n v="5"/>
    <n v="22"/>
    <n v="9"/>
    <n v="0"/>
    <n v="0"/>
    <n v="62040"/>
    <n v="68222"/>
    <n v="27909"/>
    <n v="0"/>
    <n v="3"/>
    <n v="9303"/>
    <n v="60428.571428571435"/>
    <n v="5"/>
    <n v="11"/>
    <n v="6"/>
    <n v="0"/>
    <n v="0"/>
    <n v="28462.5"/>
    <n v="18606"/>
    <x v="0"/>
    <x v="0"/>
    <n v="3"/>
    <n v="9303"/>
    <n v="40285.71428571429"/>
    <n v="5"/>
    <n v="3"/>
    <n v="6"/>
    <m/>
    <n v="0"/>
    <n v="0"/>
    <n v="9303"/>
    <n v="15525"/>
    <x v="0"/>
    <n v="0"/>
    <n v="3"/>
    <n v="9303"/>
    <n v="40285.71428571429"/>
    <n v="8"/>
    <n v="3"/>
    <n v="0"/>
    <m/>
    <n v="0"/>
    <n v="0"/>
    <n v="9303"/>
    <n v="0"/>
    <n v="0"/>
    <n v="0"/>
    <n v="3"/>
    <n v="9303"/>
    <n v="0"/>
    <n v="0"/>
    <n v="3"/>
    <n v="0"/>
    <n v="0"/>
    <n v="0"/>
    <n v="0"/>
    <n v="9303"/>
    <n v="0"/>
    <n v="0"/>
    <n v="0"/>
    <n v="3"/>
    <n v="9303"/>
    <n v="0"/>
    <n v="0"/>
    <n v="3"/>
    <n v="0"/>
    <n v="0"/>
    <n v="0"/>
    <n v="0"/>
    <n v="9303"/>
    <n v="0"/>
    <n v="0"/>
    <n v="0"/>
    <n v="3"/>
    <n v="9303"/>
    <n v="0"/>
    <n v="0"/>
    <n v="3"/>
    <n v="0"/>
    <n v="0"/>
    <n v="0"/>
    <n v="0"/>
    <n v="7762.5"/>
    <n v="0"/>
    <n v="0"/>
    <n v="0"/>
    <n v="3"/>
    <n v="9303"/>
    <n v="0"/>
    <n v="0"/>
    <n v="3"/>
    <n v="0"/>
    <n v="0"/>
    <n v="0"/>
    <n v="0"/>
    <m/>
    <n v="7762.5"/>
    <n v="0"/>
    <n v="0"/>
    <n v="0"/>
    <n v="3"/>
    <n v="7762.5"/>
    <n v="0"/>
    <n v="0"/>
    <n v="3"/>
    <n v="0"/>
    <m/>
    <n v="0"/>
    <n v="0"/>
    <n v="7762.5"/>
    <n v="0"/>
    <n v="0"/>
    <n v="0"/>
    <n v="3"/>
    <n v="7762.5"/>
    <n v="0"/>
    <n v="0"/>
    <n v="3"/>
    <n v="0"/>
    <n v="0"/>
    <n v="0"/>
    <n v="7762.5"/>
    <n v="0"/>
    <n v="0"/>
    <n v="0"/>
    <n v="3"/>
    <n v="7762.5"/>
    <n v="0"/>
    <n v="0"/>
    <n v="3"/>
    <n v="0"/>
    <n v="0"/>
    <m/>
    <n v="7762.5"/>
    <n v="0"/>
    <n v="0"/>
    <n v="3"/>
    <n v="7762.5"/>
    <n v="0"/>
  </r>
  <r>
    <s v="Lhotse-Accesorio Vestuario"/>
    <x v="4"/>
    <x v="14"/>
    <x v="33"/>
    <s v="LHJOKTRE"/>
    <x v="162"/>
    <x v="155"/>
    <x v="0"/>
    <x v="2"/>
    <n v="1.5"/>
    <x v="31"/>
    <n v="4"/>
    <m/>
    <n v="0"/>
    <n v="3101"/>
    <n v="12404"/>
    <n v="2.5"/>
    <n v="2731.25"/>
    <n v="6714.2857142857147"/>
    <n v="6714.2857142857147"/>
    <s v="Shenzhen"/>
    <x v="0"/>
    <n v="30"/>
    <m/>
    <n v="200"/>
    <n v="3"/>
    <n v="0.68345901248851537"/>
    <n v="3"/>
    <n v="0.61390968705901883"/>
    <n v="7"/>
    <n v="0.65982117388919359"/>
    <n v="2"/>
    <n v="0.63068961410195334"/>
    <n v="2"/>
    <n v="0.71594631733235625"/>
    <n v="1"/>
    <n v="0.71592158299743491"/>
    <n v="15"/>
    <n v="0.47432950408085839"/>
    <n v="3"/>
    <n v="0.55756492576058969"/>
    <n v="4"/>
    <n v="0.66581559519318856"/>
    <n v="17"/>
    <n v="0.61262603749577438"/>
    <n v="5"/>
    <n v="0.64626152231450218"/>
    <n v="50"/>
    <n v="0.52418958401106963"/>
    <n v="23"/>
    <n v="0.28454649375884805"/>
    <n v="12"/>
    <n v="0.29998933401277789"/>
    <n v="21"/>
    <n v="0.27091257089768733"/>
    <n v="16"/>
    <n v="0.15740539452037741"/>
    <n v="2.2857142857142856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20"/>
    <n v="64"/>
    <n v="5"/>
    <n v="0"/>
    <n v="0"/>
    <n v="0"/>
    <n v="136444"/>
    <n v="165600"/>
    <n v="15505"/>
    <n v="0"/>
    <n v="4"/>
    <n v="12404"/>
    <n v="28211.284513805527"/>
    <n v="5"/>
    <n v="53"/>
    <n v="18"/>
    <n v="0"/>
    <n v="0"/>
    <n v="0"/>
    <n v="170555"/>
    <n v="137137.5"/>
    <n v="55818"/>
    <n v="0"/>
    <n v="4"/>
    <n v="12404"/>
    <n v="101560.62424969989"/>
    <n v="7"/>
    <n v="37"/>
    <n v="21"/>
    <n v="0"/>
    <n v="0"/>
    <n v="126380.75"/>
    <n v="114737"/>
    <n v="65121"/>
    <n v="0"/>
    <n v="4"/>
    <n v="12404"/>
    <n v="141000"/>
    <n v="7"/>
    <n v="19"/>
    <n v="16"/>
    <n v="0"/>
    <n v="0"/>
    <n v="49162.5"/>
    <n v="49616"/>
    <x v="0"/>
    <x v="0"/>
    <n v="4"/>
    <n v="12404"/>
    <n v="107428.57142857143"/>
    <n v="3"/>
    <n v="4"/>
    <n v="4.5"/>
    <m/>
    <n v="0"/>
    <n v="0"/>
    <n v="12404"/>
    <n v="11643.75"/>
    <x v="0"/>
    <n v="0"/>
    <n v="4"/>
    <n v="12404"/>
    <n v="30214.285714285717"/>
    <n v="14"/>
    <n v="4"/>
    <n v="0"/>
    <m/>
    <n v="0"/>
    <n v="0"/>
    <n v="12404"/>
    <n v="0"/>
    <n v="0"/>
    <n v="0"/>
    <n v="4"/>
    <n v="12404"/>
    <n v="0"/>
    <n v="0"/>
    <n v="4"/>
    <n v="0"/>
    <n v="0"/>
    <n v="0"/>
    <n v="0"/>
    <n v="12404"/>
    <n v="0"/>
    <n v="0"/>
    <n v="0"/>
    <n v="4"/>
    <n v="12404"/>
    <n v="0"/>
    <n v="0"/>
    <n v="4"/>
    <n v="0"/>
    <n v="0"/>
    <n v="0"/>
    <n v="0"/>
    <n v="12404"/>
    <n v="0"/>
    <n v="0"/>
    <n v="0"/>
    <n v="4"/>
    <n v="12404"/>
    <n v="0"/>
    <n v="0"/>
    <n v="4"/>
    <n v="0"/>
    <n v="0"/>
    <n v="0"/>
    <n v="0"/>
    <n v="10350"/>
    <n v="0"/>
    <n v="0"/>
    <n v="0"/>
    <n v="4"/>
    <n v="12404"/>
    <n v="0"/>
    <n v="0"/>
    <n v="4"/>
    <n v="0"/>
    <n v="0"/>
    <n v="0"/>
    <n v="0"/>
    <m/>
    <n v="10350"/>
    <n v="0"/>
    <n v="0"/>
    <n v="0"/>
    <n v="4"/>
    <n v="10350"/>
    <n v="0"/>
    <n v="0"/>
    <n v="4"/>
    <n v="0"/>
    <m/>
    <n v="0"/>
    <n v="0"/>
    <n v="10350"/>
    <n v="0"/>
    <n v="0"/>
    <n v="0"/>
    <n v="4"/>
    <n v="10350"/>
    <n v="0"/>
    <n v="0"/>
    <n v="4"/>
    <n v="0"/>
    <n v="0"/>
    <n v="0"/>
    <n v="10350"/>
    <n v="0"/>
    <n v="0"/>
    <n v="0"/>
    <n v="4"/>
    <n v="10350"/>
    <n v="0"/>
    <n v="0"/>
    <n v="4"/>
    <n v="0"/>
    <n v="0"/>
    <m/>
    <n v="10350"/>
    <n v="0"/>
    <n v="0"/>
    <n v="4"/>
    <n v="10350"/>
    <n v="0"/>
  </r>
  <r>
    <s v="Lhotse-Accesorio Vestuario"/>
    <x v="4"/>
    <x v="14"/>
    <x v="33"/>
    <s v="LHJOKTRE"/>
    <x v="163"/>
    <x v="155"/>
    <x v="0"/>
    <x v="2"/>
    <n v="1.2"/>
    <x v="108"/>
    <n v="5"/>
    <m/>
    <n v="0"/>
    <n v="3101"/>
    <n v="15505"/>
    <n v="2.5"/>
    <n v="2731.25"/>
    <n v="6714.2857142857147"/>
    <n v="6714.2857142857147"/>
    <s v="Shenzhen"/>
    <x v="0"/>
    <n v="30"/>
    <m/>
    <n v="200"/>
    <n v="6"/>
    <n v="0.6879192807058746"/>
    <n v="10"/>
    <n v="0.64723448224170987"/>
    <n v="4"/>
    <n v="0.63966257936067128"/>
    <n v="3"/>
    <n v="0.6381597168196671"/>
    <n v="3"/>
    <n v="0.69898747694398611"/>
    <n v="2"/>
    <n v="0.73626493727408038"/>
    <n v="5"/>
    <n v="0.60117176446376663"/>
    <n v="2"/>
    <n v="0.67886330099368797"/>
    <n v="1"/>
    <n v="0.75389078498293516"/>
    <n v="10"/>
    <n v="0.66304418360234307"/>
    <n v="8"/>
    <n v="0.63613536349234301"/>
    <n v="48"/>
    <n v="0.50529264481242242"/>
    <n v="18"/>
    <n v="0.23577321720145286"/>
    <n v="8"/>
    <n v="0.38049034514775043"/>
    <n v="21"/>
    <n v="0.29145157774264296"/>
    <n v="9"/>
    <n v="0.28707482066134365"/>
    <n v="1.8"/>
    <n v="10"/>
    <n v="0.52385610879578848"/>
    <n v="2"/>
    <n v="19"/>
    <n v="0.13744894290966067"/>
    <n v="6.333333333333333"/>
    <n v="1"/>
    <n v="0.53810638297872337"/>
    <n v="0.125"/>
    <n v="0"/>
    <s v=""/>
    <n v="0"/>
    <n v="0"/>
    <s v=""/>
    <n v="0"/>
    <m/>
    <m/>
    <m/>
    <m/>
    <m/>
    <m/>
    <m/>
    <m/>
    <m/>
    <n v="8"/>
    <n v="68"/>
    <n v="5"/>
    <n v="0"/>
    <n v="0"/>
    <n v="0"/>
    <n v="117838"/>
    <n v="175950"/>
    <n v="15505"/>
    <n v="0"/>
    <n v="5"/>
    <n v="15505"/>
    <n v="28211.284513805527"/>
    <n v="10"/>
    <n v="63"/>
    <n v="12"/>
    <n v="0"/>
    <n v="0"/>
    <n v="0"/>
    <n v="130242"/>
    <n v="163012.5"/>
    <n v="37212"/>
    <n v="0"/>
    <n v="5"/>
    <n v="15505"/>
    <n v="67707.08283313326"/>
    <n v="5"/>
    <n v="52"/>
    <n v="21"/>
    <n v="0"/>
    <n v="0"/>
    <n v="108555"/>
    <n v="161252"/>
    <n v="65121"/>
    <n v="0"/>
    <n v="5"/>
    <n v="15505"/>
    <n v="141000"/>
    <n v="5"/>
    <n v="35"/>
    <n v="9"/>
    <n v="0"/>
    <n v="0"/>
    <n v="90562.5"/>
    <n v="27909"/>
    <x v="0"/>
    <x v="0"/>
    <n v="5"/>
    <n v="15505"/>
    <n v="60428.571428571435"/>
    <n v="5"/>
    <n v="15"/>
    <n v="6"/>
    <m/>
    <n v="0"/>
    <n v="0"/>
    <n v="46515"/>
    <n v="15525"/>
    <x v="0"/>
    <n v="0"/>
    <n v="5"/>
    <n v="15505"/>
    <n v="40285.71428571429"/>
    <n v="3"/>
    <n v="24"/>
    <n v="19"/>
    <m/>
    <n v="0"/>
    <n v="0"/>
    <n v="74424"/>
    <n v="49162.5"/>
    <n v="0"/>
    <n v="0"/>
    <n v="24"/>
    <n v="15505"/>
    <n v="127571.42857142858"/>
    <n v="8"/>
    <n v="6"/>
    <n v="1"/>
    <n v="0"/>
    <n v="0"/>
    <n v="0"/>
    <n v="18606"/>
    <n v="2587.5"/>
    <n v="0"/>
    <n v="0"/>
    <n v="6"/>
    <n v="15505"/>
    <n v="6714.2857142857147"/>
    <n v="3"/>
    <n v="5"/>
    <n v="0"/>
    <n v="0"/>
    <n v="0"/>
    <n v="0"/>
    <n v="15505"/>
    <n v="0"/>
    <n v="0"/>
    <n v="0"/>
    <n v="5"/>
    <n v="15505"/>
    <n v="0"/>
    <n v="9"/>
    <n v="5"/>
    <n v="0"/>
    <n v="0"/>
    <n v="0"/>
    <n v="0"/>
    <n v="12937.5"/>
    <n v="0"/>
    <n v="0"/>
    <n v="0"/>
    <n v="5"/>
    <n v="15505"/>
    <n v="0"/>
    <n v="0"/>
    <n v="5"/>
    <n v="0"/>
    <n v="0"/>
    <n v="0"/>
    <n v="0"/>
    <m/>
    <n v="12937.5"/>
    <n v="0"/>
    <n v="0"/>
    <n v="0"/>
    <n v="5"/>
    <n v="12937.5"/>
    <n v="0"/>
    <n v="13"/>
    <n v="5"/>
    <n v="5"/>
    <m/>
    <n v="0"/>
    <n v="0"/>
    <n v="12937.5"/>
    <n v="12937.5"/>
    <n v="0"/>
    <n v="0"/>
    <n v="5"/>
    <n v="12937.5"/>
    <n v="33571.428571428572"/>
    <n v="13"/>
    <n v="0"/>
    <n v="0"/>
    <n v="0"/>
    <n v="0"/>
    <n v="0"/>
    <n v="0"/>
    <n v="0"/>
    <n v="0"/>
    <n v="0"/>
    <n v="0"/>
    <n v="0"/>
    <n v="7.8"/>
    <n v="0"/>
    <n v="9.36"/>
    <n v="0"/>
    <m/>
    <n v="0"/>
    <n v="29025.359999999997"/>
    <n v="0"/>
    <n v="0"/>
    <n v="0"/>
    <n v="62845.714285714283"/>
  </r>
  <r>
    <m/>
    <x v="4"/>
    <x v="14"/>
    <x v="33"/>
    <s v="LHJOKWV"/>
    <x v="164"/>
    <x v="156"/>
    <x v="0"/>
    <x v="2"/>
    <n v="0.8"/>
    <x v="31"/>
    <n v="15"/>
    <m/>
    <n v="0"/>
    <n v="3218"/>
    <n v="48270"/>
    <n v="2.6"/>
    <n v="2840.5"/>
    <n v="6714.2857142857147"/>
    <n v="6714.2857142857147"/>
    <s v="Shenzhen"/>
    <x v="0"/>
    <n v="30"/>
    <m/>
    <n v="200"/>
    <n v="2"/>
    <n v="0.70518504946866978"/>
    <n v="8"/>
    <n v="0.64751642935377884"/>
    <n v="9"/>
    <n v="0.64434975871511191"/>
    <n v="2"/>
    <n v="0.7262853497767382"/>
    <n v="2"/>
    <n v="0.70518504946866989"/>
    <n v="3"/>
    <n v="0.71078658248893478"/>
    <n v="13"/>
    <n v="0.45442115040516046"/>
    <n v="2"/>
    <n v="0.61664931591317684"/>
    <n v="6"/>
    <n v="0.70518444425512505"/>
    <n v="12"/>
    <n v="0.62601279140709643"/>
    <n v="16"/>
    <n v="0.61022422746748628"/>
    <n v="57"/>
    <n v="0.49435293793331586"/>
    <n v="10"/>
    <n v="0.33062357319861163"/>
    <n v="13"/>
    <n v="0.31463377121727981"/>
    <n v="12"/>
    <n v="0.38007364162551965"/>
    <n v="4"/>
    <n v="-0.2202124349455204"/>
    <n v="0.5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10"/>
    <n v="21"/>
    <n v="12"/>
    <n v="0"/>
    <n v="0"/>
    <n v="0"/>
    <n v="139983"/>
    <n v="56511"/>
    <n v="38616"/>
    <n v="0"/>
    <n v="15"/>
    <n v="48270"/>
    <n v="67707.08283313326"/>
    <n v="10"/>
    <n v="40"/>
    <n v="19.5"/>
    <n v="0"/>
    <n v="0"/>
    <n v="0"/>
    <n v="114239"/>
    <n v="107640"/>
    <n v="62751"/>
    <n v="0"/>
    <n v="15"/>
    <n v="48270"/>
    <n v="110024.00960384155"/>
    <n v="8"/>
    <n v="25"/>
    <n v="12"/>
    <n v="0"/>
    <n v="0"/>
    <n v="55793.599999999999"/>
    <n v="80450"/>
    <n v="38616"/>
    <n v="0"/>
    <n v="15"/>
    <n v="48270"/>
    <n v="80571.42857142858"/>
    <n v="8"/>
    <n v="7"/>
    <n v="4"/>
    <n v="0"/>
    <n v="0"/>
    <n v="18837"/>
    <n v="12872"/>
    <x v="0"/>
    <x v="0"/>
    <n v="15"/>
    <n v="48270"/>
    <n v="26857.142857142859"/>
    <n v="2"/>
    <n v="15"/>
    <n v="1.6"/>
    <m/>
    <n v="0"/>
    <n v="0"/>
    <n v="48270"/>
    <n v="4305.6000000000004"/>
    <x v="0"/>
    <n v="0"/>
    <n v="15"/>
    <n v="48270"/>
    <n v="10742.857142857145"/>
    <n v="4"/>
    <n v="15"/>
    <n v="0"/>
    <m/>
    <n v="0"/>
    <n v="0"/>
    <n v="48270"/>
    <n v="0"/>
    <n v="0"/>
    <n v="0"/>
    <n v="15"/>
    <n v="48270"/>
    <n v="0"/>
    <n v="0"/>
    <n v="15"/>
    <n v="0"/>
    <n v="0"/>
    <n v="0"/>
    <n v="0"/>
    <n v="48270"/>
    <n v="0"/>
    <n v="0"/>
    <n v="0"/>
    <n v="15"/>
    <n v="48270"/>
    <n v="0"/>
    <n v="0"/>
    <n v="15"/>
    <n v="0"/>
    <n v="0"/>
    <n v="0"/>
    <n v="0"/>
    <n v="48270"/>
    <n v="0"/>
    <n v="0"/>
    <n v="0"/>
    <n v="15"/>
    <n v="48270"/>
    <n v="0"/>
    <n v="0"/>
    <n v="15"/>
    <n v="0"/>
    <n v="0"/>
    <n v="0"/>
    <n v="0"/>
    <n v="40365"/>
    <n v="0"/>
    <n v="0"/>
    <n v="0"/>
    <n v="15"/>
    <n v="48270"/>
    <n v="0"/>
    <n v="0"/>
    <n v="15"/>
    <n v="0"/>
    <n v="0"/>
    <n v="0"/>
    <n v="0"/>
    <m/>
    <n v="40365"/>
    <n v="0"/>
    <n v="0"/>
    <n v="0"/>
    <n v="15"/>
    <n v="40365"/>
    <n v="0"/>
    <n v="0"/>
    <n v="15"/>
    <n v="0"/>
    <m/>
    <n v="0"/>
    <n v="0"/>
    <n v="40365"/>
    <n v="0"/>
    <n v="0"/>
    <n v="0"/>
    <n v="15"/>
    <n v="40365"/>
    <n v="0"/>
    <n v="0"/>
    <n v="15"/>
    <n v="0"/>
    <n v="0"/>
    <n v="0"/>
    <n v="40365"/>
    <n v="0"/>
    <n v="0"/>
    <n v="0"/>
    <n v="15"/>
    <n v="40365"/>
    <n v="0"/>
    <n v="0"/>
    <n v="15"/>
    <n v="0"/>
    <n v="0"/>
    <m/>
    <n v="40365"/>
    <n v="0"/>
    <n v="0"/>
    <n v="15"/>
    <n v="40365"/>
    <n v="0"/>
  </r>
  <r>
    <m/>
    <x v="4"/>
    <x v="14"/>
    <x v="33"/>
    <s v="LHJOKWV"/>
    <x v="165"/>
    <x v="156"/>
    <x v="0"/>
    <x v="2"/>
    <n v="1.5"/>
    <x v="109"/>
    <n v="5"/>
    <m/>
    <n v="0"/>
    <n v="3218"/>
    <n v="16090"/>
    <n v="2.6"/>
    <n v="2840.5"/>
    <n v="6714.2857142857147"/>
    <n v="6714.2857142857147"/>
    <s v="Shenzhen"/>
    <x v="0"/>
    <n v="30"/>
    <m/>
    <n v="200"/>
    <n v="3"/>
    <n v="0.55484138694208784"/>
    <n v="2"/>
    <n v="0.63491775382870097"/>
    <n v="1"/>
    <n v="0.61665276950565817"/>
    <n v="1"/>
    <n v="0.61665276950565817"/>
    <n v="1"/>
    <n v="0.70518504946866989"/>
    <n v="0"/>
    <s v=""/>
    <n v="15"/>
    <n v="0.44687994133418879"/>
    <n v="3"/>
    <n v="0.61346038355286869"/>
    <n v="2"/>
    <n v="0.70518414164742116"/>
    <n v="4"/>
    <n v="0.52068851796295712"/>
    <n v="2"/>
    <n v="0.52070300863866548"/>
    <n v="12"/>
    <n v="0.42613059779124229"/>
    <n v="17"/>
    <n v="0.25100280525962793"/>
    <n v="5"/>
    <n v="0.36384033072507355"/>
    <n v="3"/>
    <n v="0.28314595695706313"/>
    <n v="16"/>
    <n v="0.30710141348338565"/>
    <n v="2"/>
    <n v="12"/>
    <n v="0.46037200126818617"/>
    <n v="12"/>
    <n v="20"/>
    <n v="6.604523166876744E-2"/>
    <n v="2.5"/>
    <n v="26"/>
    <n v="0.5293613320666789"/>
    <n v="1.7333333333333334"/>
    <n v="17"/>
    <n v="0.21461834708894545"/>
    <n v="1.8888888888888888"/>
    <n v="19"/>
    <n v="0.27596915852157822"/>
    <n v="2.7142857142857144"/>
    <m/>
    <m/>
    <m/>
    <m/>
    <m/>
    <m/>
    <m/>
    <m/>
    <m/>
    <n v="6"/>
    <n v="137"/>
    <n v="6"/>
    <n v="0"/>
    <n v="0"/>
    <n v="0"/>
    <n v="53097"/>
    <n v="368667"/>
    <n v="19308"/>
    <n v="0"/>
    <n v="5"/>
    <n v="16090"/>
    <n v="33853.54141656663"/>
    <n v="8"/>
    <n v="124"/>
    <n v="7.5"/>
    <n v="0"/>
    <n v="0"/>
    <n v="0"/>
    <n v="85277"/>
    <n v="333684"/>
    <n v="24135"/>
    <n v="0"/>
    <n v="5"/>
    <n v="16090"/>
    <n v="42316.926770708291"/>
    <n v="8"/>
    <n v="119"/>
    <n v="3"/>
    <n v="0"/>
    <n v="0"/>
    <n v="65178.5"/>
    <n v="382942"/>
    <n v="9654"/>
    <n v="0"/>
    <n v="5"/>
    <n v="16090"/>
    <n v="20142.857142857145"/>
    <n v="8"/>
    <n v="116"/>
    <n v="16"/>
    <n v="0"/>
    <n v="0"/>
    <n v="312156"/>
    <n v="51488"/>
    <x v="0"/>
    <x v="0"/>
    <n v="5"/>
    <n v="16090"/>
    <n v="107428.57142857143"/>
    <n v="1"/>
    <n v="17"/>
    <n v="1.5"/>
    <m/>
    <n v="0"/>
    <n v="0"/>
    <n v="54706"/>
    <n v="4036.5"/>
    <x v="0"/>
    <n v="0"/>
    <n v="5"/>
    <n v="16090"/>
    <n v="10071.428571428572"/>
    <n v="8"/>
    <n v="25"/>
    <n v="20"/>
    <m/>
    <n v="0"/>
    <n v="0"/>
    <n v="80450"/>
    <n v="53820"/>
    <n v="0"/>
    <n v="0"/>
    <n v="25"/>
    <n v="16090"/>
    <n v="134285.71428571429"/>
    <n v="15"/>
    <n v="31"/>
    <n v="26"/>
    <n v="0"/>
    <n v="0"/>
    <n v="0"/>
    <n v="99758"/>
    <n v="69966"/>
    <n v="0"/>
    <n v="0"/>
    <n v="31"/>
    <n v="16090"/>
    <n v="174571.42857142858"/>
    <n v="9"/>
    <n v="22"/>
    <n v="17"/>
    <n v="0"/>
    <n v="0"/>
    <n v="0"/>
    <n v="70796"/>
    <n v="45747"/>
    <n v="0"/>
    <n v="0"/>
    <n v="22"/>
    <n v="70796"/>
    <n v="114142.85714285714"/>
    <n v="7"/>
    <n v="24"/>
    <n v="28.5"/>
    <n v="0"/>
    <n v="0"/>
    <n v="0"/>
    <n v="64584"/>
    <n v="76693.5"/>
    <n v="0"/>
    <n v="0"/>
    <n v="5"/>
    <n v="16090"/>
    <n v="191357.14285714287"/>
    <n v="4"/>
    <n v="0"/>
    <n v="0"/>
    <n v="0"/>
    <n v="0"/>
    <n v="0"/>
    <m/>
    <n v="0"/>
    <n v="0"/>
    <n v="0"/>
    <n v="0"/>
    <n v="0"/>
    <n v="0"/>
    <n v="0"/>
    <n v="4"/>
    <n v="0"/>
    <n v="0"/>
    <m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2.4"/>
    <n v="0"/>
    <n v="3.5999999999999996"/>
    <n v="0"/>
    <m/>
    <n v="0"/>
    <n v="11584.8"/>
    <n v="0"/>
    <n v="0"/>
    <n v="0"/>
    <n v="24171.428571428569"/>
  </r>
  <r>
    <m/>
    <x v="4"/>
    <x v="14"/>
    <x v="34"/>
    <s v="LHPANCLOGR"/>
    <x v="166"/>
    <x v="157"/>
    <x v="0"/>
    <x v="2"/>
    <n v="1"/>
    <x v="31"/>
    <n v="2"/>
    <m/>
    <n v="0"/>
    <n v="5923"/>
    <n v="11846"/>
    <n v="5.44"/>
    <n v="5943.2"/>
    <n v="9235.2941176470595"/>
    <n v="8394.957983193277"/>
    <s v="Shenzhen"/>
    <x v="0"/>
    <n v="30"/>
    <m/>
    <n v="200"/>
    <n v="0"/>
    <s v=""/>
    <n v="0"/>
    <s v=""/>
    <n v="0"/>
    <s v=""/>
    <n v="0"/>
    <s v=""/>
    <n v="0"/>
    <s v=""/>
    <n v="3"/>
    <n v="0.52979148719859925"/>
    <n v="19"/>
    <n v="0.39212442865274139"/>
    <n v="8"/>
    <n v="0.5297909251960542"/>
    <n v="4"/>
    <n v="0.44679088682424317"/>
    <n v="6"/>
    <n v="0.40384942225906079"/>
    <n v="3"/>
    <n v="0.4121467721062384"/>
    <n v="52"/>
    <n v="0.32324095404158742"/>
    <n v="6"/>
    <n v="0.22884720191358987"/>
    <n v="3"/>
    <n v="0.13257806565220603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20"/>
    <n v="12"/>
    <n v="12"/>
    <n v="0"/>
    <n v="0"/>
    <n v="0"/>
    <n v="97729.5"/>
    <n v="67564.799999999988"/>
    <n v="71076"/>
    <n v="0"/>
    <n v="2"/>
    <n v="11846"/>
    <n v="93129.01631240733"/>
    <n v="10"/>
    <n v="5"/>
    <n v="4.5"/>
    <n v="0"/>
    <n v="0"/>
    <n v="0"/>
    <n v="26653.5"/>
    <n v="28152"/>
    <n v="26653.5"/>
    <n v="0"/>
    <n v="2"/>
    <n v="11846"/>
    <n v="34923.381117152749"/>
    <n v="7"/>
    <n v="2"/>
    <n v="0"/>
    <n v="0"/>
    <n v="0"/>
    <n v="0"/>
    <n v="11846"/>
    <n v="0"/>
    <n v="0"/>
    <n v="2"/>
    <n v="11846"/>
    <n v="0"/>
    <n v="0"/>
    <n v="2"/>
    <n v="0"/>
    <n v="0"/>
    <n v="0"/>
    <n v="11260.8"/>
    <n v="0"/>
    <x v="0"/>
    <x v="0"/>
    <n v="2"/>
    <n v="11846"/>
    <n v="0"/>
    <n v="0"/>
    <n v="2"/>
    <n v="0"/>
    <m/>
    <n v="0"/>
    <n v="0"/>
    <n v="11846"/>
    <n v="0"/>
    <x v="0"/>
    <n v="0"/>
    <n v="2"/>
    <n v="11846"/>
    <n v="0"/>
    <n v="0"/>
    <n v="2"/>
    <n v="0"/>
    <m/>
    <n v="0"/>
    <n v="0"/>
    <n v="11846"/>
    <n v="0"/>
    <n v="0"/>
    <n v="0"/>
    <n v="2"/>
    <n v="11846"/>
    <n v="0"/>
    <n v="0"/>
    <n v="2"/>
    <n v="0"/>
    <n v="0"/>
    <n v="0"/>
    <n v="0"/>
    <n v="11846"/>
    <n v="0"/>
    <n v="0"/>
    <n v="0"/>
    <n v="2"/>
    <n v="11846"/>
    <n v="0"/>
    <n v="0"/>
    <n v="2"/>
    <n v="0"/>
    <n v="0"/>
    <n v="0"/>
    <n v="0"/>
    <n v="11846"/>
    <n v="0"/>
    <n v="0"/>
    <n v="0"/>
    <n v="2"/>
    <n v="11846"/>
    <n v="0"/>
    <n v="0"/>
    <n v="2"/>
    <n v="0"/>
    <n v="0"/>
    <n v="0"/>
    <n v="0"/>
    <n v="11260.8"/>
    <n v="0"/>
    <n v="0"/>
    <n v="0"/>
    <n v="2"/>
    <n v="11846"/>
    <n v="0"/>
    <n v="0"/>
    <n v="2"/>
    <n v="0"/>
    <n v="0"/>
    <n v="0"/>
    <n v="0"/>
    <m/>
    <n v="11260.8"/>
    <n v="0"/>
    <n v="0"/>
    <n v="0"/>
    <n v="2"/>
    <n v="11260.8"/>
    <n v="0"/>
    <n v="0"/>
    <n v="2"/>
    <n v="0"/>
    <m/>
    <n v="0"/>
    <n v="0"/>
    <n v="11260.8"/>
    <n v="0"/>
    <n v="0"/>
    <n v="0"/>
    <n v="2"/>
    <n v="11260.8"/>
    <n v="0"/>
    <n v="0"/>
    <n v="2"/>
    <n v="0"/>
    <n v="0"/>
    <n v="0"/>
    <n v="11260.8"/>
    <n v="0"/>
    <n v="0"/>
    <n v="0"/>
    <n v="2"/>
    <n v="11260.8"/>
    <n v="0"/>
    <n v="0"/>
    <n v="2"/>
    <n v="0"/>
    <n v="0"/>
    <m/>
    <n v="11260.8"/>
    <n v="0"/>
    <n v="0"/>
    <n v="2"/>
    <n v="11260.8"/>
    <n v="0"/>
  </r>
  <r>
    <m/>
    <x v="4"/>
    <x v="14"/>
    <x v="34"/>
    <s v="LHPANIMBKBK36-37"/>
    <x v="167"/>
    <x v="158"/>
    <x v="0"/>
    <x v="4"/>
    <n v="1"/>
    <x v="110"/>
    <n v="13"/>
    <m/>
    <n v="0"/>
    <n v="7231"/>
    <n v="94003"/>
    <n v="7.5"/>
    <n v="8193.75"/>
    <n v="18478.991596638658"/>
    <n v="0"/>
    <s v="Shenzhen"/>
    <x v="0"/>
    <n v="30"/>
    <m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6"/>
    <n v="0.28062358039063506"/>
    <n v="0.42857142857142855"/>
    <n v="3"/>
    <n v="0.47706534067892731"/>
    <n v="0.27272727272727271"/>
    <n v="10"/>
    <n v="0.22158059774189554"/>
    <n v="1.4285714285714286"/>
    <n v="1"/>
    <n v="0.49346740371000919"/>
    <n v="0.5"/>
    <m/>
    <m/>
    <m/>
    <m/>
    <m/>
    <m/>
    <m/>
    <m/>
    <m/>
    <n v="0"/>
    <n v="0"/>
    <n v="0"/>
    <n v="0"/>
    <n v="0"/>
    <n v="0"/>
    <n v="0"/>
    <n v="0"/>
    <n v="0"/>
    <n v="0"/>
    <n v="13"/>
    <n v="94003"/>
    <n v="0"/>
    <n v="0"/>
    <n v="0"/>
    <n v="0"/>
    <n v="0"/>
    <n v="0"/>
    <n v="0"/>
    <n v="0"/>
    <n v="0"/>
    <n v="0"/>
    <n v="0"/>
    <n v="13"/>
    <n v="94003"/>
    <n v="0"/>
    <n v="0"/>
    <n v="0"/>
    <n v="0"/>
    <n v="0"/>
    <n v="0"/>
    <n v="23287.499999999996"/>
    <n v="0"/>
    <n v="0"/>
    <n v="0"/>
    <n v="13"/>
    <n v="94003"/>
    <n v="0"/>
    <n v="0"/>
    <n v="0"/>
    <n v="0"/>
    <n v="0"/>
    <n v="0"/>
    <n v="0"/>
    <n v="0"/>
    <x v="0"/>
    <x v="0"/>
    <n v="13"/>
    <n v="94003"/>
    <n v="0"/>
    <n v="3"/>
    <n v="13"/>
    <n v="3"/>
    <m/>
    <n v="0"/>
    <n v="0"/>
    <n v="94003"/>
    <n v="23287.499999999996"/>
    <x v="0"/>
    <n v="0"/>
    <n v="13"/>
    <n v="94003"/>
    <n v="55436.97478991597"/>
    <n v="14"/>
    <n v="19"/>
    <n v="6"/>
    <m/>
    <n v="0"/>
    <n v="0"/>
    <n v="137389"/>
    <n v="46574.999999999993"/>
    <n v="0"/>
    <n v="0"/>
    <n v="19"/>
    <n v="94003"/>
    <n v="110873.94957983194"/>
    <n v="11"/>
    <n v="16"/>
    <n v="3"/>
    <n v="0"/>
    <n v="0"/>
    <n v="0"/>
    <n v="115696"/>
    <n v="23287.499999999996"/>
    <n v="0"/>
    <n v="0"/>
    <n v="16"/>
    <n v="94003"/>
    <n v="55436.97478991597"/>
    <n v="7"/>
    <n v="23"/>
    <n v="10"/>
    <n v="0"/>
    <n v="0"/>
    <n v="0"/>
    <n v="166313"/>
    <n v="77624.999999999985"/>
    <n v="0"/>
    <n v="0"/>
    <n v="23"/>
    <n v="166313"/>
    <n v="184789.91596638659"/>
    <n v="2"/>
    <n v="14"/>
    <n v="0"/>
    <n v="0"/>
    <n v="0"/>
    <n v="0"/>
    <n v="108674.99999999999"/>
    <n v="0"/>
    <n v="0"/>
    <n v="0"/>
    <n v="13"/>
    <n v="94003"/>
    <n v="0"/>
    <n v="0"/>
    <n v="14"/>
    <n v="0"/>
    <n v="0"/>
    <n v="0"/>
    <n v="0"/>
    <m/>
    <n v="108674.99999999999"/>
    <n v="0"/>
    <n v="0"/>
    <n v="0"/>
    <n v="14"/>
    <n v="108674.99999999999"/>
    <n v="0"/>
    <n v="0"/>
    <n v="14"/>
    <n v="0"/>
    <m/>
    <n v="0"/>
    <n v="0"/>
    <n v="108674.99999999999"/>
    <n v="0"/>
    <n v="0"/>
    <n v="0"/>
    <n v="14"/>
    <n v="108674.99999999999"/>
    <n v="0"/>
    <n v="0"/>
    <n v="14"/>
    <n v="0"/>
    <n v="0"/>
    <n v="0"/>
    <n v="108674.99999999999"/>
    <n v="0"/>
    <n v="0"/>
    <n v="0"/>
    <n v="14"/>
    <n v="108674.99999999999"/>
    <n v="0"/>
    <n v="0"/>
    <n v="14"/>
    <n v="0"/>
    <n v="0"/>
    <m/>
    <n v="108674.99999999999"/>
    <n v="0"/>
    <n v="0"/>
    <n v="14"/>
    <n v="108674.99999999999"/>
    <n v="0"/>
  </r>
  <r>
    <m/>
    <x v="4"/>
    <x v="14"/>
    <x v="34"/>
    <s v="LHPANIMBKBK38-39"/>
    <x v="168"/>
    <x v="159"/>
    <x v="0"/>
    <x v="4"/>
    <n v="1"/>
    <x v="111"/>
    <n v="47"/>
    <m/>
    <n v="0"/>
    <n v="7231"/>
    <n v="339857"/>
    <n v="7.5"/>
    <n v="8193.75"/>
    <n v="18478.991596638658"/>
    <n v="0"/>
    <s v="Shenzhen"/>
    <x v="0"/>
    <n v="30"/>
    <m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1"/>
    <n v="0.68115264912930706"/>
    <n v="0.14285714285714285"/>
    <n v="5"/>
    <n v="0.3537969699973475"/>
    <n v="0.15625"/>
    <n v="3"/>
    <n v="0.26204081632653059"/>
    <n v="0.12"/>
    <n v="11"/>
    <n v="0.22037948468401256"/>
    <n v="0.6470588235294118"/>
    <n v="6"/>
    <n v="0.31006995294234196"/>
    <n v="1.2"/>
    <m/>
    <m/>
    <m/>
    <m/>
    <m/>
    <m/>
    <m/>
    <m/>
    <m/>
    <n v="0"/>
    <n v="0"/>
    <n v="0"/>
    <n v="0"/>
    <n v="0"/>
    <n v="0"/>
    <n v="0"/>
    <n v="0"/>
    <n v="0"/>
    <n v="0"/>
    <n v="47"/>
    <n v="339857"/>
    <n v="0"/>
    <n v="0"/>
    <n v="0"/>
    <n v="0"/>
    <n v="0"/>
    <n v="0"/>
    <n v="0"/>
    <n v="0"/>
    <n v="0"/>
    <n v="0"/>
    <n v="0"/>
    <n v="47"/>
    <n v="339857"/>
    <n v="0"/>
    <n v="0"/>
    <n v="0"/>
    <n v="0"/>
    <n v="0"/>
    <n v="0"/>
    <n v="54337.499999999993"/>
    <n v="0"/>
    <n v="0"/>
    <n v="0"/>
    <n v="47"/>
    <n v="339857"/>
    <n v="0"/>
    <n v="0"/>
    <n v="0"/>
    <n v="0"/>
    <n v="0"/>
    <n v="0"/>
    <n v="0"/>
    <n v="0"/>
    <x v="0"/>
    <x v="0"/>
    <n v="47"/>
    <n v="339857"/>
    <n v="0"/>
    <n v="7"/>
    <n v="48"/>
    <n v="7"/>
    <m/>
    <n v="0"/>
    <n v="0"/>
    <n v="347088"/>
    <n v="54337.499999999993"/>
    <x v="0"/>
    <n v="0"/>
    <n v="47"/>
    <n v="339857"/>
    <n v="129352.9411764706"/>
    <n v="32"/>
    <n v="52"/>
    <n v="5"/>
    <m/>
    <n v="0"/>
    <n v="0"/>
    <n v="376012"/>
    <n v="38812.499999999993"/>
    <n v="0"/>
    <n v="0"/>
    <n v="52"/>
    <n v="339857"/>
    <n v="92394.957983193293"/>
    <n v="25"/>
    <n v="50"/>
    <n v="3"/>
    <n v="0"/>
    <n v="0"/>
    <n v="0"/>
    <n v="361550"/>
    <n v="23287.499999999996"/>
    <n v="0"/>
    <n v="0"/>
    <n v="50"/>
    <n v="339857"/>
    <n v="55436.97478991597"/>
    <n v="17"/>
    <n v="58"/>
    <n v="11"/>
    <n v="0"/>
    <n v="0"/>
    <n v="0"/>
    <n v="419398"/>
    <n v="85387.499999999985"/>
    <n v="0"/>
    <n v="0"/>
    <n v="58"/>
    <n v="419398"/>
    <n v="203268.90756302525"/>
    <n v="5"/>
    <n v="53"/>
    <n v="4.5"/>
    <n v="0"/>
    <n v="0"/>
    <n v="0"/>
    <n v="411412.49999999994"/>
    <n v="34931.249999999993"/>
    <n v="0"/>
    <n v="0"/>
    <n v="47"/>
    <n v="339857"/>
    <n v="83155.462184873963"/>
    <n v="0"/>
    <n v="48.5"/>
    <n v="0"/>
    <n v="0"/>
    <n v="0"/>
    <n v="0"/>
    <m/>
    <n v="376481.24999999994"/>
    <n v="0"/>
    <n v="0"/>
    <n v="0"/>
    <n v="48.5"/>
    <n v="376481.24999999994"/>
    <n v="0"/>
    <n v="0"/>
    <n v="48.5"/>
    <n v="0"/>
    <m/>
    <n v="0"/>
    <n v="0"/>
    <n v="376481.24999999994"/>
    <n v="0"/>
    <n v="0"/>
    <n v="0"/>
    <n v="48.5"/>
    <n v="376481.24999999994"/>
    <n v="0"/>
    <n v="0"/>
    <n v="48.5"/>
    <n v="0"/>
    <n v="0"/>
    <n v="0"/>
    <n v="376481.24999999994"/>
    <n v="0"/>
    <n v="0"/>
    <n v="0"/>
    <n v="48.5"/>
    <n v="376481.24999999994"/>
    <n v="0"/>
    <n v="0"/>
    <n v="48.5"/>
    <n v="0"/>
    <n v="0"/>
    <m/>
    <n v="376481.24999999994"/>
    <n v="0"/>
    <n v="0"/>
    <n v="48.5"/>
    <n v="376481.24999999994"/>
    <n v="0"/>
  </r>
  <r>
    <m/>
    <x v="4"/>
    <x v="14"/>
    <x v="34"/>
    <s v="LHPANIMBKBK40-41"/>
    <x v="169"/>
    <x v="160"/>
    <x v="0"/>
    <x v="4"/>
    <n v="1"/>
    <x v="112"/>
    <n v="94"/>
    <m/>
    <n v="0"/>
    <n v="7231"/>
    <n v="679714"/>
    <n v="7.5"/>
    <n v="8193.75"/>
    <n v="18478.991596638658"/>
    <n v="0"/>
    <s v="Shenzhen"/>
    <x v="0"/>
    <n v="30"/>
    <m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10"/>
    <n v="0.27649370205606416"/>
    <n v="0.14705882352941177"/>
    <n v="17"/>
    <n v="0.47944322479869911"/>
    <n v="0.32075471698113206"/>
    <n v="23"/>
    <n v="0.24651156446597741"/>
    <n v="0.6216216216216216"/>
    <n v="5"/>
    <n v="0.13672560744288081"/>
    <n v="0.45454545454545453"/>
    <m/>
    <m/>
    <m/>
    <m/>
    <m/>
    <m/>
    <m/>
    <m/>
    <m/>
    <n v="0"/>
    <n v="0"/>
    <n v="0"/>
    <n v="0"/>
    <n v="0"/>
    <n v="0"/>
    <n v="0"/>
    <n v="0"/>
    <n v="0"/>
    <n v="0"/>
    <n v="94"/>
    <n v="679714"/>
    <n v="0"/>
    <n v="0"/>
    <n v="0"/>
    <n v="0"/>
    <n v="0"/>
    <n v="0"/>
    <n v="0"/>
    <n v="0"/>
    <n v="0"/>
    <n v="0"/>
    <n v="0"/>
    <n v="94"/>
    <n v="679714"/>
    <n v="0"/>
    <n v="0"/>
    <n v="0"/>
    <n v="0"/>
    <n v="0"/>
    <n v="0"/>
    <n v="124199.99999999999"/>
    <n v="0"/>
    <n v="0"/>
    <n v="0"/>
    <n v="94"/>
    <n v="679714"/>
    <n v="0"/>
    <n v="0"/>
    <n v="0"/>
    <n v="0"/>
    <n v="0"/>
    <n v="0"/>
    <n v="0"/>
    <n v="0"/>
    <x v="0"/>
    <x v="0"/>
    <n v="94"/>
    <n v="679714"/>
    <n v="0"/>
    <n v="16"/>
    <n v="94"/>
    <n v="16"/>
    <m/>
    <n v="0"/>
    <n v="0"/>
    <n v="679714"/>
    <n v="124199.99999999999"/>
    <x v="0"/>
    <n v="0"/>
    <n v="94"/>
    <n v="679714"/>
    <n v="295663.86554621853"/>
    <n v="68"/>
    <n v="104"/>
    <n v="10"/>
    <m/>
    <n v="0"/>
    <n v="0"/>
    <n v="752024"/>
    <n v="77624.999999999985"/>
    <n v="0"/>
    <n v="0"/>
    <n v="104"/>
    <n v="679714"/>
    <n v="184789.91596638659"/>
    <n v="53"/>
    <n v="111"/>
    <n v="17"/>
    <n v="0"/>
    <n v="0"/>
    <n v="0"/>
    <n v="802641"/>
    <n v="131962.49999999997"/>
    <n v="0"/>
    <n v="0"/>
    <n v="111"/>
    <n v="679714"/>
    <n v="314142.85714285716"/>
    <n v="37"/>
    <n v="117"/>
    <n v="23"/>
    <n v="0"/>
    <n v="0"/>
    <n v="0"/>
    <n v="846027"/>
    <n v="178537.49999999997"/>
    <n v="0"/>
    <n v="0"/>
    <n v="117"/>
    <n v="846027"/>
    <n v="425016.80672268913"/>
    <n v="11"/>
    <n v="99"/>
    <n v="6"/>
    <n v="0"/>
    <n v="0"/>
    <n v="0"/>
    <n v="768487.49999999988"/>
    <n v="46574.999999999993"/>
    <n v="0"/>
    <n v="0"/>
    <n v="94"/>
    <n v="679714"/>
    <n v="110873.94957983194"/>
    <n v="0"/>
    <n v="93"/>
    <n v="0"/>
    <n v="0"/>
    <n v="0"/>
    <n v="0"/>
    <m/>
    <n v="721912.49999999988"/>
    <n v="0"/>
    <n v="0"/>
    <n v="0"/>
    <n v="93"/>
    <n v="721912.49999999988"/>
    <n v="0"/>
    <n v="0"/>
    <n v="93"/>
    <n v="0"/>
    <m/>
    <n v="0"/>
    <n v="0"/>
    <n v="721912.49999999988"/>
    <n v="0"/>
    <n v="0"/>
    <n v="0"/>
    <n v="93"/>
    <n v="721912.49999999988"/>
    <n v="0"/>
    <n v="0"/>
    <n v="93"/>
    <n v="0"/>
    <n v="0"/>
    <n v="0"/>
    <n v="721912.49999999988"/>
    <n v="0"/>
    <n v="0"/>
    <n v="0"/>
    <n v="93"/>
    <n v="721912.49999999988"/>
    <n v="0"/>
    <n v="0"/>
    <n v="93"/>
    <n v="0"/>
    <n v="0"/>
    <m/>
    <n v="721912.49999999988"/>
    <n v="0"/>
    <n v="0"/>
    <n v="93"/>
    <n v="721912.49999999988"/>
    <n v="0"/>
  </r>
  <r>
    <m/>
    <x v="4"/>
    <x v="14"/>
    <x v="34"/>
    <s v="LHPANIMBKBK42-43"/>
    <x v="170"/>
    <x v="161"/>
    <x v="0"/>
    <x v="4"/>
    <n v="1"/>
    <x v="113"/>
    <n v="76"/>
    <m/>
    <n v="0"/>
    <n v="7231"/>
    <n v="549556"/>
    <n v="7.5"/>
    <n v="8193.75"/>
    <n v="18478.991596638658"/>
    <n v="0"/>
    <s v="Shenzhen"/>
    <x v="0"/>
    <n v="30"/>
    <m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19"/>
    <n v="0.22813959276706886"/>
    <n v="0.24675324675324675"/>
    <n v="32"/>
    <n v="0.48095399761394381"/>
    <n v="0.53333333333333333"/>
    <n v="33"/>
    <n v="0.25968430214654969"/>
    <n v="0.7857142857142857"/>
    <n v="15"/>
    <n v="0.23838896531183534"/>
    <n v="1.25"/>
    <m/>
    <m/>
    <m/>
    <m/>
    <m/>
    <m/>
    <m/>
    <m/>
    <m/>
    <n v="0"/>
    <n v="0"/>
    <n v="0"/>
    <n v="0"/>
    <n v="0"/>
    <n v="0"/>
    <n v="0"/>
    <n v="0"/>
    <n v="0"/>
    <n v="0"/>
    <n v="76"/>
    <n v="549556"/>
    <n v="0"/>
    <n v="0"/>
    <n v="0"/>
    <n v="0"/>
    <n v="0"/>
    <n v="0"/>
    <n v="0"/>
    <n v="0"/>
    <n v="0"/>
    <n v="0"/>
    <n v="0"/>
    <n v="76"/>
    <n v="549556"/>
    <n v="0"/>
    <n v="0"/>
    <n v="0"/>
    <n v="0"/>
    <n v="0"/>
    <n v="0"/>
    <n v="139724.99999999997"/>
    <n v="0"/>
    <n v="0"/>
    <n v="0"/>
    <n v="76"/>
    <n v="549556"/>
    <n v="0"/>
    <n v="0"/>
    <n v="0"/>
    <n v="0"/>
    <n v="0"/>
    <n v="0"/>
    <n v="0"/>
    <n v="0"/>
    <x v="0"/>
    <x v="0"/>
    <n v="76"/>
    <n v="549556"/>
    <n v="0"/>
    <n v="18"/>
    <n v="76"/>
    <n v="18"/>
    <m/>
    <n v="0"/>
    <n v="0"/>
    <n v="549556"/>
    <n v="139724.99999999997"/>
    <x v="0"/>
    <n v="0"/>
    <n v="76"/>
    <n v="549556"/>
    <n v="332621.84873949585"/>
    <n v="77"/>
    <n v="95"/>
    <n v="19"/>
    <m/>
    <n v="0"/>
    <n v="0"/>
    <n v="686945"/>
    <n v="147487.49999999997"/>
    <n v="0"/>
    <n v="0"/>
    <n v="95"/>
    <n v="549556"/>
    <n v="351100.84033613448"/>
    <n v="60"/>
    <n v="108"/>
    <n v="32"/>
    <n v="0"/>
    <n v="0"/>
    <n v="0"/>
    <n v="780948"/>
    <n v="248399.99999999997"/>
    <n v="0"/>
    <n v="0"/>
    <n v="108"/>
    <n v="549556"/>
    <n v="591327.73109243705"/>
    <n v="42"/>
    <n v="109"/>
    <n v="34"/>
    <n v="0"/>
    <n v="0"/>
    <n v="0"/>
    <n v="788179"/>
    <n v="263924.99999999994"/>
    <n v="0"/>
    <n v="0"/>
    <n v="109"/>
    <n v="788179"/>
    <n v="628285.71428571432"/>
    <n v="12"/>
    <n v="91"/>
    <n v="16.5"/>
    <n v="0"/>
    <n v="0"/>
    <n v="0"/>
    <n v="706387.49999999988"/>
    <n v="128081.24999999999"/>
    <n v="0"/>
    <n v="0"/>
    <n v="76"/>
    <n v="549556"/>
    <n v="304903.36134453787"/>
    <n v="0"/>
    <n v="74.5"/>
    <n v="0"/>
    <n v="0"/>
    <n v="0"/>
    <n v="0"/>
    <m/>
    <n v="578306.24999999988"/>
    <n v="0"/>
    <n v="0"/>
    <n v="0"/>
    <n v="74.5"/>
    <n v="578306.24999999988"/>
    <n v="0"/>
    <n v="0"/>
    <n v="74.5"/>
    <n v="0"/>
    <m/>
    <n v="0"/>
    <n v="0"/>
    <n v="578306.24999999988"/>
    <n v="0"/>
    <n v="0"/>
    <n v="0"/>
    <n v="74.5"/>
    <n v="578306.24999999988"/>
    <n v="0"/>
    <n v="0"/>
    <n v="74.5"/>
    <n v="0"/>
    <n v="0"/>
    <n v="0"/>
    <n v="578306.24999999988"/>
    <n v="0"/>
    <n v="0"/>
    <n v="0"/>
    <n v="74.5"/>
    <n v="578306.24999999988"/>
    <n v="0"/>
    <n v="0"/>
    <n v="74.5"/>
    <n v="0"/>
    <n v="0"/>
    <m/>
    <n v="578306.24999999988"/>
    <n v="0"/>
    <n v="0"/>
    <n v="74.5"/>
    <n v="578306.24999999988"/>
    <n v="0"/>
  </r>
  <r>
    <m/>
    <x v="4"/>
    <x v="14"/>
    <x v="34"/>
    <s v="LHPANIMBKBK44-45"/>
    <x v="171"/>
    <x v="162"/>
    <x v="0"/>
    <x v="4"/>
    <n v="1"/>
    <x v="114"/>
    <n v="20"/>
    <m/>
    <n v="0"/>
    <n v="7231"/>
    <n v="144620"/>
    <n v="7.5"/>
    <n v="8193.75"/>
    <n v="18478.991596638658"/>
    <n v="0"/>
    <s v="Shenzhen"/>
    <x v="0"/>
    <n v="30"/>
    <m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18"/>
    <n v="-9.8649227549406457E-2"/>
    <n v="0.5"/>
    <n v="12"/>
    <n v="0.48498726788855767"/>
    <n v="0.42857142857142855"/>
    <n v="20"/>
    <n v="0.21565160206796524"/>
    <n v="1"/>
    <n v="8"/>
    <n v="0.20646557551170425"/>
    <n v="1.3333333333333333"/>
    <m/>
    <m/>
    <m/>
    <m/>
    <m/>
    <m/>
    <m/>
    <m/>
    <m/>
    <n v="0"/>
    <n v="0"/>
    <n v="0"/>
    <n v="0"/>
    <n v="0"/>
    <n v="0"/>
    <n v="0"/>
    <n v="0"/>
    <n v="0"/>
    <n v="0"/>
    <n v="20"/>
    <n v="144620"/>
    <n v="0"/>
    <n v="0"/>
    <n v="0"/>
    <n v="0"/>
    <n v="0"/>
    <n v="0"/>
    <n v="0"/>
    <n v="0"/>
    <n v="0"/>
    <n v="0"/>
    <n v="0"/>
    <n v="20"/>
    <n v="144620"/>
    <n v="0"/>
    <n v="0"/>
    <n v="0"/>
    <n v="0"/>
    <n v="0"/>
    <n v="0"/>
    <n v="62099.999999999993"/>
    <n v="0"/>
    <n v="0"/>
    <n v="0"/>
    <n v="20"/>
    <n v="144620"/>
    <n v="0"/>
    <n v="0"/>
    <n v="0"/>
    <n v="0"/>
    <n v="0"/>
    <n v="0"/>
    <n v="0"/>
    <n v="0"/>
    <x v="0"/>
    <x v="0"/>
    <n v="20"/>
    <n v="144620"/>
    <n v="0"/>
    <n v="8"/>
    <n v="20"/>
    <n v="8"/>
    <m/>
    <n v="0"/>
    <n v="0"/>
    <n v="144620"/>
    <n v="62099.999999999993"/>
    <x v="0"/>
    <n v="0"/>
    <n v="20"/>
    <n v="144620"/>
    <n v="147831.93277310926"/>
    <n v="36"/>
    <n v="38"/>
    <n v="18"/>
    <m/>
    <n v="0"/>
    <n v="0"/>
    <n v="274778"/>
    <n v="139724.99999999997"/>
    <n v="0"/>
    <n v="0"/>
    <n v="38"/>
    <n v="144620"/>
    <n v="332621.84873949585"/>
    <n v="28"/>
    <n v="32"/>
    <n v="12"/>
    <n v="0"/>
    <n v="0"/>
    <n v="0"/>
    <n v="231392"/>
    <n v="93149.999999999985"/>
    <n v="0"/>
    <n v="0"/>
    <n v="32"/>
    <n v="144620"/>
    <n v="221747.89915966388"/>
    <n v="20"/>
    <n v="40"/>
    <n v="20"/>
    <n v="0"/>
    <n v="0"/>
    <n v="0"/>
    <n v="289240"/>
    <n v="155249.99999999997"/>
    <n v="0"/>
    <n v="0"/>
    <n v="40"/>
    <n v="289240"/>
    <n v="369579.83193277317"/>
    <n v="6"/>
    <n v="28"/>
    <n v="10.5"/>
    <n v="0"/>
    <n v="0"/>
    <n v="0"/>
    <n v="217349.99999999997"/>
    <n v="81506.249999999985"/>
    <n v="0"/>
    <n v="0"/>
    <n v="20"/>
    <n v="144620"/>
    <n v="194029.4117647059"/>
    <n v="0"/>
    <n v="17.5"/>
    <n v="0"/>
    <n v="0"/>
    <n v="0"/>
    <n v="0"/>
    <m/>
    <n v="135843.74999999997"/>
    <n v="0"/>
    <n v="0"/>
    <n v="0"/>
    <n v="17.5"/>
    <n v="135843.74999999997"/>
    <n v="0"/>
    <n v="0"/>
    <n v="17.5"/>
    <n v="0"/>
    <m/>
    <n v="0"/>
    <n v="0"/>
    <n v="135843.74999999997"/>
    <n v="0"/>
    <n v="0"/>
    <n v="0"/>
    <n v="17.5"/>
    <n v="135843.74999999997"/>
    <n v="0"/>
    <n v="0"/>
    <n v="17.5"/>
    <n v="0"/>
    <n v="0"/>
    <n v="0"/>
    <n v="135843.74999999997"/>
    <n v="0"/>
    <n v="0"/>
    <n v="0"/>
    <n v="17.5"/>
    <n v="135843.74999999997"/>
    <n v="0"/>
    <n v="0"/>
    <n v="17.5"/>
    <n v="0"/>
    <n v="0"/>
    <m/>
    <n v="135843.74999999997"/>
    <n v="0"/>
    <n v="0"/>
    <n v="17.5"/>
    <n v="135843.74999999997"/>
    <n v="0"/>
  </r>
  <r>
    <m/>
    <x v="4"/>
    <x v="14"/>
    <x v="34"/>
    <s v="LHPANIMBKCM36-37"/>
    <x v="172"/>
    <x v="163"/>
    <x v="0"/>
    <x v="4"/>
    <n v="1"/>
    <x v="115"/>
    <n v="18"/>
    <m/>
    <n v="0"/>
    <n v="7232"/>
    <n v="130176"/>
    <n v="7.5"/>
    <n v="8193.75"/>
    <n v="19319.327731092439"/>
    <n v="0"/>
    <s v="Shenzhen"/>
    <x v="0"/>
    <n v="30"/>
    <m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2"/>
    <n v="0.49344025897586813"/>
    <n v="0.18181818181818182"/>
    <n v="8"/>
    <n v="0.23329454024919458"/>
    <n v="1.1428571428571428"/>
    <n v="2"/>
    <n v="0.30576951442024719"/>
    <n v="1"/>
    <m/>
    <m/>
    <m/>
    <m/>
    <m/>
    <m/>
    <m/>
    <m/>
    <m/>
    <n v="0"/>
    <n v="0"/>
    <n v="0"/>
    <n v="0"/>
    <n v="0"/>
    <n v="0"/>
    <n v="0"/>
    <n v="0"/>
    <n v="0"/>
    <n v="0"/>
    <n v="18"/>
    <n v="130176"/>
    <n v="0"/>
    <n v="0"/>
    <n v="0"/>
    <n v="0"/>
    <n v="0"/>
    <n v="0"/>
    <n v="0"/>
    <n v="0"/>
    <n v="0"/>
    <n v="0"/>
    <n v="0"/>
    <n v="18"/>
    <n v="130176"/>
    <n v="0"/>
    <n v="0"/>
    <n v="0"/>
    <n v="0"/>
    <n v="0"/>
    <n v="0"/>
    <n v="23287.499999999996"/>
    <n v="0"/>
    <n v="0"/>
    <n v="0"/>
    <n v="18"/>
    <n v="130176"/>
    <n v="0"/>
    <n v="0"/>
    <n v="0"/>
    <n v="0"/>
    <n v="0"/>
    <n v="0"/>
    <n v="0"/>
    <n v="0"/>
    <x v="0"/>
    <x v="0"/>
    <n v="18"/>
    <n v="130176"/>
    <n v="0"/>
    <n v="3"/>
    <n v="18"/>
    <n v="3"/>
    <m/>
    <n v="0"/>
    <n v="0"/>
    <n v="130176"/>
    <n v="23287.499999999996"/>
    <x v="0"/>
    <n v="0"/>
    <n v="18"/>
    <n v="130176"/>
    <n v="57957.983193277316"/>
    <n v="14"/>
    <n v="18"/>
    <n v="0"/>
    <m/>
    <n v="0"/>
    <n v="0"/>
    <n v="130176"/>
    <n v="0"/>
    <n v="0"/>
    <n v="0"/>
    <n v="18"/>
    <n v="130176"/>
    <n v="0"/>
    <n v="11"/>
    <n v="20"/>
    <n v="2"/>
    <n v="0"/>
    <n v="0"/>
    <n v="0"/>
    <n v="144640"/>
    <n v="15524.999999999998"/>
    <n v="0"/>
    <n v="0"/>
    <n v="20"/>
    <n v="130176"/>
    <n v="38638.655462184877"/>
    <n v="7"/>
    <n v="26"/>
    <n v="8"/>
    <n v="0"/>
    <n v="0"/>
    <n v="0"/>
    <n v="188032"/>
    <n v="62099.999999999993"/>
    <n v="0"/>
    <n v="0"/>
    <n v="26"/>
    <n v="188032"/>
    <n v="154554.62184873951"/>
    <n v="2"/>
    <n v="20"/>
    <n v="3"/>
    <n v="0"/>
    <n v="0"/>
    <n v="0"/>
    <n v="155249.99999999997"/>
    <n v="23287.499999999996"/>
    <n v="0"/>
    <n v="0"/>
    <n v="18"/>
    <n v="130176"/>
    <n v="57957.983193277316"/>
    <n v="0"/>
    <n v="17"/>
    <n v="0"/>
    <n v="0"/>
    <n v="0"/>
    <n v="0"/>
    <m/>
    <n v="131962.49999999997"/>
    <n v="0"/>
    <n v="0"/>
    <n v="0"/>
    <n v="17"/>
    <n v="131962.49999999997"/>
    <n v="0"/>
    <n v="0"/>
    <n v="17"/>
    <n v="0"/>
    <m/>
    <n v="0"/>
    <n v="0"/>
    <n v="131962.49999999997"/>
    <n v="0"/>
    <n v="0"/>
    <n v="0"/>
    <n v="17"/>
    <n v="131962.49999999997"/>
    <n v="0"/>
    <n v="0"/>
    <n v="17"/>
    <n v="0"/>
    <n v="0"/>
    <n v="0"/>
    <n v="131962.49999999997"/>
    <n v="0"/>
    <n v="0"/>
    <n v="0"/>
    <n v="17"/>
    <n v="131962.49999999997"/>
    <n v="0"/>
    <n v="0"/>
    <n v="17"/>
    <n v="0"/>
    <n v="0"/>
    <m/>
    <n v="131962.49999999997"/>
    <n v="0"/>
    <n v="0"/>
    <n v="17"/>
    <n v="131962.49999999997"/>
    <n v="0"/>
  </r>
  <r>
    <m/>
    <x v="4"/>
    <x v="14"/>
    <x v="34"/>
    <s v="LHPANIMBKCM38-39"/>
    <x v="173"/>
    <x v="164"/>
    <x v="0"/>
    <x v="4"/>
    <n v="1"/>
    <x v="116"/>
    <n v="53"/>
    <m/>
    <n v="0"/>
    <n v="7232"/>
    <n v="383296"/>
    <n v="7.5"/>
    <n v="8193.75"/>
    <n v="18478.991596638658"/>
    <n v="0"/>
    <s v="Shenzhen"/>
    <x v="0"/>
    <n v="30"/>
    <m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1"/>
    <n v="0.2970535267633817"/>
    <n v="3.125E-2"/>
    <n v="3"/>
    <n v="0.49344025897586807"/>
    <n v="0.12"/>
    <n v="12"/>
    <n v="0.2521849323277745"/>
    <n v="0.70588235294117652"/>
    <n v="0"/>
    <s v=""/>
    <n v="0"/>
    <m/>
    <m/>
    <m/>
    <m/>
    <m/>
    <m/>
    <m/>
    <m/>
    <m/>
    <n v="0"/>
    <n v="0"/>
    <n v="0"/>
    <n v="0"/>
    <n v="0"/>
    <n v="0"/>
    <n v="0"/>
    <n v="0"/>
    <n v="0"/>
    <n v="0"/>
    <n v="53"/>
    <n v="383296"/>
    <n v="0"/>
    <n v="0"/>
    <n v="0"/>
    <n v="0"/>
    <n v="0"/>
    <n v="0"/>
    <n v="0"/>
    <n v="0"/>
    <n v="0"/>
    <n v="0"/>
    <n v="0"/>
    <n v="53"/>
    <n v="383296"/>
    <n v="0"/>
    <n v="0"/>
    <n v="0"/>
    <n v="0"/>
    <n v="0"/>
    <n v="0"/>
    <n v="54337.499999999993"/>
    <n v="0"/>
    <n v="0"/>
    <n v="0"/>
    <n v="53"/>
    <n v="383296"/>
    <n v="0"/>
    <n v="0"/>
    <n v="0"/>
    <n v="0"/>
    <n v="0"/>
    <n v="0"/>
    <n v="0"/>
    <n v="0"/>
    <x v="0"/>
    <x v="0"/>
    <n v="53"/>
    <n v="383296"/>
    <n v="0"/>
    <n v="7"/>
    <n v="53"/>
    <n v="7"/>
    <m/>
    <n v="0"/>
    <n v="0"/>
    <n v="383296"/>
    <n v="54337.499999999993"/>
    <x v="0"/>
    <n v="0"/>
    <n v="53"/>
    <n v="383296"/>
    <n v="129352.9411764706"/>
    <n v="32"/>
    <n v="54"/>
    <n v="1"/>
    <m/>
    <n v="0"/>
    <n v="0"/>
    <n v="390528"/>
    <n v="7762.4999999999991"/>
    <n v="0"/>
    <n v="0"/>
    <n v="54"/>
    <n v="383296"/>
    <n v="18478.991596638658"/>
    <n v="25"/>
    <n v="56"/>
    <n v="3"/>
    <n v="0"/>
    <n v="0"/>
    <n v="0"/>
    <n v="404992"/>
    <n v="23287.499999999996"/>
    <n v="0"/>
    <n v="0"/>
    <n v="56"/>
    <n v="383296"/>
    <n v="55436.97478991597"/>
    <n v="17"/>
    <n v="65"/>
    <n v="12"/>
    <n v="0"/>
    <n v="0"/>
    <n v="0"/>
    <n v="470080"/>
    <n v="93149.999999999985"/>
    <n v="0"/>
    <n v="0"/>
    <n v="65"/>
    <n v="470080"/>
    <n v="221747.89915966388"/>
    <n v="5"/>
    <n v="53"/>
    <n v="0"/>
    <n v="0"/>
    <n v="0"/>
    <n v="0"/>
    <n v="411412.49999999994"/>
    <n v="0"/>
    <n v="0"/>
    <n v="0"/>
    <n v="53"/>
    <n v="383296"/>
    <n v="0"/>
    <n v="0"/>
    <n v="53"/>
    <n v="0"/>
    <n v="0"/>
    <n v="0"/>
    <n v="0"/>
    <m/>
    <n v="411412.49999999994"/>
    <n v="0"/>
    <n v="0"/>
    <n v="0"/>
    <n v="53"/>
    <n v="411412.49999999994"/>
    <n v="0"/>
    <n v="0"/>
    <n v="53"/>
    <n v="0"/>
    <m/>
    <n v="0"/>
    <n v="0"/>
    <n v="411412.49999999994"/>
    <n v="0"/>
    <n v="0"/>
    <n v="0"/>
    <n v="53"/>
    <n v="411412.49999999994"/>
    <n v="0"/>
    <n v="0"/>
    <n v="53"/>
    <n v="0"/>
    <n v="0"/>
    <n v="0"/>
    <n v="411412.49999999994"/>
    <n v="0"/>
    <n v="0"/>
    <n v="0"/>
    <n v="53"/>
    <n v="411412.49999999994"/>
    <n v="0"/>
    <n v="0"/>
    <n v="53"/>
    <n v="0"/>
    <n v="0"/>
    <m/>
    <n v="411412.49999999994"/>
    <n v="0"/>
    <n v="0"/>
    <n v="53"/>
    <n v="411412.49999999994"/>
    <n v="0"/>
  </r>
  <r>
    <s v="Lhotse-Accesorio Vestuario"/>
    <x v="4"/>
    <x v="14"/>
    <x v="34"/>
    <s v="LHPANIMBKCM40-41"/>
    <x v="174"/>
    <x v="165"/>
    <x v="0"/>
    <x v="4"/>
    <n v="1"/>
    <x v="117"/>
    <n v="136"/>
    <m/>
    <n v="0"/>
    <n v="7232"/>
    <n v="983552"/>
    <n v="7.5"/>
    <n v="8193.75"/>
    <n v="18478.991596638658"/>
    <n v="0"/>
    <s v="Shenzhen"/>
    <x v="0"/>
    <n v="30"/>
    <m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4"/>
    <n v="0.30298846854505179"/>
    <n v="5.8823529411764705E-2"/>
    <n v="3"/>
    <n v="0.50320261689436208"/>
    <n v="5.6603773584905662E-2"/>
    <n v="8"/>
    <n v="0.21748984829481172"/>
    <n v="0.21621621621621623"/>
    <n v="0"/>
    <s v=""/>
    <n v="0"/>
    <m/>
    <m/>
    <m/>
    <m/>
    <m/>
    <m/>
    <m/>
    <m/>
    <m/>
    <n v="0"/>
    <n v="0"/>
    <n v="0"/>
    <n v="0"/>
    <n v="0"/>
    <n v="0"/>
    <n v="0"/>
    <n v="0"/>
    <n v="0"/>
    <n v="0"/>
    <n v="136"/>
    <n v="983552"/>
    <n v="0"/>
    <n v="0"/>
    <n v="0"/>
    <n v="0"/>
    <n v="0"/>
    <n v="0"/>
    <n v="0"/>
    <n v="0"/>
    <n v="0"/>
    <n v="0"/>
    <n v="0"/>
    <n v="136"/>
    <n v="983552"/>
    <n v="0"/>
    <n v="0"/>
    <n v="0"/>
    <n v="0"/>
    <n v="0"/>
    <n v="0"/>
    <n v="124199.99999999999"/>
    <n v="0"/>
    <n v="0"/>
    <n v="0"/>
    <n v="136"/>
    <n v="983552"/>
    <n v="0"/>
    <n v="0"/>
    <n v="0"/>
    <n v="0"/>
    <n v="0"/>
    <n v="0"/>
    <n v="0"/>
    <n v="0"/>
    <x v="0"/>
    <x v="0"/>
    <n v="136"/>
    <n v="983552"/>
    <n v="0"/>
    <n v="16"/>
    <n v="136"/>
    <n v="16"/>
    <m/>
    <n v="0"/>
    <n v="0"/>
    <n v="983552"/>
    <n v="124199.99999999999"/>
    <x v="0"/>
    <n v="0"/>
    <n v="136"/>
    <n v="983552"/>
    <n v="295663.86554621853"/>
    <n v="68"/>
    <n v="140"/>
    <n v="4"/>
    <m/>
    <n v="0"/>
    <n v="0"/>
    <n v="1012480"/>
    <n v="31049.999999999996"/>
    <n v="0"/>
    <n v="0"/>
    <n v="140"/>
    <n v="983552"/>
    <n v="73915.966386554632"/>
    <n v="53"/>
    <n v="139"/>
    <n v="3"/>
    <n v="0"/>
    <n v="0"/>
    <n v="0"/>
    <n v="1005248"/>
    <n v="23287.499999999996"/>
    <n v="0"/>
    <n v="0"/>
    <n v="139"/>
    <n v="983552"/>
    <n v="55436.97478991597"/>
    <n v="37"/>
    <n v="144"/>
    <n v="8"/>
    <n v="0"/>
    <n v="0"/>
    <n v="0"/>
    <n v="1041408"/>
    <n v="62099.999999999993"/>
    <n v="0"/>
    <n v="0"/>
    <n v="144"/>
    <n v="1041408"/>
    <n v="147831.93277310926"/>
    <n v="11"/>
    <n v="136"/>
    <n v="0"/>
    <n v="0"/>
    <n v="0"/>
    <n v="0"/>
    <n v="1055699.9999999998"/>
    <n v="0"/>
    <n v="0"/>
    <n v="0"/>
    <n v="136"/>
    <n v="983552"/>
    <n v="0"/>
    <n v="0"/>
    <n v="136"/>
    <n v="0"/>
    <n v="0"/>
    <n v="0"/>
    <n v="0"/>
    <m/>
    <n v="1055699.9999999998"/>
    <n v="0"/>
    <n v="0"/>
    <n v="0"/>
    <n v="136"/>
    <n v="1055699.9999999998"/>
    <n v="0"/>
    <n v="0"/>
    <n v="136"/>
    <n v="0"/>
    <m/>
    <n v="0"/>
    <n v="0"/>
    <n v="1055699.9999999998"/>
    <n v="0"/>
    <n v="0"/>
    <n v="0"/>
    <n v="136"/>
    <n v="1055699.9999999998"/>
    <n v="0"/>
    <n v="0"/>
    <n v="136"/>
    <n v="0"/>
    <n v="0"/>
    <n v="0"/>
    <n v="1055699.9999999998"/>
    <n v="0"/>
    <n v="0"/>
    <n v="0"/>
    <n v="136"/>
    <n v="1055699.9999999998"/>
    <n v="0"/>
    <n v="0"/>
    <n v="136"/>
    <n v="0"/>
    <n v="0"/>
    <m/>
    <n v="1055699.9999999998"/>
    <n v="0"/>
    <n v="0"/>
    <n v="136"/>
    <n v="1055699.9999999998"/>
    <n v="0"/>
  </r>
  <r>
    <s v="Lhotse-Accesorio Vestuario"/>
    <x v="4"/>
    <x v="14"/>
    <x v="34"/>
    <s v="LHPANIMBKCM42-43"/>
    <x v="175"/>
    <x v="166"/>
    <x v="0"/>
    <x v="4"/>
    <n v="1"/>
    <x v="118"/>
    <n v="142"/>
    <m/>
    <n v="0"/>
    <n v="7232"/>
    <n v="1026944"/>
    <n v="7.5"/>
    <n v="8193.75"/>
    <n v="18478.991596638658"/>
    <n v="0"/>
    <s v="Shenzhen"/>
    <x v="0"/>
    <n v="30"/>
    <m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7"/>
    <n v="0.17164353539074204"/>
    <n v="9.0909090909090912E-2"/>
    <n v="9"/>
    <n v="0.48081616306711034"/>
    <n v="0.15"/>
    <n v="12"/>
    <n v="0.23768485637809858"/>
    <n v="0.2857142857142857"/>
    <n v="0"/>
    <n v="7.1838418999999982"/>
    <n v="0"/>
    <m/>
    <m/>
    <m/>
    <m/>
    <m/>
    <m/>
    <m/>
    <m/>
    <m/>
    <n v="0"/>
    <n v="0"/>
    <n v="0"/>
    <n v="0"/>
    <n v="0"/>
    <n v="0"/>
    <n v="0"/>
    <n v="0"/>
    <n v="0"/>
    <n v="0"/>
    <n v="142"/>
    <n v="1026944"/>
    <n v="0"/>
    <n v="0"/>
    <n v="0"/>
    <n v="0"/>
    <n v="0"/>
    <n v="0"/>
    <n v="0"/>
    <n v="0"/>
    <n v="0"/>
    <n v="0"/>
    <n v="0"/>
    <n v="142"/>
    <n v="1026944"/>
    <n v="0"/>
    <n v="0"/>
    <n v="0"/>
    <n v="0"/>
    <n v="0"/>
    <n v="0"/>
    <n v="139724.99999999997"/>
    <n v="0"/>
    <n v="0"/>
    <n v="0"/>
    <n v="142"/>
    <n v="1026944"/>
    <n v="0"/>
    <n v="0"/>
    <n v="0"/>
    <n v="0"/>
    <n v="0"/>
    <n v="0"/>
    <n v="0"/>
    <n v="0"/>
    <x v="0"/>
    <x v="0"/>
    <n v="142"/>
    <n v="1026944"/>
    <n v="0"/>
    <n v="18"/>
    <n v="142"/>
    <n v="18"/>
    <m/>
    <n v="0"/>
    <n v="0"/>
    <n v="1026944"/>
    <n v="139724.99999999997"/>
    <x v="0"/>
    <n v="0"/>
    <n v="142"/>
    <n v="1026944"/>
    <n v="332621.84873949585"/>
    <n v="77"/>
    <n v="149"/>
    <n v="7"/>
    <m/>
    <n v="0"/>
    <n v="0"/>
    <n v="1077568"/>
    <n v="54337.499999999993"/>
    <n v="0"/>
    <n v="0"/>
    <n v="149"/>
    <n v="1026944"/>
    <n v="129352.9411764706"/>
    <n v="60"/>
    <n v="151"/>
    <n v="9"/>
    <n v="0"/>
    <n v="0"/>
    <n v="0"/>
    <n v="1092032"/>
    <n v="69862.499999999985"/>
    <n v="0"/>
    <n v="0"/>
    <n v="151"/>
    <n v="1026944"/>
    <n v="166310.92436974793"/>
    <n v="42"/>
    <n v="154"/>
    <n v="12"/>
    <n v="0"/>
    <n v="0"/>
    <n v="0"/>
    <n v="1113728"/>
    <n v="93149.999999999985"/>
    <n v="0"/>
    <n v="0"/>
    <n v="154"/>
    <n v="1113728"/>
    <n v="221747.89915966388"/>
    <n v="12"/>
    <n v="142"/>
    <n v="0"/>
    <n v="0"/>
    <n v="0"/>
    <n v="0"/>
    <n v="1102274.9999999998"/>
    <n v="0"/>
    <n v="0"/>
    <n v="0"/>
    <n v="142"/>
    <n v="1026944"/>
    <n v="0"/>
    <n v="0"/>
    <n v="142"/>
    <n v="0"/>
    <n v="0"/>
    <n v="0"/>
    <n v="0"/>
    <m/>
    <n v="1102274.9999999998"/>
    <n v="0"/>
    <n v="0"/>
    <n v="0"/>
    <n v="142"/>
    <n v="1102274.9999999998"/>
    <n v="0"/>
    <n v="0"/>
    <n v="142"/>
    <n v="0"/>
    <m/>
    <n v="0"/>
    <n v="0"/>
    <n v="1102274.9999999998"/>
    <n v="0"/>
    <n v="0"/>
    <n v="0"/>
    <n v="142"/>
    <n v="1102274.9999999998"/>
    <n v="0"/>
    <n v="0"/>
    <n v="142"/>
    <n v="0"/>
    <n v="0"/>
    <n v="0"/>
    <n v="1102274.9999999998"/>
    <n v="0"/>
    <n v="0"/>
    <n v="0"/>
    <n v="142"/>
    <n v="1102274.9999999998"/>
    <n v="0"/>
    <n v="0"/>
    <n v="142"/>
    <n v="0"/>
    <n v="0"/>
    <m/>
    <n v="1102274.9999999998"/>
    <n v="0"/>
    <n v="0"/>
    <n v="142"/>
    <n v="1102274.9999999998"/>
    <n v="0"/>
  </r>
  <r>
    <s v="Lhotse-Accesorio Vestuario"/>
    <x v="4"/>
    <x v="14"/>
    <x v="34"/>
    <s v="LHPANIMBKCM44-45"/>
    <x v="176"/>
    <x v="167"/>
    <x v="0"/>
    <x v="4"/>
    <n v="1"/>
    <x v="119"/>
    <n v="60"/>
    <m/>
    <n v="0"/>
    <n v="7232"/>
    <n v="433920"/>
    <n v="7.5"/>
    <n v="8193.75"/>
    <n v="18478.991596638658"/>
    <n v="0"/>
    <s v="Shenzhen"/>
    <x v="0"/>
    <n v="30"/>
    <m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5"/>
    <n v="0.34953876956007485"/>
    <n v="0.1388888888888889"/>
    <n v="1"/>
    <n v="0.49344025897586813"/>
    <n v="3.5714285714285712E-2"/>
    <n v="12"/>
    <n v="0.27476267856126574"/>
    <n v="0.6"/>
    <n v="2"/>
    <n v="0.29768041237113402"/>
    <n v="0.33333333333333331"/>
    <m/>
    <m/>
    <m/>
    <m/>
    <m/>
    <m/>
    <m/>
    <m/>
    <m/>
    <n v="0"/>
    <n v="0"/>
    <n v="0"/>
    <n v="0"/>
    <n v="0"/>
    <n v="0"/>
    <n v="0"/>
    <n v="0"/>
    <n v="0"/>
    <n v="0"/>
    <n v="60"/>
    <n v="433920"/>
    <n v="0"/>
    <n v="0"/>
    <n v="0"/>
    <n v="0"/>
    <n v="0"/>
    <n v="0"/>
    <n v="0"/>
    <n v="0"/>
    <n v="0"/>
    <n v="0"/>
    <n v="0"/>
    <n v="60"/>
    <n v="433920"/>
    <n v="0"/>
    <n v="0"/>
    <n v="0"/>
    <n v="0"/>
    <n v="0"/>
    <n v="0"/>
    <n v="62099.999999999993"/>
    <n v="0"/>
    <n v="0"/>
    <n v="0"/>
    <n v="60"/>
    <n v="433920"/>
    <n v="0"/>
    <n v="0"/>
    <n v="0"/>
    <n v="0"/>
    <n v="0"/>
    <n v="0"/>
    <n v="0"/>
    <n v="0"/>
    <x v="0"/>
    <x v="0"/>
    <n v="60"/>
    <n v="433920"/>
    <n v="0"/>
    <n v="8"/>
    <n v="60"/>
    <n v="8"/>
    <m/>
    <n v="0"/>
    <n v="0"/>
    <n v="433920"/>
    <n v="62099.999999999993"/>
    <x v="0"/>
    <n v="0"/>
    <n v="60"/>
    <n v="433920"/>
    <n v="147831.93277310926"/>
    <n v="36"/>
    <n v="65"/>
    <n v="5"/>
    <m/>
    <n v="0"/>
    <n v="0"/>
    <n v="470080"/>
    <n v="38812.499999999993"/>
    <n v="0"/>
    <n v="0"/>
    <n v="65"/>
    <n v="433920"/>
    <n v="92394.957983193293"/>
    <n v="28"/>
    <n v="61"/>
    <n v="1"/>
    <n v="0"/>
    <n v="0"/>
    <n v="0"/>
    <n v="441152"/>
    <n v="7762.4999999999991"/>
    <n v="0"/>
    <n v="0"/>
    <n v="61"/>
    <n v="433920"/>
    <n v="18478.991596638658"/>
    <n v="20"/>
    <n v="72"/>
    <n v="12"/>
    <n v="0"/>
    <n v="0"/>
    <n v="0"/>
    <n v="520704"/>
    <n v="93149.999999999985"/>
    <n v="0"/>
    <n v="0"/>
    <n v="72"/>
    <n v="520704"/>
    <n v="221747.89915966388"/>
    <n v="6"/>
    <n v="62"/>
    <n v="3"/>
    <n v="0"/>
    <n v="0"/>
    <n v="0"/>
    <n v="481274.99999999994"/>
    <n v="23287.499999999996"/>
    <n v="0"/>
    <n v="0"/>
    <n v="60"/>
    <n v="433920"/>
    <n v="55436.97478991597"/>
    <n v="0"/>
    <n v="59"/>
    <n v="0"/>
    <n v="0"/>
    <n v="0"/>
    <n v="0"/>
    <m/>
    <n v="457987.49999999994"/>
    <n v="0"/>
    <n v="0"/>
    <n v="0"/>
    <n v="59"/>
    <n v="457987.49999999994"/>
    <n v="0"/>
    <n v="0"/>
    <n v="59"/>
    <n v="0"/>
    <m/>
    <n v="0"/>
    <n v="0"/>
    <n v="457987.49999999994"/>
    <n v="0"/>
    <n v="0"/>
    <n v="0"/>
    <n v="59"/>
    <n v="457987.49999999994"/>
    <n v="0"/>
    <n v="0"/>
    <n v="59"/>
    <n v="0"/>
    <n v="0"/>
    <n v="0"/>
    <n v="457987.49999999994"/>
    <n v="0"/>
    <n v="0"/>
    <n v="0"/>
    <n v="59"/>
    <n v="457987.49999999994"/>
    <n v="0"/>
    <n v="0"/>
    <n v="59"/>
    <n v="0"/>
    <n v="0"/>
    <m/>
    <n v="457987.49999999994"/>
    <n v="0"/>
    <n v="0"/>
    <n v="59"/>
    <n v="457987.49999999994"/>
    <n v="0"/>
  </r>
  <r>
    <m/>
    <x v="4"/>
    <x v="14"/>
    <x v="34"/>
    <s v="LHPANIMPK34-35"/>
    <x v="177"/>
    <x v="168"/>
    <x v="0"/>
    <x v="4"/>
    <n v="1"/>
    <x v="120"/>
    <n v="33"/>
    <m/>
    <n v="0"/>
    <n v="7232"/>
    <n v="238656"/>
    <n v="7.5"/>
    <n v="8193.75"/>
    <n v="18478.991596638658"/>
    <n v="0"/>
    <s v="Shenzhen"/>
    <x v="0"/>
    <n v="30"/>
    <m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1"/>
    <n v="0.26207862244897961"/>
    <n v="5.5555555555555552E-2"/>
    <n v="1"/>
    <n v="0.49344025897586813"/>
    <n v="7.1428571428571425E-2"/>
    <n v="2"/>
    <n v="0.35239732031914184"/>
    <n v="0.2"/>
    <n v="0"/>
    <s v=""/>
    <n v="0"/>
    <m/>
    <m/>
    <m/>
    <m/>
    <m/>
    <m/>
    <m/>
    <m/>
    <m/>
    <n v="0"/>
    <n v="0"/>
    <n v="0"/>
    <n v="0"/>
    <n v="0"/>
    <n v="0"/>
    <n v="0"/>
    <n v="0"/>
    <n v="0"/>
    <n v="0"/>
    <n v="33"/>
    <n v="238656"/>
    <n v="0"/>
    <n v="0"/>
    <n v="0"/>
    <n v="0"/>
    <n v="0"/>
    <n v="0"/>
    <n v="0"/>
    <n v="0"/>
    <n v="0"/>
    <n v="0"/>
    <n v="0"/>
    <n v="33"/>
    <n v="238656"/>
    <n v="0"/>
    <n v="0"/>
    <n v="0"/>
    <n v="0"/>
    <n v="0"/>
    <n v="0"/>
    <n v="31049.999999999996"/>
    <n v="0"/>
    <n v="0"/>
    <n v="0"/>
    <n v="33"/>
    <n v="238656"/>
    <n v="0"/>
    <n v="0"/>
    <n v="0"/>
    <n v="0"/>
    <n v="0"/>
    <n v="0"/>
    <n v="0"/>
    <n v="0"/>
    <x v="0"/>
    <x v="0"/>
    <n v="33"/>
    <n v="238656"/>
    <n v="0"/>
    <n v="4"/>
    <n v="33"/>
    <n v="4"/>
    <m/>
    <n v="0"/>
    <n v="0"/>
    <n v="238656"/>
    <n v="31049.999999999996"/>
    <x v="0"/>
    <n v="0"/>
    <n v="33"/>
    <n v="238656"/>
    <n v="73915.966386554632"/>
    <n v="18"/>
    <n v="34"/>
    <n v="1"/>
    <m/>
    <n v="0"/>
    <n v="0"/>
    <n v="245888"/>
    <n v="7762.4999999999991"/>
    <n v="0"/>
    <n v="0"/>
    <n v="34"/>
    <n v="238656"/>
    <n v="18478.991596638658"/>
    <n v="14"/>
    <n v="34"/>
    <n v="1"/>
    <n v="0"/>
    <n v="0"/>
    <n v="0"/>
    <n v="245888"/>
    <n v="7762.4999999999991"/>
    <n v="0"/>
    <n v="0"/>
    <n v="34"/>
    <n v="238656"/>
    <n v="18478.991596638658"/>
    <n v="10"/>
    <n v="35"/>
    <n v="2"/>
    <n v="0"/>
    <n v="0"/>
    <n v="0"/>
    <n v="253120"/>
    <n v="15524.999999999998"/>
    <n v="0"/>
    <n v="0"/>
    <n v="35"/>
    <n v="253120"/>
    <n v="36957.983193277316"/>
    <n v="3"/>
    <n v="33"/>
    <n v="0"/>
    <n v="0"/>
    <n v="0"/>
    <n v="0"/>
    <n v="256162.49999999997"/>
    <n v="0"/>
    <n v="0"/>
    <n v="0"/>
    <n v="33"/>
    <n v="238656"/>
    <n v="0"/>
    <n v="0"/>
    <n v="33"/>
    <n v="0"/>
    <n v="0"/>
    <n v="0"/>
    <n v="0"/>
    <m/>
    <n v="256162.49999999997"/>
    <n v="0"/>
    <n v="0"/>
    <n v="0"/>
    <n v="33"/>
    <n v="256162.49999999997"/>
    <n v="0"/>
    <n v="0"/>
    <n v="33"/>
    <n v="0"/>
    <m/>
    <n v="0"/>
    <n v="0"/>
    <n v="256162.49999999997"/>
    <n v="0"/>
    <n v="0"/>
    <n v="0"/>
    <n v="33"/>
    <n v="256162.49999999997"/>
    <n v="0"/>
    <n v="0"/>
    <n v="33"/>
    <n v="0"/>
    <n v="0"/>
    <n v="0"/>
    <n v="256162.49999999997"/>
    <n v="0"/>
    <n v="0"/>
    <n v="0"/>
    <n v="33"/>
    <n v="256162.49999999997"/>
    <n v="0"/>
    <n v="0"/>
    <n v="33"/>
    <n v="0"/>
    <n v="0"/>
    <m/>
    <n v="256162.49999999997"/>
    <n v="0"/>
    <n v="0"/>
    <n v="33"/>
    <n v="256162.49999999997"/>
    <n v="0"/>
  </r>
  <r>
    <m/>
    <x v="4"/>
    <x v="14"/>
    <x v="34"/>
    <s v="LHPANIMPK36-37"/>
    <x v="178"/>
    <x v="169"/>
    <x v="0"/>
    <x v="4"/>
    <n v="1"/>
    <x v="121"/>
    <n v="113"/>
    <m/>
    <n v="0"/>
    <n v="7232"/>
    <n v="817216"/>
    <n v="7.5"/>
    <n v="8193.75"/>
    <n v="18478.991596638658"/>
    <n v="0"/>
    <s v="Shenzhen"/>
    <x v="0"/>
    <n v="30"/>
    <m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8"/>
    <n v="0.35969301372545298"/>
    <n v="0.125"/>
    <n v="9"/>
    <n v="0.48563493644658723"/>
    <n v="0.18367346938775511"/>
    <n v="10"/>
    <n v="0.27308084205950983"/>
    <n v="0.29411764705882354"/>
    <n v="4"/>
    <n v="0.27499738112354394"/>
    <n v="0.4"/>
    <m/>
    <m/>
    <m/>
    <m/>
    <m/>
    <m/>
    <m/>
    <m/>
    <m/>
    <n v="0"/>
    <n v="0"/>
    <n v="0"/>
    <n v="0"/>
    <n v="0"/>
    <n v="0"/>
    <n v="0"/>
    <n v="0"/>
    <n v="0"/>
    <n v="0"/>
    <n v="113"/>
    <n v="817216"/>
    <n v="0"/>
    <n v="0"/>
    <n v="0"/>
    <n v="0"/>
    <n v="0"/>
    <n v="0"/>
    <n v="0"/>
    <n v="0"/>
    <n v="0"/>
    <n v="0"/>
    <n v="0"/>
    <n v="113"/>
    <n v="817216"/>
    <n v="0"/>
    <n v="0"/>
    <n v="0"/>
    <n v="0"/>
    <n v="0"/>
    <n v="0"/>
    <n v="116437.49999999999"/>
    <n v="0"/>
    <n v="0"/>
    <n v="0"/>
    <n v="113"/>
    <n v="817216"/>
    <n v="0"/>
    <n v="0"/>
    <n v="0"/>
    <n v="0"/>
    <n v="0"/>
    <n v="0"/>
    <n v="0"/>
    <n v="0"/>
    <x v="0"/>
    <x v="0"/>
    <n v="113"/>
    <n v="817216"/>
    <n v="0"/>
    <n v="15"/>
    <n v="113"/>
    <n v="15"/>
    <m/>
    <n v="0"/>
    <n v="0"/>
    <n v="817216"/>
    <n v="116437.49999999999"/>
    <x v="0"/>
    <n v="0"/>
    <n v="113"/>
    <n v="817216"/>
    <n v="277184.87394957989"/>
    <n v="64"/>
    <n v="121"/>
    <n v="8"/>
    <m/>
    <n v="0"/>
    <n v="0"/>
    <n v="875072"/>
    <n v="62099.999999999993"/>
    <n v="0"/>
    <n v="0"/>
    <n v="121"/>
    <n v="817216"/>
    <n v="147831.93277310926"/>
    <n v="49"/>
    <n v="122"/>
    <n v="9"/>
    <n v="0"/>
    <n v="0"/>
    <n v="0"/>
    <n v="882304"/>
    <n v="69862.499999999985"/>
    <n v="0"/>
    <n v="0"/>
    <n v="122"/>
    <n v="817216"/>
    <n v="166310.92436974793"/>
    <n v="34"/>
    <n v="123"/>
    <n v="10"/>
    <n v="0"/>
    <n v="0"/>
    <n v="0"/>
    <n v="889536"/>
    <n v="77624.999999999985"/>
    <n v="0"/>
    <n v="0"/>
    <n v="123"/>
    <n v="889536"/>
    <n v="184789.91596638659"/>
    <n v="10"/>
    <n v="117"/>
    <n v="4.5"/>
    <n v="0"/>
    <n v="0"/>
    <n v="0"/>
    <n v="908212.49999999988"/>
    <n v="34931.249999999993"/>
    <n v="0"/>
    <n v="0"/>
    <n v="113"/>
    <n v="817216"/>
    <n v="83155.462184873963"/>
    <n v="0"/>
    <n v="112.5"/>
    <n v="0"/>
    <n v="0"/>
    <n v="0"/>
    <n v="0"/>
    <m/>
    <n v="873281.24999999988"/>
    <n v="0"/>
    <n v="0"/>
    <n v="0"/>
    <n v="112.5"/>
    <n v="873281.24999999988"/>
    <n v="0"/>
    <n v="0"/>
    <n v="112.5"/>
    <n v="0"/>
    <m/>
    <n v="0"/>
    <n v="0"/>
    <n v="873281.24999999988"/>
    <n v="0"/>
    <n v="0"/>
    <n v="0"/>
    <n v="112.5"/>
    <n v="873281.24999999988"/>
    <n v="0"/>
    <n v="0"/>
    <n v="112.5"/>
    <n v="0"/>
    <n v="0"/>
    <n v="0"/>
    <n v="873281.24999999988"/>
    <n v="0"/>
    <n v="0"/>
    <n v="0"/>
    <n v="112.5"/>
    <n v="873281.24999999988"/>
    <n v="0"/>
    <n v="0"/>
    <n v="112.5"/>
    <n v="0"/>
    <n v="0"/>
    <m/>
    <n v="873281.24999999988"/>
    <n v="0"/>
    <n v="0"/>
    <n v="112.5"/>
    <n v="873281.24999999988"/>
    <n v="0"/>
  </r>
  <r>
    <m/>
    <x v="4"/>
    <x v="14"/>
    <x v="34"/>
    <s v="LHPANIMPK38-39"/>
    <x v="179"/>
    <x v="170"/>
    <x v="0"/>
    <x v="4"/>
    <n v="1"/>
    <x v="122"/>
    <n v="123"/>
    <m/>
    <n v="0"/>
    <n v="7231"/>
    <n v="889413"/>
    <n v="7.5"/>
    <n v="8193.75"/>
    <n v="18478.991596638658"/>
    <n v="0"/>
    <s v="Shenzhen"/>
    <x v="0"/>
    <n v="30"/>
    <m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6"/>
    <n v="0.1921981568915469"/>
    <n v="8.2191780821917804E-2"/>
    <n v="9"/>
    <n v="0.47623175861182865"/>
    <n v="0.16071428571428573"/>
    <n v="18"/>
    <n v="0.19665658990074078"/>
    <n v="0.46153846153846156"/>
    <n v="7"/>
    <n v="0.36063853706063098"/>
    <n v="0.63636363636363635"/>
    <m/>
    <m/>
    <m/>
    <m/>
    <m/>
    <m/>
    <m/>
    <m/>
    <m/>
    <n v="0"/>
    <n v="0"/>
    <n v="0"/>
    <n v="0"/>
    <n v="0"/>
    <n v="0"/>
    <n v="0"/>
    <n v="0"/>
    <n v="0"/>
    <n v="0"/>
    <n v="123"/>
    <n v="889413"/>
    <n v="0"/>
    <n v="0"/>
    <n v="0"/>
    <n v="0"/>
    <n v="0"/>
    <n v="0"/>
    <n v="0"/>
    <n v="0"/>
    <n v="0"/>
    <n v="0"/>
    <n v="0"/>
    <n v="123"/>
    <n v="889413"/>
    <n v="0"/>
    <n v="0"/>
    <n v="0"/>
    <n v="0"/>
    <n v="0"/>
    <n v="0"/>
    <n v="131962.49999999997"/>
    <n v="0"/>
    <n v="0"/>
    <n v="0"/>
    <n v="123"/>
    <n v="889413"/>
    <n v="0"/>
    <n v="0"/>
    <n v="0"/>
    <n v="0"/>
    <n v="0"/>
    <n v="0"/>
    <n v="0"/>
    <n v="0"/>
    <x v="0"/>
    <x v="0"/>
    <n v="123"/>
    <n v="889413"/>
    <n v="0"/>
    <n v="17"/>
    <n v="123"/>
    <n v="17"/>
    <m/>
    <n v="0"/>
    <n v="0"/>
    <n v="889413"/>
    <n v="131962.49999999997"/>
    <x v="0"/>
    <n v="0"/>
    <n v="123"/>
    <n v="889413"/>
    <n v="314142.85714285716"/>
    <n v="73"/>
    <n v="129"/>
    <n v="6"/>
    <m/>
    <n v="0"/>
    <n v="0"/>
    <n v="932799"/>
    <n v="46574.999999999993"/>
    <n v="0"/>
    <n v="0"/>
    <n v="129"/>
    <n v="889413"/>
    <n v="110873.94957983194"/>
    <n v="56"/>
    <n v="132"/>
    <n v="9"/>
    <n v="0"/>
    <n v="0"/>
    <n v="0"/>
    <n v="954492"/>
    <n v="69862.499999999985"/>
    <n v="0"/>
    <n v="0"/>
    <n v="132"/>
    <n v="889413"/>
    <n v="166310.92436974793"/>
    <n v="39"/>
    <n v="141"/>
    <n v="18"/>
    <n v="0"/>
    <n v="0"/>
    <n v="0"/>
    <n v="1019571"/>
    <n v="139724.99999999997"/>
    <n v="0"/>
    <n v="0"/>
    <n v="141"/>
    <n v="1019571"/>
    <n v="332621.84873949585"/>
    <n v="11"/>
    <n v="130"/>
    <n v="7.5"/>
    <n v="0"/>
    <n v="0"/>
    <n v="0"/>
    <n v="1009124.9999999999"/>
    <n v="58218.749999999993"/>
    <n v="0"/>
    <n v="0"/>
    <n v="123"/>
    <n v="889413"/>
    <n v="138592.43697478995"/>
    <n v="0"/>
    <n v="122.5"/>
    <n v="0"/>
    <n v="0"/>
    <n v="0"/>
    <n v="0"/>
    <m/>
    <n v="950906.24999999988"/>
    <n v="0"/>
    <n v="0"/>
    <n v="0"/>
    <n v="122.5"/>
    <n v="950906.24999999988"/>
    <n v="0"/>
    <n v="0"/>
    <n v="122.5"/>
    <n v="0"/>
    <m/>
    <n v="0"/>
    <n v="0"/>
    <n v="950906.24999999988"/>
    <n v="0"/>
    <n v="0"/>
    <n v="0"/>
    <n v="122.5"/>
    <n v="950906.24999999988"/>
    <n v="0"/>
    <n v="0"/>
    <n v="122.5"/>
    <n v="0"/>
    <n v="0"/>
    <n v="0"/>
    <n v="950906.24999999988"/>
    <n v="0"/>
    <n v="0"/>
    <n v="0"/>
    <n v="122.5"/>
    <n v="950906.24999999988"/>
    <n v="0"/>
    <n v="0"/>
    <n v="122.5"/>
    <n v="0"/>
    <n v="0"/>
    <m/>
    <n v="950906.24999999988"/>
    <n v="0"/>
    <n v="0"/>
    <n v="122.5"/>
    <n v="950906.24999999988"/>
    <n v="0"/>
  </r>
  <r>
    <m/>
    <x v="4"/>
    <x v="14"/>
    <x v="34"/>
    <s v="LHPANIMPK40-41"/>
    <x v="180"/>
    <x v="171"/>
    <x v="0"/>
    <x v="4"/>
    <n v="1"/>
    <x v="123"/>
    <n v="49"/>
    <m/>
    <n v="0"/>
    <n v="7232"/>
    <n v="354368"/>
    <n v="7.5"/>
    <n v="8193.75"/>
    <n v="18478.991596638658"/>
    <n v="0"/>
    <s v="Shenzhen"/>
    <x v="0"/>
    <n v="30"/>
    <m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4"/>
    <n v="0.27440944607683093"/>
    <n v="0.14814814814814814"/>
    <n v="0"/>
    <s v=""/>
    <n v="0"/>
    <n v="7"/>
    <n v="0.16625988591317797"/>
    <n v="0.46666666666666667"/>
    <n v="1"/>
    <n v="8.5055326662742778E-2"/>
    <n v="0.25"/>
    <m/>
    <m/>
    <m/>
    <m/>
    <m/>
    <m/>
    <m/>
    <m/>
    <m/>
    <n v="0"/>
    <n v="0"/>
    <n v="0"/>
    <n v="0"/>
    <n v="0"/>
    <n v="0"/>
    <n v="0"/>
    <n v="0"/>
    <n v="0"/>
    <n v="0"/>
    <n v="49"/>
    <n v="354368"/>
    <n v="0"/>
    <n v="0"/>
    <n v="0"/>
    <n v="0"/>
    <n v="0"/>
    <n v="0"/>
    <n v="0"/>
    <n v="0"/>
    <n v="0"/>
    <n v="0"/>
    <n v="0"/>
    <n v="49"/>
    <n v="354368"/>
    <n v="0"/>
    <n v="0"/>
    <n v="0"/>
    <n v="0"/>
    <n v="0"/>
    <n v="0"/>
    <n v="46574.999999999993"/>
    <n v="0"/>
    <n v="0"/>
    <n v="0"/>
    <n v="49"/>
    <n v="354368"/>
    <n v="0"/>
    <n v="0"/>
    <n v="0"/>
    <n v="0"/>
    <n v="0"/>
    <n v="0"/>
    <n v="0"/>
    <n v="0"/>
    <x v="0"/>
    <x v="0"/>
    <n v="49"/>
    <n v="354368"/>
    <n v="0"/>
    <n v="6"/>
    <n v="49"/>
    <n v="6"/>
    <m/>
    <n v="0"/>
    <n v="0"/>
    <n v="354368"/>
    <n v="46574.999999999993"/>
    <x v="0"/>
    <n v="0"/>
    <n v="49"/>
    <n v="354368"/>
    <n v="110873.94957983194"/>
    <n v="27"/>
    <n v="53"/>
    <n v="4"/>
    <m/>
    <n v="0"/>
    <n v="0"/>
    <n v="383296"/>
    <n v="31049.999999999996"/>
    <n v="0"/>
    <n v="0"/>
    <n v="53"/>
    <n v="354368"/>
    <n v="73915.966386554632"/>
    <n v="21"/>
    <n v="49"/>
    <n v="0"/>
    <n v="0"/>
    <n v="0"/>
    <n v="0"/>
    <n v="354368"/>
    <n v="0"/>
    <n v="0"/>
    <n v="0"/>
    <n v="49"/>
    <n v="354368"/>
    <n v="0"/>
    <n v="15"/>
    <n v="56"/>
    <n v="7"/>
    <n v="0"/>
    <n v="0"/>
    <n v="0"/>
    <n v="404992"/>
    <n v="54337.499999999993"/>
    <n v="0"/>
    <n v="0"/>
    <n v="56"/>
    <n v="404992"/>
    <n v="129352.9411764706"/>
    <n v="4"/>
    <n v="50"/>
    <n v="0"/>
    <n v="0"/>
    <n v="0"/>
    <n v="0"/>
    <n v="388124.99999999994"/>
    <n v="0"/>
    <n v="0"/>
    <n v="0"/>
    <n v="49"/>
    <n v="354368"/>
    <n v="0"/>
    <n v="0"/>
    <n v="50"/>
    <n v="0"/>
    <n v="0"/>
    <n v="0"/>
    <n v="0"/>
    <m/>
    <n v="388124.99999999994"/>
    <n v="0"/>
    <n v="0"/>
    <n v="0"/>
    <n v="50"/>
    <n v="388124.99999999994"/>
    <n v="0"/>
    <n v="0"/>
    <n v="50"/>
    <n v="0"/>
    <m/>
    <n v="0"/>
    <n v="0"/>
    <n v="388124.99999999994"/>
    <n v="0"/>
    <n v="0"/>
    <n v="0"/>
    <n v="50"/>
    <n v="388124.99999999994"/>
    <n v="0"/>
    <n v="0"/>
    <n v="50"/>
    <n v="0"/>
    <n v="0"/>
    <n v="0"/>
    <n v="388124.99999999994"/>
    <n v="0"/>
    <n v="0"/>
    <n v="0"/>
    <n v="50"/>
    <n v="388124.99999999994"/>
    <n v="0"/>
    <n v="0"/>
    <n v="50"/>
    <n v="0"/>
    <n v="0"/>
    <m/>
    <n v="388124.99999999994"/>
    <n v="0"/>
    <n v="0"/>
    <n v="50"/>
    <n v="388124.99999999994"/>
    <n v="0"/>
  </r>
  <r>
    <m/>
    <x v="4"/>
    <x v="14"/>
    <x v="34"/>
    <s v="LHPANIMSGR36-37"/>
    <x v="181"/>
    <x v="172"/>
    <x v="0"/>
    <x v="4"/>
    <n v="1"/>
    <x v="124"/>
    <n v="6"/>
    <m/>
    <n v="0"/>
    <n v="7231"/>
    <n v="43386"/>
    <n v="7.5"/>
    <n v="8193.75"/>
    <n v="18478.991596638658"/>
    <n v="0"/>
    <s v="Shenzhen"/>
    <x v="0"/>
    <n v="30"/>
    <m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1"/>
    <n v="0.49344025897586813"/>
    <n v="0.1111111111111111"/>
    <n v="2"/>
    <n v="0.50794425385934816"/>
    <n v="0.2857142857142857"/>
    <n v="6"/>
    <n v="0.23549733620380292"/>
    <n v="1.2"/>
    <n v="-1"/>
    <n v="0.49344025897586813"/>
    <n v="-1"/>
    <m/>
    <m/>
    <m/>
    <m/>
    <m/>
    <m/>
    <m/>
    <m/>
    <m/>
    <n v="0"/>
    <n v="0"/>
    <n v="0"/>
    <n v="0"/>
    <n v="0"/>
    <n v="0"/>
    <n v="0"/>
    <n v="0"/>
    <n v="0"/>
    <n v="0"/>
    <n v="6"/>
    <n v="43386"/>
    <n v="0"/>
    <n v="0"/>
    <n v="0"/>
    <n v="0"/>
    <n v="0"/>
    <n v="0"/>
    <n v="0"/>
    <n v="0"/>
    <n v="0"/>
    <n v="0"/>
    <n v="0"/>
    <n v="6"/>
    <n v="43386"/>
    <n v="0"/>
    <n v="0"/>
    <n v="0"/>
    <n v="0"/>
    <n v="0"/>
    <n v="0"/>
    <n v="15524.999999999998"/>
    <n v="0"/>
    <n v="0"/>
    <n v="0"/>
    <n v="6"/>
    <n v="43386"/>
    <n v="0"/>
    <n v="0"/>
    <n v="0"/>
    <n v="0"/>
    <n v="0"/>
    <n v="0"/>
    <n v="0"/>
    <n v="0"/>
    <x v="0"/>
    <x v="0"/>
    <n v="6"/>
    <n v="43386"/>
    <n v="0"/>
    <n v="2"/>
    <n v="6"/>
    <n v="2"/>
    <m/>
    <n v="0"/>
    <n v="0"/>
    <n v="43386"/>
    <n v="15524.999999999998"/>
    <x v="0"/>
    <n v="0"/>
    <n v="6"/>
    <n v="43386"/>
    <n v="36957.983193277316"/>
    <n v="9"/>
    <n v="7"/>
    <n v="1"/>
    <m/>
    <n v="0"/>
    <n v="0"/>
    <n v="50617"/>
    <n v="7762.4999999999991"/>
    <n v="0"/>
    <n v="0"/>
    <n v="7"/>
    <n v="43386"/>
    <n v="18478.991596638658"/>
    <n v="7"/>
    <n v="8"/>
    <n v="2"/>
    <n v="0"/>
    <n v="0"/>
    <n v="0"/>
    <n v="57848"/>
    <n v="15524.999999999998"/>
    <n v="0"/>
    <n v="0"/>
    <n v="8"/>
    <n v="43386"/>
    <n v="36957.983193277316"/>
    <n v="5"/>
    <n v="12"/>
    <n v="6"/>
    <n v="0"/>
    <n v="0"/>
    <n v="0"/>
    <n v="86772"/>
    <n v="46574.999999999993"/>
    <n v="0"/>
    <n v="0"/>
    <n v="12"/>
    <n v="86772"/>
    <n v="110873.94957983194"/>
    <n v="1"/>
    <n v="5"/>
    <n v="0"/>
    <n v="0"/>
    <n v="0"/>
    <n v="0"/>
    <n v="38812.499999999993"/>
    <n v="0"/>
    <n v="0"/>
    <n v="0"/>
    <n v="6"/>
    <n v="43386"/>
    <n v="0"/>
    <n v="0"/>
    <n v="5"/>
    <n v="0"/>
    <n v="0"/>
    <n v="0"/>
    <n v="0"/>
    <m/>
    <n v="38812.499999999993"/>
    <n v="0"/>
    <n v="0"/>
    <n v="0"/>
    <n v="5"/>
    <n v="38812.499999999993"/>
    <n v="0"/>
    <n v="0"/>
    <n v="5"/>
    <n v="0"/>
    <m/>
    <n v="0"/>
    <n v="0"/>
    <n v="38812.499999999993"/>
    <n v="0"/>
    <n v="0"/>
    <n v="0"/>
    <n v="5"/>
    <n v="38812.499999999993"/>
    <n v="0"/>
    <n v="0"/>
    <n v="5"/>
    <n v="0"/>
    <n v="0"/>
    <n v="0"/>
    <n v="38812.499999999993"/>
    <n v="0"/>
    <n v="0"/>
    <n v="0"/>
    <n v="5"/>
    <n v="38812.499999999993"/>
    <n v="0"/>
    <n v="0"/>
    <n v="5"/>
    <n v="0"/>
    <n v="0"/>
    <m/>
    <n v="38812.499999999993"/>
    <n v="0"/>
    <n v="0"/>
    <n v="5"/>
    <n v="38812.499999999993"/>
    <n v="0"/>
  </r>
  <r>
    <m/>
    <x v="4"/>
    <x v="14"/>
    <x v="34"/>
    <s v="LHPANIMSGR38-39"/>
    <x v="182"/>
    <x v="173"/>
    <x v="0"/>
    <x v="4"/>
    <n v="1"/>
    <x v="125"/>
    <n v="12"/>
    <m/>
    <n v="0"/>
    <n v="7231"/>
    <n v="86772"/>
    <n v="7.5"/>
    <n v="8193.75"/>
    <n v="18478.991596638658"/>
    <n v="0"/>
    <s v="Shenzhen"/>
    <x v="0"/>
    <n v="30"/>
    <m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6"/>
    <n v="0.11974236708760227"/>
    <n v="0.33333333333333331"/>
    <n v="6"/>
    <n v="0.45809579782544807"/>
    <n v="0.42857142857142855"/>
    <n v="17"/>
    <n v="0.25785639833317875"/>
    <n v="1.7"/>
    <n v="2"/>
    <n v="0.17283755150088287"/>
    <n v="0.66666666666666663"/>
    <m/>
    <m/>
    <m/>
    <m/>
    <m/>
    <m/>
    <m/>
    <m/>
    <m/>
    <n v="0"/>
    <n v="0"/>
    <n v="0"/>
    <n v="0"/>
    <n v="0"/>
    <n v="0"/>
    <n v="0"/>
    <n v="0"/>
    <n v="0"/>
    <n v="0"/>
    <n v="12"/>
    <n v="86772"/>
    <n v="0"/>
    <n v="0"/>
    <n v="0"/>
    <n v="0"/>
    <n v="0"/>
    <n v="0"/>
    <n v="0"/>
    <n v="0"/>
    <n v="0"/>
    <n v="0"/>
    <n v="0"/>
    <n v="12"/>
    <n v="86772"/>
    <n v="0"/>
    <n v="0"/>
    <n v="0"/>
    <n v="0"/>
    <n v="0"/>
    <n v="0"/>
    <n v="31049.999999999996"/>
    <n v="0"/>
    <n v="0"/>
    <n v="0"/>
    <n v="12"/>
    <n v="86772"/>
    <n v="0"/>
    <n v="0"/>
    <n v="0"/>
    <n v="0"/>
    <n v="0"/>
    <n v="0"/>
    <n v="0"/>
    <n v="0"/>
    <x v="0"/>
    <x v="0"/>
    <n v="12"/>
    <n v="86772"/>
    <n v="0"/>
    <n v="4"/>
    <n v="12"/>
    <n v="4"/>
    <m/>
    <n v="0"/>
    <n v="0"/>
    <n v="86772"/>
    <n v="31049.999999999996"/>
    <x v="0"/>
    <n v="0"/>
    <n v="12"/>
    <n v="86772"/>
    <n v="73915.966386554632"/>
    <n v="18"/>
    <n v="18"/>
    <n v="6"/>
    <m/>
    <n v="0"/>
    <n v="0"/>
    <n v="130158"/>
    <n v="46574.999999999993"/>
    <n v="0"/>
    <n v="0"/>
    <n v="18"/>
    <n v="86772"/>
    <n v="110873.94957983194"/>
    <n v="14"/>
    <n v="18"/>
    <n v="6"/>
    <n v="0"/>
    <n v="0"/>
    <n v="0"/>
    <n v="130158"/>
    <n v="46574.999999999993"/>
    <n v="0"/>
    <n v="0"/>
    <n v="18"/>
    <n v="86772"/>
    <n v="110873.94957983194"/>
    <n v="10"/>
    <n v="29"/>
    <n v="17"/>
    <n v="0"/>
    <n v="0"/>
    <n v="0"/>
    <n v="209699"/>
    <n v="131962.49999999997"/>
    <n v="0"/>
    <n v="0"/>
    <n v="29"/>
    <n v="209699"/>
    <n v="314142.85714285716"/>
    <n v="3"/>
    <n v="14"/>
    <n v="0"/>
    <n v="0"/>
    <n v="0"/>
    <n v="0"/>
    <n v="108674.99999999999"/>
    <n v="0"/>
    <n v="0"/>
    <n v="0"/>
    <n v="12"/>
    <n v="86772"/>
    <n v="0"/>
    <n v="0"/>
    <n v="14"/>
    <n v="0"/>
    <n v="0"/>
    <n v="0"/>
    <n v="0"/>
    <m/>
    <n v="108674.99999999999"/>
    <n v="0"/>
    <n v="0"/>
    <n v="0"/>
    <n v="14"/>
    <n v="108674.99999999999"/>
    <n v="0"/>
    <n v="0"/>
    <n v="14"/>
    <n v="0"/>
    <m/>
    <n v="0"/>
    <n v="0"/>
    <n v="108674.99999999999"/>
    <n v="0"/>
    <n v="0"/>
    <n v="0"/>
    <n v="14"/>
    <n v="108674.99999999999"/>
    <n v="0"/>
    <n v="0"/>
    <n v="14"/>
    <n v="0"/>
    <n v="0"/>
    <n v="0"/>
    <n v="108674.99999999999"/>
    <n v="0"/>
    <n v="0"/>
    <n v="0"/>
    <n v="14"/>
    <n v="108674.99999999999"/>
    <n v="0"/>
    <n v="0"/>
    <n v="14"/>
    <n v="0"/>
    <n v="0"/>
    <m/>
    <n v="108674.99999999999"/>
    <n v="0"/>
    <n v="0"/>
    <n v="14"/>
    <n v="108674.99999999999"/>
    <n v="0"/>
  </r>
  <r>
    <m/>
    <x v="4"/>
    <x v="14"/>
    <x v="34"/>
    <s v="LHPANIMSGR40-41"/>
    <x v="183"/>
    <x v="174"/>
    <x v="0"/>
    <x v="4"/>
    <n v="1"/>
    <x v="126"/>
    <n v="61"/>
    <m/>
    <n v="0"/>
    <n v="7231"/>
    <n v="441091"/>
    <n v="7.5"/>
    <n v="8193.75"/>
    <n v="18478.991596638658"/>
    <n v="0"/>
    <s v="Shenzhen"/>
    <x v="0"/>
    <n v="30"/>
    <m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3"/>
    <n v="0.29379298886858279"/>
    <n v="7.3170731707317069E-2"/>
    <n v="4"/>
    <n v="0.4874391387859025"/>
    <n v="0.125"/>
    <n v="11"/>
    <n v="0.22089841843790367"/>
    <n v="0.5"/>
    <n v="8"/>
    <n v="0.33540531433425269"/>
    <n v="1.3333333333333333"/>
    <m/>
    <m/>
    <m/>
    <m/>
    <m/>
    <m/>
    <m/>
    <m/>
    <m/>
    <n v="0"/>
    <n v="0"/>
    <n v="0"/>
    <n v="0"/>
    <n v="0"/>
    <n v="0"/>
    <n v="0"/>
    <n v="0"/>
    <n v="0"/>
    <n v="0"/>
    <n v="61"/>
    <n v="441091"/>
    <n v="0"/>
    <n v="0"/>
    <n v="0"/>
    <n v="0"/>
    <n v="0"/>
    <n v="0"/>
    <n v="0"/>
    <n v="0"/>
    <n v="0"/>
    <n v="0"/>
    <n v="0"/>
    <n v="61"/>
    <n v="441091"/>
    <n v="0"/>
    <n v="0"/>
    <n v="0"/>
    <n v="0"/>
    <n v="0"/>
    <n v="0"/>
    <n v="69862.499999999985"/>
    <n v="0"/>
    <n v="0"/>
    <n v="0"/>
    <n v="61"/>
    <n v="441091"/>
    <n v="0"/>
    <n v="0"/>
    <n v="0"/>
    <n v="0"/>
    <n v="0"/>
    <n v="0"/>
    <n v="0"/>
    <n v="0"/>
    <x v="0"/>
    <x v="0"/>
    <n v="61"/>
    <n v="441091"/>
    <n v="0"/>
    <n v="9"/>
    <n v="61"/>
    <n v="9"/>
    <m/>
    <n v="0"/>
    <n v="0"/>
    <n v="441091"/>
    <n v="69862.499999999985"/>
    <x v="0"/>
    <n v="0"/>
    <n v="61"/>
    <n v="441091"/>
    <n v="166310.92436974793"/>
    <n v="41"/>
    <n v="64"/>
    <n v="3"/>
    <m/>
    <n v="0"/>
    <n v="0"/>
    <n v="462784"/>
    <n v="23287.499999999996"/>
    <n v="0"/>
    <n v="0"/>
    <n v="64"/>
    <n v="441091"/>
    <n v="55436.97478991597"/>
    <n v="32"/>
    <n v="65"/>
    <n v="4"/>
    <n v="0"/>
    <n v="0"/>
    <n v="0"/>
    <n v="470015"/>
    <n v="31049.999999999996"/>
    <n v="0"/>
    <n v="0"/>
    <n v="65"/>
    <n v="441091"/>
    <n v="73915.966386554632"/>
    <n v="22"/>
    <n v="72"/>
    <n v="11"/>
    <n v="0"/>
    <n v="0"/>
    <n v="0"/>
    <n v="520632"/>
    <n v="85387.499999999985"/>
    <n v="0"/>
    <n v="0"/>
    <n v="72"/>
    <n v="520632"/>
    <n v="203268.90756302525"/>
    <n v="6"/>
    <n v="69"/>
    <n v="9"/>
    <n v="0"/>
    <n v="0"/>
    <n v="0"/>
    <n v="535612.49999999988"/>
    <n v="69862.499999999985"/>
    <n v="0"/>
    <n v="0"/>
    <n v="61"/>
    <n v="441091"/>
    <n v="166310.92436974793"/>
    <n v="0"/>
    <n v="60"/>
    <n v="0"/>
    <n v="0"/>
    <n v="0"/>
    <n v="0"/>
    <m/>
    <n v="465749.99999999994"/>
    <n v="0"/>
    <n v="0"/>
    <n v="0"/>
    <n v="60"/>
    <n v="465749.99999999994"/>
    <n v="0"/>
    <n v="0"/>
    <n v="60"/>
    <n v="0"/>
    <m/>
    <n v="0"/>
    <n v="0"/>
    <n v="465749.99999999994"/>
    <n v="0"/>
    <n v="0"/>
    <n v="0"/>
    <n v="60"/>
    <n v="465749.99999999994"/>
    <n v="0"/>
    <n v="0"/>
    <n v="60"/>
    <n v="0"/>
    <n v="0"/>
    <n v="0"/>
    <n v="465749.99999999994"/>
    <n v="0"/>
    <n v="0"/>
    <n v="0"/>
    <n v="60"/>
    <n v="465749.99999999994"/>
    <n v="0"/>
    <n v="0"/>
    <n v="60"/>
    <n v="0"/>
    <n v="0"/>
    <m/>
    <n v="465749.99999999994"/>
    <n v="0"/>
    <n v="0"/>
    <n v="60"/>
    <n v="465749.99999999994"/>
    <n v="0"/>
  </r>
  <r>
    <m/>
    <x v="4"/>
    <x v="14"/>
    <x v="34"/>
    <s v="LHPANIMSGR42-43"/>
    <x v="184"/>
    <x v="175"/>
    <x v="0"/>
    <x v="4"/>
    <n v="1"/>
    <x v="127"/>
    <n v="63"/>
    <m/>
    <n v="0"/>
    <n v="7231"/>
    <n v="455553"/>
    <n v="7.5"/>
    <n v="8193.75"/>
    <n v="18478.991596638658"/>
    <n v="0"/>
    <s v="Shenzhen"/>
    <x v="0"/>
    <n v="30"/>
    <m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12"/>
    <n v="0.28665538309221195"/>
    <n v="0.23076923076923078"/>
    <n v="13"/>
    <n v="0.46707419101605302"/>
    <n v="0.32500000000000001"/>
    <n v="27"/>
    <n v="0.24504497857410398"/>
    <n v="0.9642857142857143"/>
    <n v="5"/>
    <n v="0.23767056191517219"/>
    <n v="0.625"/>
    <m/>
    <m/>
    <m/>
    <m/>
    <m/>
    <m/>
    <m/>
    <m/>
    <m/>
    <n v="0"/>
    <n v="0"/>
    <n v="0"/>
    <n v="0"/>
    <n v="0"/>
    <n v="0"/>
    <n v="0"/>
    <n v="0"/>
    <n v="0"/>
    <n v="0"/>
    <n v="63"/>
    <n v="455553"/>
    <n v="0"/>
    <n v="0"/>
    <n v="0"/>
    <n v="0"/>
    <n v="0"/>
    <n v="0"/>
    <n v="0"/>
    <n v="0"/>
    <n v="0"/>
    <n v="0"/>
    <n v="0"/>
    <n v="63"/>
    <n v="455553"/>
    <n v="0"/>
    <n v="0"/>
    <n v="0"/>
    <n v="0"/>
    <n v="0"/>
    <n v="0"/>
    <n v="93149.999999999985"/>
    <n v="0"/>
    <n v="0"/>
    <n v="0"/>
    <n v="63"/>
    <n v="455553"/>
    <n v="0"/>
    <n v="0"/>
    <n v="0"/>
    <n v="0"/>
    <n v="0"/>
    <n v="0"/>
    <n v="0"/>
    <n v="0"/>
    <x v="0"/>
    <x v="0"/>
    <n v="63"/>
    <n v="455553"/>
    <n v="0"/>
    <n v="12"/>
    <n v="63"/>
    <n v="12"/>
    <m/>
    <n v="0"/>
    <n v="0"/>
    <n v="455553"/>
    <n v="93149.999999999985"/>
    <x v="0"/>
    <n v="0"/>
    <n v="63"/>
    <n v="455553"/>
    <n v="221747.89915966388"/>
    <n v="52"/>
    <n v="75"/>
    <n v="12"/>
    <m/>
    <n v="0"/>
    <n v="0"/>
    <n v="542325"/>
    <n v="93149.999999999985"/>
    <n v="0"/>
    <n v="0"/>
    <n v="75"/>
    <n v="455553"/>
    <n v="221747.89915966388"/>
    <n v="40"/>
    <n v="76"/>
    <n v="13"/>
    <n v="0"/>
    <n v="0"/>
    <n v="0"/>
    <n v="549556"/>
    <n v="100912.49999999999"/>
    <n v="0"/>
    <n v="0"/>
    <n v="76"/>
    <n v="455553"/>
    <n v="240226.89075630254"/>
    <n v="28"/>
    <n v="90"/>
    <n v="27"/>
    <n v="0"/>
    <n v="0"/>
    <n v="0"/>
    <n v="650790"/>
    <n v="209587.49999999997"/>
    <n v="0"/>
    <n v="0"/>
    <n v="90"/>
    <n v="650790"/>
    <n v="498932.77310924378"/>
    <n v="8"/>
    <n v="68"/>
    <n v="3"/>
    <n v="0"/>
    <n v="0"/>
    <n v="0"/>
    <n v="527849.99999999988"/>
    <n v="23287.499999999996"/>
    <n v="0"/>
    <n v="0"/>
    <n v="63"/>
    <n v="455553"/>
    <n v="55436.97478991597"/>
    <n v="0"/>
    <n v="65"/>
    <n v="0"/>
    <n v="0"/>
    <n v="0"/>
    <n v="0"/>
    <m/>
    <n v="504562.49999999994"/>
    <n v="0"/>
    <n v="0"/>
    <n v="0"/>
    <n v="65"/>
    <n v="504562.49999999994"/>
    <n v="0"/>
    <n v="0"/>
    <n v="65"/>
    <n v="0"/>
    <m/>
    <n v="0"/>
    <n v="0"/>
    <n v="504562.49999999994"/>
    <n v="0"/>
    <n v="0"/>
    <n v="0"/>
    <n v="65"/>
    <n v="504562.49999999994"/>
    <n v="0"/>
    <n v="0"/>
    <n v="65"/>
    <n v="0"/>
    <n v="0"/>
    <n v="0"/>
    <n v="504562.49999999994"/>
    <n v="0"/>
    <n v="0"/>
    <n v="0"/>
    <n v="65"/>
    <n v="504562.49999999994"/>
    <n v="0"/>
    <n v="0"/>
    <n v="65"/>
    <n v="0"/>
    <n v="0"/>
    <m/>
    <n v="504562.49999999994"/>
    <n v="0"/>
    <n v="0"/>
    <n v="65"/>
    <n v="504562.49999999994"/>
    <n v="0"/>
  </r>
  <r>
    <m/>
    <x v="4"/>
    <x v="14"/>
    <x v="34"/>
    <s v="LHPANIMSGR44-45"/>
    <x v="185"/>
    <x v="176"/>
    <x v="0"/>
    <x v="4"/>
    <n v="1"/>
    <x v="128"/>
    <n v="3"/>
    <m/>
    <n v="0"/>
    <n v="7231"/>
    <n v="21693"/>
    <n v="7.5"/>
    <n v="8193.75"/>
    <n v="18478.991596638658"/>
    <n v="0"/>
    <s v="Shenzhen"/>
    <x v="0"/>
    <n v="30"/>
    <m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9"/>
    <n v="0.24022837169562175"/>
    <n v="0.5"/>
    <n v="8"/>
    <n v="0.47955665149751292"/>
    <n v="0.5714285714285714"/>
    <n v="13"/>
    <n v="0.20941742520996093"/>
    <n v="1.3"/>
    <n v="6"/>
    <n v="0.21097312322783501"/>
    <n v="2"/>
    <m/>
    <m/>
    <m/>
    <m/>
    <m/>
    <m/>
    <m/>
    <m/>
    <m/>
    <n v="0"/>
    <n v="0"/>
    <n v="0"/>
    <n v="0"/>
    <n v="0"/>
    <n v="0"/>
    <n v="0"/>
    <n v="0"/>
    <n v="0"/>
    <n v="0"/>
    <n v="3"/>
    <n v="21693"/>
    <n v="0"/>
    <n v="0"/>
    <n v="0"/>
    <n v="0"/>
    <n v="0"/>
    <n v="0"/>
    <n v="0"/>
    <n v="0"/>
    <n v="0"/>
    <n v="0"/>
    <n v="0"/>
    <n v="3"/>
    <n v="21693"/>
    <n v="0"/>
    <n v="0"/>
    <n v="0"/>
    <n v="0"/>
    <n v="0"/>
    <n v="0"/>
    <n v="31049.999999999996"/>
    <n v="0"/>
    <n v="0"/>
    <n v="0"/>
    <n v="3"/>
    <n v="21693"/>
    <n v="0"/>
    <n v="0"/>
    <n v="0"/>
    <n v="0"/>
    <n v="0"/>
    <n v="0"/>
    <n v="0"/>
    <n v="0"/>
    <x v="0"/>
    <x v="0"/>
    <n v="3"/>
    <n v="21693"/>
    <n v="0"/>
    <n v="4"/>
    <n v="3"/>
    <n v="4"/>
    <m/>
    <n v="0"/>
    <n v="0"/>
    <n v="21693"/>
    <n v="31049.999999999996"/>
    <x v="0"/>
    <n v="0"/>
    <n v="3"/>
    <n v="21693"/>
    <n v="73915.966386554632"/>
    <n v="18"/>
    <n v="12"/>
    <n v="9"/>
    <m/>
    <n v="0"/>
    <n v="0"/>
    <n v="86772"/>
    <n v="69862.499999999985"/>
    <n v="0"/>
    <n v="0"/>
    <n v="12"/>
    <n v="21693"/>
    <n v="166310.92436974793"/>
    <n v="14"/>
    <n v="11"/>
    <n v="8"/>
    <n v="0"/>
    <n v="0"/>
    <n v="0"/>
    <n v="79541"/>
    <n v="62099.999999999993"/>
    <n v="0"/>
    <n v="0"/>
    <n v="11"/>
    <n v="21693"/>
    <n v="147831.93277310926"/>
    <n v="10"/>
    <n v="16"/>
    <n v="13"/>
    <n v="0"/>
    <n v="0"/>
    <n v="0"/>
    <n v="115696"/>
    <n v="100912.49999999999"/>
    <n v="0"/>
    <n v="0"/>
    <n v="16"/>
    <n v="115696"/>
    <n v="240226.89075630254"/>
    <n v="3"/>
    <n v="9"/>
    <n v="6"/>
    <n v="0"/>
    <n v="0"/>
    <n v="0"/>
    <n v="69862.499999999985"/>
    <n v="46574.999999999993"/>
    <n v="0"/>
    <n v="0"/>
    <n v="3"/>
    <n v="21693"/>
    <n v="110873.94957983194"/>
    <n v="0"/>
    <n v="3"/>
    <n v="0"/>
    <n v="0"/>
    <n v="0"/>
    <n v="0"/>
    <m/>
    <n v="23287.499999999996"/>
    <n v="0"/>
    <n v="0"/>
    <n v="0"/>
    <n v="3"/>
    <n v="23287.499999999996"/>
    <n v="0"/>
    <n v="0"/>
    <n v="3"/>
    <n v="0"/>
    <m/>
    <n v="0"/>
    <n v="0"/>
    <n v="23287.499999999996"/>
    <n v="0"/>
    <n v="0"/>
    <n v="0"/>
    <n v="3"/>
    <n v="23287.499999999996"/>
    <n v="0"/>
    <n v="0"/>
    <n v="3"/>
    <n v="0"/>
    <n v="0"/>
    <n v="0"/>
    <n v="23287.499999999996"/>
    <n v="0"/>
    <n v="0"/>
    <n v="0"/>
    <n v="3"/>
    <n v="23287.499999999996"/>
    <n v="0"/>
    <n v="0"/>
    <n v="3"/>
    <n v="0"/>
    <n v="0"/>
    <m/>
    <n v="23287.499999999996"/>
    <n v="0"/>
    <n v="0"/>
    <n v="3"/>
    <n v="23287.499999999996"/>
    <n v="0"/>
  </r>
  <r>
    <m/>
    <x v="4"/>
    <x v="14"/>
    <x v="34"/>
    <s v="LHPANIMSLIL34-35"/>
    <x v="186"/>
    <x v="177"/>
    <x v="0"/>
    <x v="4"/>
    <n v="1"/>
    <x v="129"/>
    <n v="24"/>
    <m/>
    <n v="0"/>
    <n v="7232"/>
    <n v="173568"/>
    <n v="7.5"/>
    <n v="8193.75"/>
    <n v="18478.991596638658"/>
    <n v="0"/>
    <s v="Shenzhen"/>
    <x v="0"/>
    <n v="30"/>
    <m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1"/>
    <n v="0.5216420233463035"/>
    <n v="7.1428571428571425E-2"/>
    <n v="2"/>
    <n v="0.43348634717925089"/>
    <n v="0.18181818181818182"/>
    <n v="2"/>
    <n v="0.24903036684904953"/>
    <n v="0.2857142857142857"/>
    <n v="1"/>
    <n v="4.5260234778627936E-2"/>
    <n v="0.5"/>
    <m/>
    <m/>
    <m/>
    <m/>
    <m/>
    <m/>
    <m/>
    <m/>
    <m/>
    <n v="0"/>
    <n v="0"/>
    <n v="0"/>
    <n v="0"/>
    <n v="0"/>
    <n v="0"/>
    <n v="0"/>
    <n v="0"/>
    <n v="0"/>
    <n v="0"/>
    <n v="24"/>
    <n v="173568"/>
    <n v="0"/>
    <n v="0"/>
    <n v="0"/>
    <n v="0"/>
    <n v="0"/>
    <n v="0"/>
    <n v="0"/>
    <n v="0"/>
    <n v="0"/>
    <n v="0"/>
    <n v="0"/>
    <n v="24"/>
    <n v="173568"/>
    <n v="0"/>
    <n v="0"/>
    <n v="0"/>
    <n v="0"/>
    <n v="0"/>
    <n v="0"/>
    <n v="23287.499999999996"/>
    <n v="0"/>
    <n v="0"/>
    <n v="0"/>
    <n v="24"/>
    <n v="173568"/>
    <n v="0"/>
    <n v="0"/>
    <n v="0"/>
    <n v="0"/>
    <n v="0"/>
    <n v="0"/>
    <n v="0"/>
    <n v="0"/>
    <x v="0"/>
    <x v="0"/>
    <n v="24"/>
    <n v="173568"/>
    <n v="0"/>
    <n v="3"/>
    <n v="24"/>
    <n v="3"/>
    <m/>
    <n v="0"/>
    <n v="0"/>
    <n v="173568"/>
    <n v="23287.499999999996"/>
    <x v="0"/>
    <n v="0"/>
    <n v="24"/>
    <n v="173568"/>
    <n v="55436.97478991597"/>
    <n v="14"/>
    <n v="25"/>
    <n v="1"/>
    <m/>
    <n v="0"/>
    <n v="0"/>
    <n v="180800"/>
    <n v="7762.4999999999991"/>
    <n v="0"/>
    <n v="0"/>
    <n v="25"/>
    <n v="173568"/>
    <n v="18478.991596638658"/>
    <n v="11"/>
    <n v="26"/>
    <n v="2"/>
    <n v="0"/>
    <n v="0"/>
    <n v="0"/>
    <n v="188032"/>
    <n v="15524.999999999998"/>
    <n v="0"/>
    <n v="0"/>
    <n v="26"/>
    <n v="173568"/>
    <n v="36957.983193277316"/>
    <n v="7"/>
    <n v="26"/>
    <n v="2"/>
    <n v="0"/>
    <n v="0"/>
    <n v="0"/>
    <n v="188032"/>
    <n v="15524.999999999998"/>
    <n v="0"/>
    <n v="0"/>
    <n v="26"/>
    <n v="188032"/>
    <n v="36957.983193277316"/>
    <n v="2"/>
    <n v="25"/>
    <n v="1.5"/>
    <n v="0"/>
    <n v="0"/>
    <n v="0"/>
    <n v="194062.49999999997"/>
    <n v="11643.749999999998"/>
    <n v="0"/>
    <n v="0"/>
    <n v="24"/>
    <n v="173568"/>
    <n v="27718.487394957985"/>
    <n v="0"/>
    <n v="23.5"/>
    <n v="0"/>
    <n v="0"/>
    <n v="0"/>
    <n v="0"/>
    <m/>
    <n v="182418.74999999997"/>
    <n v="0"/>
    <n v="0"/>
    <n v="0"/>
    <n v="23.5"/>
    <n v="182418.74999999997"/>
    <n v="0"/>
    <n v="0"/>
    <n v="23.5"/>
    <n v="0"/>
    <m/>
    <n v="0"/>
    <n v="0"/>
    <n v="182418.74999999997"/>
    <n v="0"/>
    <n v="0"/>
    <n v="0"/>
    <n v="23.5"/>
    <n v="182418.74999999997"/>
    <n v="0"/>
    <n v="0"/>
    <n v="23.5"/>
    <n v="0"/>
    <n v="0"/>
    <n v="0"/>
    <n v="182418.74999999997"/>
    <n v="0"/>
    <n v="0"/>
    <n v="0"/>
    <n v="23.5"/>
    <n v="182418.74999999997"/>
    <n v="0"/>
    <n v="0"/>
    <n v="23.5"/>
    <n v="0"/>
    <n v="0"/>
    <m/>
    <n v="182418.74999999997"/>
    <n v="0"/>
    <n v="0"/>
    <n v="23.5"/>
    <n v="182418.74999999997"/>
    <n v="0"/>
  </r>
  <r>
    <m/>
    <x v="4"/>
    <x v="14"/>
    <x v="34"/>
    <s v="LHPANIMSLIL36-37"/>
    <x v="187"/>
    <x v="178"/>
    <x v="0"/>
    <x v="4"/>
    <n v="1"/>
    <x v="130"/>
    <n v="62"/>
    <m/>
    <n v="0"/>
    <n v="7231"/>
    <n v="448322"/>
    <n v="7.5"/>
    <n v="8193.75"/>
    <n v="18478.991596638658"/>
    <n v="0"/>
    <s v="Shenzhen"/>
    <x v="0"/>
    <n v="30"/>
    <m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7"/>
    <n v="0.41564551741756539"/>
    <n v="0.15217391304347827"/>
    <n v="8"/>
    <n v="0.50510483679674523"/>
    <n v="0.22857142857142856"/>
    <n v="14"/>
    <n v="0.28346297163610912"/>
    <n v="0.56000000000000005"/>
    <n v="6"/>
    <n v="0.23197388930778279"/>
    <n v="0.8571428571428571"/>
    <m/>
    <m/>
    <m/>
    <m/>
    <m/>
    <m/>
    <m/>
    <m/>
    <m/>
    <n v="0"/>
    <n v="0"/>
    <n v="0"/>
    <n v="0"/>
    <n v="0"/>
    <n v="0"/>
    <n v="0"/>
    <n v="0"/>
    <n v="0"/>
    <n v="0"/>
    <n v="62"/>
    <n v="448322"/>
    <n v="0"/>
    <n v="0"/>
    <n v="0"/>
    <n v="0"/>
    <n v="0"/>
    <n v="0"/>
    <n v="0"/>
    <n v="0"/>
    <n v="0"/>
    <n v="0"/>
    <n v="0"/>
    <n v="62"/>
    <n v="448322"/>
    <n v="0"/>
    <n v="0"/>
    <n v="0"/>
    <n v="0"/>
    <n v="0"/>
    <n v="0"/>
    <n v="85387.499999999985"/>
    <n v="0"/>
    <n v="0"/>
    <n v="0"/>
    <n v="62"/>
    <n v="448322"/>
    <n v="0"/>
    <n v="0"/>
    <n v="0"/>
    <n v="0"/>
    <n v="0"/>
    <n v="0"/>
    <n v="0"/>
    <n v="0"/>
    <x v="0"/>
    <x v="0"/>
    <n v="62"/>
    <n v="448322"/>
    <n v="0"/>
    <n v="11"/>
    <n v="62"/>
    <n v="11"/>
    <m/>
    <n v="0"/>
    <n v="0"/>
    <n v="448322"/>
    <n v="85387.499999999985"/>
    <x v="0"/>
    <n v="0"/>
    <n v="62"/>
    <n v="448322"/>
    <n v="203268.90756302525"/>
    <n v="46"/>
    <n v="69"/>
    <n v="7"/>
    <m/>
    <n v="0"/>
    <n v="0"/>
    <n v="498939"/>
    <n v="54337.499999999993"/>
    <n v="0"/>
    <n v="0"/>
    <n v="69"/>
    <n v="448322"/>
    <n v="129352.9411764706"/>
    <n v="35"/>
    <n v="70"/>
    <n v="8"/>
    <n v="0"/>
    <n v="0"/>
    <n v="0"/>
    <n v="506170"/>
    <n v="62099.999999999993"/>
    <n v="0"/>
    <n v="0"/>
    <n v="70"/>
    <n v="448322"/>
    <n v="147831.93277310926"/>
    <n v="25"/>
    <n v="76"/>
    <n v="14"/>
    <n v="0"/>
    <n v="0"/>
    <n v="0"/>
    <n v="549556"/>
    <n v="108674.99999999999"/>
    <n v="0"/>
    <n v="0"/>
    <n v="76"/>
    <n v="549556"/>
    <n v="258705.8823529412"/>
    <n v="7"/>
    <n v="68"/>
    <n v="6"/>
    <n v="0"/>
    <n v="0"/>
    <n v="0"/>
    <n v="527849.99999999988"/>
    <n v="46574.999999999993"/>
    <n v="0"/>
    <n v="0"/>
    <n v="62"/>
    <n v="448322"/>
    <n v="110873.94957983194"/>
    <n v="0"/>
    <n v="62"/>
    <n v="0"/>
    <n v="0"/>
    <n v="0"/>
    <n v="0"/>
    <m/>
    <n v="481274.99999999994"/>
    <n v="0"/>
    <n v="0"/>
    <n v="0"/>
    <n v="62"/>
    <n v="481274.99999999994"/>
    <n v="0"/>
    <n v="0"/>
    <n v="62"/>
    <n v="0"/>
    <m/>
    <n v="0"/>
    <n v="0"/>
    <n v="481274.99999999994"/>
    <n v="0"/>
    <n v="0"/>
    <n v="0"/>
    <n v="62"/>
    <n v="481274.99999999994"/>
    <n v="0"/>
    <n v="0"/>
    <n v="62"/>
    <n v="0"/>
    <n v="0"/>
    <n v="0"/>
    <n v="481274.99999999994"/>
    <n v="0"/>
    <n v="0"/>
    <n v="0"/>
    <n v="62"/>
    <n v="481274.99999999994"/>
    <n v="0"/>
    <n v="0"/>
    <n v="62"/>
    <n v="0"/>
    <n v="0"/>
    <m/>
    <n v="481274.99999999994"/>
    <n v="0"/>
    <n v="0"/>
    <n v="62"/>
    <n v="481274.99999999994"/>
    <n v="0"/>
  </r>
  <r>
    <m/>
    <x v="4"/>
    <x v="14"/>
    <x v="34"/>
    <s v="LHPANIMSLIL38-39"/>
    <x v="188"/>
    <x v="179"/>
    <x v="0"/>
    <x v="4"/>
    <n v="1"/>
    <x v="131"/>
    <n v="79"/>
    <m/>
    <n v="0"/>
    <n v="7231"/>
    <n v="571249"/>
    <n v="7.5"/>
    <n v="8193.75"/>
    <n v="18478.991596638658"/>
    <n v="0"/>
    <s v="Shenzhen"/>
    <x v="0"/>
    <n v="30"/>
    <m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10"/>
    <n v="0.20382222190860594"/>
    <n v="0.18181818181818182"/>
    <n v="8"/>
    <n v="0.48579246114434654"/>
    <n v="0.19047619047619047"/>
    <n v="20"/>
    <n v="0.23871683448773159"/>
    <n v="0.68965517241379315"/>
    <n v="3"/>
    <n v="0.11582637665652054"/>
    <n v="0.375"/>
    <m/>
    <m/>
    <m/>
    <m/>
    <m/>
    <m/>
    <m/>
    <m/>
    <m/>
    <n v="0"/>
    <n v="0"/>
    <n v="0"/>
    <n v="0"/>
    <n v="0"/>
    <n v="0"/>
    <n v="0"/>
    <n v="0"/>
    <n v="0"/>
    <n v="0"/>
    <n v="79"/>
    <n v="571249"/>
    <n v="0"/>
    <n v="0"/>
    <n v="0"/>
    <n v="0"/>
    <n v="0"/>
    <n v="0"/>
    <n v="0"/>
    <n v="0"/>
    <n v="0"/>
    <n v="0"/>
    <n v="0"/>
    <n v="79"/>
    <n v="571249"/>
    <n v="0"/>
    <n v="0"/>
    <n v="0"/>
    <n v="0"/>
    <n v="0"/>
    <n v="0"/>
    <n v="100912.49999999999"/>
    <n v="0"/>
    <n v="0"/>
    <n v="0"/>
    <n v="79"/>
    <n v="571249"/>
    <n v="0"/>
    <n v="0"/>
    <n v="0"/>
    <n v="0"/>
    <n v="0"/>
    <n v="0"/>
    <n v="0"/>
    <n v="0"/>
    <x v="0"/>
    <x v="0"/>
    <n v="79"/>
    <n v="571249"/>
    <n v="0"/>
    <n v="13"/>
    <n v="79"/>
    <n v="13"/>
    <m/>
    <n v="0"/>
    <n v="0"/>
    <n v="571249"/>
    <n v="100912.49999999999"/>
    <x v="0"/>
    <n v="0"/>
    <n v="79"/>
    <n v="571249"/>
    <n v="240226.89075630254"/>
    <n v="55"/>
    <n v="89"/>
    <n v="10"/>
    <m/>
    <n v="0"/>
    <n v="0"/>
    <n v="643559"/>
    <n v="77624.999999999985"/>
    <n v="0"/>
    <n v="0"/>
    <n v="89"/>
    <n v="571249"/>
    <n v="184789.91596638659"/>
    <n v="42"/>
    <n v="87"/>
    <n v="8"/>
    <n v="0"/>
    <n v="0"/>
    <n v="0"/>
    <n v="629097"/>
    <n v="62099.999999999993"/>
    <n v="0"/>
    <n v="0"/>
    <n v="87"/>
    <n v="571249"/>
    <n v="147831.93277310926"/>
    <n v="29"/>
    <n v="99"/>
    <n v="20"/>
    <n v="0"/>
    <n v="0"/>
    <n v="0"/>
    <n v="715869"/>
    <n v="155249.99999999997"/>
    <n v="0"/>
    <n v="0"/>
    <n v="99"/>
    <n v="715869"/>
    <n v="369579.83193277317"/>
    <n v="8"/>
    <n v="82"/>
    <n v="1.5"/>
    <n v="0"/>
    <n v="0"/>
    <n v="0"/>
    <n v="636524.99999999988"/>
    <n v="11643.749999999998"/>
    <n v="0"/>
    <n v="0"/>
    <n v="79"/>
    <n v="571249"/>
    <n v="27718.487394957985"/>
    <n v="0"/>
    <n v="80.5"/>
    <n v="0"/>
    <n v="0"/>
    <n v="0"/>
    <n v="0"/>
    <m/>
    <n v="624881.24999999988"/>
    <n v="0"/>
    <n v="0"/>
    <n v="0"/>
    <n v="80.5"/>
    <n v="624881.24999999988"/>
    <n v="0"/>
    <n v="0"/>
    <n v="80.5"/>
    <n v="0"/>
    <m/>
    <n v="0"/>
    <n v="0"/>
    <n v="624881.24999999988"/>
    <n v="0"/>
    <n v="0"/>
    <n v="0"/>
    <n v="80.5"/>
    <n v="624881.24999999988"/>
    <n v="0"/>
    <n v="0"/>
    <n v="80.5"/>
    <n v="0"/>
    <n v="0"/>
    <n v="0"/>
    <n v="624881.24999999988"/>
    <n v="0"/>
    <n v="0"/>
    <n v="0"/>
    <n v="80.5"/>
    <n v="624881.24999999988"/>
    <n v="0"/>
    <n v="0"/>
    <n v="80.5"/>
    <n v="0"/>
    <n v="0"/>
    <m/>
    <n v="624881.24999999988"/>
    <n v="0"/>
    <n v="0"/>
    <n v="80.5"/>
    <n v="624881.24999999988"/>
    <n v="0"/>
  </r>
  <r>
    <m/>
    <x v="4"/>
    <x v="14"/>
    <x v="34"/>
    <s v="LHPANIMSLIL40-41"/>
    <x v="189"/>
    <x v="180"/>
    <x v="0"/>
    <x v="4"/>
    <n v="1"/>
    <x v="132"/>
    <n v="26"/>
    <m/>
    <n v="0"/>
    <n v="7231"/>
    <n v="188006"/>
    <n v="7.5"/>
    <n v="8193.75"/>
    <n v="18478.991596638658"/>
    <n v="0"/>
    <s v="Shenzhen"/>
    <x v="0"/>
    <n v="30"/>
    <m/>
    <n v="200"/>
    <n v="0"/>
    <s v=""/>
    <n v="0"/>
    <s v=""/>
    <n v="0"/>
    <s v=""/>
    <n v="0"/>
    <s v=""/>
    <n v="0"/>
    <s v=""/>
    <n v="0"/>
    <m/>
    <n v="0"/>
    <m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4"/>
    <n v="0.37531964450451921"/>
    <n v="0.17391304347826086"/>
    <n v="4"/>
    <n v="0.49344025897586813"/>
    <n v="0.22222222222222221"/>
    <n v="15"/>
    <n v="0.21113032271216228"/>
    <n v="1.25"/>
    <n v="2"/>
    <n v="0.35942024720423776"/>
    <n v="0.5"/>
    <m/>
    <m/>
    <m/>
    <m/>
    <m/>
    <m/>
    <m/>
    <m/>
    <m/>
    <n v="0"/>
    <n v="0"/>
    <n v="0"/>
    <n v="0"/>
    <n v="0"/>
    <n v="0"/>
    <n v="0"/>
    <n v="0"/>
    <n v="0"/>
    <n v="0"/>
    <n v="26"/>
    <n v="188006"/>
    <n v="0"/>
    <n v="0"/>
    <n v="0"/>
    <n v="0"/>
    <n v="0"/>
    <n v="0"/>
    <n v="0"/>
    <n v="0"/>
    <n v="0"/>
    <n v="0"/>
    <n v="0"/>
    <n v="26"/>
    <n v="188006"/>
    <n v="0"/>
    <n v="0"/>
    <n v="0"/>
    <n v="0"/>
    <n v="0"/>
    <n v="0"/>
    <n v="38812.499999999993"/>
    <n v="0"/>
    <n v="0"/>
    <n v="0"/>
    <n v="26"/>
    <n v="188006"/>
    <n v="0"/>
    <n v="0"/>
    <n v="0"/>
    <n v="0"/>
    <n v="0"/>
    <n v="0"/>
    <n v="0"/>
    <n v="0"/>
    <x v="0"/>
    <x v="0"/>
    <n v="26"/>
    <n v="188006"/>
    <n v="0"/>
    <n v="5"/>
    <n v="26"/>
    <n v="5"/>
    <m/>
    <n v="0"/>
    <n v="0"/>
    <n v="188006"/>
    <n v="38812.499999999993"/>
    <x v="0"/>
    <n v="0"/>
    <n v="26"/>
    <n v="188006"/>
    <n v="92394.957983193293"/>
    <n v="23"/>
    <n v="30"/>
    <n v="4"/>
    <m/>
    <n v="0"/>
    <n v="0"/>
    <n v="216930"/>
    <n v="31049.999999999996"/>
    <n v="0"/>
    <n v="0"/>
    <n v="30"/>
    <n v="188006"/>
    <n v="73915.966386554632"/>
    <n v="18"/>
    <n v="30"/>
    <n v="4"/>
    <n v="0"/>
    <n v="0"/>
    <n v="0"/>
    <n v="216930"/>
    <n v="31049.999999999996"/>
    <n v="0"/>
    <n v="0"/>
    <n v="30"/>
    <n v="188006"/>
    <n v="73915.966386554632"/>
    <n v="12"/>
    <n v="41"/>
    <n v="15"/>
    <n v="0"/>
    <n v="0"/>
    <n v="0"/>
    <n v="296471"/>
    <n v="116437.49999999999"/>
    <n v="0"/>
    <n v="0"/>
    <n v="41"/>
    <n v="296471"/>
    <n v="277184.87394957989"/>
    <n v="4"/>
    <n v="28"/>
    <n v="3"/>
    <n v="0"/>
    <n v="0"/>
    <n v="0"/>
    <n v="217349.99999999997"/>
    <n v="23287.499999999996"/>
    <n v="0"/>
    <n v="0"/>
    <n v="26"/>
    <n v="188006"/>
    <n v="55436.97478991597"/>
    <n v="0"/>
    <n v="25"/>
    <n v="0"/>
    <n v="0"/>
    <n v="0"/>
    <n v="0"/>
    <m/>
    <n v="194062.49999999997"/>
    <n v="0"/>
    <n v="0"/>
    <n v="0"/>
    <n v="25"/>
    <n v="194062.49999999997"/>
    <n v="0"/>
    <n v="0"/>
    <n v="25"/>
    <n v="0"/>
    <m/>
    <n v="0"/>
    <n v="0"/>
    <n v="194062.49999999997"/>
    <n v="0"/>
    <n v="0"/>
    <n v="0"/>
    <n v="25"/>
    <n v="194062.49999999997"/>
    <n v="0"/>
    <n v="0"/>
    <n v="25"/>
    <n v="0"/>
    <n v="0"/>
    <n v="0"/>
    <n v="194062.49999999997"/>
    <n v="0"/>
    <n v="0"/>
    <n v="0"/>
    <n v="25"/>
    <n v="194062.49999999997"/>
    <n v="0"/>
    <n v="0"/>
    <n v="25"/>
    <n v="0"/>
    <n v="0"/>
    <m/>
    <n v="194062.49999999997"/>
    <n v="0"/>
    <n v="0"/>
    <n v="25"/>
    <n v="194062.49999999997"/>
    <n v="0"/>
  </r>
  <r>
    <m/>
    <x v="4"/>
    <x v="14"/>
    <x v="35"/>
    <s v="LHTOAMIC"/>
    <x v="190"/>
    <x v="181"/>
    <x v="0"/>
    <x v="2"/>
    <n v="1"/>
    <x v="31"/>
    <n v="3"/>
    <m/>
    <n v="0"/>
    <n v="3310"/>
    <n v="9930"/>
    <n v="2.4"/>
    <n v="2622"/>
    <n v="8394.957983193277"/>
    <n v="6714.2857142857147"/>
    <s v="Shenzhen"/>
    <x v="0"/>
    <n v="30"/>
    <m/>
    <n v="200"/>
    <n v="30"/>
    <n v="0.60254562920268973"/>
    <n v="24"/>
    <n v="0.5443374186678327"/>
    <n v="19"/>
    <n v="0.51587326025372582"/>
    <n v="11"/>
    <n v="0.46963595163648436"/>
    <n v="7"/>
    <n v="0.6005929909844685"/>
    <n v="16"/>
    <n v="0.56107587243353152"/>
    <n v="48"/>
    <n v="0.45596493631009449"/>
    <n v="11"/>
    <n v="0.56713507858382672"/>
    <n v="12"/>
    <n v="0.5070142838905517"/>
    <n v="24"/>
    <n v="0.51783912016564526"/>
    <n v="24"/>
    <n v="0.46236049730300427"/>
    <n v="8"/>
    <n v="0.50318949343339592"/>
    <n v="4"/>
    <n v="0.28278129504610872"/>
    <n v="1"/>
    <n v="0.34565892761850631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0"/>
    <n v="11"/>
    <n v="0"/>
    <n v="0"/>
    <n v="0"/>
    <n v="0"/>
    <n v="4965"/>
    <n v="27324"/>
    <n v="0"/>
    <n v="0"/>
    <n v="3"/>
    <n v="9930"/>
    <n v="0"/>
    <n v="0"/>
    <n v="4"/>
    <n v="1.5"/>
    <n v="0"/>
    <n v="0"/>
    <n v="0"/>
    <n v="4965"/>
    <n v="9936"/>
    <n v="4965"/>
    <n v="0"/>
    <n v="3"/>
    <n v="9930"/>
    <n v="10581.879810747829"/>
    <n v="0"/>
    <n v="2"/>
    <n v="0"/>
    <n v="0"/>
    <n v="0"/>
    <n v="0"/>
    <n v="6620"/>
    <n v="0"/>
    <n v="0"/>
    <n v="3"/>
    <n v="9930"/>
    <n v="0"/>
    <n v="0"/>
    <n v="2"/>
    <n v="0"/>
    <n v="0"/>
    <n v="0"/>
    <n v="4968"/>
    <n v="0"/>
    <x v="0"/>
    <x v="0"/>
    <n v="3"/>
    <n v="9930"/>
    <n v="0"/>
    <n v="0"/>
    <n v="3"/>
    <n v="0"/>
    <m/>
    <n v="0"/>
    <n v="0"/>
    <n v="9930"/>
    <n v="0"/>
    <x v="0"/>
    <n v="0"/>
    <n v="3"/>
    <n v="9930"/>
    <n v="0"/>
    <n v="0"/>
    <n v="3"/>
    <n v="0"/>
    <m/>
    <n v="0"/>
    <n v="0"/>
    <n v="9930"/>
    <n v="0"/>
    <n v="0"/>
    <n v="0"/>
    <n v="3"/>
    <n v="9930"/>
    <n v="0"/>
    <n v="0"/>
    <n v="3"/>
    <n v="0"/>
    <n v="0"/>
    <n v="0"/>
    <n v="0"/>
    <n v="9930"/>
    <n v="0"/>
    <n v="0"/>
    <n v="0"/>
    <n v="3"/>
    <n v="9930"/>
    <n v="0"/>
    <n v="0"/>
    <n v="3"/>
    <n v="0"/>
    <n v="0"/>
    <n v="0"/>
    <n v="0"/>
    <n v="9930"/>
    <n v="0"/>
    <n v="0"/>
    <n v="0"/>
    <n v="3"/>
    <n v="9930"/>
    <n v="0"/>
    <n v="0"/>
    <n v="3"/>
    <n v="0"/>
    <n v="0"/>
    <n v="0"/>
    <n v="0"/>
    <n v="7452"/>
    <n v="0"/>
    <n v="0"/>
    <n v="0"/>
    <n v="3"/>
    <n v="9930"/>
    <n v="0"/>
    <n v="0"/>
    <n v="3"/>
    <n v="0"/>
    <n v="0"/>
    <n v="0"/>
    <n v="0"/>
    <m/>
    <n v="7452"/>
    <n v="0"/>
    <n v="0"/>
    <n v="0"/>
    <n v="3"/>
    <n v="7452"/>
    <n v="0"/>
    <n v="0"/>
    <n v="3"/>
    <n v="0"/>
    <m/>
    <n v="0"/>
    <n v="0"/>
    <n v="7452"/>
    <n v="0"/>
    <n v="0"/>
    <n v="0"/>
    <n v="3"/>
    <n v="7452"/>
    <n v="0"/>
    <n v="0"/>
    <n v="3"/>
    <n v="0"/>
    <n v="0"/>
    <n v="0"/>
    <n v="7452"/>
    <n v="0"/>
    <n v="0"/>
    <n v="0"/>
    <n v="3"/>
    <n v="7452"/>
    <n v="0"/>
    <n v="0"/>
    <n v="3"/>
    <n v="0"/>
    <n v="0"/>
    <m/>
    <n v="7452"/>
    <n v="0"/>
    <n v="0"/>
    <n v="3"/>
    <n v="7452"/>
    <n v="0"/>
  </r>
  <r>
    <m/>
    <x v="4"/>
    <x v="14"/>
    <x v="35"/>
    <s v="LHTOAMIC"/>
    <x v="191"/>
    <x v="181"/>
    <x v="0"/>
    <x v="2"/>
    <n v="1"/>
    <x v="133"/>
    <n v="6"/>
    <m/>
    <n v="0"/>
    <n v="3310"/>
    <n v="19860"/>
    <n v="2.4"/>
    <n v="2622"/>
    <n v="8394.957983193277"/>
    <n v="6714.2857142857147"/>
    <s v="Shenzhen"/>
    <x v="0"/>
    <n v="30"/>
    <m/>
    <n v="200"/>
    <n v="13"/>
    <n v="0.5942259952802722"/>
    <n v="30"/>
    <n v="0.60453372415331186"/>
    <n v="31"/>
    <n v="0.48986107135780177"/>
    <n v="3"/>
    <n v="0.45979762811445979"/>
    <n v="3"/>
    <n v="0.54682365826944135"/>
    <n v="2"/>
    <n v="0.56185055265073802"/>
    <n v="28"/>
    <n v="0.45326694825267233"/>
    <n v="8"/>
    <n v="0.55064024552846313"/>
    <n v="9"/>
    <n v="0.48560137745260068"/>
    <n v="36"/>
    <n v="0.51063646586655842"/>
    <n v="8"/>
    <n v="0.50317045901927282"/>
    <n v="50"/>
    <n v="0.40678573623087477"/>
    <n v="26"/>
    <n v="0.43008856755667918"/>
    <n v="8"/>
    <n v="0.40871270616087502"/>
    <n v="1"/>
    <n v="0.45982459668431364"/>
    <n v="0"/>
    <s v=""/>
    <n v="0"/>
    <n v="1"/>
    <n v="0.69677752117013081"/>
    <n v="0"/>
    <n v="0"/>
    <s v=""/>
    <n v="0"/>
    <n v="1"/>
    <n v="0.4528611111111111"/>
    <n v="0"/>
    <n v="0"/>
    <s v=""/>
    <n v="0"/>
    <n v="0"/>
    <s v=""/>
    <n v="0"/>
    <m/>
    <m/>
    <m/>
    <m/>
    <m/>
    <m/>
    <m/>
    <m/>
    <m/>
    <n v="20"/>
    <n v="35"/>
    <n v="35"/>
    <n v="0"/>
    <n v="0"/>
    <n v="0"/>
    <n v="158880"/>
    <n v="86940"/>
    <n v="115850"/>
    <n v="0"/>
    <n v="6"/>
    <n v="19860"/>
    <n v="246910.52891744935"/>
    <n v="0"/>
    <n v="13"/>
    <n v="12"/>
    <n v="0"/>
    <n v="0"/>
    <n v="0"/>
    <n v="43030"/>
    <n v="32292"/>
    <n v="39720"/>
    <n v="0"/>
    <n v="6"/>
    <n v="19860"/>
    <n v="84655.03848598263"/>
    <n v="20"/>
    <n v="5"/>
    <n v="1"/>
    <n v="0"/>
    <n v="0"/>
    <n v="3310"/>
    <n v="16550"/>
    <n v="3310"/>
    <n v="0"/>
    <n v="6"/>
    <n v="19860"/>
    <n v="8394.957983193277"/>
    <n v="0"/>
    <n v="4"/>
    <n v="0"/>
    <n v="0"/>
    <n v="0"/>
    <n v="9936"/>
    <n v="0"/>
    <x v="0"/>
    <x v="0"/>
    <n v="6"/>
    <n v="19860"/>
    <n v="0"/>
    <n v="0"/>
    <n v="7"/>
    <n v="0"/>
    <m/>
    <n v="0"/>
    <n v="0"/>
    <n v="23170"/>
    <n v="0"/>
    <x v="0"/>
    <n v="0"/>
    <n v="6"/>
    <n v="19860"/>
    <n v="0"/>
    <n v="0"/>
    <n v="6"/>
    <n v="0"/>
    <m/>
    <n v="0"/>
    <n v="0"/>
    <n v="19860"/>
    <n v="0"/>
    <n v="0"/>
    <n v="0"/>
    <n v="6"/>
    <n v="19860"/>
    <n v="0"/>
    <n v="0"/>
    <n v="7"/>
    <n v="1"/>
    <n v="0"/>
    <n v="0"/>
    <n v="0"/>
    <n v="23170"/>
    <n v="2484"/>
    <n v="0"/>
    <n v="0"/>
    <n v="7"/>
    <n v="19860"/>
    <n v="8394.957983193277"/>
    <n v="0"/>
    <n v="6"/>
    <n v="0"/>
    <n v="0"/>
    <n v="0"/>
    <n v="0"/>
    <n v="19860"/>
    <n v="0"/>
    <n v="0"/>
    <n v="0"/>
    <n v="6"/>
    <n v="19860"/>
    <n v="0"/>
    <n v="0"/>
    <n v="6"/>
    <n v="0"/>
    <n v="0"/>
    <n v="0"/>
    <n v="0"/>
    <n v="14904"/>
    <n v="0"/>
    <n v="0"/>
    <n v="0"/>
    <n v="6"/>
    <n v="19860"/>
    <n v="0"/>
    <n v="0"/>
    <n v="6"/>
    <n v="0"/>
    <n v="0"/>
    <n v="0"/>
    <n v="0"/>
    <m/>
    <n v="14904"/>
    <n v="0"/>
    <n v="0"/>
    <n v="0"/>
    <n v="6"/>
    <n v="14904"/>
    <n v="0"/>
    <n v="0"/>
    <n v="6"/>
    <n v="0"/>
    <m/>
    <n v="0"/>
    <n v="0"/>
    <n v="14904"/>
    <n v="0"/>
    <n v="0"/>
    <n v="0"/>
    <n v="6"/>
    <n v="14904"/>
    <n v="0"/>
    <n v="0"/>
    <n v="6"/>
    <n v="0"/>
    <n v="0"/>
    <n v="0"/>
    <n v="14904"/>
    <n v="0"/>
    <n v="0"/>
    <n v="0"/>
    <n v="6"/>
    <n v="14904"/>
    <n v="0"/>
    <n v="0"/>
    <n v="6"/>
    <n v="0"/>
    <n v="0"/>
    <m/>
    <n v="14904"/>
    <n v="0"/>
    <n v="0"/>
    <n v="6"/>
    <n v="14904"/>
    <n v="0"/>
  </r>
  <r>
    <m/>
    <x v="4"/>
    <x v="14"/>
    <x v="35"/>
    <s v="LHTOASECRAP-BL"/>
    <x v="192"/>
    <x v="182"/>
    <x v="0"/>
    <x v="4"/>
    <n v="1"/>
    <x v="31"/>
    <n v="0"/>
    <m/>
    <n v="0"/>
    <n v="3208.4999999999995"/>
    <n v="0"/>
    <n v="3"/>
    <n v="3208.4999999999995"/>
    <n v="8088.6554621848727"/>
    <n v="6875.3571428571413"/>
    <s v="Shenzhen"/>
    <x v="0"/>
    <n v="45"/>
    <m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20"/>
    <n v="0"/>
    <n v="0"/>
    <m/>
    <n v="0"/>
    <n v="0"/>
    <n v="0"/>
    <n v="0"/>
    <n v="0"/>
    <n v="0"/>
    <n v="0"/>
    <n v="0"/>
    <n v="0"/>
    <n v="50"/>
    <n v="0"/>
    <n v="0"/>
    <n v="0"/>
    <n v="0"/>
    <n v="0"/>
    <n v="0"/>
    <n v="0"/>
    <n v="0"/>
    <n v="0"/>
    <n v="0"/>
    <n v="0"/>
    <n v="12"/>
    <n v="0"/>
    <n v="12"/>
    <n v="0"/>
    <m/>
    <n v="0"/>
    <n v="38501.999999999993"/>
    <n v="0"/>
    <n v="0"/>
    <n v="0"/>
    <n v="97063.865546218469"/>
  </r>
  <r>
    <s v="Lhotse-Accesorio Vestuario"/>
    <x v="4"/>
    <x v="14"/>
    <x v="35"/>
    <s v="LHTOASECRAP-PK"/>
    <x v="193"/>
    <x v="183"/>
    <x v="0"/>
    <x v="4"/>
    <n v="1"/>
    <x v="31"/>
    <n v="0"/>
    <m/>
    <n v="0"/>
    <n v="3208.4999999999995"/>
    <n v="0"/>
    <n v="3"/>
    <n v="3208.4999999999995"/>
    <n v="8088.6554621848727"/>
    <n v="6875.3571428571413"/>
    <s v="Shenzhen"/>
    <x v="0"/>
    <n v="45"/>
    <m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20"/>
    <n v="0"/>
    <n v="0"/>
    <m/>
    <n v="0"/>
    <n v="0"/>
    <n v="0"/>
    <n v="0"/>
    <n v="0"/>
    <n v="0"/>
    <n v="0"/>
    <n v="0"/>
    <n v="0"/>
    <n v="50"/>
    <n v="0"/>
    <n v="0"/>
    <n v="0"/>
    <n v="0"/>
    <n v="0"/>
    <n v="0"/>
    <n v="0"/>
    <n v="0"/>
    <n v="0"/>
    <n v="0"/>
    <n v="0"/>
    <n v="12"/>
    <n v="0"/>
    <n v="12"/>
    <n v="0"/>
    <m/>
    <n v="0"/>
    <n v="38501.999999999993"/>
    <n v="0"/>
    <n v="0"/>
    <n v="0"/>
    <n v="97063.865546218469"/>
  </r>
  <r>
    <s v="Lhotse-Audio Menor"/>
    <x v="4"/>
    <x v="15"/>
    <x v="36"/>
    <n v="1564150627423"/>
    <x v="194"/>
    <x v="184"/>
    <x v="0"/>
    <x v="1"/>
    <n v="1"/>
    <x v="31"/>
    <n v="4056"/>
    <n v="1000"/>
    <n v="2147000"/>
    <n v="2458"/>
    <n v="9969648"/>
    <n v="2.2599999999999998"/>
    <n v="2469.0499999999997"/>
    <n v="5000"/>
    <n v="6714.2857142857147"/>
    <s v="Shenzhen"/>
    <x v="2"/>
    <n v="30"/>
    <m/>
    <n v="1000"/>
    <n v="2906"/>
    <n v="0.46613455786472002"/>
    <n v="430"/>
    <n v="0.50070493267988858"/>
    <n v="3601"/>
    <n v="0.47064971732761068"/>
    <n v="2076"/>
    <n v="0.49704634352293364"/>
    <n v="1919"/>
    <n v="0.4961229749814805"/>
    <n v="2613"/>
    <n v="0.47282908411375008"/>
    <n v="1554"/>
    <n v="0.47749270260065224"/>
    <n v="151"/>
    <n v="0.5399184642780156"/>
    <n v="1617"/>
    <n v="0.47801498819105359"/>
    <n v="1727"/>
    <n v="0.4506891843273475"/>
    <n v="1667"/>
    <n v="0.446281742476553"/>
    <n v="158"/>
    <n v="0.59510629736921183"/>
    <n v="2067"/>
    <n v="0.48961753511324141"/>
    <n v="43"/>
    <n v="0.36832066170841088"/>
    <n v="1849"/>
    <n v="0.48998474355715871"/>
    <n v="50"/>
    <n v="0.53804591571574423"/>
    <n v="6.1576354679802957E-2"/>
    <n v="23"/>
    <n v="0.64315433402472288"/>
    <n v="1.1192214111922141E-2"/>
    <n v="306"/>
    <n v="0.28736219516337425"/>
    <n v="0.74634146341463414"/>
    <n v="0"/>
    <s v=""/>
    <n v="0"/>
    <n v="286"/>
    <n v="0.47130874444532594"/>
    <n v="3.8133333333333335"/>
    <n v="27"/>
    <n v="0.23276988459881962"/>
    <n v="0.36"/>
    <m/>
    <m/>
    <m/>
    <m/>
    <m/>
    <m/>
    <m/>
    <m/>
    <m/>
    <n v="711"/>
    <n v="6123"/>
    <n v="711"/>
    <n v="0"/>
    <n v="0"/>
    <n v="0"/>
    <n v="6451021"/>
    <n v="14322309.299999997"/>
    <n v="1747638"/>
    <n v="0"/>
    <n v="4056"/>
    <n v="9969648"/>
    <n v="2987394.9579831935"/>
    <n v="733"/>
    <n v="4745"/>
    <n v="64.5"/>
    <n v="0"/>
    <n v="0"/>
    <n v="0"/>
    <n v="4826283"/>
    <n v="11099029.499999998"/>
    <n v="158541"/>
    <n v="0"/>
    <n v="4056"/>
    <n v="9969648"/>
    <n v="271008.40336134459"/>
    <n v="1060"/>
    <n v="4677"/>
    <n v="1849"/>
    <n v="0"/>
    <n v="0"/>
    <n v="9474592.5"/>
    <n v="11496066"/>
    <n v="4544842"/>
    <n v="0"/>
    <n v="4056"/>
    <n v="9969648"/>
    <n v="9245000"/>
    <n v="812"/>
    <n v="5592"/>
    <n v="50"/>
    <n v="0"/>
    <n v="0"/>
    <n v="13080247.199999997"/>
    <n v="122900"/>
    <x v="0"/>
    <x v="0"/>
    <n v="4056"/>
    <n v="9969648"/>
    <n v="250000"/>
    <n v="2055"/>
    <n v="4079"/>
    <n v="2055"/>
    <m/>
    <n v="0"/>
    <n v="0"/>
    <n v="10026182"/>
    <n v="4806850.4999999991"/>
    <x v="0"/>
    <n v="0"/>
    <n v="4056"/>
    <n v="9969648"/>
    <n v="10275000"/>
    <n v="410"/>
    <n v="4362"/>
    <n v="306"/>
    <m/>
    <n v="0"/>
    <n v="0"/>
    <n v="10721796"/>
    <n v="715764.59999999986"/>
    <n v="0"/>
    <n v="0"/>
    <n v="4362"/>
    <n v="9969648"/>
    <n v="1530000"/>
    <n v="75"/>
    <n v="4056"/>
    <n v="0"/>
    <n v="0"/>
    <n v="0"/>
    <n v="0"/>
    <n v="9969648"/>
    <n v="0"/>
    <n v="0"/>
    <n v="0"/>
    <n v="4056"/>
    <n v="9969648"/>
    <n v="0"/>
    <n v="75"/>
    <n v="4342"/>
    <n v="295"/>
    <n v="1000"/>
    <n v="1000"/>
    <n v="0"/>
    <n v="10672636"/>
    <n v="690034.49999999988"/>
    <n v="2339099.9999999995"/>
    <n v="0"/>
    <n v="4342"/>
    <n v="10672636"/>
    <n v="1475000"/>
    <n v="75"/>
    <n v="4083"/>
    <n v="21"/>
    <n v="0"/>
    <n v="0"/>
    <n v="0"/>
    <n v="9550545.299999997"/>
    <n v="49121.099999999991"/>
    <n v="0"/>
    <n v="0"/>
    <n v="4056"/>
    <n v="9969648"/>
    <n v="105000"/>
    <n v="75"/>
    <n v="4062"/>
    <n v="75"/>
    <n v="0"/>
    <n v="0"/>
    <n v="0"/>
    <m/>
    <n v="9501424.1999999974"/>
    <n v="175432.49999999997"/>
    <n v="0"/>
    <n v="0"/>
    <n v="4062"/>
    <n v="9501424.1999999974"/>
    <n v="503571.42857142858"/>
    <n v="75"/>
    <n v="3987"/>
    <n v="75"/>
    <m/>
    <n v="0"/>
    <n v="1000"/>
    <n v="9325991.6999999974"/>
    <n v="175432.49999999997"/>
    <n v="0"/>
    <n v="2339099.9999999995"/>
    <n v="4987"/>
    <n v="11665091.699999997"/>
    <n v="503571.42857142858"/>
    <n v="75"/>
    <n v="4912"/>
    <n v="75"/>
    <n v="0"/>
    <n v="0"/>
    <n v="11489659.199999997"/>
    <n v="175432.49999999997"/>
    <n v="0"/>
    <n v="0"/>
    <n v="4912"/>
    <n v="11489659.199999997"/>
    <n v="375000"/>
    <n v="45"/>
    <n v="4837"/>
    <n v="45"/>
    <n v="0"/>
    <m/>
    <n v="11314226.699999997"/>
    <n v="110610"/>
    <n v="0"/>
    <n v="4837"/>
    <n v="11314226.699999997"/>
    <n v="225000"/>
  </r>
  <r>
    <s v="Lhotse-Audio Menor"/>
    <x v="4"/>
    <x v="15"/>
    <x v="36"/>
    <n v="1564150661249"/>
    <x v="195"/>
    <x v="185"/>
    <x v="0"/>
    <x v="1"/>
    <n v="1"/>
    <x v="31"/>
    <n v="135"/>
    <n v="1500"/>
    <n v="3363000.0000000005"/>
    <n v="2502"/>
    <n v="337770"/>
    <n v="2.3600000000000003"/>
    <n v="2578.3000000000002"/>
    <n v="5000"/>
    <n v="6714.2857142857147"/>
    <s v="Shenzhen"/>
    <x v="2"/>
    <n v="30"/>
    <m/>
    <n v="1000"/>
    <n v="3238"/>
    <n v="0.4762297014601477"/>
    <n v="928"/>
    <n v="0.51244106772798226"/>
    <n v="4022"/>
    <n v="0.47651620193155858"/>
    <n v="1994"/>
    <n v="0.5012280285803149"/>
    <n v="1663"/>
    <n v="0.50212502214840737"/>
    <n v="3320"/>
    <n v="0.47794077583427452"/>
    <n v="2164"/>
    <n v="0.47890124876355694"/>
    <n v="218"/>
    <n v="0.53443321894854756"/>
    <n v="2809"/>
    <n v="0.47366022848366057"/>
    <n v="1641"/>
    <n v="0.42828579260745159"/>
    <n v="2515"/>
    <n v="0.42012603941807863"/>
    <n v="345"/>
    <n v="0.6197023500919836"/>
    <n v="2097"/>
    <n v="0.48028444175874491"/>
    <n v="77"/>
    <n v="0.37350321183376567"/>
    <n v="1978"/>
    <n v="0.47636880137658366"/>
    <n v="95"/>
    <n v="0.52163996801665768"/>
    <n v="0.11176470588235295"/>
    <n v="1661"/>
    <n v="0.48912097143909056"/>
    <n v="0.80241545893719812"/>
    <n v="337"/>
    <n v="0.31491632276392301"/>
    <n v="0.7326086956521739"/>
    <n v="0"/>
    <s v=""/>
    <n v="0"/>
    <n v="8"/>
    <n v="1.8207446808510636E-2"/>
    <n v="0.08"/>
    <n v="0"/>
    <s v=""/>
    <n v="0"/>
    <m/>
    <m/>
    <m/>
    <m/>
    <m/>
    <m/>
    <m/>
    <m/>
    <m/>
    <n v="815"/>
    <n v="2232"/>
    <n v="815"/>
    <n v="0"/>
    <n v="0"/>
    <n v="0"/>
    <n v="7277067"/>
    <n v="5451883.2000000011"/>
    <n v="2039130"/>
    <n v="0"/>
    <n v="135"/>
    <n v="337770"/>
    <n v="3424369.7478991598"/>
    <n v="800"/>
    <n v="3639"/>
    <n v="115.5"/>
    <n v="0"/>
    <n v="0"/>
    <n v="0"/>
    <n v="5475627"/>
    <n v="8888621.4000000022"/>
    <n v="288981"/>
    <n v="0"/>
    <n v="135"/>
    <n v="337770"/>
    <n v="485294.11764705885"/>
    <n v="1200"/>
    <n v="3558"/>
    <n v="1978"/>
    <n v="0"/>
    <n v="0"/>
    <n v="10242828"/>
    <n v="8902116"/>
    <n v="4948956"/>
    <n v="0"/>
    <n v="135"/>
    <n v="337770"/>
    <n v="9890000"/>
    <n v="850"/>
    <n v="3507"/>
    <n v="95"/>
    <n v="0"/>
    <n v="0"/>
    <n v="8566198.2000000011"/>
    <n v="237690"/>
    <x v="0"/>
    <x v="0"/>
    <n v="135"/>
    <n v="337770"/>
    <n v="475000"/>
    <n v="2070"/>
    <n v="1796"/>
    <n v="2070"/>
    <m/>
    <n v="0"/>
    <n v="0"/>
    <n v="4493592"/>
    <n v="5056182.0000000009"/>
    <x v="0"/>
    <n v="0"/>
    <n v="135"/>
    <n v="337770"/>
    <n v="10350000"/>
    <n v="460"/>
    <n v="472"/>
    <n v="337"/>
    <m/>
    <n v="0"/>
    <n v="0"/>
    <n v="1180944"/>
    <n v="823156.20000000007"/>
    <n v="0"/>
    <n v="0"/>
    <n v="472"/>
    <n v="337770"/>
    <n v="1685000"/>
    <n v="100"/>
    <n v="135"/>
    <n v="0"/>
    <n v="0"/>
    <n v="0"/>
    <n v="0"/>
    <n v="337770"/>
    <n v="0"/>
    <n v="0"/>
    <n v="0"/>
    <n v="135"/>
    <n v="337770"/>
    <n v="0"/>
    <n v="100"/>
    <n v="143"/>
    <n v="8"/>
    <n v="1500"/>
    <n v="1500"/>
    <n v="0"/>
    <n v="357786"/>
    <n v="19540.800000000003"/>
    <n v="3663900.0000000005"/>
    <n v="0"/>
    <n v="143"/>
    <n v="357786"/>
    <n v="40000"/>
    <n v="100"/>
    <n v="135"/>
    <n v="0"/>
    <n v="0"/>
    <n v="0"/>
    <n v="0"/>
    <n v="329751.00000000006"/>
    <n v="0"/>
    <n v="0"/>
    <n v="0"/>
    <n v="135"/>
    <n v="337770"/>
    <n v="0"/>
    <n v="100"/>
    <n v="135"/>
    <n v="100"/>
    <n v="0"/>
    <n v="0"/>
    <n v="0"/>
    <m/>
    <n v="329751.00000000006"/>
    <n v="244260.00000000003"/>
    <n v="0"/>
    <n v="0"/>
    <n v="135"/>
    <n v="329751.00000000006"/>
    <n v="671428.57142857148"/>
    <n v="100"/>
    <n v="35"/>
    <n v="100"/>
    <m/>
    <n v="0"/>
    <n v="1525"/>
    <n v="85491.000000000015"/>
    <n v="244260.00000000003"/>
    <n v="0"/>
    <n v="3724965.0000000005"/>
    <n v="1560"/>
    <n v="3810456.0000000005"/>
    <n v="235000"/>
    <n v="100"/>
    <n v="1460"/>
    <n v="100"/>
    <n v="0"/>
    <n v="0"/>
    <n v="3566196.0000000005"/>
    <n v="244260.00000000003"/>
    <n v="0"/>
    <n v="0"/>
    <n v="1460"/>
    <n v="3566196.0000000005"/>
    <n v="500000"/>
    <n v="60"/>
    <n v="1360"/>
    <n v="60"/>
    <n v="0"/>
    <m/>
    <n v="3321936.0000000005"/>
    <n v="150120"/>
    <n v="0"/>
    <n v="1360"/>
    <n v="3321936.0000000005"/>
    <n v="300000"/>
  </r>
  <r>
    <s v="Lhotse-Audio Menor"/>
    <x v="4"/>
    <x v="15"/>
    <x v="36"/>
    <n v="1566335721736"/>
    <x v="196"/>
    <x v="186"/>
    <x v="0"/>
    <x v="1"/>
    <n v="1"/>
    <x v="31"/>
    <n v="6390"/>
    <m/>
    <n v="0"/>
    <n v="2555"/>
    <n v="16326450"/>
    <n v="2.3600000000000003"/>
    <n v="2578.3000000000002"/>
    <n v="5000"/>
    <n v="4193.2773109243699"/>
    <s v="Shenzhen"/>
    <x v="2"/>
    <n v="30"/>
    <m/>
    <n v="1000"/>
    <n v="923"/>
    <n v="0.47614999967610899"/>
    <n v="340"/>
    <n v="0.4947502966438635"/>
    <n v="1240"/>
    <n v="0.48838526498406398"/>
    <n v="1683"/>
    <n v="0.48752210246970012"/>
    <n v="1333"/>
    <n v="0.48752689857460324"/>
    <n v="562"/>
    <n v="0.50902685890794419"/>
    <n v="1466"/>
    <n v="0.46443857911382957"/>
    <n v="-88"/>
    <n v="0.51806567577529383"/>
    <n v="1039"/>
    <n v="0.46040954814366031"/>
    <n v="1604"/>
    <n v="0.44962752164426822"/>
    <n v="1294"/>
    <n v="0.45146586215106083"/>
    <n v="139"/>
    <n v="0.61167201641924662"/>
    <n v="36"/>
    <n v="0.51934588957888783"/>
    <n v="36"/>
    <n v="0.34959802641361465"/>
    <n v="190"/>
    <n v="0.46307556660403321"/>
    <n v="20"/>
    <n v="0.4502729344281885"/>
    <n v="2.7397260273972601E-2"/>
    <n v="17"/>
    <n v="0.6754461978218318"/>
    <n v="4.2500000000000003E-2"/>
    <n v="102"/>
    <n v="0.31099754582910033"/>
    <n v="0.28732394366197184"/>
    <n v="0"/>
    <s v=""/>
    <n v="0"/>
    <n v="318"/>
    <n v="0.45667086266525325"/>
    <n v="6.36"/>
    <n v="25"/>
    <n v="0.41720153443432156"/>
    <n v="0.5"/>
    <m/>
    <m/>
    <m/>
    <m/>
    <m/>
    <m/>
    <m/>
    <m/>
    <m/>
    <n v="600"/>
    <n v="6426"/>
    <n v="600"/>
    <n v="0"/>
    <n v="1500"/>
    <n v="0"/>
    <n v="2156420"/>
    <n v="15696147.600000001"/>
    <n v="1533000"/>
    <n v="0"/>
    <n v="6390"/>
    <n v="16326450"/>
    <n v="2521008.4033613447"/>
    <n v="600"/>
    <n v="6556"/>
    <n v="54"/>
    <n v="0"/>
    <n v="0"/>
    <n v="0"/>
    <n v="674520"/>
    <n v="16013685.600000001"/>
    <n v="137970"/>
    <n v="0"/>
    <n v="6390"/>
    <n v="16326450"/>
    <n v="226890.75630252104"/>
    <n v="930"/>
    <n v="6492"/>
    <n v="190"/>
    <n v="0"/>
    <n v="0"/>
    <n v="1513590"/>
    <n v="16587060"/>
    <n v="485450"/>
    <n v="0"/>
    <n v="6390"/>
    <n v="16326450"/>
    <n v="950000"/>
    <n v="730"/>
    <n v="7189"/>
    <n v="20"/>
    <n v="0"/>
    <n v="0"/>
    <n v="17559851.400000002"/>
    <n v="51100"/>
    <x v="0"/>
    <x v="0"/>
    <n v="6390"/>
    <n v="16326450"/>
    <n v="100000"/>
    <n v="400"/>
    <n v="6407"/>
    <n v="400"/>
    <m/>
    <n v="0"/>
    <n v="0"/>
    <n v="16369885"/>
    <n v="977040.00000000012"/>
    <x v="0"/>
    <n v="0"/>
    <n v="6390"/>
    <n v="16326450"/>
    <n v="2000000"/>
    <n v="355"/>
    <n v="6492"/>
    <n v="102"/>
    <m/>
    <n v="0"/>
    <n v="0"/>
    <n v="16587060"/>
    <n v="249145.20000000004"/>
    <n v="0"/>
    <n v="0"/>
    <n v="6492"/>
    <n v="16326450"/>
    <n v="510000"/>
    <n v="50"/>
    <n v="6390"/>
    <n v="0"/>
    <n v="0"/>
    <n v="0"/>
    <n v="0"/>
    <n v="16326450"/>
    <n v="0"/>
    <n v="0"/>
    <n v="0"/>
    <n v="6390"/>
    <n v="16326450"/>
    <n v="0"/>
    <n v="50"/>
    <n v="6708"/>
    <n v="328"/>
    <n v="0"/>
    <n v="0"/>
    <n v="0"/>
    <n v="17138940"/>
    <n v="801172.80000000016"/>
    <n v="0"/>
    <n v="0"/>
    <n v="6708"/>
    <n v="17138940"/>
    <n v="1640000"/>
    <n v="50"/>
    <n v="6415"/>
    <n v="22.5"/>
    <n v="0"/>
    <n v="0"/>
    <n v="0"/>
    <n v="15669279.000000002"/>
    <n v="54958.500000000007"/>
    <n v="0"/>
    <n v="0"/>
    <n v="6390"/>
    <n v="16326450"/>
    <n v="112500"/>
    <n v="50"/>
    <n v="6392.5"/>
    <n v="50"/>
    <n v="0"/>
    <n v="0"/>
    <n v="0"/>
    <m/>
    <n v="15614320.500000002"/>
    <n v="122130.00000000001"/>
    <n v="0"/>
    <n v="0"/>
    <n v="6392.5"/>
    <n v="15614320.500000002"/>
    <n v="209663.8655462185"/>
    <n v="50"/>
    <n v="6342.5"/>
    <n v="50"/>
    <m/>
    <n v="0"/>
    <n v="0"/>
    <n v="15492190.500000002"/>
    <n v="122130.00000000001"/>
    <n v="0"/>
    <n v="0"/>
    <n v="6342.5"/>
    <n v="15492190.500000002"/>
    <n v="209663.8655462185"/>
    <n v="50"/>
    <n v="6292.5"/>
    <n v="50"/>
    <n v="0"/>
    <n v="0"/>
    <n v="15370060.500000002"/>
    <n v="122130.00000000001"/>
    <n v="0"/>
    <n v="0"/>
    <n v="6292.5"/>
    <n v="15370060.500000002"/>
    <n v="250000"/>
    <n v="30"/>
    <n v="6242.5"/>
    <n v="30"/>
    <n v="0"/>
    <m/>
    <n v="15247930.500000002"/>
    <n v="76650"/>
    <n v="0"/>
    <n v="6242.5"/>
    <n v="15247930.500000002"/>
    <n v="150000"/>
  </r>
  <r>
    <s v="Lhotse-Audio Menor"/>
    <x v="4"/>
    <x v="15"/>
    <x v="36"/>
    <n v="1592492799236"/>
    <x v="197"/>
    <x v="187"/>
    <x v="0"/>
    <x v="1"/>
    <n v="1"/>
    <x v="31"/>
    <n v="5053"/>
    <m/>
    <n v="0"/>
    <n v="2634"/>
    <n v="13309602"/>
    <n v="2.3600000000000003"/>
    <n v="2578.3000000000002"/>
    <n v="5000"/>
    <n v="4193.2773109243699"/>
    <s v="Shenzhen"/>
    <x v="2"/>
    <n v="30"/>
    <m/>
    <n v="1000"/>
    <n v="719"/>
    <n v="0.49507878643841713"/>
    <n v="397"/>
    <n v="0.47448915096538485"/>
    <n v="1346"/>
    <n v="0.48998179565173733"/>
    <n v="1705"/>
    <n v="0.49228612274820088"/>
    <n v="1509"/>
    <n v="0.48940027778057732"/>
    <n v="1029"/>
    <n v="0.50749303526052625"/>
    <n v="1623"/>
    <n v="0.46640710223368997"/>
    <n v="-228"/>
    <n v="0.53793671086029393"/>
    <n v="1545"/>
    <n v="0.47265894904290129"/>
    <n v="1434"/>
    <n v="0.4424163414202415"/>
    <n v="1609"/>
    <n v="0.44303401350258098"/>
    <n v="136"/>
    <n v="0.59255583003498802"/>
    <n v="30"/>
    <n v="0.49173500877047166"/>
    <n v="42"/>
    <n v="0.47633380051761842"/>
    <n v="256"/>
    <n v="0.46204273737618523"/>
    <n v="40"/>
    <n v="0.47102955197021662"/>
    <n v="5.7142857142857141E-2"/>
    <n v="18"/>
    <n v="0.56923033480626717"/>
    <n v="5.4545454545454543E-2"/>
    <n v="150"/>
    <n v="0.29192728861353007"/>
    <n v="0.50847457627118642"/>
    <n v="0"/>
    <s v=""/>
    <n v="0"/>
    <n v="90"/>
    <n v="0.34948737575937089"/>
    <n v="2.25"/>
    <n v="21"/>
    <n v="0.28434003315744044"/>
    <n v="0.52500000000000002"/>
    <m/>
    <m/>
    <m/>
    <m/>
    <m/>
    <m/>
    <m/>
    <m/>
    <m/>
    <n v="620"/>
    <n v="5083"/>
    <n v="620"/>
    <n v="0"/>
    <n v="0"/>
    <n v="0"/>
    <n v="2473326"/>
    <n v="12415735.800000003"/>
    <n v="1633080"/>
    <n v="0"/>
    <n v="5053"/>
    <n v="13309602"/>
    <n v="2605042.0168067231"/>
    <n v="670"/>
    <n v="5880"/>
    <n v="63"/>
    <n v="0"/>
    <n v="0"/>
    <n v="0"/>
    <n v="945606"/>
    <n v="14362488.000000002"/>
    <n v="165942"/>
    <n v="0"/>
    <n v="5053"/>
    <n v="13309602"/>
    <n v="264705.8823529412"/>
    <n v="950"/>
    <n v="5838"/>
    <n v="256"/>
    <n v="0"/>
    <n v="0"/>
    <n v="1585722"/>
    <n v="15377292"/>
    <n v="674304"/>
    <n v="0"/>
    <n v="5053"/>
    <n v="13309602"/>
    <n v="1280000"/>
    <n v="700"/>
    <n v="6513"/>
    <n v="40"/>
    <n v="0"/>
    <n v="0"/>
    <n v="15908653.800000003"/>
    <n v="105360"/>
    <x v="0"/>
    <x v="0"/>
    <n v="5053"/>
    <n v="13309602"/>
    <n v="200000"/>
    <n v="330"/>
    <n v="5071"/>
    <n v="330"/>
    <m/>
    <n v="0"/>
    <n v="0"/>
    <n v="13357014"/>
    <n v="806058.00000000012"/>
    <x v="0"/>
    <n v="0"/>
    <n v="5053"/>
    <n v="13309602"/>
    <n v="1650000"/>
    <n v="295"/>
    <n v="5203"/>
    <n v="150"/>
    <m/>
    <n v="0"/>
    <n v="0"/>
    <n v="13704702"/>
    <n v="366390.00000000006"/>
    <n v="0"/>
    <n v="0"/>
    <n v="5203"/>
    <n v="13309602"/>
    <n v="750000"/>
    <n v="40"/>
    <n v="5053"/>
    <n v="0"/>
    <n v="0"/>
    <n v="0"/>
    <n v="0"/>
    <n v="13309602"/>
    <n v="0"/>
    <n v="0"/>
    <n v="0"/>
    <n v="5053"/>
    <n v="13309602"/>
    <n v="0"/>
    <n v="40"/>
    <n v="5143"/>
    <n v="93"/>
    <n v="0"/>
    <n v="0"/>
    <n v="0"/>
    <n v="13546662"/>
    <n v="227161.80000000005"/>
    <n v="0"/>
    <n v="0"/>
    <n v="5143"/>
    <n v="13546662"/>
    <n v="465000"/>
    <n v="40"/>
    <n v="5074"/>
    <n v="21"/>
    <n v="0"/>
    <n v="0"/>
    <n v="0"/>
    <n v="12393752.400000002"/>
    <n v="51294.600000000006"/>
    <n v="0"/>
    <n v="0"/>
    <n v="5053"/>
    <n v="13309602"/>
    <n v="105000"/>
    <n v="40"/>
    <n v="5053"/>
    <n v="40"/>
    <n v="0"/>
    <n v="0"/>
    <n v="0"/>
    <m/>
    <n v="12342457.800000003"/>
    <n v="97704.000000000015"/>
    <n v="0"/>
    <n v="0"/>
    <n v="5053"/>
    <n v="12342457.800000003"/>
    <n v="167731.09243697481"/>
    <n v="40"/>
    <n v="5013"/>
    <n v="40"/>
    <m/>
    <n v="0"/>
    <n v="0"/>
    <n v="12244753.800000003"/>
    <n v="97704.000000000015"/>
    <n v="0"/>
    <n v="0"/>
    <n v="5013"/>
    <n v="12244753.800000003"/>
    <n v="167731.09243697481"/>
    <n v="40"/>
    <n v="4973"/>
    <n v="40"/>
    <n v="0"/>
    <n v="0"/>
    <n v="12147049.800000003"/>
    <n v="97704.000000000015"/>
    <n v="0"/>
    <n v="0"/>
    <n v="4973"/>
    <n v="12147049.800000003"/>
    <n v="200000"/>
    <n v="24"/>
    <n v="4933"/>
    <n v="24"/>
    <n v="0"/>
    <m/>
    <n v="12049345.800000003"/>
    <n v="63216"/>
    <n v="0"/>
    <n v="4933"/>
    <n v="12049345.800000003"/>
    <n v="120000"/>
  </r>
  <r>
    <s v="Lhotse-Audio Menor"/>
    <x v="4"/>
    <x v="15"/>
    <x v="36"/>
    <n v="1597086499840"/>
    <x v="198"/>
    <x v="188"/>
    <x v="0"/>
    <x v="1"/>
    <n v="1"/>
    <x v="31"/>
    <n v="2785"/>
    <m/>
    <n v="0"/>
    <n v="4411"/>
    <n v="12284635"/>
    <n v="4.6000000000000005"/>
    <n v="5025.5000000000009"/>
    <n v="9500"/>
    <n v="8394.957983193277"/>
    <s v="Shenzhen"/>
    <x v="2"/>
    <n v="30"/>
    <m/>
    <n v="1000"/>
    <n v="878"/>
    <n v="0.44192751057368374"/>
    <n v="527"/>
    <n v="0.45360518463349336"/>
    <n v="916"/>
    <n v="0.44900112996268898"/>
    <n v="1237"/>
    <n v="0.46239361152244507"/>
    <n v="1193"/>
    <n v="0.47235538171540353"/>
    <n v="517"/>
    <n v="0.4855970668755209"/>
    <n v="1388"/>
    <n v="0.46345712606543282"/>
    <n v="586"/>
    <n v="0.46785466869690401"/>
    <n v="660"/>
    <n v="0.45480793569031991"/>
    <n v="1791"/>
    <n v="0.44760622306153591"/>
    <n v="1434"/>
    <n v="0.45161849694818351"/>
    <n v="156"/>
    <n v="0.53224476648679619"/>
    <n v="98"/>
    <n v="0.40184908020248822"/>
    <n v="57"/>
    <n v="0.41603662839262429"/>
    <n v="507"/>
    <n v="0.42251307151696965"/>
    <n v="532"/>
    <n v="0.43756995511231378"/>
    <n v="0.96727272727272728"/>
    <n v="106"/>
    <n v="0.57105272569011478"/>
    <n v="0.21199999999999999"/>
    <n v="452"/>
    <n v="0.30827629964754349"/>
    <n v="0.83703703703703702"/>
    <n v="0"/>
    <s v=""/>
    <n v="0"/>
    <n v="352"/>
    <n v="0.46482094956670839"/>
    <n v="5.0285714285714285"/>
    <n v="70"/>
    <n v="0.37402245656398864"/>
    <n v="1"/>
    <m/>
    <m/>
    <m/>
    <m/>
    <m/>
    <m/>
    <m/>
    <m/>
    <m/>
    <n v="740"/>
    <n v="2408"/>
    <n v="740"/>
    <n v="0"/>
    <n v="0"/>
    <n v="0"/>
    <n v="5877657.5"/>
    <n v="11464488.000000002"/>
    <n v="3264140"/>
    <n v="0"/>
    <n v="2785"/>
    <n v="12284635"/>
    <n v="5907563.0252100844"/>
    <n v="680"/>
    <n v="2455"/>
    <n v="85.5"/>
    <n v="0"/>
    <n v="0"/>
    <n v="0"/>
    <n v="4960169.5"/>
    <n v="11688255.000000002"/>
    <n v="377140.5"/>
    <n v="0"/>
    <n v="2785"/>
    <n v="12284635"/>
    <n v="682563.02521008404"/>
    <n v="750"/>
    <n v="2377"/>
    <n v="507"/>
    <n v="0"/>
    <n v="0"/>
    <n v="6963529"/>
    <n v="10484947"/>
    <n v="2236377"/>
    <n v="0"/>
    <n v="2785"/>
    <n v="12284635"/>
    <n v="4816500"/>
    <n v="550"/>
    <n v="3364"/>
    <n v="532"/>
    <n v="1500"/>
    <n v="0"/>
    <n v="16016004.000000004"/>
    <n v="2346652"/>
    <x v="44"/>
    <x v="0"/>
    <n v="2785"/>
    <n v="12284635"/>
    <n v="5054000"/>
    <n v="500"/>
    <n v="2891"/>
    <n v="500"/>
    <m/>
    <n v="0"/>
    <n v="0"/>
    <n v="12752201"/>
    <n v="2380500.0000000005"/>
    <x v="0"/>
    <n v="0"/>
    <n v="2785"/>
    <n v="12284635"/>
    <n v="4750000"/>
    <n v="540"/>
    <n v="3237"/>
    <n v="452"/>
    <m/>
    <n v="0"/>
    <n v="0"/>
    <n v="14278407"/>
    <n v="2151972.0000000005"/>
    <n v="0"/>
    <n v="0"/>
    <n v="3237"/>
    <n v="12284635"/>
    <n v="4294000"/>
    <n v="70"/>
    <n v="2785"/>
    <n v="0"/>
    <n v="1000"/>
    <n v="1000"/>
    <n v="0"/>
    <n v="12284635"/>
    <n v="0"/>
    <n v="4602300"/>
    <n v="0"/>
    <n v="2785"/>
    <n v="12284635"/>
    <n v="0"/>
    <n v="70"/>
    <n v="3137"/>
    <n v="363"/>
    <n v="0"/>
    <n v="0"/>
    <n v="0"/>
    <n v="13837307"/>
    <n v="1728243.0000000002"/>
    <n v="0"/>
    <n v="0"/>
    <n v="3137"/>
    <n v="13837307"/>
    <n v="3448500"/>
    <n v="70"/>
    <n v="2855"/>
    <n v="76.5"/>
    <n v="0"/>
    <n v="0"/>
    <n v="0"/>
    <n v="13592655.000000002"/>
    <n v="364216.50000000006"/>
    <n v="0"/>
    <n v="0"/>
    <n v="2785"/>
    <n v="12284635"/>
    <n v="726750"/>
    <n v="70"/>
    <n v="2778.5"/>
    <n v="70"/>
    <n v="0"/>
    <n v="0"/>
    <n v="0"/>
    <m/>
    <n v="13228438.500000002"/>
    <n v="333270.00000000006"/>
    <n v="0"/>
    <n v="0"/>
    <n v="2778.5"/>
    <n v="13228438.500000002"/>
    <n v="587647.0588235294"/>
    <n v="70"/>
    <n v="2708.5"/>
    <n v="70"/>
    <m/>
    <n v="0"/>
    <n v="0"/>
    <n v="12895168.500000002"/>
    <n v="333270.00000000006"/>
    <n v="0"/>
    <n v="0"/>
    <n v="2708.5"/>
    <n v="12895168.500000002"/>
    <n v="587647.0588235294"/>
    <n v="70"/>
    <n v="2638.5"/>
    <n v="70"/>
    <n v="0"/>
    <n v="0"/>
    <n v="12561898.500000002"/>
    <n v="333270.00000000006"/>
    <n v="0"/>
    <n v="0"/>
    <n v="2638.5"/>
    <n v="12561898.500000002"/>
    <n v="665000"/>
    <n v="42"/>
    <n v="2568.5"/>
    <n v="42"/>
    <n v="0"/>
    <m/>
    <n v="12228628.500000002"/>
    <n v="185262"/>
    <n v="0"/>
    <n v="2568.5"/>
    <n v="12228628.500000002"/>
    <n v="399000"/>
  </r>
  <r>
    <s v="Lhotse-Audio Menor"/>
    <x v="4"/>
    <x v="15"/>
    <x v="36"/>
    <n v="1597098592591"/>
    <x v="199"/>
    <x v="189"/>
    <x v="0"/>
    <x v="1"/>
    <n v="1"/>
    <x v="31"/>
    <n v="1231"/>
    <m/>
    <n v="0"/>
    <n v="4652"/>
    <n v="5726612"/>
    <n v="5.1000000000000005"/>
    <n v="5571.7500000000009"/>
    <n v="9500"/>
    <n v="10915.966386554623"/>
    <s v="Shenzhen"/>
    <x v="2"/>
    <n v="30"/>
    <m/>
    <n v="1000"/>
    <n v="750"/>
    <n v="0.42042381189621159"/>
    <n v="746"/>
    <n v="0.41154906433315458"/>
    <n v="1293"/>
    <n v="0.40508221399901945"/>
    <n v="1399"/>
    <n v="0.42414343638663127"/>
    <n v="1596"/>
    <n v="0.41807872417997105"/>
    <n v="742"/>
    <n v="0.40961500339793711"/>
    <n v="1744"/>
    <n v="0.40805311105992992"/>
    <n v="263"/>
    <n v="0.4272646742086561"/>
    <n v="899"/>
    <n v="0.4117679202485105"/>
    <n v="1776"/>
    <n v="0.41007843079328249"/>
    <n v="2509"/>
    <n v="0.41653260475625586"/>
    <n v="187"/>
    <n v="0.48767151423706484"/>
    <n v="104"/>
    <n v="0.38995557058502522"/>
    <n v="83"/>
    <n v="0.32507923621237705"/>
    <n v="594"/>
    <n v="0.42443980741350784"/>
    <n v="113"/>
    <n v="0.41832257914771587"/>
    <n v="0.14124999999999999"/>
    <n v="1452"/>
    <n v="0.48095037269538093"/>
    <n v="2.5034482758620689"/>
    <n v="424"/>
    <n v="0.27157542785090161"/>
    <n v="0.70082644628099178"/>
    <n v="0"/>
    <s v=""/>
    <n v="0"/>
    <n v="334"/>
    <n v="0.41767945491940006"/>
    <n v="3.34"/>
    <n v="70"/>
    <n v="0.31334683558337229"/>
    <n v="0.7"/>
    <m/>
    <m/>
    <m/>
    <m/>
    <m/>
    <m/>
    <m/>
    <m/>
    <m/>
    <n v="900"/>
    <n v="2882"/>
    <n v="900"/>
    <n v="0"/>
    <n v="0"/>
    <n v="0"/>
    <n v="7529262"/>
    <n v="15212637.000000002"/>
    <n v="4186800"/>
    <n v="0"/>
    <n v="1231"/>
    <n v="5726612"/>
    <n v="7184873.9495798321"/>
    <n v="880"/>
    <n v="2755"/>
    <n v="124.5"/>
    <n v="1000"/>
    <n v="1000"/>
    <n v="0"/>
    <n v="3868138"/>
    <n v="14542267.500000002"/>
    <n v="579174"/>
    <n v="0"/>
    <n v="1231"/>
    <n v="5726612"/>
    <n v="993907.56302521017"/>
    <n v="900"/>
    <n v="1825"/>
    <n v="594"/>
    <n v="0"/>
    <n v="0"/>
    <n v="6350494"/>
    <n v="8489900"/>
    <n v="2763288"/>
    <n v="0"/>
    <n v="1231"/>
    <n v="5726612"/>
    <n v="5643000"/>
    <n v="800"/>
    <n v="4562"/>
    <n v="113"/>
    <n v="1500"/>
    <n v="0"/>
    <n v="24080517.000000004"/>
    <n v="525676"/>
    <x v="45"/>
    <x v="0"/>
    <n v="1231"/>
    <n v="5726612"/>
    <n v="1073500"/>
    <n v="580"/>
    <n v="2683"/>
    <n v="580"/>
    <m/>
    <n v="0"/>
    <n v="0"/>
    <n v="12481316"/>
    <n v="3061530.0000000005"/>
    <x v="0"/>
    <n v="0"/>
    <n v="1231"/>
    <n v="5726612"/>
    <n v="5510000"/>
    <n v="605"/>
    <n v="1655"/>
    <n v="424"/>
    <m/>
    <n v="0"/>
    <n v="0"/>
    <n v="7699060"/>
    <n v="2238084.0000000005"/>
    <n v="0"/>
    <n v="0"/>
    <n v="1655"/>
    <n v="5726612"/>
    <n v="4028000"/>
    <n v="100"/>
    <n v="1231"/>
    <n v="0"/>
    <n v="0"/>
    <n v="0"/>
    <n v="0"/>
    <n v="5726612"/>
    <n v="0"/>
    <n v="0"/>
    <n v="0"/>
    <n v="1231"/>
    <n v="5726612"/>
    <n v="0"/>
    <n v="100"/>
    <n v="1565"/>
    <n v="345"/>
    <n v="0"/>
    <n v="0"/>
    <n v="0"/>
    <n v="7280380"/>
    <n v="1821082.5000000002"/>
    <n v="0"/>
    <n v="0"/>
    <n v="1565"/>
    <n v="7280380"/>
    <n v="3277500"/>
    <n v="100"/>
    <n v="1301"/>
    <n v="72"/>
    <n v="0"/>
    <n v="0"/>
    <n v="0"/>
    <n v="6867328.5000000009"/>
    <n v="380052.00000000006"/>
    <n v="0"/>
    <n v="0"/>
    <n v="1231"/>
    <n v="5726612"/>
    <n v="684000"/>
    <n v="100"/>
    <n v="1229"/>
    <n v="100"/>
    <n v="0"/>
    <n v="0"/>
    <n v="0"/>
    <m/>
    <n v="6487276.5000000009"/>
    <n v="527850.00000000012"/>
    <n v="0"/>
    <n v="0"/>
    <n v="1229"/>
    <n v="6487276.5000000009"/>
    <n v="1091596.6386554623"/>
    <n v="100"/>
    <n v="1129"/>
    <n v="100"/>
    <m/>
    <n v="0"/>
    <n v="0"/>
    <n v="5959426.5000000009"/>
    <n v="527850.00000000012"/>
    <n v="0"/>
    <n v="0"/>
    <n v="1129"/>
    <n v="5959426.5000000009"/>
    <n v="1091596.6386554623"/>
    <n v="100"/>
    <n v="1029"/>
    <n v="100"/>
    <n v="0"/>
    <n v="0"/>
    <n v="5431576.5000000009"/>
    <n v="527850.00000000012"/>
    <n v="0"/>
    <n v="0"/>
    <n v="1029"/>
    <n v="5431576.5000000009"/>
    <n v="950000"/>
    <n v="60"/>
    <n v="929"/>
    <n v="60"/>
    <n v="0"/>
    <m/>
    <n v="4903726.5000000009"/>
    <n v="279120"/>
    <n v="0"/>
    <n v="929"/>
    <n v="4903726.5000000009"/>
    <n v="570000"/>
  </r>
  <r>
    <s v="Lhotse-Audio Menor"/>
    <x v="4"/>
    <x v="15"/>
    <x v="36"/>
    <n v="68658866289861"/>
    <x v="200"/>
    <x v="190"/>
    <x v="0"/>
    <x v="1"/>
    <n v="1"/>
    <x v="31"/>
    <n v="2210"/>
    <m/>
    <n v="0"/>
    <n v="4638"/>
    <n v="10249980"/>
    <n v="5.1000000000000005"/>
    <n v="5571.7500000000009"/>
    <n v="9500"/>
    <n v="8394.957983193277"/>
    <s v="Shenzhen"/>
    <x v="2"/>
    <n v="30"/>
    <m/>
    <n v="1000"/>
    <n v="512"/>
    <n v="0.37797186152332846"/>
    <n v="381"/>
    <n v="0.38396113829305739"/>
    <n v="436"/>
    <n v="0.38347134092993979"/>
    <n v="1259"/>
    <n v="0.37571561944047188"/>
    <n v="440"/>
    <n v="0.39516455285870555"/>
    <n v="329"/>
    <n v="0.3851175140475353"/>
    <n v="1140"/>
    <n v="0.37637170553945332"/>
    <n v="140"/>
    <n v="0.38578335804593983"/>
    <n v="426"/>
    <n v="0.38288873955175734"/>
    <n v="985"/>
    <n v="0.38236150928340201"/>
    <n v="1908"/>
    <n v="0.3930169852760671"/>
    <n v="95"/>
    <n v="0.47818351292994699"/>
    <n v="585"/>
    <n v="0.49328273737062167"/>
    <n v="22"/>
    <n v="0.4866933081865556"/>
    <n v="302"/>
    <n v="0.49113102341272979"/>
    <n v="28"/>
    <n v="0.45931864764922109"/>
    <n v="5.6000000000000001E-2"/>
    <n v="43"/>
    <n v="0.57616800722769046"/>
    <n v="0.11315789473684211"/>
    <n v="42"/>
    <n v="0.43501602088234681"/>
    <n v="0.12"/>
    <n v="0"/>
    <s v=""/>
    <n v="0"/>
    <n v="84"/>
    <n v="0.40367048031225089"/>
    <n v="1.68"/>
    <n v="22"/>
    <n v="0.39411916854932549"/>
    <n v="0.44"/>
    <m/>
    <m/>
    <m/>
    <m/>
    <m/>
    <m/>
    <m/>
    <m/>
    <m/>
    <n v="580"/>
    <n v="1154"/>
    <n v="580"/>
    <n v="0"/>
    <n v="0"/>
    <n v="0"/>
    <n v="4243770"/>
    <n v="6091389.0000000009"/>
    <n v="2690040"/>
    <n v="0"/>
    <n v="2210"/>
    <n v="10249980"/>
    <n v="4630252.1008403366"/>
    <n v="520"/>
    <n v="587"/>
    <n v="33"/>
    <n v="1000"/>
    <n v="1000"/>
    <n v="0"/>
    <n v="1683594"/>
    <n v="3098479.5000000005"/>
    <n v="153054"/>
    <n v="0"/>
    <n v="2210"/>
    <n v="10249980"/>
    <n v="263445.37815126049"/>
    <n v="590"/>
    <n v="2512"/>
    <n v="302"/>
    <n v="0"/>
    <n v="0"/>
    <n v="3536370"/>
    <n v="11650656"/>
    <n v="1400676"/>
    <n v="0"/>
    <n v="2210"/>
    <n v="10249980"/>
    <n v="2869000"/>
    <n v="500"/>
    <n v="2249"/>
    <n v="28"/>
    <n v="1000"/>
    <n v="0"/>
    <n v="11871346.500000002"/>
    <n v="129864"/>
    <x v="46"/>
    <x v="0"/>
    <n v="2210"/>
    <n v="10249980"/>
    <n v="266000"/>
    <n v="380"/>
    <n v="2253"/>
    <n v="380"/>
    <m/>
    <n v="0"/>
    <n v="0"/>
    <n v="10449414"/>
    <n v="2005830.0000000002"/>
    <x v="0"/>
    <n v="0"/>
    <n v="2210"/>
    <n v="10249980"/>
    <n v="3610000"/>
    <n v="350"/>
    <n v="2252"/>
    <n v="42"/>
    <m/>
    <n v="0"/>
    <n v="0"/>
    <n v="10444776"/>
    <n v="221697.00000000003"/>
    <n v="0"/>
    <n v="0"/>
    <n v="2252"/>
    <n v="10249980"/>
    <n v="399000"/>
    <n v="50"/>
    <n v="2210"/>
    <n v="0"/>
    <n v="1000"/>
    <n v="1000"/>
    <n v="0"/>
    <n v="10249980"/>
    <n v="0"/>
    <n v="5102550.0000000009"/>
    <n v="0"/>
    <n v="2210"/>
    <n v="10249980"/>
    <n v="0"/>
    <n v="50"/>
    <n v="2294"/>
    <n v="86"/>
    <n v="0"/>
    <n v="0"/>
    <n v="0"/>
    <n v="10639572"/>
    <n v="453951.00000000006"/>
    <n v="0"/>
    <n v="0"/>
    <n v="2294"/>
    <n v="10639572"/>
    <n v="817000"/>
    <n v="50"/>
    <n v="2232"/>
    <n v="24"/>
    <n v="0"/>
    <n v="0"/>
    <n v="0"/>
    <n v="11781612.000000002"/>
    <n v="126684.00000000003"/>
    <n v="0"/>
    <n v="0"/>
    <n v="2210"/>
    <n v="10249980"/>
    <n v="228000"/>
    <n v="50"/>
    <n v="2208"/>
    <n v="50"/>
    <n v="0"/>
    <n v="0"/>
    <n v="0"/>
    <m/>
    <n v="11654928.000000002"/>
    <n v="263925.00000000006"/>
    <n v="0"/>
    <n v="0"/>
    <n v="2208"/>
    <n v="11654928.000000002"/>
    <n v="419747.89915966382"/>
    <n v="50"/>
    <n v="2158"/>
    <n v="50"/>
    <m/>
    <n v="0"/>
    <n v="0"/>
    <n v="11391003.000000002"/>
    <n v="263925.00000000006"/>
    <n v="0"/>
    <n v="0"/>
    <n v="2158"/>
    <n v="11391003.000000002"/>
    <n v="419747.89915966382"/>
    <n v="50"/>
    <n v="2108"/>
    <n v="50"/>
    <n v="0"/>
    <n v="0"/>
    <n v="11127078.000000002"/>
    <n v="263925.00000000006"/>
    <n v="0"/>
    <n v="0"/>
    <n v="2108"/>
    <n v="11127078.000000002"/>
    <n v="475000"/>
    <n v="30"/>
    <n v="2058"/>
    <n v="30"/>
    <n v="0"/>
    <m/>
    <n v="10863153.000000002"/>
    <n v="139140"/>
    <n v="0"/>
    <n v="2058"/>
    <n v="10863153.000000002"/>
    <n v="285000"/>
  </r>
  <r>
    <s v="Lhotse-Audio Menor"/>
    <x v="4"/>
    <x v="15"/>
    <x v="36"/>
    <n v="68658868763602"/>
    <x v="201"/>
    <x v="191"/>
    <x v="0"/>
    <x v="1"/>
    <n v="1"/>
    <x v="31"/>
    <n v="2391"/>
    <m/>
    <n v="0"/>
    <n v="4708"/>
    <n v="11256828"/>
    <n v="5.1000000000000005"/>
    <n v="5571.7500000000009"/>
    <n v="9500"/>
    <n v="8394.957983193277"/>
    <s v="Shenzhen"/>
    <x v="2"/>
    <n v="30"/>
    <m/>
    <n v="1000"/>
    <n v="503"/>
    <n v="0.36063693446944595"/>
    <n v="313"/>
    <n v="0.36538596106798604"/>
    <n v="429"/>
    <n v="0.37209946255552689"/>
    <n v="969"/>
    <n v="0.36920122574542341"/>
    <n v="464"/>
    <n v="0.3743090273595796"/>
    <n v="318"/>
    <n v="0.37359735637474911"/>
    <n v="1171"/>
    <n v="0.36769437369775343"/>
    <n v="152"/>
    <n v="0.37689043921453103"/>
    <n v="302"/>
    <n v="0.3721319034793662"/>
    <n v="921"/>
    <n v="0.36860097364756084"/>
    <n v="2206"/>
    <n v="0.38740410383508828"/>
    <n v="58"/>
    <n v="0.41894949243824681"/>
    <n v="2"/>
    <n v="0.55148432202973052"/>
    <n v="4"/>
    <n v="0.2968059425565861"/>
    <n v="253"/>
    <n v="0.48775551632326414"/>
    <n v="23"/>
    <n v="0.44837488072893955"/>
    <n v="5.1111111111111114E-2"/>
    <n v="12"/>
    <n v="0.56038424553249455"/>
    <n v="2.553191489361702E-2"/>
    <n v="30"/>
    <n v="0.39884872821582545"/>
    <n v="7.0588235294117646E-2"/>
    <n v="0"/>
    <s v=""/>
    <n v="0"/>
    <n v="245"/>
    <n v="0.44654197080181313"/>
    <n v="6.125"/>
    <n v="13"/>
    <n v="0.36065142264626882"/>
    <n v="0.32500000000000001"/>
    <m/>
    <m/>
    <m/>
    <m/>
    <m/>
    <m/>
    <m/>
    <m/>
    <m/>
    <n v="0"/>
    <n v="17"/>
    <n v="0"/>
    <n v="0"/>
    <n v="0"/>
    <n v="0"/>
    <n v="1219372"/>
    <n v="89734.500000000015"/>
    <n v="0"/>
    <n v="0"/>
    <n v="2391"/>
    <n v="11256828"/>
    <n v="0"/>
    <n v="500"/>
    <n v="22"/>
    <n v="6"/>
    <n v="500"/>
    <n v="500"/>
    <n v="0"/>
    <n v="1327656"/>
    <n v="116127.00000000001"/>
    <n v="28248"/>
    <n v="0"/>
    <n v="2391"/>
    <n v="11256828"/>
    <n v="47899.159663865546"/>
    <n v="500"/>
    <n v="2644"/>
    <n v="253"/>
    <n v="0"/>
    <n v="0"/>
    <n v="3780303.0000000005"/>
    <n v="12447952"/>
    <n v="1191124"/>
    <n v="0"/>
    <n v="2391"/>
    <n v="11256828"/>
    <n v="2403500"/>
    <n v="450"/>
    <n v="1735"/>
    <n v="23"/>
    <n v="1500"/>
    <n v="0"/>
    <n v="9158197.5000000019"/>
    <n v="108284"/>
    <x v="45"/>
    <x v="0"/>
    <n v="2391"/>
    <n v="11256828"/>
    <n v="218500"/>
    <n v="470"/>
    <n v="2403"/>
    <n v="470"/>
    <m/>
    <n v="0"/>
    <n v="0"/>
    <n v="11313324"/>
    <n v="2480895.0000000005"/>
    <x v="0"/>
    <n v="0"/>
    <n v="2391"/>
    <n v="11256828"/>
    <n v="4465000"/>
    <n v="425"/>
    <n v="2421"/>
    <n v="30"/>
    <m/>
    <n v="0"/>
    <n v="0"/>
    <n v="11398068"/>
    <n v="158355.00000000003"/>
    <n v="0"/>
    <n v="0"/>
    <n v="2421"/>
    <n v="11256828"/>
    <n v="285000"/>
    <n v="40"/>
    <n v="2391"/>
    <n v="0"/>
    <n v="1000"/>
    <n v="1000"/>
    <n v="0"/>
    <n v="11256828"/>
    <n v="0"/>
    <n v="5102550.0000000009"/>
    <n v="0"/>
    <n v="2391"/>
    <n v="11256828"/>
    <n v="0"/>
    <n v="40"/>
    <n v="2636"/>
    <n v="253"/>
    <n v="0"/>
    <n v="0"/>
    <n v="0"/>
    <n v="12410288"/>
    <n v="1335460.5000000002"/>
    <n v="0"/>
    <n v="0"/>
    <n v="2636"/>
    <n v="12410288"/>
    <n v="2403500"/>
    <n v="40"/>
    <n v="2404"/>
    <n v="15"/>
    <n v="0"/>
    <n v="0"/>
    <n v="0"/>
    <n v="12689514.000000002"/>
    <n v="79177.500000000015"/>
    <n v="0"/>
    <n v="0"/>
    <n v="2391"/>
    <n v="11256828"/>
    <n v="142500"/>
    <n v="40"/>
    <n v="2389"/>
    <n v="40"/>
    <n v="0"/>
    <n v="0"/>
    <n v="0"/>
    <m/>
    <n v="12610336.500000002"/>
    <n v="211140.00000000003"/>
    <n v="0"/>
    <n v="0"/>
    <n v="2389"/>
    <n v="12610336.500000002"/>
    <n v="335798.31932773109"/>
    <n v="40"/>
    <n v="2349"/>
    <n v="40"/>
    <m/>
    <n v="0"/>
    <n v="0"/>
    <n v="12399196.500000002"/>
    <n v="211140.00000000003"/>
    <n v="0"/>
    <n v="0"/>
    <n v="2349"/>
    <n v="12399196.500000002"/>
    <n v="335798.31932773109"/>
    <n v="40"/>
    <n v="2309"/>
    <n v="40"/>
    <n v="0"/>
    <n v="0"/>
    <n v="12188056.500000002"/>
    <n v="211140.00000000003"/>
    <n v="0"/>
    <n v="0"/>
    <n v="2309"/>
    <n v="12188056.500000002"/>
    <n v="380000"/>
    <n v="24"/>
    <n v="2269"/>
    <n v="24"/>
    <n v="0"/>
    <m/>
    <n v="11976916.500000002"/>
    <n v="112992"/>
    <n v="0"/>
    <n v="2269"/>
    <n v="11976916.500000002"/>
    <n v="228000"/>
  </r>
  <r>
    <s v="Lhotse-Audio Menor"/>
    <x v="4"/>
    <x v="15"/>
    <x v="36"/>
    <s v="LHAUDFIBUD-BK"/>
    <x v="202"/>
    <x v="192"/>
    <x v="0"/>
    <x v="3"/>
    <n v="1"/>
    <x v="134"/>
    <n v="116"/>
    <m/>
    <n v="0"/>
    <n v="4373"/>
    <n v="507268"/>
    <n v="5.8"/>
    <n v="6336.4999999999991"/>
    <n v="14277.310924369749"/>
    <n v="10915.966386554623"/>
    <s v="Shenzhen"/>
    <x v="0"/>
    <n v="30"/>
    <m/>
    <n v="300"/>
    <n v="7"/>
    <n v="0.53474889102054013"/>
    <n v="27"/>
    <n v="0.47010349812465035"/>
    <n v="45"/>
    <n v="0.53820606581290431"/>
    <n v="40"/>
    <n v="0.53300572534895574"/>
    <n v="55"/>
    <n v="0.5561249179363249"/>
    <n v="80"/>
    <n v="0.54473794290027622"/>
    <n v="20"/>
    <n v="0.55598986863307331"/>
    <n v="11"/>
    <n v="0.63339240968186761"/>
    <n v="21"/>
    <n v="0.66155293145659411"/>
    <n v="63"/>
    <n v="0.62345098083626738"/>
    <n v="28"/>
    <n v="0.62627656017275235"/>
    <n v="55"/>
    <n v="0.63969982341323206"/>
    <n v="69"/>
    <n v="0.43149209517669751"/>
    <n v="20"/>
    <n v="0.54621201605972347"/>
    <n v="27"/>
    <n v="0.56523699745361822"/>
    <n v="25"/>
    <n v="0.59988215024846558"/>
    <n v="0.7142857142857143"/>
    <n v="35"/>
    <n v="0.63768671140792599"/>
    <n v="0.7"/>
    <n v="73"/>
    <n v="0.48117913131456375"/>
    <n v="1.2166666666666666"/>
    <n v="40"/>
    <n v="0.633509846790831"/>
    <n v="1"/>
    <n v="42"/>
    <n v="0.47327513760655865"/>
    <n v="1.2"/>
    <n v="34"/>
    <n v="0.39625353152282128"/>
    <n v="0.97142857142857142"/>
    <m/>
    <m/>
    <m/>
    <m/>
    <m/>
    <m/>
    <m/>
    <m/>
    <m/>
    <n v="40"/>
    <n v="331"/>
    <n v="40"/>
    <n v="0"/>
    <n v="200"/>
    <n v="0"/>
    <n v="424181"/>
    <n v="1986992.9999999998"/>
    <n v="174920"/>
    <n v="0"/>
    <n v="116"/>
    <n v="507268"/>
    <n v="479909.61090318486"/>
    <n v="40"/>
    <n v="264"/>
    <n v="30"/>
    <n v="0"/>
    <n v="0"/>
    <n v="0"/>
    <n v="358586"/>
    <n v="1584791.9999999998"/>
    <n v="131190"/>
    <n v="0"/>
    <n v="116"/>
    <n v="507268"/>
    <n v="359932.20817738865"/>
    <n v="36"/>
    <n v="244"/>
    <n v="27"/>
    <n v="0"/>
    <n v="0"/>
    <n v="527546"/>
    <n v="1067012"/>
    <n v="118071"/>
    <n v="0"/>
    <n v="116"/>
    <n v="507268"/>
    <n v="385487.39495798323"/>
    <n v="35"/>
    <n v="216"/>
    <n v="25"/>
    <n v="0"/>
    <n v="0"/>
    <n v="1296647.9999999998"/>
    <n v="109325"/>
    <x v="0"/>
    <x v="0"/>
    <n v="116"/>
    <n v="507268"/>
    <n v="356932.77310924372"/>
    <n v="50"/>
    <n v="151"/>
    <n v="50"/>
    <m/>
    <n v="0"/>
    <n v="0"/>
    <n v="660323"/>
    <n v="300149.99999999994"/>
    <x v="0"/>
    <n v="0"/>
    <n v="116"/>
    <n v="507268"/>
    <n v="713865.54621848743"/>
    <n v="60"/>
    <n v="189"/>
    <n v="73"/>
    <m/>
    <n v="0"/>
    <n v="0"/>
    <n v="826497"/>
    <n v="438218.99999999994"/>
    <n v="0"/>
    <n v="0"/>
    <n v="189"/>
    <n v="507268"/>
    <n v="1042243.6974789917"/>
    <n v="40"/>
    <n v="156"/>
    <n v="40"/>
    <n v="150"/>
    <n v="150"/>
    <n v="0"/>
    <n v="682188"/>
    <n v="240119.99999999997"/>
    <n v="870435"/>
    <n v="0"/>
    <n v="156"/>
    <n v="507268"/>
    <n v="571092.43697478995"/>
    <n v="35"/>
    <n v="158"/>
    <n v="43"/>
    <n v="0"/>
    <n v="200"/>
    <n v="0"/>
    <n v="690934"/>
    <n v="258128.99999999997"/>
    <n v="0"/>
    <n v="0"/>
    <n v="158"/>
    <n v="690934"/>
    <n v="613924.36974789924"/>
    <n v="35"/>
    <n v="150"/>
    <n v="39"/>
    <n v="0"/>
    <n v="0"/>
    <n v="0"/>
    <n v="900449.99999999988"/>
    <n v="234116.99999999997"/>
    <n v="0"/>
    <n v="0"/>
    <n v="116"/>
    <n v="507268"/>
    <n v="556815.12605042022"/>
    <n v="80"/>
    <n v="111"/>
    <n v="80"/>
    <n v="0"/>
    <n v="0"/>
    <n v="0"/>
    <n v="0"/>
    <n v="666332.99999999988"/>
    <n v="480239.99999999994"/>
    <n v="0"/>
    <n v="0"/>
    <n v="111"/>
    <n v="666332.99999999988"/>
    <n v="873277.31092436984"/>
    <n v="28"/>
    <n v="31"/>
    <n v="28"/>
    <m/>
    <n v="0"/>
    <n v="0"/>
    <n v="186092.99999999997"/>
    <n v="168083.99999999997"/>
    <n v="0"/>
    <n v="0"/>
    <n v="31"/>
    <n v="186092.99999999997"/>
    <n v="305647.05882352946"/>
    <n v="90"/>
    <n v="3"/>
    <n v="90"/>
    <n v="100"/>
    <n v="100"/>
    <n v="18008.999999999996"/>
    <n v="540269.99999999988"/>
    <n v="600299.99999999988"/>
    <n v="600299.99999999988"/>
    <n v="103"/>
    <n v="618308.99999999988"/>
    <n v="1284957.9831932774"/>
    <n v="16.8"/>
    <n v="13"/>
    <n v="16.8"/>
    <n v="0"/>
    <m/>
    <n v="78038.999999999985"/>
    <n v="73466.400000000009"/>
    <n v="0"/>
    <n v="13"/>
    <n v="78038.999999999985"/>
    <n v="239858.82352941181"/>
  </r>
  <r>
    <s v="Lhotse-Audio Menor"/>
    <x v="4"/>
    <x v="15"/>
    <x v="36"/>
    <s v="LHAUDTUNAIR-BK"/>
    <x v="203"/>
    <x v="193"/>
    <x v="0"/>
    <x v="3"/>
    <n v="1.2"/>
    <x v="135"/>
    <n v="34"/>
    <m/>
    <n v="0"/>
    <n v="2593"/>
    <n v="88162"/>
    <n v="4.5999999999999996"/>
    <n v="5025.5"/>
    <n v="9235.2941176470595"/>
    <n v="8394.957983193277"/>
    <s v="Shenzhen"/>
    <x v="0"/>
    <n v="30"/>
    <m/>
    <n v="300"/>
    <n v="15"/>
    <n v="0.62608499636341908"/>
    <n v="13"/>
    <n v="0.51295474431484489"/>
    <n v="42"/>
    <n v="0.52065013306988739"/>
    <n v="88"/>
    <n v="0.49692940290378818"/>
    <n v="114"/>
    <n v="0.55495361613248861"/>
    <n v="1"/>
    <n v="1"/>
    <n v="4"/>
    <n v="0.54394677481829157"/>
    <n v="2"/>
    <n v="0.54159582264565775"/>
    <n v="4"/>
    <n v="0.54159490655917919"/>
    <n v="3"/>
    <n v="0.34510971513327227"/>
    <n v="0"/>
    <s v=""/>
    <n v="4"/>
    <n v="0.76364968853059734"/>
    <n v="15"/>
    <n v="0.59226931908433977"/>
    <n v="21"/>
    <n v="0.58271314892549675"/>
    <n v="45"/>
    <n v="0.55789187615125535"/>
    <n v="69"/>
    <n v="0.54655003579261396"/>
    <n v="0.98571428571428577"/>
    <n v="116"/>
    <n v="0.71231082164348947"/>
    <n v="3.2222222222222223"/>
    <n v="157"/>
    <n v="0.41720325195294922"/>
    <n v="1.9624999999999999"/>
    <n v="140"/>
    <n v="0.69533411544609158"/>
    <n v="2.8"/>
    <n v="120"/>
    <n v="0.57367149679779794"/>
    <n v="1.7142857142857142"/>
    <n v="16"/>
    <n v="0.64741446873573516"/>
    <n v="0.26666666666666666"/>
    <m/>
    <m/>
    <m/>
    <m/>
    <m/>
    <m/>
    <m/>
    <m/>
    <m/>
    <n v="50"/>
    <n v="496"/>
    <n v="40"/>
    <n v="0"/>
    <n v="0"/>
    <n v="0"/>
    <n v="302084.5"/>
    <n v="2361456"/>
    <n v="103720"/>
    <n v="0"/>
    <n v="34"/>
    <n v="88162"/>
    <n v="310430.0543746911"/>
    <n v="45"/>
    <n v="481"/>
    <n v="31.5"/>
    <n v="200"/>
    <n v="0"/>
    <n v="0"/>
    <n v="377281.5"/>
    <n v="2290041"/>
    <n v="81679.5"/>
    <n v="0"/>
    <n v="34"/>
    <n v="88162"/>
    <n v="244463.66782006924"/>
    <n v="48"/>
    <n v="450"/>
    <n v="45"/>
    <n v="0"/>
    <n v="0"/>
    <n v="501277.19999999995"/>
    <n v="1166850"/>
    <n v="116685"/>
    <n v="0"/>
    <n v="34"/>
    <n v="88162"/>
    <n v="415588.23529411765"/>
    <n v="70"/>
    <n v="610"/>
    <n v="69"/>
    <n v="0"/>
    <n v="0"/>
    <n v="2904210"/>
    <n v="178917"/>
    <x v="0"/>
    <x v="0"/>
    <n v="34"/>
    <n v="88162"/>
    <n v="637235.29411764711"/>
    <n v="36"/>
    <n v="150"/>
    <n v="43.199999999999996"/>
    <m/>
    <n v="0"/>
    <n v="0"/>
    <n v="388950"/>
    <n v="205675.19999999998"/>
    <x v="0"/>
    <n v="0"/>
    <n v="34"/>
    <n v="88162"/>
    <n v="398964.70588235295"/>
    <n v="80"/>
    <n v="191"/>
    <n v="157"/>
    <m/>
    <n v="0"/>
    <n v="0"/>
    <n v="495263"/>
    <n v="747477"/>
    <n v="0"/>
    <n v="0"/>
    <n v="191"/>
    <n v="88162"/>
    <n v="1449941.1764705884"/>
    <n v="50"/>
    <n v="174"/>
    <n v="140"/>
    <n v="0"/>
    <n v="0"/>
    <n v="0"/>
    <n v="451182"/>
    <n v="666540"/>
    <n v="0"/>
    <n v="0"/>
    <n v="174"/>
    <n v="88162"/>
    <n v="1292941.1764705884"/>
    <n v="70"/>
    <n v="154"/>
    <n v="124"/>
    <n v="0"/>
    <n v="0"/>
    <n v="0"/>
    <n v="399322"/>
    <n v="590364"/>
    <n v="0"/>
    <n v="0"/>
    <n v="154"/>
    <n v="399322"/>
    <n v="1145176.4705882354"/>
    <n v="60"/>
    <n v="50"/>
    <n v="24"/>
    <n v="0"/>
    <n v="0"/>
    <n v="0"/>
    <n v="238050"/>
    <n v="114264"/>
    <n v="0"/>
    <n v="0"/>
    <n v="34"/>
    <n v="88162"/>
    <n v="221647.05882352943"/>
    <n v="21"/>
    <n v="26"/>
    <n v="25.2"/>
    <n v="0"/>
    <n v="0"/>
    <n v="0"/>
    <m/>
    <n v="123786"/>
    <n v="119977.2"/>
    <n v="0"/>
    <n v="0"/>
    <n v="26"/>
    <n v="123786"/>
    <n v="211552.94117647057"/>
    <n v="0"/>
    <n v="0.80000000000000071"/>
    <n v="0"/>
    <m/>
    <m/>
    <n v="0"/>
    <n v="3808.8000000000034"/>
    <n v="0"/>
    <n v="0"/>
    <n v="0"/>
    <n v="0.80000000000000071"/>
    <n v="3808.8000000000034"/>
    <n v="0"/>
    <n v="150"/>
    <n v="0.80000000000000071"/>
    <n v="180"/>
    <n v="300"/>
    <n v="300"/>
    <n v="3808.8000000000034"/>
    <n v="856980"/>
    <n v="1428300"/>
    <n v="1428300"/>
    <n v="300.8"/>
    <n v="1432108.8"/>
    <n v="1662352.9411764706"/>
    <n v="0"/>
    <n v="120.80000000000001"/>
    <n v="0"/>
    <n v="0"/>
    <m/>
    <n v="575128.80000000005"/>
    <n v="0"/>
    <n v="0"/>
    <n v="120.80000000000001"/>
    <n v="575128.80000000005"/>
    <n v="0"/>
  </r>
  <r>
    <s v="Lhotse-Audio Menor"/>
    <x v="4"/>
    <x v="15"/>
    <x v="36"/>
    <s v="LHHEDBEMA"/>
    <x v="204"/>
    <x v="194"/>
    <x v="0"/>
    <x v="2"/>
    <n v="1"/>
    <x v="136"/>
    <n v="565"/>
    <m/>
    <n v="0"/>
    <n v="8551"/>
    <n v="4831315"/>
    <n v="8.1999999999999993"/>
    <n v="8958.4999999999982"/>
    <n v="18478.991596638658"/>
    <n v="16798.319327731093"/>
    <s v="Shenzhen"/>
    <x v="0"/>
    <n v="45"/>
    <m/>
    <n v="1000"/>
    <n v="15"/>
    <n v="0.57716814858587795"/>
    <n v="41"/>
    <n v="0.53836380802557326"/>
    <n v="97"/>
    <n v="0.543617731238349"/>
    <n v="80"/>
    <n v="0.52588805480129031"/>
    <n v="81"/>
    <n v="0.36770225199290812"/>
    <n v="95"/>
    <n v="0.49714261034929719"/>
    <n v="141"/>
    <n v="0.48347790497223714"/>
    <n v="54"/>
    <n v="0.51417764402670807"/>
    <n v="46"/>
    <n v="0.51600438605507093"/>
    <n v="243"/>
    <n v="0.44574049603326421"/>
    <n v="145"/>
    <n v="0.47485378359930647"/>
    <n v="244"/>
    <n v="0.46721255963193242"/>
    <n v="91"/>
    <n v="0.25884780894130427"/>
    <n v="172"/>
    <n v="0.18672128958331075"/>
    <n v="134"/>
    <n v="0.25636600702707013"/>
    <n v="46"/>
    <n v="0.360236776165408"/>
    <n v="0.51111111111111107"/>
    <n v="121"/>
    <n v="0.4278057382151127"/>
    <n v="1.4235294117647059"/>
    <n v="205"/>
    <n v="0.36224575292050371"/>
    <n v="1.0249999999999999"/>
    <n v="49"/>
    <n v="0.53167811926170183"/>
    <n v="0.40833333333333333"/>
    <n v="57"/>
    <n v="0.26956213349459185"/>
    <n v="1.0363636363636364"/>
    <n v="41"/>
    <n v="0.29249215263459177"/>
    <n v="0.82"/>
    <m/>
    <m/>
    <m/>
    <m/>
    <m/>
    <m/>
    <m/>
    <m/>
    <m/>
    <n v="80"/>
    <n v="490"/>
    <n v="80"/>
    <n v="0"/>
    <n v="0"/>
    <n v="0"/>
    <n v="4036072"/>
    <n v="4158629.9999999991"/>
    <n v="684080"/>
    <n v="0"/>
    <n v="565"/>
    <n v="4831315"/>
    <n v="1242285.1493538595"/>
    <n v="70"/>
    <n v="388"/>
    <n v="258"/>
    <n v="0"/>
    <n v="0"/>
    <n v="0"/>
    <n v="3745338"/>
    <n v="3292955.9999999991"/>
    <n v="2206158"/>
    <n v="0"/>
    <n v="565"/>
    <n v="4831315"/>
    <n v="4006369.6066661966"/>
    <n v="200"/>
    <n v="149"/>
    <n v="134"/>
    <n v="0"/>
    <n v="0"/>
    <n v="2260575"/>
    <n v="1274099"/>
    <n v="1145834"/>
    <n v="0"/>
    <n v="565"/>
    <n v="4831315"/>
    <n v="2476184.8739495804"/>
    <n v="90"/>
    <n v="580"/>
    <n v="46"/>
    <n v="1000"/>
    <n v="0"/>
    <n v="4922459.9999999991"/>
    <n v="393346"/>
    <x v="47"/>
    <x v="0"/>
    <n v="565"/>
    <n v="4831315"/>
    <n v="850033.61344537826"/>
    <n v="85"/>
    <n v="686"/>
    <n v="85"/>
    <m/>
    <n v="1000"/>
    <n v="0"/>
    <n v="5865986"/>
    <n v="721394.99999999988"/>
    <x v="0"/>
    <n v="0"/>
    <n v="565"/>
    <n v="4831315"/>
    <n v="1570714.2857142859"/>
    <n v="200"/>
    <n v="770"/>
    <n v="205"/>
    <m/>
    <n v="500"/>
    <n v="0"/>
    <n v="6584270"/>
    <n v="1739834.9999999995"/>
    <n v="0"/>
    <n v="0"/>
    <n v="770"/>
    <n v="4831315"/>
    <n v="3788193.2773109251"/>
    <n v="120"/>
    <n v="614"/>
    <n v="49"/>
    <n v="0"/>
    <n v="0"/>
    <n v="0"/>
    <n v="5250314"/>
    <n v="415862.99999999988"/>
    <n v="0"/>
    <n v="0"/>
    <n v="614"/>
    <n v="4831315"/>
    <n v="905470.58823529421"/>
    <n v="55"/>
    <n v="622"/>
    <n v="58"/>
    <n v="0"/>
    <n v="0"/>
    <n v="0"/>
    <n v="5318722"/>
    <n v="492245.99999999988"/>
    <n v="0"/>
    <n v="0"/>
    <n v="622"/>
    <n v="5318722"/>
    <n v="1071781.5126050422"/>
    <n v="50"/>
    <n v="606"/>
    <n v="51"/>
    <n v="0"/>
    <n v="0"/>
    <n v="0"/>
    <n v="5143121.9999999991"/>
    <n v="432836.99999999988"/>
    <n v="0"/>
    <n v="0"/>
    <n v="565"/>
    <n v="4831315"/>
    <n v="942428.57142857159"/>
    <n v="250"/>
    <n v="555"/>
    <n v="250"/>
    <n v="0"/>
    <n v="0"/>
    <n v="0"/>
    <m/>
    <n v="4710284.9999999991"/>
    <n v="2121749.9999999995"/>
    <n v="0"/>
    <n v="0"/>
    <n v="555"/>
    <n v="4710284.9999999991"/>
    <n v="4199579.8319327729"/>
    <n v="150"/>
    <n v="305"/>
    <n v="150"/>
    <m/>
    <n v="0"/>
    <n v="0"/>
    <n v="2588534.9999999995"/>
    <n v="1273049.9999999998"/>
    <n v="0"/>
    <n v="0"/>
    <n v="305"/>
    <n v="2588534.9999999995"/>
    <n v="2519747.8991596638"/>
    <n v="250"/>
    <n v="155"/>
    <n v="155"/>
    <n v="0"/>
    <n v="0"/>
    <n v="1315484.9999999998"/>
    <n v="1315484.9999999998"/>
    <n v="0"/>
    <n v="0"/>
    <n v="155"/>
    <n v="1315484.9999999998"/>
    <n v="2864243.6974789919"/>
    <n v="90"/>
    <n v="0"/>
    <n v="90"/>
    <n v="0"/>
    <m/>
    <n v="0"/>
    <n v="769590"/>
    <n v="0"/>
    <n v="0"/>
    <n v="0"/>
    <n v="1663109.2436974791"/>
  </r>
  <r>
    <s v="Lhotse-Audio Menor"/>
    <x v="4"/>
    <x v="15"/>
    <x v="36"/>
    <s v="LHHEDBEMA"/>
    <x v="205"/>
    <x v="195"/>
    <x v="0"/>
    <x v="2"/>
    <n v="0.8"/>
    <x v="137"/>
    <n v="18"/>
    <m/>
    <n v="0"/>
    <n v="9467"/>
    <n v="170406"/>
    <n v="8.1999999999999993"/>
    <n v="8958.4999999999982"/>
    <n v="18478.991596638658"/>
    <n v="16798.319327731093"/>
    <s v="Shenzhen"/>
    <x v="0"/>
    <n v="45"/>
    <m/>
    <n v="1000"/>
    <n v="11"/>
    <n v="0.58926591175322152"/>
    <n v="11"/>
    <n v="0.51496003688902559"/>
    <n v="27"/>
    <n v="0.56103810037368762"/>
    <n v="31"/>
    <n v="0.51100888249809606"/>
    <n v="29"/>
    <n v="0.40762119195009688"/>
    <n v="57"/>
    <n v="0.47648779435651845"/>
    <n v="32"/>
    <n v="0.4337852118137282"/>
    <n v="37"/>
    <n v="0.53402145141046986"/>
    <n v="50"/>
    <n v="0.35869651471292974"/>
    <n v="108"/>
    <n v="0.45199801943708445"/>
    <n v="61"/>
    <n v="0.49611924917151357"/>
    <n v="86"/>
    <n v="0.48487515160875366"/>
    <n v="25"/>
    <n v="0.3086741828880224"/>
    <n v="27"/>
    <n v="0.32897360298901357"/>
    <n v="123"/>
    <n v="0.31571812631435708"/>
    <n v="18"/>
    <n v="0.32061461056264717"/>
    <n v="0.51428571428571423"/>
    <n v="22"/>
    <n v="0.4511906786416538"/>
    <n v="0.52380952380952384"/>
    <n v="26"/>
    <n v="0.21610272048941001"/>
    <n v="0.47272727272727272"/>
    <n v="10"/>
    <n v="0.5234586539315671"/>
    <n v="0.16666666666666666"/>
    <n v="0"/>
    <s v=""/>
    <n v="0"/>
    <n v="0"/>
    <s v=""/>
    <n v="0"/>
    <m/>
    <m/>
    <m/>
    <m/>
    <m/>
    <m/>
    <m/>
    <m/>
    <m/>
    <n v="35"/>
    <n v="250"/>
    <n v="35"/>
    <n v="0"/>
    <n v="0"/>
    <n v="0"/>
    <n v="1879199.5"/>
    <n v="2121749.9999999995"/>
    <n v="331345"/>
    <n v="0"/>
    <n v="18"/>
    <n v="170406"/>
    <n v="543499.75284231349"/>
    <n v="35"/>
    <n v="237"/>
    <n v="40.5"/>
    <n v="0"/>
    <n v="0"/>
    <n v="0"/>
    <n v="1718260.5"/>
    <n v="2011418.9999999995"/>
    <n v="383413.5"/>
    <n v="0"/>
    <n v="18"/>
    <n v="170406"/>
    <n v="628906.85686039133"/>
    <n v="55"/>
    <n v="199"/>
    <n v="123"/>
    <n v="0"/>
    <n v="0"/>
    <n v="1620010.2"/>
    <n v="1883933"/>
    <n v="1164441"/>
    <n v="0"/>
    <n v="18"/>
    <n v="170406"/>
    <n v="2272915.9663865548"/>
    <n v="35"/>
    <n v="87"/>
    <n v="18"/>
    <n v="0"/>
    <n v="0"/>
    <n v="738368.99999999988"/>
    <n v="170406"/>
    <x v="0"/>
    <x v="0"/>
    <n v="18"/>
    <n v="170406"/>
    <n v="332621.84873949585"/>
    <n v="42"/>
    <n v="40"/>
    <n v="33.6"/>
    <m/>
    <n v="0"/>
    <n v="0"/>
    <n v="378680"/>
    <n v="285163.19999999995"/>
    <x v="0"/>
    <n v="0"/>
    <n v="18"/>
    <n v="170406"/>
    <n v="620894.11764705891"/>
    <n v="55"/>
    <n v="44"/>
    <n v="26"/>
    <m/>
    <n v="0"/>
    <n v="0"/>
    <n v="416548"/>
    <n v="220661.99999999994"/>
    <n v="0"/>
    <n v="0"/>
    <n v="44"/>
    <n v="170406"/>
    <n v="480453.78151260508"/>
    <n v="60"/>
    <n v="28"/>
    <n v="10"/>
    <n v="0"/>
    <n v="0"/>
    <n v="0"/>
    <n v="265076"/>
    <n v="84869.999999999985"/>
    <n v="0"/>
    <n v="0"/>
    <n v="28"/>
    <n v="170406"/>
    <n v="184789.91596638659"/>
    <n v="45"/>
    <n v="18"/>
    <n v="0"/>
    <n v="0"/>
    <n v="0"/>
    <n v="0"/>
    <n v="170406"/>
    <n v="0"/>
    <n v="0"/>
    <n v="0"/>
    <n v="18"/>
    <n v="170406"/>
    <n v="0"/>
    <n v="45"/>
    <n v="18"/>
    <n v="0"/>
    <n v="0"/>
    <n v="0"/>
    <n v="0"/>
    <n v="152765.99999999997"/>
    <n v="0"/>
    <n v="0"/>
    <n v="0"/>
    <n v="18"/>
    <n v="170406"/>
    <n v="0"/>
    <n v="120"/>
    <n v="18"/>
    <n v="18"/>
    <n v="0"/>
    <n v="0"/>
    <n v="0"/>
    <m/>
    <n v="152765.99999999997"/>
    <n v="152765.99999999997"/>
    <n v="0"/>
    <n v="0"/>
    <n v="18"/>
    <n v="152765.99999999997"/>
    <n v="302369.74789915967"/>
    <n v="70"/>
    <n v="0"/>
    <n v="0"/>
    <m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42"/>
    <n v="0"/>
    <n v="33.6"/>
    <n v="0"/>
    <m/>
    <n v="0"/>
    <n v="318091.2"/>
    <n v="0"/>
    <n v="0"/>
    <n v="0"/>
    <n v="620894.11764705891"/>
  </r>
  <r>
    <s v="Lhotse-Audio Menor"/>
    <x v="4"/>
    <x v="15"/>
    <x v="36"/>
    <s v="LHHEDWEPR"/>
    <x v="206"/>
    <x v="196"/>
    <x v="0"/>
    <x v="2"/>
    <n v="0.6"/>
    <x v="138"/>
    <n v="834"/>
    <m/>
    <n v="0"/>
    <n v="5857"/>
    <n v="4884738"/>
    <n v="6.2"/>
    <n v="6773.4999999999991"/>
    <n v="12596.638655462186"/>
    <n v="12596.638655462186"/>
    <s v="Shenzhen"/>
    <x v="0"/>
    <n v="30"/>
    <m/>
    <n v="1000"/>
    <n v="2"/>
    <n v="0.60305056426249171"/>
    <n v="17"/>
    <n v="0.5096201390887195"/>
    <n v="17"/>
    <n v="0.55280701950483424"/>
    <n v="11"/>
    <n v="0.49664832477886039"/>
    <n v="22"/>
    <n v="0.5876042148031283"/>
    <n v="36"/>
    <n v="0.51042643139253208"/>
    <n v="55"/>
    <n v="0.45718531668750956"/>
    <n v="156"/>
    <n v="0.44298885193144155"/>
    <n v="100"/>
    <n v="0.430036159308054"/>
    <n v="211"/>
    <n v="0.38115205349322223"/>
    <n v="198"/>
    <n v="0.39862829497375057"/>
    <n v="165"/>
    <n v="0.40989871438224379"/>
    <n v="9"/>
    <n v="0.41203129682719453"/>
    <n v="9"/>
    <n v="0.4303970441823981"/>
    <n v="27"/>
    <n v="0.45084673147678872"/>
    <n v="12"/>
    <n v="0.48001700896257604"/>
    <n v="0.12"/>
    <n v="19"/>
    <n v="0.5370090452920202"/>
    <n v="0.23749999999999999"/>
    <n v="58"/>
    <n v="0.35999620129310683"/>
    <n v="0.28999999999999998"/>
    <n v="17"/>
    <n v="0.55877382308912571"/>
    <n v="0.14166666666666666"/>
    <n v="28"/>
    <n v="0.37549558002993683"/>
    <n v="0.18666666666666668"/>
    <n v="24"/>
    <n v="0.27071146037603783"/>
    <n v="0.24"/>
    <m/>
    <m/>
    <m/>
    <m/>
    <m/>
    <m/>
    <m/>
    <m/>
    <m/>
    <n v="100"/>
    <n v="13"/>
    <n v="13"/>
    <n v="800"/>
    <n v="300"/>
    <n v="0"/>
    <n v="313349.5"/>
    <n v="83420.999999999985"/>
    <n v="76141"/>
    <n v="0"/>
    <n v="834"/>
    <n v="4884738"/>
    <n v="137610.33825294825"/>
    <n v="10"/>
    <n v="16"/>
    <n v="13.5"/>
    <n v="0"/>
    <n v="0"/>
    <n v="0"/>
    <n v="307492.5"/>
    <n v="102671.99999999999"/>
    <n v="79069.5"/>
    <n v="0"/>
    <n v="834"/>
    <n v="4884738"/>
    <n v="142903.04357036934"/>
    <n v="210"/>
    <n v="297"/>
    <n v="27"/>
    <n v="0"/>
    <n v="0"/>
    <n v="536439"/>
    <n v="1739529"/>
    <n v="158139"/>
    <n v="0"/>
    <n v="834"/>
    <n v="4884738"/>
    <n v="340109.24369747902"/>
    <n v="100"/>
    <n v="733"/>
    <n v="12"/>
    <n v="0"/>
    <n v="0"/>
    <n v="4703660.9999999991"/>
    <n v="70284"/>
    <x v="0"/>
    <x v="0"/>
    <n v="834"/>
    <n v="4884738"/>
    <n v="151159.66386554623"/>
    <n v="80"/>
    <n v="853"/>
    <n v="48"/>
    <m/>
    <n v="0"/>
    <n v="0"/>
    <n v="4996021"/>
    <n v="308015.99999999994"/>
    <x v="0"/>
    <n v="0"/>
    <n v="834"/>
    <n v="4884738"/>
    <n v="604638.65546218492"/>
    <n v="200"/>
    <n v="892"/>
    <n v="58"/>
    <m/>
    <n v="0"/>
    <n v="0"/>
    <n v="5224444"/>
    <n v="372185.99999999994"/>
    <n v="0"/>
    <n v="0"/>
    <n v="892"/>
    <n v="4884738"/>
    <n v="730605.04201680678"/>
    <n v="120"/>
    <n v="851"/>
    <n v="17"/>
    <n v="0"/>
    <n v="200"/>
    <n v="0"/>
    <n v="4984307"/>
    <n v="109088.99999999999"/>
    <n v="0"/>
    <n v="0"/>
    <n v="851"/>
    <n v="4884738"/>
    <n v="214142.85714285716"/>
    <n v="150"/>
    <n v="862"/>
    <n v="28"/>
    <n v="0"/>
    <n v="0"/>
    <n v="0"/>
    <n v="5048734"/>
    <n v="179675.99999999997"/>
    <n v="0"/>
    <n v="0"/>
    <n v="862"/>
    <n v="5048734"/>
    <n v="352705.8823529412"/>
    <n v="100"/>
    <n v="858"/>
    <n v="22.5"/>
    <n v="0"/>
    <n v="0"/>
    <n v="0"/>
    <n v="5505785.9999999991"/>
    <n v="144382.49999999997"/>
    <n v="0"/>
    <n v="0"/>
    <n v="834"/>
    <n v="4884738"/>
    <n v="283424.36974789918"/>
    <n v="150"/>
    <n v="835.5"/>
    <n v="90"/>
    <n v="0"/>
    <n v="0"/>
    <n v="0"/>
    <m/>
    <n v="5361403.4999999991"/>
    <n v="577529.99999999988"/>
    <n v="0"/>
    <n v="0"/>
    <n v="835.5"/>
    <n v="5361403.4999999991"/>
    <n v="1133697.4789915967"/>
    <n v="120"/>
    <n v="745.5"/>
    <n v="72"/>
    <m/>
    <n v="0"/>
    <n v="0"/>
    <n v="4783873.4999999991"/>
    <n v="462023.99999999994"/>
    <n v="0"/>
    <n v="0"/>
    <n v="745.5"/>
    <n v="4783873.4999999991"/>
    <n v="906957.98319327738"/>
    <n v="200"/>
    <n v="673.5"/>
    <n v="120"/>
    <n v="0"/>
    <n v="0"/>
    <n v="4321849.4999999991"/>
    <n v="770039.99999999988"/>
    <n v="0"/>
    <n v="0"/>
    <n v="673.5"/>
    <n v="4321849.4999999991"/>
    <n v="1511596.6386554623"/>
    <n v="72"/>
    <n v="553.5"/>
    <n v="43.199999999999996"/>
    <n v="0"/>
    <m/>
    <n v="3551809.4999999995"/>
    <n v="253022.39999999997"/>
    <n v="0"/>
    <n v="553.5"/>
    <n v="3551809.4999999995"/>
    <n v="544174.78991596634"/>
  </r>
  <r>
    <s v="Lhotse-Audio Menor"/>
    <x v="4"/>
    <x v="15"/>
    <x v="36"/>
    <s v="LHHEDWEPR"/>
    <x v="207"/>
    <x v="197"/>
    <x v="0"/>
    <x v="2"/>
    <n v="0.6"/>
    <x v="139"/>
    <n v="134"/>
    <m/>
    <n v="0"/>
    <n v="6668"/>
    <n v="893512"/>
    <n v="6.2"/>
    <n v="6773.4999999999991"/>
    <n v="12596.638655462186"/>
    <n v="12596.638655462186"/>
    <s v="Shenzhen"/>
    <x v="0"/>
    <n v="30"/>
    <m/>
    <n v="1000"/>
    <n v="4"/>
    <n v="0.6030524507245032"/>
    <n v="22"/>
    <n v="0.54914938346380737"/>
    <n v="17"/>
    <n v="0.52560104030386978"/>
    <n v="18"/>
    <n v="0.55272079584007039"/>
    <n v="13"/>
    <n v="0.5907715890015951"/>
    <n v="26"/>
    <n v="0.4977561381891526"/>
    <n v="35"/>
    <n v="0.4415690872655797"/>
    <n v="35"/>
    <n v="0.44178080648803586"/>
    <n v="15"/>
    <n v="0.44213769474992642"/>
    <n v="74"/>
    <n v="0.41544527261598974"/>
    <n v="152"/>
    <n v="0.39998388102542137"/>
    <n v="250"/>
    <n v="0.41700581914436857"/>
    <n v="37"/>
    <n v="0.35231701584805736"/>
    <n v="37"/>
    <n v="0.33121646217945339"/>
    <n v="30"/>
    <n v="0.35242496191700556"/>
    <n v="13"/>
    <n v="0.37819694841766271"/>
    <n v="0.26"/>
    <n v="17"/>
    <n v="0.46798675637728943"/>
    <n v="0.42499999999999999"/>
    <n v="19"/>
    <n v="0.3238440322186697"/>
    <n v="0.19"/>
    <n v="14"/>
    <n v="0.51859775703526512"/>
    <n v="0.23333333333333334"/>
    <n v="26"/>
    <n v="0.29050829807077433"/>
    <n v="0.43333333333333335"/>
    <n v="14"/>
    <n v="0.26067875017357273"/>
    <n v="0.31111111111111112"/>
    <m/>
    <m/>
    <m/>
    <m/>
    <m/>
    <m/>
    <m/>
    <m/>
    <m/>
    <n v="50"/>
    <n v="316"/>
    <n v="60"/>
    <n v="0"/>
    <n v="0"/>
    <n v="0"/>
    <n v="970194"/>
    <n v="2027771.9999999998"/>
    <n v="400080"/>
    <n v="0"/>
    <n v="134"/>
    <n v="893512"/>
    <n v="635124.63809053041"/>
    <n v="60"/>
    <n v="274"/>
    <n v="55.5"/>
    <n v="0"/>
    <n v="0"/>
    <n v="0"/>
    <n v="656798"/>
    <n v="1758257.9999999998"/>
    <n v="370074"/>
    <n v="0"/>
    <n v="134"/>
    <n v="893512"/>
    <n v="587490.2902337407"/>
    <n v="64"/>
    <n v="238"/>
    <n v="30"/>
    <n v="0"/>
    <n v="0"/>
    <n v="440732"/>
    <n v="1586984"/>
    <n v="200040"/>
    <n v="0"/>
    <n v="134"/>
    <n v="893512"/>
    <n v="377899.15966386558"/>
    <n v="50"/>
    <n v="201"/>
    <n v="13"/>
    <n v="0"/>
    <n v="0"/>
    <n v="1289816.9999999998"/>
    <n v="86684"/>
    <x v="0"/>
    <x v="0"/>
    <n v="134"/>
    <n v="893512"/>
    <n v="163756.30252100842"/>
    <n v="40"/>
    <n v="151"/>
    <n v="24"/>
    <m/>
    <n v="0"/>
    <n v="0"/>
    <n v="1006868"/>
    <n v="154007.99999999997"/>
    <x v="0"/>
    <n v="0"/>
    <n v="134"/>
    <n v="893512"/>
    <n v="302319.32773109246"/>
    <n v="100"/>
    <n v="153"/>
    <n v="19"/>
    <m/>
    <n v="0"/>
    <n v="0"/>
    <n v="1020204"/>
    <n v="121922.99999999999"/>
    <n v="0"/>
    <n v="0"/>
    <n v="153"/>
    <n v="893512"/>
    <n v="239336.13445378153"/>
    <n v="60"/>
    <n v="148"/>
    <n v="14"/>
    <n v="0"/>
    <n v="500"/>
    <n v="0"/>
    <n v="986864"/>
    <n v="89837.999999999985"/>
    <n v="0"/>
    <n v="0"/>
    <n v="148"/>
    <n v="893512"/>
    <n v="176352.9411764706"/>
    <n v="60"/>
    <n v="160"/>
    <n v="26"/>
    <n v="0"/>
    <n v="0"/>
    <n v="0"/>
    <n v="1066880"/>
    <n v="166841.99999999997"/>
    <n v="0"/>
    <n v="0"/>
    <n v="160"/>
    <n v="1066880"/>
    <n v="327512.60504201683"/>
    <n v="45"/>
    <n v="148"/>
    <n v="15"/>
    <n v="0"/>
    <n v="0"/>
    <n v="0"/>
    <n v="949715.99999999988"/>
    <n v="96254.999999999985"/>
    <n v="0"/>
    <n v="0"/>
    <n v="134"/>
    <n v="893512"/>
    <n v="188949.57983193279"/>
    <n v="80"/>
    <n v="133"/>
    <n v="48"/>
    <n v="0"/>
    <n v="0"/>
    <n v="0"/>
    <m/>
    <n v="853460.99999999988"/>
    <n v="308015.99999999994"/>
    <n v="0"/>
    <n v="0"/>
    <n v="133"/>
    <n v="853460.99999999988"/>
    <n v="604638.65546218492"/>
    <n v="0"/>
    <n v="85"/>
    <n v="0"/>
    <m/>
    <n v="0"/>
    <n v="0"/>
    <n v="545444.99999999988"/>
    <n v="0"/>
    <n v="0"/>
    <n v="0"/>
    <n v="85"/>
    <n v="545444.99999999988"/>
    <n v="0"/>
    <n v="0"/>
    <n v="85"/>
    <n v="0"/>
    <n v="0"/>
    <n v="0"/>
    <n v="545444.99999999988"/>
    <n v="0"/>
    <n v="0"/>
    <n v="0"/>
    <n v="85"/>
    <n v="545444.99999999988"/>
    <n v="0"/>
    <n v="0"/>
    <n v="85"/>
    <n v="0"/>
    <n v="0"/>
    <m/>
    <n v="545444.99999999988"/>
    <n v="0"/>
    <n v="0"/>
    <n v="85"/>
    <n v="545444.99999999988"/>
    <n v="0"/>
  </r>
  <r>
    <s v="Lhotse-Audio Menor"/>
    <x v="4"/>
    <x v="15"/>
    <x v="36"/>
    <s v="LHRMPLU"/>
    <x v="208"/>
    <x v="198"/>
    <x v="0"/>
    <x v="1"/>
    <n v="1.1000000000000001"/>
    <x v="140"/>
    <n v="856"/>
    <m/>
    <n v="0"/>
    <n v="5738"/>
    <n v="4911728"/>
    <n v="4.7"/>
    <n v="5134.75"/>
    <n v="14277.310924369749"/>
    <n v="14277.310924369749"/>
    <s v="Shenzhen"/>
    <x v="0"/>
    <n v="30"/>
    <m/>
    <n v="1000"/>
    <n v="0"/>
    <s v=""/>
    <n v="0"/>
    <s v=""/>
    <n v="0"/>
    <s v=""/>
    <n v="0"/>
    <s v=""/>
    <n v="0"/>
    <s v=""/>
    <n v="0"/>
    <s v=""/>
    <n v="0"/>
    <s v=""/>
    <n v="4"/>
    <n v="0.59309378434485283"/>
    <n v="22"/>
    <n v="0.60054802319258671"/>
    <n v="142"/>
    <n v="0.53317583190416573"/>
    <n v="83"/>
    <n v="0.4915335673312401"/>
    <n v="157"/>
    <n v="0.53137214384467957"/>
    <n v="81"/>
    <n v="0.38562770081436692"/>
    <n v="122"/>
    <n v="0.28110477047497467"/>
    <n v="202"/>
    <n v="0.27596073082962069"/>
    <n v="104"/>
    <n v="0.3266067889176531"/>
    <n v="1.3"/>
    <n v="3"/>
    <n v="0.6909164598845664"/>
    <n v="3.7499999999999999E-2"/>
    <n v="8"/>
    <n v="0.55295560646322073"/>
    <n v="0.04"/>
    <n v="18"/>
    <n v="0.43107244151036356"/>
    <n v="0.18"/>
    <n v="69"/>
    <n v="0.33561585187647724"/>
    <n v="0.76666666666666672"/>
    <n v="48"/>
    <n v="0.3089286871666182"/>
    <n v="0.68571428571428572"/>
    <m/>
    <m/>
    <m/>
    <m/>
    <m/>
    <m/>
    <m/>
    <m/>
    <m/>
    <n v="60"/>
    <n v="569"/>
    <n v="90"/>
    <n v="0"/>
    <n v="0"/>
    <n v="0"/>
    <n v="2725550"/>
    <n v="2767900.5"/>
    <n v="516420"/>
    <n v="0"/>
    <n v="856"/>
    <n v="4911728"/>
    <n v="1079796.6245321659"/>
    <n v="75"/>
    <n v="473"/>
    <n v="183"/>
    <n v="0"/>
    <n v="0"/>
    <n v="0"/>
    <n v="2805882"/>
    <n v="2300908.5"/>
    <n v="1050054"/>
    <n v="0"/>
    <n v="856"/>
    <n v="4911728"/>
    <n v="2195586.469882071"/>
    <n v="220"/>
    <n v="278"/>
    <n v="202"/>
    <n v="0"/>
    <n v="0"/>
    <n v="2183904"/>
    <n v="1595164"/>
    <n v="1159076"/>
    <n v="0"/>
    <n v="856"/>
    <n v="4911728"/>
    <n v="2884016.8067226894"/>
    <n v="80"/>
    <n v="120"/>
    <n v="104"/>
    <n v="0"/>
    <n v="0"/>
    <n v="583740"/>
    <n v="596752"/>
    <x v="0"/>
    <x v="0"/>
    <n v="856"/>
    <n v="4911728"/>
    <n v="1484840.336134454"/>
    <n v="80"/>
    <n v="859"/>
    <n v="88"/>
    <m/>
    <n v="0"/>
    <n v="0"/>
    <n v="4928942"/>
    <n v="428076"/>
    <x v="0"/>
    <n v="0"/>
    <n v="856"/>
    <n v="4911728"/>
    <n v="1256403.3613445379"/>
    <n v="200"/>
    <n v="864"/>
    <n v="8"/>
    <m/>
    <n v="0"/>
    <n v="0"/>
    <n v="4957632"/>
    <n v="38916"/>
    <n v="0"/>
    <n v="0"/>
    <n v="864"/>
    <n v="4911728"/>
    <n v="114218.48739495799"/>
    <n v="100"/>
    <n v="874"/>
    <n v="18"/>
    <n v="1000"/>
    <n v="500"/>
    <n v="0"/>
    <n v="5015012"/>
    <n v="87561"/>
    <n v="4702349.9999999991"/>
    <n v="0"/>
    <n v="874"/>
    <n v="4911728"/>
    <n v="256991.59663865549"/>
    <n v="90"/>
    <n v="925"/>
    <n v="71"/>
    <n v="0"/>
    <n v="500"/>
    <n v="0"/>
    <n v="5307650"/>
    <n v="345379.5"/>
    <n v="0"/>
    <n v="0"/>
    <n v="925"/>
    <n v="5307650"/>
    <n v="1013689.0756302521"/>
    <n v="70"/>
    <n v="904"/>
    <n v="51"/>
    <n v="0"/>
    <n v="0"/>
    <n v="0"/>
    <n v="4397508"/>
    <n v="248089.5"/>
    <n v="0"/>
    <n v="0"/>
    <n v="856"/>
    <n v="4911728"/>
    <n v="728142.85714285716"/>
    <n v="150"/>
    <n v="853"/>
    <n v="165"/>
    <n v="0"/>
    <n v="0"/>
    <n v="0"/>
    <m/>
    <n v="4149418.5"/>
    <n v="802642.5"/>
    <n v="0"/>
    <n v="0"/>
    <n v="853"/>
    <n v="4149418.5"/>
    <n v="2355756.3025210085"/>
    <n v="120"/>
    <n v="688"/>
    <n v="132"/>
    <m/>
    <n v="0"/>
    <n v="0"/>
    <n v="3346776"/>
    <n v="642114"/>
    <n v="0"/>
    <n v="0"/>
    <n v="688"/>
    <n v="3346776"/>
    <n v="1884605.0420168068"/>
    <n v="200"/>
    <n v="556"/>
    <n v="220.00000000000003"/>
    <n v="0"/>
    <n v="0"/>
    <n v="2704662"/>
    <n v="1070190.0000000002"/>
    <n v="0"/>
    <n v="0"/>
    <n v="556"/>
    <n v="2704662"/>
    <n v="3141008.4033613452"/>
    <n v="72"/>
    <n v="336"/>
    <n v="79.2"/>
    <n v="0"/>
    <m/>
    <n v="1634472"/>
    <n v="454449.60000000003"/>
    <n v="0"/>
    <n v="336"/>
    <n v="1634472"/>
    <n v="1130763.0252100842"/>
  </r>
  <r>
    <s v="Lhotse-Audio Menor"/>
    <x v="4"/>
    <x v="15"/>
    <x v="36"/>
    <s v="LHRMPLU"/>
    <x v="209"/>
    <x v="199"/>
    <x v="0"/>
    <x v="1"/>
    <n v="0.8"/>
    <x v="141"/>
    <n v="886"/>
    <m/>
    <n v="0"/>
    <n v="5351"/>
    <n v="4740986"/>
    <n v="4.7"/>
    <n v="5134.75"/>
    <n v="14277.310924369749"/>
    <n v="14277.310924369749"/>
    <s v="Shenzhen"/>
    <x v="0"/>
    <n v="30"/>
    <m/>
    <n v="1000"/>
    <n v="0"/>
    <s v=""/>
    <n v="0"/>
    <s v=""/>
    <n v="0"/>
    <s v=""/>
    <n v="0"/>
    <s v=""/>
    <n v="0"/>
    <s v=""/>
    <n v="0"/>
    <s v=""/>
    <n v="0"/>
    <s v=""/>
    <n v="2"/>
    <n v="0.58796507590038694"/>
    <n v="9"/>
    <n v="0.62916679566686073"/>
    <n v="141"/>
    <n v="0.56471124058374422"/>
    <n v="87"/>
    <n v="0.57427649779818857"/>
    <n v="334"/>
    <n v="0.45550015523813636"/>
    <n v="32"/>
    <n v="0.48082008740605492"/>
    <n v="80"/>
    <n v="0.43228182018929806"/>
    <n v="93"/>
    <n v="0.37928852994437984"/>
    <n v="33"/>
    <n v="0.39660236707614471"/>
    <n v="0.66"/>
    <n v="162"/>
    <n v="0.16605585140415982"/>
    <n v="2.16"/>
    <n v="0"/>
    <s v=""/>
    <n v="0"/>
    <n v="25"/>
    <n v="0.33675029537335244"/>
    <n v="0.25"/>
    <n v="64"/>
    <n v="0.13479217495746729"/>
    <n v="0.71111111111111114"/>
    <n v="37"/>
    <n v="0.26055079457588087"/>
    <n v="0.52857142857142858"/>
    <m/>
    <m/>
    <m/>
    <m/>
    <m/>
    <m/>
    <m/>
    <m/>
    <m/>
    <n v="60"/>
    <n v="446"/>
    <n v="60"/>
    <n v="0"/>
    <n v="0"/>
    <n v="0"/>
    <n v="1460823"/>
    <n v="2169567"/>
    <n v="321060"/>
    <n v="0"/>
    <n v="886"/>
    <n v="4740986"/>
    <n v="719864.41635477729"/>
    <n v="60"/>
    <n v="394"/>
    <n v="120"/>
    <n v="0"/>
    <n v="0"/>
    <n v="0"/>
    <n v="1316346"/>
    <n v="1916613"/>
    <n v="642120"/>
    <n v="0"/>
    <n v="886"/>
    <n v="4740986"/>
    <n v="1439728.8327095546"/>
    <n v="100"/>
    <n v="312"/>
    <n v="93"/>
    <n v="0"/>
    <n v="0"/>
    <n v="966096"/>
    <n v="1669512"/>
    <n v="497643"/>
    <n v="0"/>
    <n v="886"/>
    <n v="4740986"/>
    <n v="1327789.9159663867"/>
    <n v="50"/>
    <n v="198"/>
    <n v="33"/>
    <n v="0"/>
    <n v="0"/>
    <n v="963171"/>
    <n v="176583"/>
    <x v="0"/>
    <x v="0"/>
    <n v="886"/>
    <n v="4740986"/>
    <n v="471151.26050420169"/>
    <n v="75"/>
    <n v="1048"/>
    <n v="60"/>
    <m/>
    <n v="0"/>
    <n v="0"/>
    <n v="5607848"/>
    <n v="291870"/>
    <x v="0"/>
    <n v="0"/>
    <n v="886"/>
    <n v="4740986"/>
    <n v="856638.65546218492"/>
    <n v="150"/>
    <n v="886"/>
    <n v="0"/>
    <m/>
    <n v="0"/>
    <n v="0"/>
    <n v="4740986"/>
    <n v="0"/>
    <n v="0"/>
    <n v="0"/>
    <n v="886"/>
    <n v="4740986"/>
    <n v="0"/>
    <n v="100"/>
    <n v="911"/>
    <n v="25"/>
    <n v="1000"/>
    <n v="500"/>
    <n v="0"/>
    <n v="4874761"/>
    <n v="121612.5"/>
    <n v="4702349.9999999991"/>
    <n v="0"/>
    <n v="911"/>
    <n v="4740986"/>
    <n v="356932.77310924372"/>
    <n v="90"/>
    <n v="950"/>
    <n v="66"/>
    <n v="0"/>
    <n v="500"/>
    <n v="0"/>
    <n v="5083450"/>
    <n v="321057"/>
    <n v="0"/>
    <n v="0"/>
    <n v="950"/>
    <n v="5083450"/>
    <n v="942302.52100840339"/>
    <n v="70"/>
    <n v="923"/>
    <n v="46.5"/>
    <n v="0"/>
    <n v="0"/>
    <n v="0"/>
    <n v="4489933.5"/>
    <n v="226199.25"/>
    <n v="0"/>
    <n v="0"/>
    <n v="886"/>
    <n v="4740986"/>
    <n v="663894.95798319334"/>
    <n v="160"/>
    <n v="876.5"/>
    <n v="128"/>
    <n v="0"/>
    <n v="0"/>
    <n v="0"/>
    <m/>
    <n v="4263734.25"/>
    <n v="622656"/>
    <n v="0"/>
    <n v="0"/>
    <n v="876.5"/>
    <n v="4263734.25"/>
    <n v="1827495.7983193279"/>
    <n v="140"/>
    <n v="748.5"/>
    <n v="112"/>
    <m/>
    <n v="0"/>
    <n v="0"/>
    <n v="3641078.25"/>
    <n v="544824"/>
    <n v="0"/>
    <n v="0"/>
    <n v="748.5"/>
    <n v="3641078.25"/>
    <n v="1599058.8235294118"/>
    <n v="250"/>
    <n v="636.5"/>
    <n v="200"/>
    <n v="0"/>
    <n v="0"/>
    <n v="3096254.25"/>
    <n v="972900"/>
    <n v="0"/>
    <n v="0"/>
    <n v="636.5"/>
    <n v="3096254.25"/>
    <n v="2855462.1848739497"/>
    <n v="84"/>
    <n v="436.5"/>
    <n v="67.2"/>
    <n v="0"/>
    <m/>
    <n v="2123354.25"/>
    <n v="359587.2"/>
    <n v="0"/>
    <n v="436.5"/>
    <n v="2123354.25"/>
    <n v="959435.29411764722"/>
  </r>
  <r>
    <s v="Lhotse-Audio Menor"/>
    <x v="4"/>
    <x v="15"/>
    <x v="37"/>
    <n v="67898461965813"/>
    <x v="210"/>
    <x v="200"/>
    <x v="0"/>
    <x v="2"/>
    <n v="1"/>
    <x v="31"/>
    <n v="4"/>
    <m/>
    <n v="0"/>
    <n v="4717"/>
    <n v="18868"/>
    <n v="4.75"/>
    <n v="5189.375"/>
    <n v="12596.638655462186"/>
    <n v="6714.2857142857147"/>
    <s v="Shenzhen"/>
    <x v="0"/>
    <n v="30"/>
    <m/>
    <n v="1000"/>
    <n v="0"/>
    <s v=""/>
    <n v="0"/>
    <s v=""/>
    <n v="0"/>
    <s v=""/>
    <n v="0"/>
    <s v=""/>
    <n v="0"/>
    <s v=""/>
    <n v="0"/>
    <s v=""/>
    <n v="1"/>
    <n v="0.64905126869558749"/>
    <n v="0"/>
    <s v=""/>
    <n v="0"/>
    <s v=""/>
    <n v="0"/>
    <s v=""/>
    <n v="1"/>
    <n v="0.70054603174603181"/>
    <n v="1"/>
    <n v="1"/>
    <n v="0"/>
    <s v=""/>
    <n v="0"/>
    <s v=""/>
    <n v="1"/>
    <n v="-3.6170212765957448E-3"/>
    <n v="0"/>
    <s v=""/>
    <n v="0"/>
    <n v="0"/>
    <s v=""/>
    <n v="0"/>
    <n v="1"/>
    <n v="0.46515810540360242"/>
    <n v="1"/>
    <n v="0"/>
    <s v=""/>
    <n v="0"/>
    <n v="0"/>
    <s v=""/>
    <n v="0"/>
    <n v="0"/>
    <s v=""/>
    <n v="0"/>
    <m/>
    <m/>
    <m/>
    <m/>
    <m/>
    <m/>
    <m/>
    <m/>
    <m/>
    <n v="0"/>
    <n v="5"/>
    <n v="0"/>
    <n v="0"/>
    <n v="0"/>
    <n v="0"/>
    <n v="4717"/>
    <n v="24581.25"/>
    <n v="0"/>
    <n v="0"/>
    <n v="4"/>
    <n v="18868"/>
    <n v="0"/>
    <n v="0"/>
    <n v="5"/>
    <n v="0"/>
    <n v="0"/>
    <n v="0"/>
    <n v="0"/>
    <n v="4717"/>
    <n v="24581.25"/>
    <n v="0"/>
    <n v="0"/>
    <n v="4"/>
    <n v="18868"/>
    <n v="0"/>
    <n v="0"/>
    <n v="5"/>
    <n v="1"/>
    <n v="0"/>
    <n v="0"/>
    <n v="9633.25"/>
    <n v="23585"/>
    <n v="4717"/>
    <n v="0"/>
    <n v="4"/>
    <n v="18868"/>
    <n v="12596.638655462186"/>
    <n v="0"/>
    <n v="4"/>
    <n v="0"/>
    <n v="0"/>
    <n v="0"/>
    <n v="19665"/>
    <n v="0"/>
    <x v="0"/>
    <x v="0"/>
    <n v="4"/>
    <n v="18868"/>
    <n v="0"/>
    <n v="1"/>
    <n v="4"/>
    <n v="1"/>
    <m/>
    <n v="0"/>
    <n v="0"/>
    <n v="18868"/>
    <n v="4916.25"/>
    <x v="0"/>
    <n v="0"/>
    <n v="4"/>
    <n v="18868"/>
    <n v="12596.638655462186"/>
    <n v="1"/>
    <n v="5"/>
    <n v="1"/>
    <m/>
    <n v="0"/>
    <n v="0"/>
    <n v="23585"/>
    <n v="4916.25"/>
    <n v="0"/>
    <n v="0"/>
    <n v="5"/>
    <n v="18868"/>
    <n v="12596.638655462186"/>
    <n v="1"/>
    <n v="4"/>
    <n v="0"/>
    <n v="0"/>
    <n v="0"/>
    <n v="0"/>
    <n v="18868"/>
    <n v="0"/>
    <n v="0"/>
    <n v="0"/>
    <n v="4"/>
    <n v="18868"/>
    <n v="0"/>
    <n v="0"/>
    <n v="4"/>
    <n v="0"/>
    <n v="0"/>
    <n v="0"/>
    <n v="0"/>
    <n v="18868"/>
    <n v="0"/>
    <n v="0"/>
    <n v="0"/>
    <n v="4"/>
    <n v="18868"/>
    <n v="0"/>
    <n v="0"/>
    <n v="4"/>
    <n v="0"/>
    <n v="0"/>
    <n v="0"/>
    <n v="0"/>
    <n v="19665"/>
    <n v="0"/>
    <n v="0"/>
    <n v="0"/>
    <n v="4"/>
    <n v="18868"/>
    <n v="0"/>
    <n v="0"/>
    <n v="4"/>
    <n v="0"/>
    <n v="0"/>
    <n v="0"/>
    <n v="0"/>
    <m/>
    <n v="19665"/>
    <n v="0"/>
    <n v="0"/>
    <n v="0"/>
    <n v="4"/>
    <n v="19665"/>
    <n v="0"/>
    <n v="0"/>
    <n v="4"/>
    <n v="0"/>
    <m/>
    <n v="0"/>
    <n v="0"/>
    <n v="19665"/>
    <n v="0"/>
    <n v="0"/>
    <n v="0"/>
    <n v="4"/>
    <n v="19665"/>
    <n v="0"/>
    <n v="0"/>
    <n v="4"/>
    <n v="0"/>
    <n v="0"/>
    <n v="0"/>
    <n v="19665"/>
    <n v="0"/>
    <n v="0"/>
    <n v="0"/>
    <n v="4"/>
    <n v="19665"/>
    <n v="0"/>
    <n v="0"/>
    <n v="4"/>
    <n v="0"/>
    <n v="0"/>
    <m/>
    <n v="19665"/>
    <n v="0"/>
    <n v="0"/>
    <n v="4"/>
    <n v="19665"/>
    <n v="0"/>
  </r>
  <r>
    <s v="Lhotse-Audio Menor"/>
    <x v="4"/>
    <x v="15"/>
    <x v="37"/>
    <s v="LHPARJOUR"/>
    <x v="211"/>
    <x v="201"/>
    <x v="0"/>
    <x v="3"/>
    <n v="0.8"/>
    <x v="142"/>
    <n v="13"/>
    <m/>
    <n v="0"/>
    <n v="10173"/>
    <n v="132249"/>
    <n v="10.53"/>
    <n v="11504.025"/>
    <n v="21000"/>
    <n v="21000"/>
    <s v="Shenzhen"/>
    <x v="0"/>
    <n v="30"/>
    <m/>
    <n v="100"/>
    <n v="4"/>
    <n v="0.53477168389766006"/>
    <n v="14"/>
    <n v="0.54774922954213001"/>
    <n v="15"/>
    <n v="0.58751811929441877"/>
    <n v="8"/>
    <n v="0.56392453736659198"/>
    <n v="6"/>
    <n v="0.54158064800399497"/>
    <n v="34"/>
    <n v="0.44713526792288977"/>
    <n v="2"/>
    <n v="0.47860178410343795"/>
    <n v="3"/>
    <n v="0.5045722222222222"/>
    <n v="8"/>
    <n v="0.52660489502834995"/>
    <n v="35"/>
    <n v="0.41830540725314824"/>
    <n v="17"/>
    <n v="0.46340720414652192"/>
    <n v="18"/>
    <n v="0.50808116097068023"/>
    <n v="9"/>
    <n v="0.42487349003568864"/>
    <n v="18"/>
    <n v="0.39681233901847895"/>
    <n v="20"/>
    <n v="0.37052785853745834"/>
    <n v="18"/>
    <n v="0.41286384114638081"/>
    <n v="1.2"/>
    <n v="8"/>
    <n v="0.49111696649993691"/>
    <n v="0.47058823529411764"/>
    <n v="25"/>
    <n v="0.39393755012965787"/>
    <n v="0.73529411764705888"/>
    <n v="4"/>
    <n v="0.56355551550108141"/>
    <n v="0.25"/>
    <n v="5"/>
    <n v="0.29556618236837795"/>
    <n v="0.41666666666666669"/>
    <n v="0"/>
    <s v=""/>
    <n v="0"/>
    <m/>
    <m/>
    <m/>
    <m/>
    <m/>
    <m/>
    <m/>
    <m/>
    <m/>
    <n v="20"/>
    <n v="113"/>
    <n v="15"/>
    <n v="0"/>
    <n v="92"/>
    <n v="0"/>
    <n v="630726"/>
    <n v="1231536.1499999999"/>
    <n v="152595"/>
    <n v="0"/>
    <n v="13"/>
    <n v="132249"/>
    <n v="264705.8823529412"/>
    <n v="15"/>
    <n v="108"/>
    <n v="27"/>
    <n v="0"/>
    <n v="0"/>
    <n v="0"/>
    <n v="661245"/>
    <n v="1177043.3999999999"/>
    <n v="274671"/>
    <n v="0"/>
    <n v="13"/>
    <n v="132249"/>
    <n v="476470.58823529416"/>
    <n v="30"/>
    <n v="90"/>
    <n v="20"/>
    <n v="0"/>
    <n v="0"/>
    <n v="534794.28"/>
    <n v="915570"/>
    <n v="203460"/>
    <n v="0"/>
    <n v="13"/>
    <n v="132249"/>
    <n v="420000"/>
    <n v="15"/>
    <n v="74"/>
    <n v="18"/>
    <n v="0"/>
    <n v="0"/>
    <n v="806492.7"/>
    <n v="183114"/>
    <x v="0"/>
    <x v="0"/>
    <n v="13"/>
    <n v="132249"/>
    <n v="378000"/>
    <n v="17"/>
    <n v="21"/>
    <n v="13.600000000000001"/>
    <m/>
    <n v="0"/>
    <n v="0"/>
    <n v="213633"/>
    <n v="148220.28"/>
    <x v="0"/>
    <n v="0"/>
    <n v="13"/>
    <n v="132249"/>
    <n v="285600.00000000006"/>
    <n v="34"/>
    <n v="38"/>
    <n v="25"/>
    <m/>
    <n v="0"/>
    <n v="0"/>
    <n v="386574"/>
    <n v="272463.75"/>
    <n v="0"/>
    <n v="0"/>
    <n v="38"/>
    <n v="132249"/>
    <n v="525000"/>
    <n v="16"/>
    <n v="17"/>
    <n v="4"/>
    <n v="0"/>
    <n v="0"/>
    <n v="0"/>
    <n v="172941"/>
    <n v="43594.2"/>
    <n v="0"/>
    <n v="0"/>
    <n v="17"/>
    <n v="132249"/>
    <n v="84000"/>
    <n v="12"/>
    <n v="18"/>
    <n v="5"/>
    <n v="0"/>
    <n v="0"/>
    <n v="0"/>
    <n v="183114"/>
    <n v="54492.75"/>
    <n v="0"/>
    <n v="0"/>
    <n v="18"/>
    <n v="183114"/>
    <n v="105000"/>
    <n v="20"/>
    <n v="13"/>
    <n v="0"/>
    <n v="0"/>
    <n v="0"/>
    <n v="0"/>
    <n v="141681.15"/>
    <n v="0"/>
    <n v="0"/>
    <n v="0"/>
    <n v="13"/>
    <n v="132249"/>
    <n v="0"/>
    <n v="0"/>
    <n v="13"/>
    <n v="0"/>
    <n v="0"/>
    <n v="0"/>
    <n v="0"/>
    <m/>
    <n v="141681.15"/>
    <n v="0"/>
    <n v="0"/>
    <n v="0"/>
    <n v="13"/>
    <n v="141681.15"/>
    <n v="0"/>
    <n v="0"/>
    <n v="13"/>
    <n v="0"/>
    <m/>
    <n v="0"/>
    <n v="0"/>
    <n v="141681.15"/>
    <n v="0"/>
    <n v="0"/>
    <n v="0"/>
    <n v="13"/>
    <n v="141681.15"/>
    <n v="0"/>
    <n v="0"/>
    <n v="13"/>
    <n v="0"/>
    <n v="0"/>
    <n v="0"/>
    <n v="141681.15"/>
    <n v="0"/>
    <n v="0"/>
    <n v="0"/>
    <n v="13"/>
    <n v="141681.15"/>
    <n v="0"/>
    <n v="0"/>
    <n v="13"/>
    <n v="0"/>
    <n v="0"/>
    <m/>
    <n v="141681.15"/>
    <n v="0"/>
    <n v="0"/>
    <n v="13"/>
    <n v="141681.15"/>
    <n v="0"/>
  </r>
  <r>
    <m/>
    <x v="4"/>
    <x v="15"/>
    <x v="37"/>
    <s v="LHPARJOUR"/>
    <x v="212"/>
    <x v="202"/>
    <x v="0"/>
    <x v="3"/>
    <n v="0.8"/>
    <x v="143"/>
    <n v="0"/>
    <m/>
    <n v="0"/>
    <n v="10891"/>
    <n v="0"/>
    <n v="10.53"/>
    <n v="11504.025"/>
    <n v="21000"/>
    <n v="21000"/>
    <s v="Shenzhen"/>
    <x v="0"/>
    <n v="30"/>
    <m/>
    <n v="100"/>
    <n v="12"/>
    <n v="0.64623496105245493"/>
    <n v="24"/>
    <n v="0.54668369911358639"/>
    <n v="8"/>
    <n v="0.57836429630962782"/>
    <n v="10"/>
    <n v="0.42165228312287423"/>
    <n v="4"/>
    <n v="0.49329110347101207"/>
    <n v="11"/>
    <n v="0.41660764771513864"/>
    <n v="2"/>
    <n v="0.48766904761904756"/>
    <n v="5"/>
    <n v="0.4284465608465608"/>
    <n v="21"/>
    <n v="0.42381300075585798"/>
    <n v="41"/>
    <n v="0.37129072023897164"/>
    <n v="30"/>
    <n v="0.47276247492473855"/>
    <n v="28"/>
    <n v="0.52064956081650626"/>
    <n v="9"/>
    <n v="0.41613004815714666"/>
    <n v="13"/>
    <n v="0.33366580286901226"/>
    <n v="15"/>
    <n v="0.37504296384472563"/>
    <n v="11"/>
    <n v="0.45551425092755449"/>
    <n v="0.91666666666666663"/>
    <n v="9"/>
    <n v="0.50833027716303081"/>
    <n v="0.5625"/>
    <n v="16"/>
    <n v="0.29474951062926918"/>
    <n v="0.64"/>
    <n v="0"/>
    <s v=""/>
    <n v="0"/>
    <n v="5"/>
    <n v="0.38820081820877417"/>
    <n v="0.22727272727272727"/>
    <n v="0"/>
    <s v=""/>
    <n v="0"/>
    <m/>
    <m/>
    <m/>
    <m/>
    <m/>
    <m/>
    <m/>
    <m/>
    <m/>
    <n v="20"/>
    <n v="85"/>
    <n v="15"/>
    <n v="0"/>
    <n v="0"/>
    <n v="0"/>
    <n v="539104.5"/>
    <n v="926376.74999999988"/>
    <n v="163365"/>
    <n v="0"/>
    <n v="0"/>
    <n v="0"/>
    <n v="264705.8823529412"/>
    <n v="15"/>
    <n v="77"/>
    <n v="19.5"/>
    <n v="0"/>
    <n v="0"/>
    <n v="0"/>
    <n v="495540.5"/>
    <n v="839188.35"/>
    <n v="212374.5"/>
    <n v="0"/>
    <n v="0"/>
    <n v="0"/>
    <n v="344117.64705882355"/>
    <n v="20"/>
    <n v="62"/>
    <n v="15"/>
    <n v="0"/>
    <n v="0"/>
    <n v="422667.44"/>
    <n v="675242"/>
    <n v="163365"/>
    <n v="0"/>
    <n v="0"/>
    <n v="0"/>
    <n v="315000"/>
    <n v="12"/>
    <n v="48"/>
    <n v="11"/>
    <n v="0"/>
    <n v="0"/>
    <n v="523130.39999999997"/>
    <n v="119801"/>
    <x v="0"/>
    <x v="0"/>
    <n v="0"/>
    <n v="0"/>
    <n v="231000"/>
    <n v="16"/>
    <n v="9"/>
    <n v="12.8"/>
    <m/>
    <n v="0"/>
    <n v="0"/>
    <n v="98019"/>
    <n v="139501.44"/>
    <x v="0"/>
    <n v="0"/>
    <n v="0"/>
    <n v="0"/>
    <n v="268800"/>
    <n v="25"/>
    <n v="16"/>
    <n v="16"/>
    <m/>
    <n v="0"/>
    <n v="0"/>
    <n v="174256"/>
    <n v="174376.8"/>
    <n v="0"/>
    <n v="0"/>
    <n v="16"/>
    <n v="0"/>
    <n v="336000"/>
    <n v="12"/>
    <n v="0"/>
    <n v="0"/>
    <n v="0"/>
    <n v="0"/>
    <n v="0"/>
    <n v="0"/>
    <n v="0"/>
    <n v="0"/>
    <n v="0"/>
    <n v="0"/>
    <n v="0"/>
    <n v="0"/>
    <n v="22"/>
    <n v="5"/>
    <n v="5"/>
    <n v="0"/>
    <n v="0"/>
    <n v="0"/>
    <n v="54455"/>
    <n v="54492.75"/>
    <n v="0"/>
    <n v="0"/>
    <n v="5"/>
    <n v="54455"/>
    <n v="10500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Audio Menor"/>
    <x v="4"/>
    <x v="15"/>
    <x v="37"/>
    <s v="LHPARPULS"/>
    <x v="213"/>
    <x v="203"/>
    <x v="0"/>
    <x v="2"/>
    <n v="0.7"/>
    <x v="144"/>
    <n v="98"/>
    <m/>
    <n v="0"/>
    <n v="7468"/>
    <n v="731864"/>
    <n v="8.59"/>
    <n v="9384.5749999999989"/>
    <n v="16798.319327731093"/>
    <n v="15117.64705882353"/>
    <s v="Shenzhen"/>
    <x v="0"/>
    <n v="30"/>
    <m/>
    <n v="200"/>
    <n v="0"/>
    <n v="2.3677045104857062E-5"/>
    <n v="5"/>
    <n v="0.61324701012801963"/>
    <n v="10"/>
    <n v="0.55848592165886468"/>
    <n v="7"/>
    <n v="0.54810311967098002"/>
    <n v="0"/>
    <s v=""/>
    <n v="37"/>
    <n v="0.45604481684919856"/>
    <n v="29"/>
    <n v="0.46505406878530525"/>
    <n v="16"/>
    <n v="0.48930257861716325"/>
    <n v="23"/>
    <n v="0.49276308921562195"/>
    <n v="32"/>
    <n v="0.45547258797468027"/>
    <n v="9"/>
    <n v="0.49595034311689373"/>
    <n v="13"/>
    <n v="0.49716067973262246"/>
    <n v="1"/>
    <n v="0.37611532630514072"/>
    <n v="7"/>
    <n v="0.40517158674155579"/>
    <n v="19"/>
    <n v="0.26926516529848987"/>
    <n v="11"/>
    <n v="0.32455162984788261"/>
    <n v="0.73333333333333328"/>
    <n v="7"/>
    <n v="0.55535317658829408"/>
    <n v="0.22580645161290322"/>
    <n v="30"/>
    <n v="0.40958299138172466"/>
    <n v="0.75"/>
    <n v="15"/>
    <n v="0.50594373178237917"/>
    <n v="0.375"/>
    <n v="18"/>
    <n v="0.28416567342069482"/>
    <n v="0.81818181818181823"/>
    <n v="8"/>
    <n v="0.35048776337259568"/>
    <n v="0.25"/>
    <m/>
    <m/>
    <m/>
    <m/>
    <m/>
    <m/>
    <m/>
    <m/>
    <m/>
    <n v="20"/>
    <n v="7"/>
    <n v="2"/>
    <n v="200"/>
    <n v="200"/>
    <n v="0"/>
    <n v="235242"/>
    <n v="62234.549999999996"/>
    <n v="14936"/>
    <n v="0"/>
    <n v="98"/>
    <n v="731864"/>
    <n v="28232.469458371586"/>
    <n v="3"/>
    <n v="11"/>
    <n v="10.5"/>
    <n v="0"/>
    <n v="0"/>
    <n v="0"/>
    <n v="302454"/>
    <n v="97797.15"/>
    <n v="78414"/>
    <n v="0"/>
    <n v="98"/>
    <n v="731864"/>
    <n v="148220.46465645081"/>
    <n v="30"/>
    <n v="193"/>
    <n v="19"/>
    <n v="0"/>
    <n v="0"/>
    <n v="416967.10499999998"/>
    <n v="1441324"/>
    <n v="141892"/>
    <n v="0"/>
    <n v="98"/>
    <n v="731864"/>
    <n v="319168.06722689077"/>
    <n v="15"/>
    <n v="190"/>
    <n v="11"/>
    <n v="0"/>
    <n v="0"/>
    <n v="1689223.5"/>
    <n v="82148"/>
    <x v="0"/>
    <x v="0"/>
    <n v="98"/>
    <n v="731864"/>
    <n v="184781.51260504202"/>
    <n v="31"/>
    <n v="105"/>
    <n v="21.7"/>
    <m/>
    <n v="0"/>
    <n v="0"/>
    <n v="784140"/>
    <n v="192927.10499999998"/>
    <x v="0"/>
    <n v="0"/>
    <n v="98"/>
    <n v="731864"/>
    <n v="364523.5294117647"/>
    <n v="40"/>
    <n v="128"/>
    <n v="30"/>
    <m/>
    <n v="0"/>
    <n v="0"/>
    <n v="955904"/>
    <n v="266719.5"/>
    <n v="0"/>
    <n v="0"/>
    <n v="128"/>
    <n v="731864"/>
    <n v="503949.57983193279"/>
    <n v="40"/>
    <n v="113"/>
    <n v="15"/>
    <n v="0"/>
    <n v="0"/>
    <n v="0"/>
    <n v="843884"/>
    <n v="133359.75"/>
    <n v="0"/>
    <n v="0"/>
    <n v="113"/>
    <n v="731864"/>
    <n v="251974.78991596639"/>
    <n v="22"/>
    <n v="116"/>
    <n v="18"/>
    <n v="0"/>
    <n v="0"/>
    <n v="0"/>
    <n v="866288"/>
    <n v="160031.69999999998"/>
    <n v="0"/>
    <n v="0"/>
    <n v="116"/>
    <n v="866288"/>
    <n v="302369.74789915967"/>
    <n v="32"/>
    <n v="106"/>
    <n v="10.5"/>
    <n v="0"/>
    <n v="0"/>
    <n v="0"/>
    <n v="942408.89999999991"/>
    <n v="93351.824999999997"/>
    <n v="0"/>
    <n v="0"/>
    <n v="98"/>
    <n v="731864"/>
    <n v="176382.35294117648"/>
    <n v="35"/>
    <n v="95.5"/>
    <n v="24.5"/>
    <n v="0"/>
    <n v="0"/>
    <n v="0"/>
    <m/>
    <n v="849057.07499999995"/>
    <n v="217820.92499999999"/>
    <n v="0"/>
    <n v="0"/>
    <n v="95.5"/>
    <n v="849057.07499999995"/>
    <n v="370382.3529411765"/>
    <n v="30"/>
    <n v="71"/>
    <n v="21"/>
    <m/>
    <n v="0"/>
    <n v="0"/>
    <n v="631236.15"/>
    <n v="186703.65"/>
    <n v="0"/>
    <n v="0"/>
    <n v="71"/>
    <n v="631236.15"/>
    <n v="317470.5882352941"/>
    <n v="35"/>
    <n v="50"/>
    <n v="24.5"/>
    <n v="0"/>
    <n v="0"/>
    <n v="444532.5"/>
    <n v="217820.92499999999"/>
    <n v="0"/>
    <n v="0"/>
    <n v="50"/>
    <n v="444532.5"/>
    <n v="411558.82352941181"/>
    <n v="18"/>
    <n v="25.5"/>
    <n v="12.6"/>
    <n v="0"/>
    <m/>
    <n v="226711.57499999998"/>
    <n v="94096.8"/>
    <n v="0"/>
    <n v="25.5"/>
    <n v="226711.57499999998"/>
    <n v="211658.82352941178"/>
  </r>
  <r>
    <s v="Lhotse-Audio Menor"/>
    <x v="4"/>
    <x v="15"/>
    <x v="37"/>
    <s v="LHPARPULS"/>
    <x v="214"/>
    <x v="204"/>
    <x v="0"/>
    <x v="2"/>
    <n v="1"/>
    <x v="145"/>
    <n v="85"/>
    <m/>
    <n v="0"/>
    <n v="7465"/>
    <n v="634525"/>
    <n v="8.59"/>
    <n v="9384.5749999999989"/>
    <n v="16798.319327731093"/>
    <n v="15117.64705882353"/>
    <s v="Shenzhen"/>
    <x v="0"/>
    <n v="30"/>
    <m/>
    <n v="200"/>
    <n v="1"/>
    <n v="0.64088261553505377"/>
    <n v="2"/>
    <n v="0.59777142857142862"/>
    <n v="7"/>
    <n v="0.49715800775521962"/>
    <n v="11"/>
    <n v="0.53908108698024659"/>
    <n v="0"/>
    <s v=""/>
    <n v="11"/>
    <n v="0.49463925126288755"/>
    <n v="17"/>
    <n v="0.46904464382481514"/>
    <n v="18"/>
    <n v="0.49994628298486177"/>
    <n v="18"/>
    <n v="0.52363960853611025"/>
    <n v="32"/>
    <n v="0.44321647599072955"/>
    <n v="38"/>
    <n v="0.50725707436374223"/>
    <n v="31"/>
    <n v="0.37649436138576509"/>
    <n v="0"/>
    <s v=""/>
    <n v="0"/>
    <s v=""/>
    <n v="17"/>
    <n v="0.30457040461551238"/>
    <n v="15"/>
    <n v="0.32269792109088447"/>
    <n v="1"/>
    <n v="22"/>
    <n v="0.5419947782147494"/>
    <n v="1.4666666666666666"/>
    <n v="18"/>
    <n v="0.4084416890380605"/>
    <n v="1.2"/>
    <n v="17"/>
    <n v="0.48958391434192589"/>
    <n v="0.73913043478260865"/>
    <n v="12"/>
    <n v="0.35233103230337043"/>
    <n v="0.48"/>
    <n v="12"/>
    <n v="0.39097078026515403"/>
    <n v="0.48"/>
    <m/>
    <m/>
    <m/>
    <m/>
    <m/>
    <m/>
    <m/>
    <m/>
    <m/>
    <n v="20"/>
    <n v="3"/>
    <n v="2"/>
    <n v="200"/>
    <n v="200"/>
    <n v="0"/>
    <n v="141835"/>
    <n v="26671.949999999997"/>
    <n v="14930"/>
    <n v="0"/>
    <n v="85"/>
    <n v="634525"/>
    <n v="28232.469458371586"/>
    <n v="3"/>
    <n v="3"/>
    <n v="0"/>
    <n v="0"/>
    <n v="0"/>
    <n v="0"/>
    <n v="238880"/>
    <n v="26671.949999999997"/>
    <n v="0"/>
    <n v="0"/>
    <n v="85"/>
    <n v="634525"/>
    <n v="0"/>
    <n v="10"/>
    <n v="193"/>
    <n v="17"/>
    <n v="0"/>
    <n v="0"/>
    <n v="372239.75"/>
    <n v="1440745"/>
    <n v="126905"/>
    <n v="0"/>
    <n v="85"/>
    <n v="634525"/>
    <n v="285571.42857142858"/>
    <n v="15"/>
    <n v="188"/>
    <n v="15"/>
    <n v="0"/>
    <n v="0"/>
    <n v="1671442.2"/>
    <n v="111975"/>
    <x v="0"/>
    <x v="0"/>
    <n v="85"/>
    <n v="634525"/>
    <n v="251974.78991596639"/>
    <n v="15"/>
    <n v="107"/>
    <n v="15"/>
    <m/>
    <n v="0"/>
    <n v="0"/>
    <n v="798755"/>
    <n v="133359.75"/>
    <x v="0"/>
    <n v="0"/>
    <n v="85"/>
    <n v="634525"/>
    <n v="251974.78991596639"/>
    <n v="15"/>
    <n v="103"/>
    <n v="18"/>
    <m/>
    <n v="0"/>
    <n v="0"/>
    <n v="768895"/>
    <n v="160031.69999999998"/>
    <n v="0"/>
    <n v="0"/>
    <n v="103"/>
    <n v="634525"/>
    <n v="302369.74789915967"/>
    <n v="23"/>
    <n v="102"/>
    <n v="17"/>
    <n v="0"/>
    <n v="0"/>
    <n v="0"/>
    <n v="761430"/>
    <n v="151141.04999999999"/>
    <n v="0"/>
    <n v="0"/>
    <n v="102"/>
    <n v="634525"/>
    <n v="285571.42857142858"/>
    <n v="25"/>
    <n v="97"/>
    <n v="12"/>
    <n v="0"/>
    <n v="0"/>
    <n v="0"/>
    <n v="724105"/>
    <n v="106687.79999999999"/>
    <n v="0"/>
    <n v="0"/>
    <n v="97"/>
    <n v="724105"/>
    <n v="201579.83193277312"/>
    <n v="25"/>
    <n v="97"/>
    <n v="18"/>
    <n v="0"/>
    <n v="0"/>
    <n v="0"/>
    <n v="862393.04999999993"/>
    <n v="160031.69999999998"/>
    <n v="0"/>
    <n v="0"/>
    <n v="85"/>
    <n v="634525"/>
    <n v="302369.74789915967"/>
    <n v="35"/>
    <n v="79"/>
    <n v="35"/>
    <n v="0"/>
    <n v="0"/>
    <n v="0"/>
    <m/>
    <n v="702361.35"/>
    <n v="311172.75"/>
    <n v="0"/>
    <n v="0"/>
    <n v="79"/>
    <n v="702361.35"/>
    <n v="529117.6470588235"/>
    <n v="32"/>
    <n v="44"/>
    <n v="32"/>
    <m/>
    <n v="0"/>
    <n v="0"/>
    <n v="391188.6"/>
    <n v="284500.8"/>
    <n v="0"/>
    <n v="0"/>
    <n v="44"/>
    <n v="391188.6"/>
    <n v="483764.70588235295"/>
    <n v="35"/>
    <n v="12"/>
    <n v="12"/>
    <n v="0"/>
    <n v="0"/>
    <n v="106687.79999999999"/>
    <n v="106687.79999999999"/>
    <n v="0"/>
    <n v="0"/>
    <n v="12"/>
    <n v="106687.79999999999"/>
    <n v="201579.83193277312"/>
    <n v="19.2"/>
    <n v="0"/>
    <n v="19.2"/>
    <n v="0"/>
    <m/>
    <n v="0"/>
    <n v="143328"/>
    <n v="0"/>
    <n v="0"/>
    <n v="0"/>
    <n v="322527.731092437"/>
  </r>
  <r>
    <s v="Lhotse-Audio Menor"/>
    <x v="4"/>
    <x v="15"/>
    <x v="37"/>
    <s v="LHPARPULS"/>
    <x v="215"/>
    <x v="205"/>
    <x v="0"/>
    <x v="2"/>
    <n v="1"/>
    <x v="146"/>
    <n v="11"/>
    <m/>
    <n v="0"/>
    <n v="8447"/>
    <n v="92917"/>
    <n v="8.59"/>
    <n v="9384.5749999999989"/>
    <n v="16798.319327731093"/>
    <n v="15117.64705882353"/>
    <s v="Shenzhen"/>
    <x v="0"/>
    <n v="30"/>
    <m/>
    <n v="200"/>
    <n v="2"/>
    <n v="0.60822498106089895"/>
    <n v="0"/>
    <n v="0.59777142857142862"/>
    <n v="7"/>
    <n v="0.49716125092939828"/>
    <n v="1"/>
    <n v="0.6409284135351131"/>
    <n v="2"/>
    <n v="0.59777142857142862"/>
    <n v="17"/>
    <n v="0.46242360370064634"/>
    <n v="12"/>
    <n v="0.43710119137591918"/>
    <n v="12"/>
    <n v="0.46694693055098774"/>
    <n v="4"/>
    <n v="0.49716159231372042"/>
    <n v="14"/>
    <n v="0.38071262060828132"/>
    <n v="15"/>
    <n v="0.48949463348569489"/>
    <n v="97"/>
    <n v="0.43991517974787081"/>
    <n v="1"/>
    <n v="0.49714253833899141"/>
    <n v="2"/>
    <n v="0.23505650515868345"/>
    <n v="3"/>
    <n v="0.30938946282523827"/>
    <n v="2"/>
    <n v="0.23629492600195001"/>
    <n v="0"/>
    <n v="0"/>
    <s v=""/>
    <n v="0"/>
    <n v="4"/>
    <n v="0.2089779072102832"/>
    <n v="0"/>
    <n v="0"/>
    <s v=""/>
    <n v="0"/>
    <n v="0"/>
    <s v=""/>
    <n v="0"/>
    <n v="0"/>
    <s v=""/>
    <n v="0"/>
    <m/>
    <m/>
    <m/>
    <m/>
    <m/>
    <m/>
    <m/>
    <m/>
    <m/>
    <n v="12"/>
    <n v="2"/>
    <n v="2"/>
    <n v="0"/>
    <n v="0"/>
    <n v="0"/>
    <n v="67576"/>
    <n v="17781.3"/>
    <n v="16894"/>
    <n v="0"/>
    <n v="11"/>
    <n v="92917"/>
    <n v="28232.469458371586"/>
    <n v="3"/>
    <n v="5"/>
    <n v="3"/>
    <n v="0"/>
    <n v="0"/>
    <n v="0"/>
    <n v="67576"/>
    <n v="44453.25"/>
    <n v="25341"/>
    <n v="0"/>
    <n v="11"/>
    <n v="92917"/>
    <n v="42348.704187557378"/>
    <n v="0"/>
    <n v="3"/>
    <n v="3"/>
    <n v="0"/>
    <n v="0"/>
    <n v="60016.3"/>
    <n v="25341"/>
    <n v="25341"/>
    <n v="0"/>
    <n v="11"/>
    <n v="92917"/>
    <n v="50394.957983193279"/>
    <n v="0"/>
    <n v="14"/>
    <n v="2"/>
    <n v="0"/>
    <n v="0"/>
    <n v="124469.09999999999"/>
    <n v="16894"/>
    <x v="0"/>
    <x v="0"/>
    <n v="11"/>
    <n v="92917"/>
    <n v="33596.638655462186"/>
    <n v="2"/>
    <n v="11"/>
    <n v="2"/>
    <m/>
    <n v="0"/>
    <n v="0"/>
    <n v="92917"/>
    <n v="17781.3"/>
    <x v="0"/>
    <n v="0"/>
    <n v="11"/>
    <n v="92917"/>
    <n v="33596.638655462186"/>
    <n v="0"/>
    <n v="15"/>
    <n v="4"/>
    <m/>
    <n v="0"/>
    <n v="0"/>
    <n v="126705"/>
    <n v="35562.6"/>
    <n v="0"/>
    <n v="0"/>
    <n v="15"/>
    <n v="92917"/>
    <n v="67193.277310924372"/>
    <n v="0"/>
    <n v="11"/>
    <n v="0"/>
    <n v="0"/>
    <n v="0"/>
    <n v="0"/>
    <n v="92917"/>
    <n v="0"/>
    <n v="0"/>
    <n v="0"/>
    <n v="11"/>
    <n v="92917"/>
    <n v="0"/>
    <n v="0"/>
    <n v="11"/>
    <n v="0"/>
    <n v="0"/>
    <n v="0"/>
    <n v="0"/>
    <n v="92917"/>
    <n v="0"/>
    <n v="0"/>
    <n v="0"/>
    <n v="11"/>
    <n v="92917"/>
    <n v="0"/>
    <n v="0"/>
    <n v="11"/>
    <n v="0"/>
    <n v="0"/>
    <n v="0"/>
    <n v="0"/>
    <n v="97797.15"/>
    <n v="0"/>
    <n v="0"/>
    <n v="0"/>
    <n v="11"/>
    <n v="92917"/>
    <n v="0"/>
    <n v="0"/>
    <n v="11"/>
    <n v="0"/>
    <n v="0"/>
    <n v="0"/>
    <n v="0"/>
    <m/>
    <n v="97797.15"/>
    <n v="0"/>
    <n v="0"/>
    <n v="0"/>
    <n v="11"/>
    <n v="97797.15"/>
    <n v="0"/>
    <n v="0"/>
    <n v="11"/>
    <n v="0"/>
    <m/>
    <n v="0"/>
    <n v="0"/>
    <n v="97797.15"/>
    <n v="0"/>
    <n v="0"/>
    <n v="0"/>
    <n v="11"/>
    <n v="97797.15"/>
    <n v="0"/>
    <n v="0"/>
    <n v="11"/>
    <n v="0"/>
    <n v="0"/>
    <n v="0"/>
    <n v="97797.15"/>
    <n v="0"/>
    <n v="0"/>
    <n v="0"/>
    <n v="11"/>
    <n v="97797.15"/>
    <n v="0"/>
    <n v="0"/>
    <n v="11"/>
    <n v="0"/>
    <n v="0"/>
    <m/>
    <n v="97797.15"/>
    <n v="0"/>
    <n v="0"/>
    <n v="11"/>
    <n v="97797.15"/>
    <n v="0"/>
  </r>
  <r>
    <s v="Lhotse-Audio Menor"/>
    <x v="4"/>
    <x v="15"/>
    <x v="37"/>
    <s v="LHPARPULS"/>
    <x v="216"/>
    <x v="206"/>
    <x v="0"/>
    <x v="2"/>
    <n v="0.5"/>
    <x v="147"/>
    <n v="99"/>
    <m/>
    <n v="0"/>
    <n v="7589"/>
    <n v="751311"/>
    <n v="8.59"/>
    <n v="9384.5749999999989"/>
    <n v="16798.319327731093"/>
    <n v="15117.64705882353"/>
    <s v="Shenzhen"/>
    <x v="0"/>
    <n v="30"/>
    <m/>
    <n v="200"/>
    <n v="1"/>
    <n v="0.6409284135351131"/>
    <n v="2"/>
    <n v="0.55305949310804803"/>
    <n v="14"/>
    <n v="0.4971619548358831"/>
    <n v="2"/>
    <n v="0.48005827194944295"/>
    <n v="4"/>
    <n v="0.64092841353511298"/>
    <n v="21"/>
    <n v="0.42538837921573169"/>
    <n v="11"/>
    <n v="0.49717239713301442"/>
    <n v="14"/>
    <n v="0.49716134076742269"/>
    <n v="12"/>
    <n v="0.4971623888753357"/>
    <n v="35"/>
    <n v="0.44932858803008791"/>
    <n v="8"/>
    <n v="0.49715383636034827"/>
    <n v="26"/>
    <n v="0.49521850065383494"/>
    <n v="0"/>
    <s v=""/>
    <n v="4"/>
    <n v="0.37594546983253907"/>
    <n v="9"/>
    <n v="0.30626762282763709"/>
    <n v="6"/>
    <n v="0.28283323636955648"/>
    <n v="0.4"/>
    <n v="4"/>
    <n v="0.56974537919207324"/>
    <n v="0.36363636363636365"/>
    <n v="6"/>
    <n v="0.33255409051115753"/>
    <n v="0.24"/>
    <n v="7"/>
    <n v="0.53487582209013196"/>
    <n v="0.58333333333333337"/>
    <n v="5"/>
    <n v="0.27051960702478334"/>
    <n v="0.5"/>
    <n v="6"/>
    <n v="0.30328289712773338"/>
    <n v="0.75"/>
    <m/>
    <m/>
    <m/>
    <m/>
    <m/>
    <m/>
    <m/>
    <m/>
    <m/>
    <n v="15"/>
    <n v="11"/>
    <n v="2"/>
    <n v="100"/>
    <n v="100"/>
    <n v="0"/>
    <n v="129013"/>
    <n v="97797.15"/>
    <n v="15178"/>
    <n v="0"/>
    <n v="99"/>
    <n v="751311"/>
    <n v="28232.469458371586"/>
    <n v="3"/>
    <n v="17"/>
    <n v="6"/>
    <n v="0"/>
    <n v="0"/>
    <n v="0"/>
    <n v="159369"/>
    <n v="151141.04999999999"/>
    <n v="45534"/>
    <n v="0"/>
    <n v="99"/>
    <n v="751311"/>
    <n v="84697.408375114755"/>
    <n v="20"/>
    <n v="108"/>
    <n v="9"/>
    <n v="0"/>
    <n v="0"/>
    <n v="162733.57500000001"/>
    <n v="819612"/>
    <n v="68301"/>
    <n v="0"/>
    <n v="99"/>
    <n v="751311"/>
    <n v="151184.87394957984"/>
    <n v="15"/>
    <n v="109"/>
    <n v="6"/>
    <n v="0"/>
    <n v="0"/>
    <n v="969080.85"/>
    <n v="45534"/>
    <x v="0"/>
    <x v="0"/>
    <n v="99"/>
    <n v="751311"/>
    <n v="100789.91596638656"/>
    <n v="11"/>
    <n v="103"/>
    <n v="5.5"/>
    <m/>
    <n v="0"/>
    <n v="0"/>
    <n v="781667"/>
    <n v="48898.574999999997"/>
    <x v="0"/>
    <n v="0"/>
    <n v="99"/>
    <n v="751311"/>
    <n v="92390.756302521011"/>
    <n v="25"/>
    <n v="105"/>
    <n v="6"/>
    <m/>
    <n v="0"/>
    <n v="0"/>
    <n v="796845"/>
    <n v="53343.899999999994"/>
    <n v="0"/>
    <n v="0"/>
    <n v="105"/>
    <n v="751311"/>
    <n v="100789.91596638656"/>
    <n v="12"/>
    <n v="106"/>
    <n v="7"/>
    <n v="0"/>
    <n v="0"/>
    <n v="0"/>
    <n v="804434"/>
    <n v="62234.549999999996"/>
    <n v="0"/>
    <n v="0"/>
    <n v="106"/>
    <n v="751311"/>
    <n v="117588.23529411765"/>
    <n v="10"/>
    <n v="104"/>
    <n v="5"/>
    <n v="0"/>
    <n v="0"/>
    <n v="0"/>
    <n v="789256"/>
    <n v="44453.25"/>
    <n v="0"/>
    <n v="0"/>
    <n v="104"/>
    <n v="789256"/>
    <n v="83991.596638655465"/>
    <n v="8"/>
    <n v="105"/>
    <n v="7.5"/>
    <n v="0"/>
    <n v="0"/>
    <n v="0"/>
    <n v="933518.25"/>
    <n v="66679.875"/>
    <n v="0"/>
    <n v="0"/>
    <n v="99"/>
    <n v="751311"/>
    <n v="125987.3949579832"/>
    <n v="35"/>
    <n v="97.5"/>
    <n v="17.5"/>
    <n v="0"/>
    <n v="0"/>
    <n v="0"/>
    <m/>
    <n v="866838.375"/>
    <n v="155586.375"/>
    <n v="0"/>
    <n v="0"/>
    <n v="97.5"/>
    <n v="866838.375"/>
    <n v="264558.82352941175"/>
    <n v="30"/>
    <n v="80"/>
    <n v="15"/>
    <m/>
    <n v="0"/>
    <n v="0"/>
    <n v="711252"/>
    <n v="133359.75"/>
    <n v="0"/>
    <n v="0"/>
    <n v="80"/>
    <n v="711252"/>
    <n v="226764.70588235295"/>
    <n v="35"/>
    <n v="65"/>
    <n v="17.5"/>
    <n v="0"/>
    <n v="0"/>
    <n v="577892.25"/>
    <n v="155586.375"/>
    <n v="0"/>
    <n v="0"/>
    <n v="65"/>
    <n v="577892.25"/>
    <n v="293970.5882352941"/>
    <n v="18"/>
    <n v="47.5"/>
    <n v="9"/>
    <n v="0"/>
    <m/>
    <n v="422305.875"/>
    <n v="68301"/>
    <n v="0"/>
    <n v="47.5"/>
    <n v="422305.875"/>
    <n v="151184.87394957984"/>
  </r>
  <r>
    <s v="Lhotse-Audio Menor"/>
    <x v="4"/>
    <x v="15"/>
    <x v="37"/>
    <s v="LHPARTRGO"/>
    <x v="217"/>
    <x v="207"/>
    <x v="0"/>
    <x v="3"/>
    <n v="1"/>
    <x v="148"/>
    <n v="284"/>
    <m/>
    <n v="0"/>
    <n v="5551"/>
    <n v="1576484"/>
    <n v="5.4"/>
    <n v="5899.4999999999991"/>
    <n v="12596.638655462186"/>
    <n v="10915.966386554623"/>
    <s v="Shenzhen"/>
    <x v="0"/>
    <n v="30"/>
    <m/>
    <n v="1000"/>
    <n v="4"/>
    <n v="0.61158441038255207"/>
    <n v="21"/>
    <n v="0.49463500788589221"/>
    <n v="23"/>
    <n v="0.54874791230312048"/>
    <n v="14"/>
    <n v="0.38191365385048032"/>
    <n v="71"/>
    <n v="0.42699751396066171"/>
    <n v="49"/>
    <n v="0.67627389821986994"/>
    <n v="76"/>
    <n v="0.36818901589803366"/>
    <n v="50"/>
    <n v="0.34534789759575746"/>
    <n v="36"/>
    <n v="0.32276827207991465"/>
    <n v="112"/>
    <n v="0.33784730117526784"/>
    <n v="218"/>
    <n v="0.31317175955470028"/>
    <n v="253"/>
    <n v="0.44197303889023321"/>
    <n v="40"/>
    <n v="0.3159401468996948"/>
    <n v="20"/>
    <n v="0.30299324946539485"/>
    <n v="10"/>
    <n v="0.33995856011205638"/>
    <n v="20"/>
    <n v="0.29331439843112567"/>
    <n v="0"/>
    <n v="1"/>
    <n v="0.53268178785857234"/>
    <n v="0"/>
    <n v="12"/>
    <n v="0.22034141255062129"/>
    <n v="0"/>
    <n v="17"/>
    <n v="0.42616766005425483"/>
    <n v="0"/>
    <n v="10"/>
    <n v="0.23396016706967473"/>
    <n v="0"/>
    <n v="24"/>
    <n v="0.15200874349184673"/>
    <n v="0"/>
    <m/>
    <m/>
    <m/>
    <m/>
    <m/>
    <m/>
    <m/>
    <m/>
    <m/>
    <n v="80"/>
    <n v="42"/>
    <n v="42"/>
    <n v="0"/>
    <n v="0"/>
    <n v="0"/>
    <n v="455182"/>
    <n v="234738"/>
    <n v="233142"/>
    <n v="0"/>
    <n v="284"/>
    <n v="1576484"/>
    <n v="444587.24666337128"/>
    <n v="0"/>
    <n v="25"/>
    <n v="30"/>
    <n v="0"/>
    <n v="0"/>
    <n v="0"/>
    <n v="333060"/>
    <n v="139725"/>
    <n v="166530"/>
    <n v="0"/>
    <n v="284"/>
    <n v="1576484"/>
    <n v="317562.31904526521"/>
    <n v="0"/>
    <n v="5"/>
    <n v="10"/>
    <n v="0"/>
    <n v="0"/>
    <n v="166530"/>
    <n v="27755"/>
    <n v="55510"/>
    <n v="0"/>
    <n v="284"/>
    <n v="1576484"/>
    <n v="125966.38655462186"/>
    <n v="0"/>
    <n v="28"/>
    <n v="20"/>
    <n v="0"/>
    <n v="0"/>
    <n v="156492"/>
    <n v="111020"/>
    <x v="0"/>
    <x v="0"/>
    <n v="284"/>
    <n v="1576484"/>
    <n v="251932.77310924372"/>
    <n v="0"/>
    <n v="285"/>
    <n v="0"/>
    <m/>
    <n v="0"/>
    <n v="0"/>
    <n v="1582035"/>
    <n v="0"/>
    <x v="0"/>
    <n v="0"/>
    <n v="284"/>
    <n v="1576484"/>
    <n v="0"/>
    <n v="0"/>
    <n v="296"/>
    <n v="12"/>
    <m/>
    <n v="0"/>
    <n v="0"/>
    <n v="1643096"/>
    <n v="67068"/>
    <n v="0"/>
    <n v="0"/>
    <n v="296"/>
    <n v="1576484"/>
    <n v="151159.66386554623"/>
    <n v="0"/>
    <n v="301"/>
    <n v="17"/>
    <n v="300"/>
    <n v="300"/>
    <n v="0"/>
    <n v="1670851"/>
    <n v="95013"/>
    <n v="1620810"/>
    <n v="0"/>
    <n v="301"/>
    <n v="1576484"/>
    <n v="214142.85714285716"/>
    <n v="0"/>
    <n v="294"/>
    <n v="10"/>
    <n v="0"/>
    <n v="0"/>
    <n v="0"/>
    <n v="1631994"/>
    <n v="55890"/>
    <n v="0"/>
    <n v="0"/>
    <n v="294"/>
    <n v="1631994"/>
    <n v="125966.38655462186"/>
    <n v="0"/>
    <n v="308"/>
    <n v="28.5"/>
    <n v="0"/>
    <n v="0"/>
    <n v="0"/>
    <n v="1721412"/>
    <n v="159286.5"/>
    <n v="0"/>
    <n v="0"/>
    <n v="284"/>
    <n v="1576484"/>
    <n v="359004.2016806723"/>
    <n v="11"/>
    <n v="279.5"/>
    <n v="11"/>
    <n v="0"/>
    <n v="0"/>
    <n v="0"/>
    <m/>
    <n v="1562125.5"/>
    <n v="61479"/>
    <n v="0"/>
    <n v="0"/>
    <n v="279.5"/>
    <n v="1562125.5"/>
    <n v="120075.63025210085"/>
    <n v="0"/>
    <n v="268.5"/>
    <n v="0"/>
    <m/>
    <n v="0"/>
    <n v="0"/>
    <n v="1500646.5"/>
    <n v="0"/>
    <n v="0"/>
    <n v="0"/>
    <n v="268.5"/>
    <n v="1500646.5"/>
    <n v="0"/>
    <n v="0"/>
    <n v="268.5"/>
    <n v="0"/>
    <n v="0"/>
    <n v="0"/>
    <n v="1500646.5"/>
    <n v="0"/>
    <n v="0"/>
    <n v="0"/>
    <n v="268.5"/>
    <n v="1500646.5"/>
    <n v="0"/>
    <n v="0"/>
    <n v="268.5"/>
    <n v="0"/>
    <n v="0"/>
    <m/>
    <n v="1500646.5"/>
    <n v="0"/>
    <n v="0"/>
    <n v="268.5"/>
    <n v="1500646.5"/>
    <n v="0"/>
  </r>
  <r>
    <s v="Lhotse-Audio Menor"/>
    <x v="4"/>
    <x v="15"/>
    <x v="37"/>
    <s v="LHPARTRGO"/>
    <x v="218"/>
    <x v="208"/>
    <x v="0"/>
    <x v="3"/>
    <n v="1"/>
    <x v="149"/>
    <n v="274"/>
    <m/>
    <n v="0"/>
    <n v="5544"/>
    <n v="1519056"/>
    <n v="5.4"/>
    <n v="5899.4999999999991"/>
    <n v="12596.638655462186"/>
    <n v="10915.966386554623"/>
    <s v="Shenzhen"/>
    <x v="0"/>
    <n v="30"/>
    <m/>
    <n v="1000"/>
    <n v="14"/>
    <n v="0.66342749543489099"/>
    <n v="6"/>
    <n v="0.46025073642371367"/>
    <n v="27"/>
    <n v="0.54561803501503281"/>
    <n v="6"/>
    <n v="0.56870161113946194"/>
    <n v="8"/>
    <n v="0.52323958417277783"/>
    <n v="44"/>
    <n v="0.50313115054336854"/>
    <n v="104"/>
    <n v="0.39956173212101603"/>
    <n v="107"/>
    <n v="0.30527179283558598"/>
    <n v="52"/>
    <n v="0.32337701363949134"/>
    <n v="103"/>
    <n v="0.3955813516722535"/>
    <n v="129"/>
    <n v="0.38081951145838755"/>
    <n v="263"/>
    <n v="0.44860307611872519"/>
    <n v="103"/>
    <n v="0.35461938796005654"/>
    <n v="21"/>
    <n v="0.30307536069019725"/>
    <n v="2"/>
    <n v="0.23527609835702465"/>
    <n v="4"/>
    <n v="0.22573323247073868"/>
    <n v="0"/>
    <n v="0"/>
    <s v=""/>
    <n v="0"/>
    <n v="1"/>
    <n v="8.0615858352578902E-3"/>
    <n v="0"/>
    <n v="0"/>
    <s v=""/>
    <n v="0"/>
    <n v="4"/>
    <n v="0.1767150996456924"/>
    <n v="0"/>
    <n v="22"/>
    <n v="0.23553386635172263"/>
    <n v="0"/>
    <m/>
    <m/>
    <m/>
    <m/>
    <m/>
    <m/>
    <m/>
    <m/>
    <m/>
    <n v="60"/>
    <n v="133"/>
    <n v="120"/>
    <n v="0"/>
    <n v="0"/>
    <n v="0"/>
    <n v="851004"/>
    <n v="743337"/>
    <n v="665280"/>
    <n v="0"/>
    <n v="274"/>
    <n v="1519056"/>
    <n v="1270249.2761810608"/>
    <n v="15"/>
    <n v="27"/>
    <n v="31.5"/>
    <n v="0"/>
    <n v="0"/>
    <n v="0"/>
    <n v="207900"/>
    <n v="150903"/>
    <n v="174636"/>
    <n v="0"/>
    <n v="274"/>
    <n v="1519056"/>
    <n v="333440.4349975285"/>
    <n v="0"/>
    <n v="6"/>
    <n v="2"/>
    <n v="0"/>
    <n v="0"/>
    <n v="33264"/>
    <n v="33264"/>
    <n v="11088"/>
    <n v="0"/>
    <n v="274"/>
    <n v="1519056"/>
    <n v="25193.277310924372"/>
    <n v="0"/>
    <n v="7"/>
    <n v="4"/>
    <n v="0"/>
    <n v="0"/>
    <n v="39123"/>
    <n v="22176"/>
    <x v="0"/>
    <x v="0"/>
    <n v="274"/>
    <n v="1519056"/>
    <n v="50386.554621848743"/>
    <n v="0"/>
    <n v="274"/>
    <n v="0"/>
    <m/>
    <n v="0"/>
    <n v="0"/>
    <n v="1519056"/>
    <n v="0"/>
    <x v="0"/>
    <n v="0"/>
    <n v="274"/>
    <n v="1519056"/>
    <n v="0"/>
    <n v="0"/>
    <n v="275"/>
    <n v="1"/>
    <m/>
    <n v="0"/>
    <n v="0"/>
    <n v="1524600"/>
    <n v="5589"/>
    <n v="0"/>
    <n v="0"/>
    <n v="275"/>
    <n v="1519056"/>
    <n v="12596.638655462186"/>
    <n v="0"/>
    <n v="274"/>
    <n v="0"/>
    <n v="300"/>
    <n v="300"/>
    <n v="0"/>
    <n v="1519056"/>
    <n v="0"/>
    <n v="1620810"/>
    <n v="0"/>
    <n v="274"/>
    <n v="1519056"/>
    <n v="0"/>
    <n v="0"/>
    <n v="278"/>
    <n v="4"/>
    <n v="0"/>
    <n v="0"/>
    <n v="0"/>
    <n v="1541232"/>
    <n v="22356"/>
    <n v="0"/>
    <n v="0"/>
    <n v="278"/>
    <n v="1541232"/>
    <n v="50386.554621848743"/>
    <n v="0"/>
    <n v="296"/>
    <n v="24"/>
    <n v="0"/>
    <n v="0"/>
    <n v="0"/>
    <n v="1654344"/>
    <n v="134136"/>
    <n v="0"/>
    <n v="0"/>
    <n v="274"/>
    <n v="1519056"/>
    <n v="302319.32773109246"/>
    <n v="28"/>
    <n v="272"/>
    <n v="28"/>
    <n v="0"/>
    <n v="0"/>
    <n v="0"/>
    <m/>
    <n v="1520208"/>
    <n v="156492"/>
    <n v="0"/>
    <n v="0"/>
    <n v="272"/>
    <n v="1520208"/>
    <n v="305647.05882352946"/>
    <n v="0"/>
    <n v="244"/>
    <n v="0"/>
    <m/>
    <n v="0"/>
    <n v="0"/>
    <n v="1363716"/>
    <n v="0"/>
    <n v="0"/>
    <n v="0"/>
    <n v="244"/>
    <n v="1363716"/>
    <n v="0"/>
    <n v="0"/>
    <n v="244"/>
    <n v="0"/>
    <n v="0"/>
    <n v="0"/>
    <n v="1363716"/>
    <n v="0"/>
    <n v="0"/>
    <n v="0"/>
    <n v="244"/>
    <n v="1363716"/>
    <n v="0"/>
    <n v="0"/>
    <n v="244"/>
    <n v="0"/>
    <n v="0"/>
    <m/>
    <n v="1363716"/>
    <n v="0"/>
    <n v="0"/>
    <n v="244"/>
    <n v="1363716"/>
    <n v="0"/>
  </r>
  <r>
    <s v="Lhotse-Audio Menor"/>
    <x v="4"/>
    <x v="15"/>
    <x v="37"/>
    <s v="LHPARTRGO"/>
    <x v="219"/>
    <x v="209"/>
    <x v="0"/>
    <x v="2"/>
    <n v="1"/>
    <x v="150"/>
    <n v="45"/>
    <m/>
    <n v="0"/>
    <n v="5754"/>
    <n v="258930"/>
    <n v="5.4"/>
    <n v="5899.4999999999991"/>
    <n v="12596.638655462186"/>
    <n v="10915.966386554623"/>
    <s v="Shenzhen"/>
    <x v="0"/>
    <n v="30"/>
    <m/>
    <n v="1000"/>
    <n v="11"/>
    <n v="0.66217179344153743"/>
    <n v="21"/>
    <n v="0.59967245641808042"/>
    <n v="21"/>
    <n v="0.61878024651740215"/>
    <n v="8"/>
    <n v="0.61969196349906719"/>
    <n v="12"/>
    <n v="0.57135785842350739"/>
    <n v="27"/>
    <n v="0.47360190799844798"/>
    <n v="28"/>
    <n v="0.35637648051577986"/>
    <n v="73"/>
    <n v="0.30265178705920037"/>
    <n v="30"/>
    <n v="0.38185158315680923"/>
    <n v="49"/>
    <n v="0.38433287620671974"/>
    <n v="101"/>
    <n v="0.29081556694303345"/>
    <n v="234"/>
    <n v="0.43209484698484935"/>
    <n v="27"/>
    <n v="0.37203624477098424"/>
    <n v="23"/>
    <n v="0.25073689581340852"/>
    <n v="36"/>
    <n v="0.34645583013049608"/>
    <n v="37"/>
    <n v="0.29946302658598456"/>
    <n v="0.6166666666666667"/>
    <n v="49"/>
    <n v="0.54901962260295878"/>
    <n v="1.6333333333333333"/>
    <n v="154"/>
    <n v="0.25645373430028301"/>
    <n v="3.08"/>
    <n v="23"/>
    <n v="0.4948970048388715"/>
    <n v="0.54761904761904767"/>
    <n v="42"/>
    <n v="0.34026502073149556"/>
    <n v="0.55263157894736847"/>
    <n v="18"/>
    <n v="0.36265935013106965"/>
    <n v="0.40909090909090912"/>
    <m/>
    <m/>
    <m/>
    <m/>
    <m/>
    <m/>
    <m/>
    <m/>
    <m/>
    <n v="70"/>
    <n v="424"/>
    <n v="90"/>
    <n v="0"/>
    <n v="0"/>
    <n v="0"/>
    <n v="923517"/>
    <n v="2369736"/>
    <n v="517860"/>
    <n v="0"/>
    <n v="45"/>
    <n v="258930"/>
    <n v="952686.95713579562"/>
    <n v="80"/>
    <n v="398"/>
    <n v="34.5"/>
    <n v="0"/>
    <n v="0"/>
    <n v="0"/>
    <n v="618555"/>
    <n v="2224422"/>
    <n v="198513"/>
    <n v="0"/>
    <n v="45"/>
    <n v="258930"/>
    <n v="365196.66690205497"/>
    <n v="60"/>
    <n v="373"/>
    <n v="36"/>
    <n v="0"/>
    <n v="0"/>
    <n v="587712"/>
    <n v="2146242"/>
    <n v="207144"/>
    <n v="0"/>
    <n v="45"/>
    <n v="258930"/>
    <n v="453478.99159663869"/>
    <n v="60"/>
    <n v="346"/>
    <n v="37"/>
    <n v="0"/>
    <n v="0"/>
    <n v="1933794"/>
    <n v="212898"/>
    <x v="0"/>
    <x v="0"/>
    <n v="45"/>
    <n v="258930"/>
    <n v="466075.63025210088"/>
    <n v="30"/>
    <n v="94"/>
    <n v="30"/>
    <m/>
    <n v="0"/>
    <n v="0"/>
    <n v="540876"/>
    <n v="167670"/>
    <x v="0"/>
    <n v="0"/>
    <n v="45"/>
    <n v="258930"/>
    <n v="377899.15966386558"/>
    <n v="50"/>
    <n v="199"/>
    <n v="154"/>
    <m/>
    <n v="0"/>
    <n v="0"/>
    <n v="1145046"/>
    <n v="860706"/>
    <n v="0"/>
    <n v="0"/>
    <n v="199"/>
    <n v="258930"/>
    <n v="1939882.3529411766"/>
    <n v="42"/>
    <n v="68"/>
    <n v="23"/>
    <n v="0"/>
    <n v="0"/>
    <n v="0"/>
    <n v="391272"/>
    <n v="128547"/>
    <n v="0"/>
    <n v="0"/>
    <n v="68"/>
    <n v="258930"/>
    <n v="289722.68907563027"/>
    <n v="76"/>
    <n v="87"/>
    <n v="43"/>
    <n v="0"/>
    <n v="0"/>
    <n v="0"/>
    <n v="500598"/>
    <n v="240327"/>
    <n v="0"/>
    <n v="0"/>
    <n v="87"/>
    <n v="500598"/>
    <n v="541655.46218487399"/>
    <n v="44"/>
    <n v="63"/>
    <n v="27"/>
    <n v="0"/>
    <n v="0"/>
    <n v="0"/>
    <n v="352107"/>
    <n v="150903"/>
    <n v="0"/>
    <n v="0"/>
    <n v="45"/>
    <n v="258930"/>
    <n v="340109.24369747902"/>
    <n v="50"/>
    <n v="36"/>
    <n v="36"/>
    <n v="0"/>
    <n v="0"/>
    <n v="0"/>
    <m/>
    <n v="201204"/>
    <n v="201204"/>
    <n v="0"/>
    <n v="0"/>
    <n v="36"/>
    <n v="201204"/>
    <n v="392974.78991596639"/>
    <n v="13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Audio Menor"/>
    <x v="4"/>
    <x v="15"/>
    <x v="37"/>
    <s v="LHPARTRGO"/>
    <x v="220"/>
    <x v="210"/>
    <x v="0"/>
    <x v="3"/>
    <n v="0.8"/>
    <x v="151"/>
    <n v="375"/>
    <m/>
    <n v="0"/>
    <n v="5933"/>
    <n v="2224875"/>
    <n v="5.4"/>
    <n v="5899.4999999999991"/>
    <n v="12596.638655462186"/>
    <n v="10915.966386554623"/>
    <s v="Shenzhen"/>
    <x v="0"/>
    <n v="30"/>
    <m/>
    <n v="1000"/>
    <n v="4"/>
    <n v="0.58961151072209228"/>
    <n v="5"/>
    <n v="0.59959999774598671"/>
    <n v="5"/>
    <n v="0.55292282244076119"/>
    <n v="8"/>
    <n v="0.58173712686390311"/>
    <n v="6"/>
    <n v="0.5664113193556306"/>
    <n v="75"/>
    <n v="0.42661552807664993"/>
    <n v="38"/>
    <n v="0.35062820802145667"/>
    <n v="66"/>
    <n v="0.25069163164521396"/>
    <n v="25"/>
    <n v="0.35176586556297995"/>
    <n v="40"/>
    <n v="0.37015803994874724"/>
    <n v="57"/>
    <n v="0.37147361168646587"/>
    <n v="120"/>
    <n v="0.48421588998599585"/>
    <n v="27"/>
    <n v="0.25917230145410691"/>
    <n v="27"/>
    <n v="0.2917367771919111"/>
    <n v="19"/>
    <n v="0.3844044465407076"/>
    <n v="19"/>
    <n v="0.31598067238682603"/>
    <n v="0.47499999999999998"/>
    <n v="12"/>
    <n v="0.49476941610061842"/>
    <n v="0.4"/>
    <n v="18"/>
    <n v="0.32624706302104178"/>
    <n v="0.25714285714285712"/>
    <n v="7"/>
    <n v="0.43148321335570827"/>
    <n v="0.12962962962962962"/>
    <n v="20"/>
    <n v="0.22013832396777916"/>
    <n v="0.33333333333333331"/>
    <n v="10"/>
    <n v="0.14601695270031023"/>
    <n v="0.4"/>
    <m/>
    <m/>
    <m/>
    <m/>
    <m/>
    <m/>
    <m/>
    <m/>
    <m/>
    <n v="40"/>
    <n v="548"/>
    <n v="40"/>
    <n v="0"/>
    <n v="0"/>
    <n v="0"/>
    <n v="590333.5"/>
    <n v="3062772"/>
    <n v="237320"/>
    <n v="0"/>
    <n v="375"/>
    <n v="2224875"/>
    <n v="423416.42539368698"/>
    <n v="40"/>
    <n v="517"/>
    <n v="40.5"/>
    <n v="0"/>
    <n v="0"/>
    <n v="0"/>
    <n v="465740.5"/>
    <n v="2889513"/>
    <n v="240286.5"/>
    <n v="0"/>
    <n v="375"/>
    <n v="2224875"/>
    <n v="428709.13071110804"/>
    <n v="60"/>
    <n v="488"/>
    <n v="19"/>
    <n v="0"/>
    <n v="0"/>
    <n v="359590"/>
    <n v="2895304"/>
    <n v="112727"/>
    <n v="0"/>
    <n v="375"/>
    <n v="2224875"/>
    <n v="239336.13445378153"/>
    <n v="40"/>
    <n v="474"/>
    <n v="19"/>
    <n v="0"/>
    <n v="0"/>
    <n v="2649186"/>
    <n v="112727"/>
    <x v="0"/>
    <x v="0"/>
    <n v="375"/>
    <n v="2224875"/>
    <n v="239336.13445378153"/>
    <n v="30"/>
    <n v="387"/>
    <n v="24"/>
    <m/>
    <n v="0"/>
    <n v="0"/>
    <n v="2296071"/>
    <n v="134136"/>
    <x v="0"/>
    <n v="0"/>
    <n v="375"/>
    <n v="2224875"/>
    <n v="302319.32773109246"/>
    <n v="70"/>
    <n v="393"/>
    <n v="18"/>
    <m/>
    <n v="0"/>
    <n v="0"/>
    <n v="2331669"/>
    <n v="100602"/>
    <n v="0"/>
    <n v="0"/>
    <n v="393"/>
    <n v="2224875"/>
    <n v="226739.49579831935"/>
    <n v="54"/>
    <n v="382"/>
    <n v="7"/>
    <n v="0"/>
    <n v="0"/>
    <n v="0"/>
    <n v="2266406"/>
    <n v="39123"/>
    <n v="0"/>
    <n v="0"/>
    <n v="382"/>
    <n v="2224875"/>
    <n v="88176.470588235301"/>
    <n v="60"/>
    <n v="395"/>
    <n v="20"/>
    <n v="0"/>
    <n v="0"/>
    <n v="0"/>
    <n v="2343535"/>
    <n v="111780"/>
    <n v="0"/>
    <n v="0"/>
    <n v="395"/>
    <n v="2343535"/>
    <n v="251932.77310924372"/>
    <n v="25"/>
    <n v="385"/>
    <n v="10.5"/>
    <n v="0"/>
    <n v="0"/>
    <n v="0"/>
    <n v="2151765"/>
    <n v="58684.5"/>
    <n v="0"/>
    <n v="0"/>
    <n v="375"/>
    <n v="2224875"/>
    <n v="132264.70588235295"/>
    <n v="50"/>
    <n v="374.5"/>
    <n v="40"/>
    <n v="0"/>
    <n v="0"/>
    <n v="0"/>
    <m/>
    <n v="2093080.5"/>
    <n v="223560"/>
    <n v="0"/>
    <n v="0"/>
    <n v="374.5"/>
    <n v="2093080.5"/>
    <n v="436638.65546218492"/>
    <n v="60"/>
    <n v="334.5"/>
    <n v="48"/>
    <m/>
    <n v="0"/>
    <n v="0"/>
    <n v="1869520.5"/>
    <n v="268272"/>
    <n v="0"/>
    <n v="0"/>
    <n v="334.5"/>
    <n v="1869520.5"/>
    <n v="523966.38655462186"/>
    <n v="120"/>
    <n v="286.5"/>
    <n v="96"/>
    <n v="0"/>
    <n v="0"/>
    <n v="1601248.5"/>
    <n v="536544"/>
    <n v="0"/>
    <n v="0"/>
    <n v="286.5"/>
    <n v="1601248.5"/>
    <n v="1209277.3109243698"/>
    <n v="36"/>
    <n v="190.5"/>
    <n v="28.8"/>
    <n v="0"/>
    <m/>
    <n v="1064704.5"/>
    <n v="170870.39999999999"/>
    <n v="0"/>
    <n v="190.5"/>
    <n v="1064704.5"/>
    <n v="362783.19327731099"/>
  </r>
  <r>
    <s v="Lhotse-Audio Menor"/>
    <x v="4"/>
    <x v="15"/>
    <x v="37"/>
    <s v="LHPARTUNUP"/>
    <x v="221"/>
    <x v="211"/>
    <x v="0"/>
    <x v="1"/>
    <n v="1"/>
    <x v="31"/>
    <n v="1294"/>
    <m/>
    <n v="0"/>
    <n v="4512"/>
    <n v="5838528"/>
    <n v="4.72"/>
    <n v="5156.5999999999995"/>
    <n v="10915.966386554623"/>
    <n v="8394.957983193277"/>
    <s v="Shenzhen"/>
    <x v="2"/>
    <n v="30"/>
    <m/>
    <n v="1000"/>
    <n v="588"/>
    <n v="0.19534775160313025"/>
    <n v="2"/>
    <s v=""/>
    <n v="1691"/>
    <n v="0.30266943955273001"/>
    <n v="849"/>
    <n v="0.31688923476872372"/>
    <n v="6"/>
    <n v="0.4411828749645591"/>
    <n v="995"/>
    <n v="0.35909322745361388"/>
    <n v="1944"/>
    <n v="0.33548100096737221"/>
    <n v="68"/>
    <n v="0.40026060999683938"/>
    <n v="603"/>
    <n v="0.23930497756235258"/>
    <n v="929"/>
    <n v="0.35376928033111554"/>
    <n v="2880"/>
    <n v="0.33579653278789817"/>
    <n v="313"/>
    <n v="0.52020771212051675"/>
    <n v="392"/>
    <n v="0.36754969191693226"/>
    <n v="304"/>
    <n v="0.3353068024130339"/>
    <n v="224"/>
    <n v="0.35056412576880208"/>
    <n v="140"/>
    <n v="0.37580797255511617"/>
    <n v="0.2153846153846154"/>
    <n v="75"/>
    <n v="0.58445237038947639"/>
    <n v="0.5"/>
    <n v="439"/>
    <n v="0.34636774701375661"/>
    <n v="2.9266666666666667"/>
    <n v="0"/>
    <s v=""/>
    <n v="0"/>
    <n v="260"/>
    <n v="0.21735273089157989"/>
    <n v="1.7333333333333334"/>
    <n v="193"/>
    <n v="0.26700154346703886"/>
    <n v="1.2866666666666666"/>
    <m/>
    <m/>
    <m/>
    <m/>
    <m/>
    <m/>
    <m/>
    <m/>
    <m/>
    <n v="850"/>
    <n v="3473"/>
    <n v="850"/>
    <n v="0"/>
    <n v="0"/>
    <n v="0"/>
    <n v="6903360"/>
    <n v="16966299.599999998"/>
    <n v="3835200"/>
    <n v="0"/>
    <n v="1294"/>
    <n v="5838528"/>
    <n v="7797118.847539017"/>
    <n v="460"/>
    <n v="3006"/>
    <n v="456"/>
    <n v="0"/>
    <n v="0"/>
    <n v="0"/>
    <n v="3699840"/>
    <n v="14684911.199999999"/>
    <n v="2057472"/>
    <n v="0"/>
    <n v="1294"/>
    <n v="5838528"/>
    <n v="4182924.934679755"/>
    <n v="650"/>
    <n v="2630"/>
    <n v="224"/>
    <n v="0"/>
    <n v="0"/>
    <n v="2375148"/>
    <n v="11866560"/>
    <n v="1010688"/>
    <n v="0"/>
    <n v="1294"/>
    <n v="5838528"/>
    <n v="2445176.4705882357"/>
    <n v="650"/>
    <n v="2508"/>
    <n v="140"/>
    <n v="0"/>
    <n v="0"/>
    <n v="12252081.6"/>
    <n v="631680"/>
    <x v="0"/>
    <x v="0"/>
    <n v="1294"/>
    <n v="5838528"/>
    <n v="1528235.2941176472"/>
    <n v="150"/>
    <n v="1369"/>
    <n v="150"/>
    <m/>
    <n v="0"/>
    <n v="0"/>
    <n v="6176928"/>
    <n v="732780"/>
    <x v="0"/>
    <n v="0"/>
    <n v="1294"/>
    <n v="5838528"/>
    <n v="1637394.9579831935"/>
    <n v="150"/>
    <n v="1733"/>
    <n v="439"/>
    <m/>
    <n v="0"/>
    <n v="0"/>
    <n v="7819296"/>
    <n v="2144602.7999999998"/>
    <n v="0"/>
    <n v="0"/>
    <n v="1733"/>
    <n v="5838528"/>
    <n v="4792109.2436974794"/>
    <n v="150"/>
    <n v="1294"/>
    <n v="0"/>
    <n v="0"/>
    <n v="0"/>
    <n v="0"/>
    <n v="5838528"/>
    <n v="0"/>
    <n v="0"/>
    <n v="0"/>
    <n v="1294"/>
    <n v="5838528"/>
    <n v="0"/>
    <n v="150"/>
    <n v="1554"/>
    <n v="268"/>
    <n v="1500"/>
    <n v="1500"/>
    <n v="0"/>
    <n v="7011648"/>
    <n v="1309233.5999999999"/>
    <n v="7327800"/>
    <n v="0"/>
    <n v="1554"/>
    <n v="7011648"/>
    <n v="2925478.9915966387"/>
    <n v="150"/>
    <n v="1487"/>
    <n v="217.5"/>
    <n v="0"/>
    <n v="0"/>
    <n v="0"/>
    <n v="7264292.3999999994"/>
    <n v="1062531"/>
    <n v="0"/>
    <n v="0"/>
    <n v="1294"/>
    <n v="5838528"/>
    <n v="2374222.6890756306"/>
    <n v="300"/>
    <n v="1269.5"/>
    <n v="300"/>
    <n v="0"/>
    <n v="0"/>
    <n v="0"/>
    <m/>
    <n v="6201761.3999999994"/>
    <n v="1465560"/>
    <n v="0"/>
    <n v="0"/>
    <n v="1269.5"/>
    <n v="6201761.3999999994"/>
    <n v="2518487.3949579829"/>
    <n v="150"/>
    <n v="969.5"/>
    <n v="150"/>
    <m/>
    <n v="0"/>
    <n v="0"/>
    <n v="4736201.3999999994"/>
    <n v="732780"/>
    <n v="0"/>
    <n v="0"/>
    <n v="969.5"/>
    <n v="4736201.3999999994"/>
    <n v="1259243.6974789915"/>
    <n v="300"/>
    <n v="819.5"/>
    <n v="300"/>
    <n v="0"/>
    <n v="0"/>
    <n v="4003421.4"/>
    <n v="1465560"/>
    <n v="0"/>
    <n v="0"/>
    <n v="819.5"/>
    <n v="4003421.4"/>
    <n v="3274789.9159663869"/>
    <n v="90"/>
    <n v="519.5"/>
    <n v="90"/>
    <n v="0"/>
    <m/>
    <n v="2537861.4"/>
    <n v="406080"/>
    <n v="0"/>
    <n v="519.5"/>
    <n v="2537861.4"/>
    <n v="982436.97478991607"/>
  </r>
  <r>
    <s v="Lhotse-Audio Menor"/>
    <x v="4"/>
    <x v="15"/>
    <x v="37"/>
    <s v="LHPARTUNUP"/>
    <x v="222"/>
    <x v="212"/>
    <x v="0"/>
    <x v="1"/>
    <n v="1"/>
    <x v="31"/>
    <n v="3581"/>
    <m/>
    <n v="0"/>
    <n v="4405"/>
    <n v="15774305"/>
    <n v="4.72"/>
    <n v="5156.5999999999995"/>
    <n v="10915.966386554623"/>
    <n v="8394.957983193277"/>
    <s v="Shenzhen"/>
    <x v="2"/>
    <n v="30"/>
    <m/>
    <n v="1000"/>
    <n v="725"/>
    <n v="0.19986007386433749"/>
    <n v="642"/>
    <n v="0.20020539261646864"/>
    <n v="1391"/>
    <n v="0.29626948477317383"/>
    <n v="85"/>
    <n v="0.31687990417495715"/>
    <n v="6"/>
    <n v="0.40735355826481429"/>
    <n v="916"/>
    <n v="0.35357254871106875"/>
    <n v="1447"/>
    <n v="0.33170750740770266"/>
    <n v="77"/>
    <n v="0.39776471111908035"/>
    <n v="438"/>
    <n v="0.23820093726905223"/>
    <n v="986"/>
    <n v="0.32643365364965227"/>
    <n v="2367"/>
    <n v="0.32956981528477425"/>
    <n v="395"/>
    <n v="0.41842296742654889"/>
    <n v="450"/>
    <n v="0.41751116214693124"/>
    <n v="113"/>
    <n v="0.37068934750893473"/>
    <n v="167"/>
    <n v="0.36369031150850051"/>
    <n v="56"/>
    <n v="0.40191937926778593"/>
    <n v="0.16"/>
    <n v="25"/>
    <n v="0.58785487435055928"/>
    <n v="0.35714285714285715"/>
    <n v="64"/>
    <n v="0.26298121560461479"/>
    <n v="0.91428571428571426"/>
    <n v="0"/>
    <s v=""/>
    <n v="0"/>
    <n v="76"/>
    <n v="0.28309168271174157"/>
    <n v="1.0857142857142856"/>
    <n v="75"/>
    <n v="0.25507624195924644"/>
    <n v="1.0714285714285714"/>
    <m/>
    <m/>
    <m/>
    <m/>
    <m/>
    <m/>
    <m/>
    <m/>
    <m/>
    <n v="850"/>
    <n v="2713"/>
    <n v="850"/>
    <n v="0"/>
    <n v="1000"/>
    <n v="0"/>
    <n v="5226532.5"/>
    <n v="13253547.6"/>
    <n v="3744250"/>
    <n v="0"/>
    <n v="3581"/>
    <n v="15774305"/>
    <n v="7797118.847539017"/>
    <n v="620"/>
    <n v="2233"/>
    <n v="169.5"/>
    <n v="0"/>
    <n v="0"/>
    <n v="0"/>
    <n v="1728962.5"/>
    <n v="10908651.6"/>
    <n v="746647.5"/>
    <n v="0"/>
    <n v="3581"/>
    <n v="15774305"/>
    <n v="1554837.2290092509"/>
    <n v="350"/>
    <n v="2088"/>
    <n v="167"/>
    <n v="0"/>
    <n v="0"/>
    <n v="1324279"/>
    <n v="9197640"/>
    <n v="735635"/>
    <n v="0"/>
    <n v="3581"/>
    <n v="15774305"/>
    <n v="1822966.3865546221"/>
    <n v="350"/>
    <n v="2843"/>
    <n v="56"/>
    <n v="1000"/>
    <n v="0"/>
    <n v="13888623.6"/>
    <n v="246680"/>
    <x v="48"/>
    <x v="0"/>
    <n v="3581"/>
    <n v="15774305"/>
    <n v="611294.11764705891"/>
    <n v="70"/>
    <n v="3606"/>
    <n v="70"/>
    <m/>
    <n v="1000"/>
    <n v="0"/>
    <n v="15884430"/>
    <n v="341964"/>
    <x v="0"/>
    <n v="0"/>
    <n v="3581"/>
    <n v="15774305"/>
    <n v="764117.64705882361"/>
    <n v="70"/>
    <n v="3645"/>
    <n v="64"/>
    <m/>
    <n v="0"/>
    <n v="0"/>
    <n v="16056225"/>
    <n v="312652.79999999999"/>
    <n v="0"/>
    <n v="0"/>
    <n v="3645"/>
    <n v="15774305"/>
    <n v="698621.84873949585"/>
    <n v="70"/>
    <n v="3581"/>
    <n v="0"/>
    <n v="1000"/>
    <n v="1000"/>
    <n v="0"/>
    <n v="15774305"/>
    <n v="0"/>
    <n v="4722359.9999999991"/>
    <n v="0"/>
    <n v="3581"/>
    <n v="15774305"/>
    <n v="0"/>
    <n v="70"/>
    <n v="3657"/>
    <n v="78"/>
    <n v="0"/>
    <n v="0"/>
    <n v="0"/>
    <n v="16109085"/>
    <n v="381045.6"/>
    <n v="0"/>
    <n v="0"/>
    <n v="3657"/>
    <n v="16109085"/>
    <n v="851445.37815126055"/>
    <n v="70"/>
    <n v="3656"/>
    <n v="78"/>
    <n v="0"/>
    <n v="0"/>
    <n v="0"/>
    <n v="17860291.199999999"/>
    <n v="381045.6"/>
    <n v="0"/>
    <n v="0"/>
    <n v="3581"/>
    <n v="15774305"/>
    <n v="851445.37815126055"/>
    <n v="140"/>
    <n v="3578"/>
    <n v="140"/>
    <n v="0"/>
    <n v="0"/>
    <n v="0"/>
    <m/>
    <n v="17479245.599999998"/>
    <n v="683928"/>
    <n v="0"/>
    <n v="0"/>
    <n v="3578"/>
    <n v="17479245.599999998"/>
    <n v="1175294.1176470588"/>
    <n v="140"/>
    <n v="3438"/>
    <n v="140"/>
    <m/>
    <n v="0"/>
    <n v="0"/>
    <n v="16795317.599999998"/>
    <n v="683928"/>
    <n v="0"/>
    <n v="0"/>
    <n v="3438"/>
    <n v="16795317.599999998"/>
    <n v="1175294.1176470588"/>
    <n v="280"/>
    <n v="3298"/>
    <n v="280"/>
    <n v="0"/>
    <n v="0"/>
    <n v="16111389.6"/>
    <n v="1367856"/>
    <n v="0"/>
    <n v="0"/>
    <n v="3298"/>
    <n v="16111389.6"/>
    <n v="3056470.5882352944"/>
    <n v="84"/>
    <n v="3018"/>
    <n v="84"/>
    <n v="0"/>
    <m/>
    <n v="14743533.6"/>
    <n v="370020"/>
    <n v="0"/>
    <n v="3018"/>
    <n v="14743533.6"/>
    <n v="916941.17647058831"/>
  </r>
  <r>
    <s v="Lhotse-Audio Menor"/>
    <x v="4"/>
    <x v="15"/>
    <x v="37"/>
    <s v="LHPARTUNUP"/>
    <x v="223"/>
    <x v="213"/>
    <x v="0"/>
    <x v="1"/>
    <n v="1"/>
    <x v="31"/>
    <n v="3069"/>
    <m/>
    <n v="0"/>
    <n v="4525"/>
    <n v="13887225"/>
    <n v="4.72"/>
    <n v="5156.5999999999995"/>
    <n v="10915.966386554623"/>
    <n v="8394.957983193277"/>
    <s v="Shenzhen"/>
    <x v="2"/>
    <n v="30"/>
    <m/>
    <n v="1000"/>
    <n v="762"/>
    <n v="0.19863435433626297"/>
    <n v="31"/>
    <n v="0.19719674796747977"/>
    <n v="1511"/>
    <n v="0.31202881218972622"/>
    <n v="772"/>
    <n v="0.30366561150128535"/>
    <n v="20"/>
    <n v="0.57922892958809835"/>
    <n v="813"/>
    <n v="0.31615731842824529"/>
    <n v="2071"/>
    <n v="0.34373378301558521"/>
    <n v="-17"/>
    <n v="0.41654570781562666"/>
    <n v="549"/>
    <n v="0.23871611278617028"/>
    <n v="898"/>
    <n v="0.34144480395687909"/>
    <n v="2423"/>
    <n v="0.33076906646661769"/>
    <n v="507"/>
    <n v="0.43416149830887268"/>
    <n v="409"/>
    <n v="0.35430290634837724"/>
    <n v="155"/>
    <n v="0.30663424014334417"/>
    <n v="305"/>
    <n v="0.3617089950794995"/>
    <n v="55"/>
    <n v="0.36674230446465028"/>
    <n v="8.8709677419354843E-2"/>
    <n v="46"/>
    <n v="0.56240815513808329"/>
    <n v="0.46"/>
    <n v="433"/>
    <n v="0.2615075574045535"/>
    <n v="4.33"/>
    <n v="0"/>
    <s v=""/>
    <n v="0"/>
    <n v="131"/>
    <n v="0.22716340896319945"/>
    <n v="1.31"/>
    <n v="110"/>
    <n v="0.24841444494625992"/>
    <n v="1.1000000000000001"/>
    <m/>
    <m/>
    <m/>
    <m/>
    <m/>
    <m/>
    <m/>
    <m/>
    <m/>
    <n v="820"/>
    <n v="4083"/>
    <n v="820"/>
    <n v="0"/>
    <n v="1000"/>
    <n v="0"/>
    <n v="6142687.5"/>
    <n v="19946271.599999998"/>
    <n v="3710500"/>
    <n v="0"/>
    <n v="3069"/>
    <n v="13887225"/>
    <n v="7521926.4176258752"/>
    <n v="620"/>
    <n v="3706"/>
    <n v="232.5"/>
    <n v="0"/>
    <n v="0"/>
    <n v="0"/>
    <n v="2681062.5"/>
    <n v="18104551.199999999"/>
    <n v="1052062.5"/>
    <n v="0"/>
    <n v="3069"/>
    <n v="13887225"/>
    <n v="2132741.3318268489"/>
    <n v="620"/>
    <n v="3491"/>
    <n v="305"/>
    <n v="0"/>
    <n v="0"/>
    <n v="2117520"/>
    <n v="15796775"/>
    <n v="1380125"/>
    <n v="0"/>
    <n v="3069"/>
    <n v="13887225"/>
    <n v="3329369.7478991598"/>
    <n v="620"/>
    <n v="3138"/>
    <n v="55"/>
    <n v="0"/>
    <n v="0"/>
    <n v="15329757.6"/>
    <n v="248875"/>
    <x v="0"/>
    <x v="0"/>
    <n v="3069"/>
    <n v="13887225"/>
    <n v="600378.15126050427"/>
    <n v="100"/>
    <n v="3115"/>
    <n v="100"/>
    <m/>
    <n v="0"/>
    <n v="0"/>
    <n v="14095375"/>
    <n v="488520"/>
    <x v="0"/>
    <n v="0"/>
    <n v="3069"/>
    <n v="13887225"/>
    <n v="1091596.6386554623"/>
    <n v="100"/>
    <n v="3502"/>
    <n v="433"/>
    <m/>
    <n v="0"/>
    <n v="0"/>
    <n v="15846550"/>
    <n v="2115291.6"/>
    <n v="0"/>
    <n v="0"/>
    <n v="3502"/>
    <n v="13887225"/>
    <n v="4726613.4453781517"/>
    <n v="100"/>
    <n v="3069"/>
    <n v="0"/>
    <n v="1000"/>
    <n v="1000"/>
    <n v="0"/>
    <n v="13887225"/>
    <n v="0"/>
    <n v="4722359.9999999991"/>
    <n v="0"/>
    <n v="3069"/>
    <n v="13887225"/>
    <n v="0"/>
    <n v="100"/>
    <n v="3200"/>
    <n v="135"/>
    <n v="0"/>
    <n v="0"/>
    <n v="0"/>
    <n v="14480000"/>
    <n v="659502"/>
    <n v="0"/>
    <n v="0"/>
    <n v="3200"/>
    <n v="14480000"/>
    <n v="1473655.4621848741"/>
    <n v="100"/>
    <n v="3179"/>
    <n v="127.5"/>
    <n v="0"/>
    <n v="0"/>
    <n v="0"/>
    <n v="15530050.799999999"/>
    <n v="622863"/>
    <n v="0"/>
    <n v="0"/>
    <n v="3069"/>
    <n v="13887225"/>
    <n v="1391785.7142857143"/>
    <n v="200"/>
    <n v="3051.5"/>
    <n v="200"/>
    <n v="0"/>
    <n v="0"/>
    <n v="0"/>
    <m/>
    <n v="14907187.799999999"/>
    <n v="977040"/>
    <n v="0"/>
    <n v="0"/>
    <n v="3051.5"/>
    <n v="14907187.799999999"/>
    <n v="1678991.5966386553"/>
    <n v="150"/>
    <n v="2851.5"/>
    <n v="150"/>
    <m/>
    <n v="0"/>
    <n v="0"/>
    <n v="13930147.799999999"/>
    <n v="732780"/>
    <n v="0"/>
    <n v="0"/>
    <n v="2851.5"/>
    <n v="13930147.799999999"/>
    <n v="1259243.6974789915"/>
    <n v="300"/>
    <n v="2701.5"/>
    <n v="300"/>
    <n v="0"/>
    <n v="0"/>
    <n v="13197367.799999999"/>
    <n v="1465560"/>
    <n v="0"/>
    <n v="0"/>
    <n v="2701.5"/>
    <n v="13197367.799999999"/>
    <n v="3274789.9159663869"/>
    <n v="90"/>
    <n v="2401.5"/>
    <n v="90"/>
    <n v="0"/>
    <m/>
    <n v="11731807.799999999"/>
    <n v="407250"/>
    <n v="0"/>
    <n v="2401.5"/>
    <n v="11731807.799999999"/>
    <n v="982436.97478991607"/>
  </r>
  <r>
    <s v="Lhotse-Audio Menor"/>
    <x v="4"/>
    <x v="15"/>
    <x v="37"/>
    <s v="LHPARTUNUP"/>
    <x v="224"/>
    <x v="214"/>
    <x v="0"/>
    <x v="1"/>
    <n v="1"/>
    <x v="31"/>
    <n v="3004"/>
    <m/>
    <n v="0"/>
    <n v="4462"/>
    <n v="13403848"/>
    <n v="4.72"/>
    <n v="5156.5999999999995"/>
    <n v="10915.966386554623"/>
    <n v="8394.957983193277"/>
    <s v="Shenzhen"/>
    <x v="2"/>
    <n v="30"/>
    <m/>
    <n v="1000"/>
    <n v="201"/>
    <n v="0.20022013983172454"/>
    <n v="10"/>
    <n v="0.19750406504065041"/>
    <n v="1402"/>
    <n v="0.30158564782599856"/>
    <n v="87"/>
    <n v="0.33802936242709214"/>
    <n v="6"/>
    <n v="0.40687496455911537"/>
    <n v="571"/>
    <n v="0.27747120764191435"/>
    <n v="1947"/>
    <n v="0.34477407147063688"/>
    <n v="22"/>
    <n v="0.41110705684300125"/>
    <n v="435"/>
    <n v="0.23860281703053451"/>
    <n v="860"/>
    <n v="0.32460238904243316"/>
    <n v="2150"/>
    <n v="0.33069346825652002"/>
    <n v="260"/>
    <n v="0.43219079399987542"/>
    <n v="125"/>
    <n v="0.34403542250686053"/>
    <n v="135"/>
    <n v="0.37144098959010341"/>
    <n v="135"/>
    <n v="0.32790961702743965"/>
    <n v="34"/>
    <n v="0.37136250403835697"/>
    <n v="0.11333333333333333"/>
    <n v="13"/>
    <n v="0.57957499850182781"/>
    <n v="0.26"/>
    <n v="52"/>
    <n v="0.33844955555674638"/>
    <n v="1.04"/>
    <n v="0"/>
    <s v=""/>
    <n v="0"/>
    <n v="68"/>
    <n v="0.27093409972114657"/>
    <n v="1.36"/>
    <n v="40"/>
    <n v="0.27170307816671918"/>
    <n v="0.8"/>
    <m/>
    <m/>
    <m/>
    <m/>
    <m/>
    <m/>
    <m/>
    <m/>
    <m/>
    <n v="600"/>
    <n v="2817"/>
    <n v="600"/>
    <n v="0"/>
    <n v="1000"/>
    <n v="0"/>
    <n v="4183125"/>
    <n v="13761608.4"/>
    <n v="2677200"/>
    <n v="0"/>
    <n v="3004"/>
    <n v="13403848"/>
    <n v="5503848.5982628353"/>
    <n v="400"/>
    <n v="2703"/>
    <n v="202.5"/>
    <n v="0"/>
    <n v="0"/>
    <n v="0"/>
    <n v="1657633"/>
    <n v="13204695.6"/>
    <n v="903555"/>
    <n v="0"/>
    <n v="3004"/>
    <n v="13403848"/>
    <n v="1857548.9019137069"/>
    <n v="300"/>
    <n v="2542"/>
    <n v="135"/>
    <n v="0"/>
    <n v="0"/>
    <n v="998338"/>
    <n v="11342404"/>
    <n v="602370"/>
    <n v="0"/>
    <n v="3004"/>
    <n v="13403848"/>
    <n v="1473655.4621848741"/>
    <n v="300"/>
    <n v="2352"/>
    <n v="34"/>
    <n v="0"/>
    <n v="0"/>
    <n v="11489990.4"/>
    <n v="151708"/>
    <x v="0"/>
    <x v="0"/>
    <n v="3004"/>
    <n v="13403848"/>
    <n v="371142.85714285716"/>
    <n v="50"/>
    <n v="3017"/>
    <n v="50"/>
    <m/>
    <n v="0"/>
    <n v="0"/>
    <n v="13461854"/>
    <n v="244260"/>
    <x v="0"/>
    <n v="0"/>
    <n v="3004"/>
    <n v="13403848"/>
    <n v="545798.31932773115"/>
    <n v="50"/>
    <n v="3056"/>
    <n v="52"/>
    <m/>
    <n v="0"/>
    <n v="0"/>
    <n v="13635872"/>
    <n v="254030.4"/>
    <n v="0"/>
    <n v="0"/>
    <n v="3056"/>
    <n v="13403848"/>
    <n v="567630.25210084033"/>
    <n v="50"/>
    <n v="3004"/>
    <n v="0"/>
    <n v="1000"/>
    <n v="1000"/>
    <n v="0"/>
    <n v="13403848"/>
    <n v="0"/>
    <n v="4722359.9999999991"/>
    <n v="0"/>
    <n v="3004"/>
    <n v="13403848"/>
    <n v="0"/>
    <n v="50"/>
    <n v="3072"/>
    <n v="70"/>
    <n v="0"/>
    <n v="0"/>
    <n v="0"/>
    <n v="13707264"/>
    <n v="341964"/>
    <n v="0"/>
    <n v="0"/>
    <n v="3072"/>
    <n v="13707264"/>
    <n v="764117.64705882361"/>
    <n v="50"/>
    <n v="3044"/>
    <n v="46.5"/>
    <n v="0"/>
    <n v="0"/>
    <n v="0"/>
    <n v="14870548.799999999"/>
    <n v="227161.8"/>
    <n v="0"/>
    <n v="0"/>
    <n v="3004"/>
    <n v="13403848"/>
    <n v="507592.43697478995"/>
    <n v="100"/>
    <n v="2997.5"/>
    <n v="100"/>
    <n v="0"/>
    <n v="0"/>
    <n v="0"/>
    <m/>
    <n v="14643387"/>
    <n v="488520"/>
    <n v="0"/>
    <n v="0"/>
    <n v="2997.5"/>
    <n v="14643387"/>
    <n v="839495.79831932765"/>
    <n v="100"/>
    <n v="2897.5"/>
    <n v="100"/>
    <m/>
    <n v="0"/>
    <n v="0"/>
    <n v="14154867"/>
    <n v="488520"/>
    <n v="0"/>
    <n v="0"/>
    <n v="2897.5"/>
    <n v="14154867"/>
    <n v="839495.79831932765"/>
    <n v="200"/>
    <n v="2797.5"/>
    <n v="200"/>
    <n v="0"/>
    <n v="0"/>
    <n v="13666347"/>
    <n v="977040"/>
    <n v="0"/>
    <n v="0"/>
    <n v="2797.5"/>
    <n v="13666347"/>
    <n v="2183193.2773109246"/>
    <n v="60"/>
    <n v="2597.5"/>
    <n v="60"/>
    <n v="0"/>
    <m/>
    <n v="12689307"/>
    <n v="267720"/>
    <n v="0"/>
    <n v="2597.5"/>
    <n v="12689307"/>
    <n v="654957.98319327738"/>
  </r>
  <r>
    <s v="Lhotse-Camping y Outdoor"/>
    <x v="4"/>
    <x v="16"/>
    <x v="38"/>
    <n v="1571423280815"/>
    <x v="225"/>
    <x v="215"/>
    <x v="0"/>
    <x v="1"/>
    <n v="1"/>
    <x v="31"/>
    <n v="72"/>
    <m/>
    <n v="0"/>
    <n v="29446"/>
    <n v="2120112"/>
    <n v="26.5"/>
    <n v="28951.249999999996"/>
    <n v="54613.445378151264"/>
    <n v="46210.08403361345"/>
    <s v="Shenzhen"/>
    <x v="1"/>
    <n v="30"/>
    <m/>
    <n v="100"/>
    <n v="84"/>
    <n v="0.36888245349873588"/>
    <n v="43"/>
    <n v="0.39066286452057808"/>
    <n v="49"/>
    <n v="0.38268364293555207"/>
    <n v="25"/>
    <n v="0.48771726446976366"/>
    <n v="7"/>
    <n v="0.4553675424494863"/>
    <n v="48"/>
    <n v="0.3552170193815653"/>
    <n v="76"/>
    <n v="0.34825774352605854"/>
    <n v="50"/>
    <n v="0.38778555268064435"/>
    <n v="38"/>
    <n v="0.43518007552896587"/>
    <n v="59"/>
    <n v="0.34489686529443975"/>
    <n v="70"/>
    <n v="0.40668087366722561"/>
    <n v="97"/>
    <n v="0.38747578941086686"/>
    <n v="94"/>
    <n v="0.25921342588785778"/>
    <n v="13"/>
    <n v="0.31212939720508054"/>
    <n v="38"/>
    <n v="0.28039407288566282"/>
    <n v="56"/>
    <n v="0.29151607459367063"/>
    <n v="1.4"/>
    <n v="53"/>
    <n v="0.44851830544112153"/>
    <n v="1.7666666666666666"/>
    <n v="75"/>
    <n v="0.12929471907434761"/>
    <n v="1.25"/>
    <n v="0"/>
    <s v=""/>
    <n v="0"/>
    <n v="9"/>
    <n v="0.25585281956752204"/>
    <n v="0.9"/>
    <n v="4"/>
    <n v="0.25831881625339104"/>
    <n v="0.11428571428571428"/>
    <m/>
    <m/>
    <m/>
    <m/>
    <m/>
    <m/>
    <m/>
    <m/>
    <m/>
    <n v="80"/>
    <n v="112"/>
    <n v="80"/>
    <n v="100"/>
    <n v="100"/>
    <n v="0"/>
    <n v="4048825"/>
    <n v="3071879.9999999995"/>
    <n v="2355680"/>
    <n v="0"/>
    <n v="72"/>
    <n v="2120112"/>
    <n v="3671492.1262622699"/>
    <n v="50"/>
    <n v="111"/>
    <n v="19.5"/>
    <n v="100"/>
    <n v="50"/>
    <n v="0"/>
    <n v="3342121"/>
    <n v="3044452.4999999995"/>
    <n v="574197"/>
    <n v="0"/>
    <n v="72"/>
    <n v="2120112"/>
    <n v="894926.20577642834"/>
    <n v="50"/>
    <n v="77"/>
    <n v="38"/>
    <n v="0"/>
    <n v="0"/>
    <n v="3590749"/>
    <n v="2267342"/>
    <n v="1118948"/>
    <n v="0"/>
    <n v="72"/>
    <n v="2120112"/>
    <n v="2075310.924369748"/>
    <n v="40"/>
    <n v="160"/>
    <n v="56"/>
    <n v="0"/>
    <n v="0"/>
    <n v="4388399.9999999991"/>
    <n v="1648976"/>
    <x v="0"/>
    <x v="0"/>
    <n v="72"/>
    <n v="2120112"/>
    <n v="3058352.9411764708"/>
    <n v="30"/>
    <n v="125"/>
    <n v="30"/>
    <m/>
    <n v="0"/>
    <n v="0"/>
    <n v="3680750"/>
    <n v="822824.99999999988"/>
    <x v="0"/>
    <n v="0"/>
    <n v="72"/>
    <n v="2120112"/>
    <n v="1638403.3613445379"/>
    <n v="60"/>
    <n v="147"/>
    <n v="75"/>
    <m/>
    <n v="0"/>
    <n v="0"/>
    <n v="4328562"/>
    <n v="2057062.4999999998"/>
    <n v="0"/>
    <n v="0"/>
    <n v="147"/>
    <n v="2120112"/>
    <n v="4096008.4033613447"/>
    <n v="52"/>
    <n v="72"/>
    <n v="0"/>
    <n v="100"/>
    <n v="100"/>
    <n v="0"/>
    <n v="2120112"/>
    <n v="0"/>
    <n v="2651324.9999999995"/>
    <n v="0"/>
    <n v="72"/>
    <n v="2120112"/>
    <n v="0"/>
    <n v="10"/>
    <n v="81"/>
    <n v="9"/>
    <n v="0"/>
    <n v="0"/>
    <n v="0"/>
    <n v="2385126"/>
    <n v="246847.49999999997"/>
    <n v="0"/>
    <n v="0"/>
    <n v="81"/>
    <n v="2385126"/>
    <n v="491521.00840336137"/>
    <n v="35"/>
    <n v="76"/>
    <n v="3"/>
    <n v="100"/>
    <n v="100"/>
    <n v="0"/>
    <n v="2084489.9999999998"/>
    <n v="82282.499999999985"/>
    <n v="2742749.9999999995"/>
    <n v="0"/>
    <n v="72"/>
    <n v="2120112"/>
    <n v="163840.3361344538"/>
    <n v="60"/>
    <n v="73"/>
    <n v="60"/>
    <n v="0"/>
    <n v="0"/>
    <n v="0"/>
    <n v="100"/>
    <n v="2002207.4999999998"/>
    <n v="1645649.9999999998"/>
    <n v="0"/>
    <n v="0"/>
    <n v="73"/>
    <n v="2002207.4999999998"/>
    <n v="2772605.042016807"/>
    <n v="40"/>
    <n v="13"/>
    <n v="13"/>
    <m/>
    <n v="0"/>
    <n v="0"/>
    <n v="356557.49999999994"/>
    <n v="356557.49999999994"/>
    <n v="0"/>
    <n v="0"/>
    <n v="13"/>
    <n v="356557.49999999994"/>
    <n v="600731.09243697487"/>
    <n v="100"/>
    <n v="0"/>
    <n v="100"/>
    <n v="150"/>
    <n v="150"/>
    <n v="0"/>
    <n v="2742749.9999999995"/>
    <n v="4114124.9999999995"/>
    <n v="4114124.9999999995"/>
    <n v="150"/>
    <n v="4114124.9999999995"/>
    <n v="5461344.5378151266"/>
    <n v="24"/>
    <n v="50"/>
    <n v="24"/>
    <n v="0"/>
    <m/>
    <n v="1371374.9999999998"/>
    <n v="706704"/>
    <n v="0"/>
    <n v="50"/>
    <n v="1371374.9999999998"/>
    <n v="1310722.6890756304"/>
  </r>
  <r>
    <s v="Lhotse-Camping y Outdoor"/>
    <x v="4"/>
    <x v="16"/>
    <x v="38"/>
    <n v="1615383366170"/>
    <x v="226"/>
    <x v="216"/>
    <x v="0"/>
    <x v="3"/>
    <n v="1"/>
    <x v="31"/>
    <n v="122"/>
    <m/>
    <n v="0"/>
    <n v="36224"/>
    <n v="4419328"/>
    <n v="33.5"/>
    <n v="36598.75"/>
    <n v="58815.126050420171"/>
    <n v="57134.45378151261"/>
    <s v="Shenzhen"/>
    <x v="1"/>
    <n v="30"/>
    <m/>
    <n v="100"/>
    <n v="29"/>
    <n v="0.32089841366761979"/>
    <n v="15"/>
    <n v="0.34525544284217607"/>
    <n v="17"/>
    <n v="0.35037413876904572"/>
    <n v="7"/>
    <n v="0.41405067582408239"/>
    <n v="8"/>
    <n v="0.29623401120166248"/>
    <n v="93"/>
    <n v="0.20926228317226017"/>
    <n v="4"/>
    <n v="0.48157104483983348"/>
    <n v="2"/>
    <n v="0.34225608400716512"/>
    <n v="4"/>
    <n v="0.37594843126884409"/>
    <n v="14"/>
    <n v="0.31246782650226362"/>
    <n v="5"/>
    <n v="0.38959429839869325"/>
    <n v="9"/>
    <n v="0.4667616595107798"/>
    <n v="39"/>
    <n v="0.2315366212874688"/>
    <n v="27"/>
    <n v="0.20907962685301421"/>
    <n v="40"/>
    <n v="0.13952222162368588"/>
    <n v="23"/>
    <n v="0.23186357591217216"/>
    <n v="1.5333333333333334"/>
    <n v="31"/>
    <n v="0.35202452919054383"/>
    <n v="1.55"/>
    <n v="19"/>
    <n v="0.20185590212319282"/>
    <n v="0.31666666666666665"/>
    <n v="0"/>
    <s v=""/>
    <n v="0"/>
    <n v="4"/>
    <n v="0.26055085578743115"/>
    <n v="0.5"/>
    <n v="17"/>
    <n v="0.20771291908429085"/>
    <n v="0.85"/>
    <m/>
    <m/>
    <m/>
    <m/>
    <m/>
    <m/>
    <m/>
    <m/>
    <m/>
    <n v="25"/>
    <n v="189"/>
    <n v="25"/>
    <n v="0"/>
    <n v="0"/>
    <n v="0"/>
    <n v="3821632"/>
    <n v="6553102.5"/>
    <n v="905600"/>
    <n v="0"/>
    <n v="122"/>
    <n v="4419328"/>
    <n v="1235611.8918155499"/>
    <n v="20"/>
    <n v="185"/>
    <n v="40.5"/>
    <n v="0"/>
    <n v="0"/>
    <n v="0"/>
    <n v="3749184"/>
    <n v="6414412.5"/>
    <n v="1467072"/>
    <n v="0"/>
    <n v="122"/>
    <n v="4419328"/>
    <n v="2001691.2647411907"/>
    <n v="20"/>
    <n v="138"/>
    <n v="40"/>
    <n v="0"/>
    <n v="0"/>
    <n v="2975562"/>
    <n v="4998912"/>
    <n v="1448960"/>
    <n v="0"/>
    <n v="122"/>
    <n v="4419328"/>
    <n v="2352605.042016807"/>
    <n v="15"/>
    <n v="117"/>
    <n v="23"/>
    <n v="0"/>
    <n v="0"/>
    <n v="4056682.5"/>
    <n v="833152"/>
    <x v="0"/>
    <x v="0"/>
    <n v="122"/>
    <n v="4419328"/>
    <n v="1352747.8991596638"/>
    <n v="20"/>
    <n v="153"/>
    <n v="20"/>
    <m/>
    <n v="0"/>
    <n v="0"/>
    <n v="5542272"/>
    <n v="693450"/>
    <x v="0"/>
    <n v="0"/>
    <n v="122"/>
    <n v="4419328"/>
    <n v="1176302.5210084035"/>
    <n v="60"/>
    <n v="141"/>
    <n v="19"/>
    <m/>
    <n v="0"/>
    <n v="0"/>
    <n v="5107584"/>
    <n v="658777.5"/>
    <n v="0"/>
    <n v="0"/>
    <n v="141"/>
    <n v="4419328"/>
    <n v="1117487.3949579832"/>
    <n v="20"/>
    <n v="122"/>
    <n v="0"/>
    <n v="0"/>
    <n v="0"/>
    <n v="0"/>
    <n v="4419328"/>
    <n v="0"/>
    <n v="0"/>
    <n v="0"/>
    <n v="122"/>
    <n v="4419328"/>
    <n v="0"/>
    <n v="8"/>
    <n v="126"/>
    <n v="4"/>
    <n v="100"/>
    <n v="100"/>
    <n v="0"/>
    <n v="4564224"/>
    <n v="138690"/>
    <n v="3467250"/>
    <n v="0"/>
    <n v="126"/>
    <n v="4564224"/>
    <n v="235260.50420168068"/>
    <n v="20"/>
    <n v="139"/>
    <n v="16.5"/>
    <n v="100"/>
    <n v="0"/>
    <n v="0"/>
    <n v="4819477.5"/>
    <n v="572096.25"/>
    <n v="3467250"/>
    <n v="0"/>
    <n v="122"/>
    <n v="4419328"/>
    <n v="970449.57983193279"/>
    <n v="30"/>
    <n v="122.5"/>
    <n v="30"/>
    <n v="0"/>
    <n v="0"/>
    <n v="0"/>
    <n v="100"/>
    <n v="4247381.25"/>
    <n v="1040175"/>
    <n v="0"/>
    <n v="0"/>
    <n v="122.5"/>
    <n v="4247381.25"/>
    <n v="1714033.6134453784"/>
    <n v="35"/>
    <n v="92.5"/>
    <n v="35"/>
    <m/>
    <n v="100"/>
    <n v="100"/>
    <n v="3207206.25"/>
    <n v="1213537.5"/>
    <n v="0"/>
    <n v="3467250"/>
    <n v="192.5"/>
    <n v="6674456.25"/>
    <n v="1999705.8823529414"/>
    <n v="60"/>
    <n v="157.5"/>
    <n v="60"/>
    <n v="0"/>
    <n v="0"/>
    <n v="5460918.75"/>
    <n v="2080350"/>
    <n v="0"/>
    <n v="0"/>
    <n v="157.5"/>
    <n v="5460918.75"/>
    <n v="3528907.5630252101"/>
    <n v="21"/>
    <n v="97.5"/>
    <n v="21"/>
    <n v="0"/>
    <m/>
    <n v="3380568.75"/>
    <n v="760704"/>
    <n v="0"/>
    <n v="97.5"/>
    <n v="3380568.75"/>
    <n v="1235117.6470588236"/>
  </r>
  <r>
    <m/>
    <x v="4"/>
    <x v="16"/>
    <x v="38"/>
    <n v="1615383407099"/>
    <x v="227"/>
    <x v="217"/>
    <x v="0"/>
    <x v="1"/>
    <n v="1"/>
    <x v="31"/>
    <n v="146"/>
    <m/>
    <n v="0"/>
    <n v="15737"/>
    <n v="2297602"/>
    <n v="14.5"/>
    <n v="15841.249999999998"/>
    <n v="42008.403361344543"/>
    <n v="37806.722689075636"/>
    <s v="Shenzhen"/>
    <x v="0"/>
    <n v="30"/>
    <m/>
    <n v="100"/>
    <n v="22"/>
    <n v="0.43017668607552828"/>
    <n v="1"/>
    <n v="0.43367831464080031"/>
    <n v="20"/>
    <n v="0.37835737422577664"/>
    <n v="21"/>
    <n v="0.50914415802725577"/>
    <n v="26"/>
    <n v="0.51972406154665807"/>
    <n v="37"/>
    <n v="0.38493942641910767"/>
    <n v="39"/>
    <n v="0.37666099208301423"/>
    <n v="32"/>
    <n v="0.44254169901560492"/>
    <n v="39"/>
    <n v="0.44627189916321902"/>
    <n v="40"/>
    <n v="0.43549732218951404"/>
    <n v="57"/>
    <n v="0.44588421951951474"/>
    <n v="18"/>
    <n v="0.53985746171530502"/>
    <n v="38"/>
    <n v="0.4202075868445031"/>
    <n v="32"/>
    <n v="0.44773419073245962"/>
    <n v="31"/>
    <n v="0.40882559202403185"/>
    <n v="33"/>
    <n v="0.46039091662025378"/>
    <n v="1.65"/>
    <n v="20"/>
    <n v="0.64991379369817837"/>
    <n v="0.5714285714285714"/>
    <n v="34"/>
    <n v="0.3488462584019057"/>
    <n v="0.70833333333333337"/>
    <n v="0"/>
    <s v=""/>
    <n v="0"/>
    <n v="28"/>
    <n v="0.38534832866448859"/>
    <n v="1.8666666666666667"/>
    <n v="45"/>
    <n v="0.38529808738525806"/>
    <n v="1.125"/>
    <m/>
    <m/>
    <m/>
    <m/>
    <m/>
    <m/>
    <m/>
    <m/>
    <m/>
    <n v="30"/>
    <n v="60"/>
    <n v="30"/>
    <n v="50"/>
    <n v="50"/>
    <n v="0"/>
    <n v="1715333"/>
    <n v="900449.99999999988"/>
    <n v="472110"/>
    <n v="0"/>
    <n v="146"/>
    <n v="2297602"/>
    <n v="1059035.3788574254"/>
    <n v="15"/>
    <n v="129"/>
    <n v="48"/>
    <n v="100"/>
    <n v="0"/>
    <n v="0"/>
    <n v="1762544"/>
    <n v="1935967.4999999998"/>
    <n v="755376"/>
    <n v="0"/>
    <n v="146"/>
    <n v="2297602"/>
    <n v="1694456.6061718808"/>
    <n v="30"/>
    <n v="75"/>
    <n v="31"/>
    <n v="0"/>
    <n v="0"/>
    <n v="1532430.5"/>
    <n v="1180275"/>
    <n v="487847"/>
    <n v="0"/>
    <n v="146"/>
    <n v="2297602"/>
    <n v="1302260.5042016809"/>
    <n v="20"/>
    <n v="110"/>
    <n v="33"/>
    <n v="0"/>
    <n v="0"/>
    <n v="1650824.9999999998"/>
    <n v="519321"/>
    <x v="0"/>
    <x v="0"/>
    <n v="146"/>
    <n v="2297602"/>
    <n v="1386277.3109243698"/>
    <n v="35"/>
    <n v="166"/>
    <n v="35"/>
    <m/>
    <n v="0"/>
    <n v="0"/>
    <n v="2612342"/>
    <n v="525262.49999999988"/>
    <x v="0"/>
    <n v="0"/>
    <n v="146"/>
    <n v="2297602"/>
    <n v="1470294.117647059"/>
    <n v="48"/>
    <n v="180"/>
    <n v="34"/>
    <m/>
    <n v="100"/>
    <n v="0"/>
    <n v="2832660"/>
    <n v="510254.99999999994"/>
    <n v="0"/>
    <n v="0"/>
    <n v="180"/>
    <n v="2297602"/>
    <n v="1428285.7142857146"/>
    <n v="51"/>
    <n v="146"/>
    <n v="0"/>
    <n v="0"/>
    <n v="0"/>
    <n v="0"/>
    <n v="2297602"/>
    <n v="0"/>
    <n v="0"/>
    <n v="0"/>
    <n v="146"/>
    <n v="2297602"/>
    <n v="0"/>
    <n v="15"/>
    <n v="174"/>
    <n v="28"/>
    <n v="100"/>
    <n v="100"/>
    <n v="0"/>
    <n v="2738238"/>
    <n v="420209.99999999994"/>
    <n v="1500749.9999999998"/>
    <n v="0"/>
    <n v="174"/>
    <n v="2738238"/>
    <n v="1176235.2941176472"/>
    <n v="40"/>
    <n v="191"/>
    <n v="51"/>
    <n v="0"/>
    <n v="0"/>
    <n v="0"/>
    <n v="2866432.4999999995"/>
    <n v="765382.49999999988"/>
    <n v="0"/>
    <n v="0"/>
    <n v="146"/>
    <n v="2297602"/>
    <n v="2142428.5714285718"/>
    <n v="40"/>
    <n v="140"/>
    <n v="40"/>
    <n v="0"/>
    <n v="0"/>
    <n v="0"/>
    <m/>
    <n v="2101049.9999999995"/>
    <n v="600299.99999999988"/>
    <n v="0"/>
    <n v="0"/>
    <n v="140"/>
    <n v="2101049.9999999995"/>
    <n v="1512268.9075630254"/>
    <n v="55"/>
    <n v="100"/>
    <n v="55"/>
    <m/>
    <n v="0"/>
    <n v="0"/>
    <n v="1500749.9999999998"/>
    <n v="825412.49999999988"/>
    <n v="0"/>
    <n v="0"/>
    <n v="100"/>
    <n v="1500749.9999999998"/>
    <n v="2079369.74789916"/>
    <n v="55"/>
    <n v="45"/>
    <n v="45"/>
    <n v="0"/>
    <n v="0"/>
    <n v="675337.49999999988"/>
    <n v="675337.49999999988"/>
    <n v="0"/>
    <n v="0"/>
    <n v="45"/>
    <n v="675337.49999999988"/>
    <n v="1890378.1512605045"/>
    <n v="33"/>
    <n v="0"/>
    <n v="33"/>
    <n v="0"/>
    <m/>
    <n v="0"/>
    <n v="519321"/>
    <n v="0"/>
    <n v="0"/>
    <n v="0"/>
    <n v="1386277.3109243698"/>
  </r>
  <r>
    <m/>
    <x v="4"/>
    <x v="17"/>
    <x v="39"/>
    <n v="1627416841030"/>
    <x v="228"/>
    <x v="218"/>
    <x v="0"/>
    <x v="2"/>
    <n v="1"/>
    <x v="31"/>
    <n v="7"/>
    <m/>
    <n v="0"/>
    <n v="5510"/>
    <n v="38570"/>
    <n v="5.05"/>
    <n v="5517.125"/>
    <n v="12596.638655462186"/>
    <n v="10915.966386554623"/>
    <s v="Shenzhen"/>
    <x v="0"/>
    <n v="30"/>
    <m/>
    <n v="100"/>
    <n v="39"/>
    <n v="0.62724186589578612"/>
    <n v="45"/>
    <n v="0.60649656561892318"/>
    <n v="55"/>
    <n v="0.55927950757812384"/>
    <n v="34"/>
    <n v="0.56659292762060975"/>
    <n v="73"/>
    <n v="0.51035655522684342"/>
    <n v="62"/>
    <n v="0.55227240954135703"/>
    <n v="47"/>
    <n v="0.57739975720507508"/>
    <n v="32"/>
    <n v="0.57845515299886741"/>
    <n v="16"/>
    <n v="0.59461581166887123"/>
    <n v="80"/>
    <n v="0.5310620918872152"/>
    <n v="60"/>
    <n v="0.53236600077537288"/>
    <n v="130"/>
    <n v="0.55057603108256359"/>
    <n v="54"/>
    <n v="0.27537221346066304"/>
    <n v="24"/>
    <n v="0.38924704427757867"/>
    <n v="38"/>
    <n v="0.29040946163194525"/>
    <n v="30"/>
    <n v="0.40498947634029236"/>
    <n v="1"/>
    <n v="23"/>
    <n v="0.50774835539739804"/>
    <n v="0.45098039215686275"/>
    <n v="10"/>
    <n v="0.34220611769702763"/>
    <n v="0.52631578947368418"/>
    <n v="0"/>
    <s v=""/>
    <n v="0"/>
    <n v="9"/>
    <n v="0.38987999658119948"/>
    <n v="0"/>
    <n v="0"/>
    <s v=""/>
    <n v="0"/>
    <m/>
    <m/>
    <m/>
    <m/>
    <m/>
    <m/>
    <m/>
    <m/>
    <m/>
    <n v="40"/>
    <n v="145"/>
    <n v="40"/>
    <n v="0"/>
    <n v="0"/>
    <n v="0"/>
    <n v="628140"/>
    <n v="757878.75"/>
    <n v="220400"/>
    <n v="0"/>
    <n v="7"/>
    <n v="38570"/>
    <n v="423416.42539368698"/>
    <n v="50"/>
    <n v="139"/>
    <n v="36"/>
    <n v="0"/>
    <n v="0"/>
    <n v="0"/>
    <n v="573040"/>
    <n v="726518.25"/>
    <n v="198360"/>
    <n v="0"/>
    <n v="7"/>
    <n v="38570"/>
    <n v="381074.78285431827"/>
    <n v="30"/>
    <n v="114"/>
    <n v="38"/>
    <n v="0"/>
    <n v="0"/>
    <n v="641244.25"/>
    <n v="628140"/>
    <n v="209380"/>
    <n v="0"/>
    <n v="7"/>
    <n v="38570"/>
    <n v="478672.26890756306"/>
    <n v="30"/>
    <n v="76"/>
    <n v="30"/>
    <n v="0"/>
    <n v="0"/>
    <n v="397233"/>
    <n v="165300"/>
    <x v="0"/>
    <x v="0"/>
    <n v="7"/>
    <n v="38570"/>
    <n v="377899.15966386558"/>
    <n v="51"/>
    <n v="30"/>
    <n v="51"/>
    <m/>
    <n v="0"/>
    <n v="0"/>
    <n v="165300"/>
    <n v="266564.25"/>
    <x v="0"/>
    <n v="0"/>
    <n v="7"/>
    <n v="38570"/>
    <n v="642428.57142857148"/>
    <n v="19"/>
    <n v="17"/>
    <n v="10"/>
    <m/>
    <n v="0"/>
    <n v="0"/>
    <n v="93670"/>
    <n v="52267.5"/>
    <n v="0"/>
    <n v="0"/>
    <n v="17"/>
    <n v="38570"/>
    <n v="125966.38655462186"/>
    <n v="0"/>
    <n v="7"/>
    <n v="0"/>
    <n v="0"/>
    <n v="0"/>
    <n v="0"/>
    <n v="38570"/>
    <n v="0"/>
    <n v="0"/>
    <n v="0"/>
    <n v="7"/>
    <n v="38570"/>
    <n v="0"/>
    <n v="0"/>
    <n v="16"/>
    <n v="9"/>
    <n v="0"/>
    <n v="0"/>
    <n v="0"/>
    <n v="88160"/>
    <n v="47040.75"/>
    <n v="0"/>
    <n v="0"/>
    <n v="16"/>
    <n v="88160"/>
    <n v="113369.74789915967"/>
    <n v="0"/>
    <n v="7"/>
    <n v="0"/>
    <n v="0"/>
    <n v="0"/>
    <n v="0"/>
    <n v="36587.25"/>
    <n v="0"/>
    <n v="0"/>
    <n v="0"/>
    <n v="7"/>
    <n v="38570"/>
    <n v="0"/>
    <n v="0"/>
    <n v="7"/>
    <n v="0"/>
    <n v="0"/>
    <n v="0"/>
    <n v="0"/>
    <m/>
    <n v="36587.25"/>
    <n v="0"/>
    <n v="0"/>
    <n v="0"/>
    <n v="7"/>
    <n v="36587.25"/>
    <n v="0"/>
    <n v="0"/>
    <n v="7"/>
    <n v="0"/>
    <m/>
    <n v="0"/>
    <n v="0"/>
    <n v="36587.25"/>
    <n v="0"/>
    <n v="0"/>
    <n v="0"/>
    <n v="7"/>
    <n v="36587.25"/>
    <n v="0"/>
    <n v="0"/>
    <n v="7"/>
    <n v="0"/>
    <n v="0"/>
    <n v="0"/>
    <n v="36587.25"/>
    <n v="0"/>
    <n v="0"/>
    <n v="0"/>
    <n v="7"/>
    <n v="36587.25"/>
    <n v="0"/>
    <n v="0"/>
    <n v="7"/>
    <n v="0"/>
    <n v="0"/>
    <m/>
    <n v="36587.25"/>
    <n v="0"/>
    <n v="0"/>
    <n v="7"/>
    <n v="36587.25"/>
    <n v="0"/>
  </r>
  <r>
    <m/>
    <x v="4"/>
    <x v="18"/>
    <x v="40"/>
    <n v="1623703942966"/>
    <x v="229"/>
    <x v="219"/>
    <x v="0"/>
    <x v="1"/>
    <n v="1"/>
    <x v="31"/>
    <n v="37"/>
    <m/>
    <n v="0"/>
    <n v="2574"/>
    <n v="95238"/>
    <n v="2.5"/>
    <n v="2731.25"/>
    <n v="10915.966386554623"/>
    <n v="8394.957983193277"/>
    <s v="Shenzhen"/>
    <x v="0"/>
    <n v="30"/>
    <m/>
    <n v="300"/>
    <n v="90"/>
    <n v="0.74306635490761141"/>
    <n v="107"/>
    <n v="0.75738204404025056"/>
    <n v="518"/>
    <n v="0.71368589464803966"/>
    <n v="24"/>
    <n v="0.75567074412686641"/>
    <n v="4"/>
    <n v="1"/>
    <n v="10"/>
    <n v="0.76923293343242383"/>
    <n v="43"/>
    <n v="0.75350179250447025"/>
    <n v="96"/>
    <n v="0.75733222404437972"/>
    <n v="116"/>
    <n v="0.75952250882563865"/>
    <n v="167"/>
    <n v="0.71164198609407769"/>
    <n v="204"/>
    <n v="0.71226226373107926"/>
    <n v="181"/>
    <n v="0.71071702531806624"/>
    <n v="53"/>
    <n v="0.59051122671320522"/>
    <n v="75"/>
    <n v="0.57915096291554313"/>
    <n v="168"/>
    <n v="0.55561828069734454"/>
    <n v="164"/>
    <n v="0.55710279601081591"/>
    <n v="2.7333333333333334"/>
    <n v="181"/>
    <n v="0.75164160427472548"/>
    <n v="1.81"/>
    <n v="184"/>
    <n v="0.49384786956029286"/>
    <n v="0.92"/>
    <n v="0"/>
    <s v=""/>
    <n v="0"/>
    <n v="249"/>
    <n v="0.47858777552611392"/>
    <n v="1.0375000000000001"/>
    <n v="52"/>
    <n v="0.51776187397740225"/>
    <n v="0.70270270270270274"/>
    <m/>
    <m/>
    <m/>
    <m/>
    <m/>
    <m/>
    <m/>
    <m/>
    <m/>
    <n v="100"/>
    <n v="116"/>
    <n v="90"/>
    <n v="200"/>
    <n v="200"/>
    <n v="0"/>
    <n v="953667"/>
    <n v="300150"/>
    <n v="231660"/>
    <n v="0"/>
    <n v="37"/>
    <n v="95238"/>
    <n v="825577.28973942529"/>
    <n v="100"/>
    <n v="347"/>
    <n v="112.5"/>
    <n v="100"/>
    <n v="100"/>
    <n v="0"/>
    <n v="1144143"/>
    <n v="897862.5"/>
    <n v="289575"/>
    <n v="0"/>
    <n v="37"/>
    <n v="95238"/>
    <n v="1031971.6121742816"/>
    <n v="250"/>
    <n v="507"/>
    <n v="168"/>
    <n v="0"/>
    <n v="0"/>
    <n v="1113318"/>
    <n v="1305018"/>
    <n v="432432"/>
    <n v="0"/>
    <n v="37"/>
    <n v="95238"/>
    <n v="1833882.3529411766"/>
    <n v="60"/>
    <n v="700"/>
    <n v="164"/>
    <n v="300"/>
    <n v="0"/>
    <n v="1811250"/>
    <n v="422136"/>
    <x v="49"/>
    <x v="0"/>
    <n v="37"/>
    <n v="95238"/>
    <n v="1790218.487394958"/>
    <n v="100"/>
    <n v="218"/>
    <n v="100"/>
    <m/>
    <n v="0"/>
    <n v="0"/>
    <n v="561132"/>
    <n v="258750"/>
    <x v="0"/>
    <n v="0"/>
    <n v="37"/>
    <n v="95238"/>
    <n v="1091596.6386554623"/>
    <n v="200"/>
    <n v="221"/>
    <n v="184"/>
    <m/>
    <n v="0"/>
    <n v="0"/>
    <n v="568854"/>
    <n v="476100"/>
    <n v="0"/>
    <n v="0"/>
    <n v="221"/>
    <n v="95238"/>
    <n v="2008537.8151260505"/>
    <n v="120"/>
    <n v="37"/>
    <n v="0"/>
    <n v="0"/>
    <n v="0"/>
    <n v="0"/>
    <n v="95238"/>
    <n v="0"/>
    <n v="0"/>
    <n v="0"/>
    <n v="37"/>
    <n v="95238"/>
    <n v="0"/>
    <n v="240"/>
    <n v="286"/>
    <n v="257"/>
    <n v="300"/>
    <n v="300"/>
    <n v="0"/>
    <n v="736164"/>
    <n v="664987.5"/>
    <n v="776250"/>
    <n v="0"/>
    <n v="286"/>
    <n v="736164"/>
    <n v="2805403.3613445382"/>
    <n v="74"/>
    <n v="89"/>
    <n v="72"/>
    <n v="0"/>
    <n v="0"/>
    <n v="0"/>
    <n v="230287.5"/>
    <n v="186300"/>
    <n v="0"/>
    <n v="0"/>
    <n v="37"/>
    <n v="95238"/>
    <n v="785949.57983193279"/>
    <n v="150"/>
    <n v="17"/>
    <n v="17"/>
    <n v="300"/>
    <n v="300"/>
    <n v="0"/>
    <n v="0"/>
    <n v="43987.5"/>
    <n v="43987.5"/>
    <n v="776250"/>
    <n v="0"/>
    <n v="17"/>
    <n v="43987.5"/>
    <n v="142714.28571428571"/>
    <n v="150"/>
    <n v="0"/>
    <n v="150"/>
    <m/>
    <n v="0"/>
    <n v="300"/>
    <n v="0"/>
    <n v="388125"/>
    <n v="0"/>
    <n v="776250"/>
    <n v="300"/>
    <n v="776250"/>
    <n v="0"/>
    <n v="250"/>
    <n v="150"/>
    <n v="250"/>
    <n v="300"/>
    <n v="300"/>
    <n v="388125"/>
    <n v="646875"/>
    <n v="776250"/>
    <n v="776250"/>
    <n v="450"/>
    <n v="1164375"/>
    <n v="2728991.5966386558"/>
    <n v="90"/>
    <n v="200"/>
    <n v="90"/>
    <n v="0"/>
    <m/>
    <n v="517500"/>
    <n v="231660"/>
    <n v="0"/>
    <n v="200"/>
    <n v="517500"/>
    <n v="982436.97478991607"/>
  </r>
  <r>
    <s v="Lhotse-Equipamiento"/>
    <x v="4"/>
    <x v="18"/>
    <x v="40"/>
    <s v="LHBANHIM"/>
    <x v="230"/>
    <x v="220"/>
    <x v="0"/>
    <x v="2"/>
    <n v="1"/>
    <x v="152"/>
    <n v="111"/>
    <m/>
    <n v="0"/>
    <n v="3413"/>
    <n v="378843"/>
    <n v="3.75"/>
    <n v="4096.875"/>
    <n v="8394.957983193277"/>
    <n v="7554.6218487394963"/>
    <s v="Shenzhen"/>
    <x v="0"/>
    <n v="60"/>
    <m/>
    <n v="300"/>
    <n v="49"/>
    <n v="0.52842499353100325"/>
    <n v="34"/>
    <n v="0.51464449933328038"/>
    <n v="36"/>
    <n v="0.51483141701317925"/>
    <n v="24"/>
    <n v="0.52743455660748972"/>
    <n v="387"/>
    <n v="0.30345733614525244"/>
    <n v="18"/>
    <n v="2.8151994762139445"/>
    <n v="31"/>
    <n v="0.45643918309866105"/>
    <n v="16"/>
    <n v="0.52473698512217781"/>
    <n v="20"/>
    <n v="0.53668409090831015"/>
    <n v="77"/>
    <n v="0.50620853993135484"/>
    <n v="10"/>
    <n v="0.51281721445647455"/>
    <n v="7"/>
    <n v="0.39841854419410744"/>
    <n v="59"/>
    <n v="4.2359843302480958E-2"/>
    <n v="82"/>
    <n v="0.21546618347927965"/>
    <n v="40"/>
    <n v="0.38991677725156842"/>
    <n v="4"/>
    <n v="0.60853948431295068"/>
    <n v="0.16"/>
    <n v="36"/>
    <n v="0.58669052217261353"/>
    <n v="1.0285714285714285"/>
    <n v="25"/>
    <n v="0.42365562457065287"/>
    <n v="0.625"/>
    <n v="42"/>
    <n v="0.58262479685939728"/>
    <n v="1.4"/>
    <n v="55"/>
    <n v="0.33304554247127016"/>
    <n v="1.8333333333333333"/>
    <n v="33"/>
    <n v="0.32930713387228872"/>
    <n v="0.94285714285714284"/>
    <m/>
    <m/>
    <m/>
    <m/>
    <m/>
    <m/>
    <m/>
    <m/>
    <m/>
    <n v="5"/>
    <n v="4"/>
    <n v="5"/>
    <n v="0"/>
    <n v="150"/>
    <n v="0"/>
    <n v="573384"/>
    <n v="15524.999999999998"/>
    <n v="17065"/>
    <n v="0"/>
    <n v="111"/>
    <n v="378843"/>
    <n v="35272.932702492762"/>
    <n v="35"/>
    <n v="455"/>
    <n v="123"/>
    <n v="0"/>
    <n v="0"/>
    <n v="0"/>
    <n v="569971"/>
    <n v="1765968.7499999998"/>
    <n v="419799"/>
    <n v="0"/>
    <n v="111"/>
    <n v="378843"/>
    <n v="867714.14448132191"/>
    <n v="87.5"/>
    <n v="286"/>
    <n v="40"/>
    <n v="0"/>
    <n v="0"/>
    <n v="286015.75"/>
    <n v="976118"/>
    <n v="136520"/>
    <n v="0"/>
    <n v="111"/>
    <n v="378843"/>
    <n v="335798.31932773109"/>
    <n v="25"/>
    <n v="335"/>
    <n v="4"/>
    <n v="0"/>
    <n v="0"/>
    <n v="1300218.7499999998"/>
    <n v="13652"/>
    <x v="0"/>
    <x v="0"/>
    <n v="111"/>
    <n v="378843"/>
    <n v="33579.831932773108"/>
    <n v="35"/>
    <n v="147"/>
    <n v="35"/>
    <m/>
    <n v="0"/>
    <n v="0"/>
    <n v="501711"/>
    <n v="135843.74999999997"/>
    <x v="0"/>
    <n v="0"/>
    <n v="111"/>
    <n v="378843"/>
    <n v="293823.5294117647"/>
    <n v="40"/>
    <n v="136"/>
    <n v="25"/>
    <m/>
    <n v="0"/>
    <n v="0"/>
    <n v="464168"/>
    <n v="97031.249999999985"/>
    <n v="0"/>
    <n v="0"/>
    <n v="136"/>
    <n v="378843"/>
    <n v="209873.94957983191"/>
    <n v="30"/>
    <n v="153"/>
    <n v="42"/>
    <n v="0"/>
    <n v="0"/>
    <n v="0"/>
    <n v="522189"/>
    <n v="163012.49999999997"/>
    <n v="0"/>
    <n v="0"/>
    <n v="153"/>
    <n v="378843"/>
    <n v="352588.23529411765"/>
    <n v="30"/>
    <n v="166"/>
    <n v="56"/>
    <n v="0"/>
    <n v="0"/>
    <n v="0"/>
    <n v="566558"/>
    <n v="217349.99999999997"/>
    <n v="0"/>
    <n v="0"/>
    <n v="166"/>
    <n v="566558"/>
    <n v="470117.6470588235"/>
    <n v="35"/>
    <n v="144"/>
    <n v="27"/>
    <n v="0"/>
    <n v="0"/>
    <n v="0"/>
    <n v="558899.99999999988"/>
    <n v="104793.74999999999"/>
    <n v="0"/>
    <n v="0"/>
    <n v="111"/>
    <n v="378843"/>
    <n v="226663.86554621847"/>
    <n v="70"/>
    <n v="117"/>
    <n v="70"/>
    <n v="0"/>
    <n v="0"/>
    <n v="0"/>
    <m/>
    <n v="454106.24999999994"/>
    <n v="271687.49999999994"/>
    <n v="0"/>
    <n v="0"/>
    <n v="117"/>
    <n v="454106.24999999994"/>
    <n v="528823.5294117647"/>
    <n v="60"/>
    <n v="47"/>
    <n v="47"/>
    <m/>
    <n v="0"/>
    <n v="0"/>
    <n v="182418.74999999997"/>
    <n v="182418.74999999997"/>
    <n v="0"/>
    <n v="0"/>
    <n v="47"/>
    <n v="182418.74999999997"/>
    <n v="355067.22689075634"/>
    <n v="100"/>
    <n v="0"/>
    <n v="0"/>
    <n v="0"/>
    <n v="0"/>
    <n v="0"/>
    <n v="0"/>
    <n v="0"/>
    <n v="0"/>
    <n v="0"/>
    <n v="0"/>
    <n v="0"/>
    <n v="36"/>
    <n v="0"/>
    <n v="36"/>
    <n v="0"/>
    <m/>
    <n v="0"/>
    <n v="122868"/>
    <n v="0"/>
    <n v="0"/>
    <n v="0"/>
    <n v="302218.48739495798"/>
  </r>
  <r>
    <s v="Lhotse-Equipamiento"/>
    <x v="4"/>
    <x v="18"/>
    <x v="40"/>
    <s v="LHBANHIM"/>
    <x v="231"/>
    <x v="220"/>
    <x v="0"/>
    <x v="2"/>
    <n v="1"/>
    <x v="153"/>
    <n v="16"/>
    <m/>
    <n v="0"/>
    <n v="3822"/>
    <n v="61152"/>
    <n v="3.75"/>
    <n v="4096.875"/>
    <n v="8394.957983193277"/>
    <n v="8394.957983193277"/>
    <s v="Shenzhen"/>
    <x v="0"/>
    <n v="60"/>
    <m/>
    <n v="300"/>
    <n v="11"/>
    <n v="0.54356450438245596"/>
    <n v="7"/>
    <n v="0.54483183231279186"/>
    <n v="5"/>
    <n v="0.54482980048127938"/>
    <n v="5"/>
    <n v="0.54482980048127938"/>
    <n v="3"/>
    <n v="0.54483025610482438"/>
    <n v="1"/>
    <n v="0.23030516668345249"/>
    <n v="10"/>
    <n v="0.4636226482753576"/>
    <n v="0"/>
    <s v=""/>
    <n v="3"/>
    <n v="0.50908009820193434"/>
    <n v="13"/>
    <n v="0.48590003404846704"/>
    <n v="16"/>
    <n v="0.52484405155719849"/>
    <n v="144"/>
    <n v="0.44336770758622585"/>
    <n v="52"/>
    <n v="0.13353330635135621"/>
    <n v="16"/>
    <n v="0.15346881264125453"/>
    <n v="11"/>
    <n v="0.31547910176075467"/>
    <n v="7"/>
    <n v="0.34385622818845679"/>
    <n v="0.7"/>
    <n v="8"/>
    <n v="0.54485085085085083"/>
    <n v="2"/>
    <n v="4"/>
    <n v="0.27823923092192948"/>
    <n v="0.4"/>
    <n v="4"/>
    <n v="0.52086011591148573"/>
    <n v="0.2857142857142857"/>
    <n v="3"/>
    <n v="0.45918458871267898"/>
    <n v="1"/>
    <n v="0"/>
    <s v=""/>
    <n v="0"/>
    <m/>
    <m/>
    <m/>
    <m/>
    <m/>
    <m/>
    <m/>
    <m/>
    <m/>
    <n v="25"/>
    <n v="90"/>
    <n v="25"/>
    <n v="0"/>
    <n v="0"/>
    <n v="0"/>
    <n v="229320"/>
    <n v="349312.49999999994"/>
    <n v="95550"/>
    <n v="0"/>
    <n v="16"/>
    <n v="61152"/>
    <n v="176364.6635124638"/>
    <n v="15"/>
    <n v="58"/>
    <n v="24"/>
    <n v="0"/>
    <n v="0"/>
    <n v="0"/>
    <n v="160524"/>
    <n v="225112.49999999997"/>
    <n v="91728"/>
    <n v="0"/>
    <n v="16"/>
    <n v="61152"/>
    <n v="169310.07697196526"/>
    <n v="9"/>
    <n v="34"/>
    <n v="11"/>
    <n v="0"/>
    <n v="0"/>
    <n v="84321"/>
    <n v="129948"/>
    <n v="42042"/>
    <n v="0"/>
    <n v="16"/>
    <n v="61152"/>
    <n v="92344.537815126052"/>
    <n v="10"/>
    <n v="32"/>
    <n v="7"/>
    <n v="0"/>
    <n v="0"/>
    <n v="124199.99999999999"/>
    <n v="26754"/>
    <x v="0"/>
    <x v="0"/>
    <n v="16"/>
    <n v="61152"/>
    <n v="58764.705882352937"/>
    <n v="4"/>
    <n v="24"/>
    <n v="4"/>
    <m/>
    <n v="0"/>
    <n v="0"/>
    <n v="91728"/>
    <n v="15524.999999999998"/>
    <x v="0"/>
    <n v="0"/>
    <n v="16"/>
    <n v="61152"/>
    <n v="33579.831932773108"/>
    <n v="10"/>
    <n v="20"/>
    <n v="4"/>
    <m/>
    <n v="0"/>
    <n v="0"/>
    <n v="76440"/>
    <n v="15524.999999999998"/>
    <n v="0"/>
    <n v="0"/>
    <n v="20"/>
    <n v="61152"/>
    <n v="33579.831932773108"/>
    <n v="14"/>
    <n v="20"/>
    <n v="4"/>
    <n v="0"/>
    <n v="0"/>
    <n v="0"/>
    <n v="76440"/>
    <n v="15524.999999999998"/>
    <n v="0"/>
    <n v="0"/>
    <n v="20"/>
    <n v="61152"/>
    <n v="33579.831932773108"/>
    <n v="3"/>
    <n v="19"/>
    <n v="3"/>
    <n v="0"/>
    <n v="0"/>
    <n v="0"/>
    <n v="72618"/>
    <n v="11643.749999999998"/>
    <n v="0"/>
    <n v="0"/>
    <n v="19"/>
    <n v="72618"/>
    <n v="25184.873949579829"/>
    <n v="0"/>
    <n v="16"/>
    <n v="0"/>
    <n v="0"/>
    <n v="0"/>
    <n v="0"/>
    <n v="62099.999999999993"/>
    <n v="0"/>
    <n v="0"/>
    <n v="0"/>
    <n v="16"/>
    <n v="61152"/>
    <n v="0"/>
    <n v="0"/>
    <n v="16"/>
    <n v="0"/>
    <n v="0"/>
    <n v="0"/>
    <n v="0"/>
    <m/>
    <n v="62099.999999999993"/>
    <n v="0"/>
    <n v="0"/>
    <n v="0"/>
    <n v="16"/>
    <n v="62099.999999999993"/>
    <n v="0"/>
    <n v="0"/>
    <n v="16"/>
    <n v="0"/>
    <m/>
    <n v="0"/>
    <n v="0"/>
    <n v="62099.999999999993"/>
    <n v="0"/>
    <n v="0"/>
    <n v="0"/>
    <n v="16"/>
    <n v="62099.999999999993"/>
    <n v="0"/>
    <n v="0"/>
    <n v="16"/>
    <n v="0"/>
    <n v="0"/>
    <n v="0"/>
    <n v="62099.999999999993"/>
    <n v="0"/>
    <n v="0"/>
    <n v="0"/>
    <n v="16"/>
    <n v="62099.999999999993"/>
    <n v="0"/>
    <n v="0"/>
    <n v="16"/>
    <n v="0"/>
    <n v="0"/>
    <m/>
    <n v="62099.999999999993"/>
    <n v="0"/>
    <n v="0"/>
    <n v="16"/>
    <n v="62099.999999999993"/>
    <n v="0"/>
  </r>
  <r>
    <s v="Lhotse-Equipamiento"/>
    <x v="4"/>
    <x v="18"/>
    <x v="40"/>
    <s v="LHBANHIM"/>
    <x v="232"/>
    <x v="220"/>
    <x v="0"/>
    <x v="2"/>
    <n v="1"/>
    <x v="31"/>
    <n v="12"/>
    <m/>
    <n v="0"/>
    <n v="3821"/>
    <n v="45852"/>
    <n v="3.75"/>
    <n v="4096.875"/>
    <n v="8394.957983193277"/>
    <n v="8394.957983193277"/>
    <s v="Shenzhen"/>
    <x v="0"/>
    <n v="60"/>
    <m/>
    <n v="300"/>
    <n v="9"/>
    <n v="0.54610917123618241"/>
    <n v="9"/>
    <n v="0.48071609521067293"/>
    <n v="5"/>
    <n v="0.43959909595908997"/>
    <n v="9"/>
    <n v="0.5244732355100874"/>
    <n v="4"/>
    <n v="0.59848570828079029"/>
    <n v="7"/>
    <n v="0.46450844369700794"/>
    <n v="16"/>
    <n v="0.4938233289621331"/>
    <n v="5"/>
    <n v="0.5448703008196164"/>
    <n v="11"/>
    <n v="0.5411227556928202"/>
    <n v="23"/>
    <n v="0.52416285100694759"/>
    <n v="20"/>
    <n v="0.51629666003480201"/>
    <n v="109"/>
    <n v="0.42641330732663996"/>
    <n v="65"/>
    <n v="0.19243607991843467"/>
    <n v="18"/>
    <n v="0.29740458730784414"/>
    <n v="11"/>
    <n v="0.32711974781948155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25"/>
    <n v="85"/>
    <n v="30"/>
    <n v="0"/>
    <n v="0"/>
    <n v="0"/>
    <n v="259828"/>
    <n v="329906.24999999994"/>
    <n v="114630"/>
    <n v="0"/>
    <n v="12"/>
    <n v="45852"/>
    <n v="211637.59621495657"/>
    <n v="15"/>
    <n v="32"/>
    <n v="27"/>
    <n v="0"/>
    <n v="0"/>
    <n v="0"/>
    <n v="145198"/>
    <n v="124199.99999999999"/>
    <n v="103167"/>
    <n v="0"/>
    <n v="12"/>
    <n v="45852"/>
    <n v="190473.83659346093"/>
    <n v="9"/>
    <n v="15"/>
    <n v="11"/>
    <n v="0"/>
    <n v="0"/>
    <n v="42031"/>
    <n v="57315"/>
    <n v="42031"/>
    <n v="0"/>
    <n v="12"/>
    <n v="45852"/>
    <n v="92344.537815126052"/>
    <n v="10"/>
    <n v="4"/>
    <n v="0"/>
    <n v="0"/>
    <n v="0"/>
    <n v="15524.999999999998"/>
    <n v="0"/>
    <x v="0"/>
    <x v="0"/>
    <n v="12"/>
    <n v="45852"/>
    <n v="0"/>
    <n v="0"/>
    <n v="12"/>
    <n v="0"/>
    <m/>
    <n v="0"/>
    <n v="0"/>
    <n v="45852"/>
    <n v="0"/>
    <x v="0"/>
    <n v="0"/>
    <n v="12"/>
    <n v="45852"/>
    <n v="0"/>
    <n v="0"/>
    <n v="12"/>
    <n v="0"/>
    <m/>
    <n v="0"/>
    <n v="0"/>
    <n v="45852"/>
    <n v="0"/>
    <n v="0"/>
    <n v="0"/>
    <n v="12"/>
    <n v="45852"/>
    <n v="0"/>
    <n v="0"/>
    <n v="12"/>
    <n v="0"/>
    <n v="0"/>
    <n v="0"/>
    <n v="0"/>
    <n v="45852"/>
    <n v="0"/>
    <n v="0"/>
    <n v="0"/>
    <n v="12"/>
    <n v="45852"/>
    <n v="0"/>
    <n v="0"/>
    <n v="12"/>
    <n v="0"/>
    <n v="0"/>
    <n v="0"/>
    <n v="0"/>
    <n v="45852"/>
    <n v="0"/>
    <n v="0"/>
    <n v="0"/>
    <n v="12"/>
    <n v="45852"/>
    <n v="0"/>
    <n v="0"/>
    <n v="12"/>
    <n v="0"/>
    <n v="0"/>
    <n v="0"/>
    <n v="0"/>
    <n v="46574.999999999993"/>
    <n v="0"/>
    <n v="0"/>
    <n v="0"/>
    <n v="12"/>
    <n v="45852"/>
    <n v="0"/>
    <n v="0"/>
    <n v="12"/>
    <n v="0"/>
    <n v="0"/>
    <n v="0"/>
    <n v="0"/>
    <m/>
    <n v="46574.999999999993"/>
    <n v="0"/>
    <n v="0"/>
    <n v="0"/>
    <n v="12"/>
    <n v="46574.999999999993"/>
    <n v="0"/>
    <n v="0"/>
    <n v="12"/>
    <n v="0"/>
    <m/>
    <n v="0"/>
    <n v="0"/>
    <n v="46574.999999999993"/>
    <n v="0"/>
    <n v="0"/>
    <n v="0"/>
    <n v="12"/>
    <n v="46574.999999999993"/>
    <n v="0"/>
    <n v="0"/>
    <n v="12"/>
    <n v="0"/>
    <n v="0"/>
    <n v="0"/>
    <n v="46574.999999999993"/>
    <n v="0"/>
    <n v="0"/>
    <n v="0"/>
    <n v="12"/>
    <n v="46574.999999999993"/>
    <n v="0"/>
    <n v="0"/>
    <n v="12"/>
    <n v="0"/>
    <n v="0"/>
    <m/>
    <n v="46574.999999999993"/>
    <n v="0"/>
    <n v="0"/>
    <n v="12"/>
    <n v="46574.999999999993"/>
    <n v="0"/>
  </r>
  <r>
    <s v="Lhotse-Equipamiento"/>
    <x v="4"/>
    <x v="18"/>
    <x v="40"/>
    <s v="LHBANK2"/>
    <x v="233"/>
    <x v="221"/>
    <x v="0"/>
    <x v="1"/>
    <n v="1"/>
    <x v="154"/>
    <n v="224"/>
    <m/>
    <n v="0"/>
    <n v="4574"/>
    <n v="1024576"/>
    <n v="4.7"/>
    <n v="5134.75"/>
    <n v="16798.319327731093"/>
    <n v="15117.64705882353"/>
    <s v="Shenzhen"/>
    <x v="0"/>
    <n v="60"/>
    <m/>
    <n v="300"/>
    <n v="0"/>
    <s v=""/>
    <n v="0"/>
    <s v=""/>
    <n v="0"/>
    <s v=""/>
    <n v="0"/>
    <s v=""/>
    <n v="0"/>
    <s v=""/>
    <n v="0"/>
    <s v=""/>
    <n v="0"/>
    <s v=""/>
    <n v="0"/>
    <s v=""/>
    <n v="2"/>
    <n v="0.53623851113448262"/>
    <n v="26"/>
    <n v="0.61111126533688576"/>
    <n v="53"/>
    <n v="0.57766875183837674"/>
    <n v="44"/>
    <n v="0.71745231989142255"/>
    <n v="32"/>
    <n v="0.47268641532613126"/>
    <n v="35"/>
    <n v="0.49393923518333593"/>
    <n v="1"/>
    <n v="0.4459069561007496"/>
    <n v="0"/>
    <s v=""/>
    <n v="0"/>
    <n v="2"/>
    <n v="0.71349868351764079"/>
    <n v="5.7142857142857141E-2"/>
    <n v="10"/>
    <n v="0.52816818582371272"/>
    <n v="0.16666666666666666"/>
    <n v="17"/>
    <n v="0.71151481064003519"/>
    <n v="0.47222222222222221"/>
    <n v="33"/>
    <n v="0.46821344670619142"/>
    <n v="0.94285714285714284"/>
    <n v="19"/>
    <n v="0.40918982719725988"/>
    <n v="0.54285714285714282"/>
    <m/>
    <m/>
    <m/>
    <m/>
    <m/>
    <m/>
    <m/>
    <m/>
    <m/>
    <n v="30"/>
    <n v="54"/>
    <n v="35"/>
    <n v="0"/>
    <n v="0"/>
    <n v="0"/>
    <n v="404799"/>
    <n v="262683"/>
    <n v="160090"/>
    <n v="0"/>
    <n v="224"/>
    <n v="1024576"/>
    <n v="494068.21552150277"/>
    <n v="19"/>
    <n v="36"/>
    <n v="52.5"/>
    <n v="0"/>
    <n v="0"/>
    <n v="0"/>
    <n v="244709"/>
    <n v="175122"/>
    <n v="240135"/>
    <n v="0"/>
    <n v="224"/>
    <n v="1024576"/>
    <n v="741102.32328225416"/>
    <n v="0"/>
    <n v="1"/>
    <n v="1"/>
    <n v="0"/>
    <n v="0"/>
    <n v="174831.5"/>
    <n v="4574"/>
    <n v="4574"/>
    <n v="0"/>
    <n v="224"/>
    <n v="1024576"/>
    <n v="16798.319327731093"/>
    <n v="20"/>
    <n v="0"/>
    <n v="0"/>
    <n v="300"/>
    <n v="0"/>
    <n v="0"/>
    <n v="0"/>
    <x v="50"/>
    <x v="0"/>
    <n v="224"/>
    <n v="1024576"/>
    <n v="0"/>
    <n v="35"/>
    <n v="226"/>
    <n v="35"/>
    <m/>
    <n v="0"/>
    <n v="0"/>
    <n v="1033724"/>
    <n v="170257.5"/>
    <x v="0"/>
    <n v="0"/>
    <n v="224"/>
    <n v="1024576"/>
    <n v="587941.17647058819"/>
    <n v="60"/>
    <n v="234"/>
    <n v="10"/>
    <m/>
    <n v="0"/>
    <n v="0"/>
    <n v="1070316"/>
    <n v="48645"/>
    <n v="0"/>
    <n v="0"/>
    <n v="234"/>
    <n v="1024576"/>
    <n v="167983.19327731093"/>
    <n v="36"/>
    <n v="241"/>
    <n v="17"/>
    <n v="0"/>
    <n v="0"/>
    <n v="0"/>
    <n v="1102334"/>
    <n v="82696.5"/>
    <n v="0"/>
    <n v="0"/>
    <n v="241"/>
    <n v="1024576"/>
    <n v="285571.42857142858"/>
    <n v="35"/>
    <n v="257"/>
    <n v="34"/>
    <n v="0"/>
    <n v="0"/>
    <n v="0"/>
    <n v="1175518"/>
    <n v="165393"/>
    <n v="0"/>
    <n v="0"/>
    <n v="257"/>
    <n v="1175518"/>
    <n v="571142.85714285716"/>
    <n v="35"/>
    <n v="243"/>
    <n v="19.5"/>
    <n v="300"/>
    <n v="0"/>
    <n v="0"/>
    <n v="1182073.5"/>
    <n v="94857.75"/>
    <n v="1459350"/>
    <n v="0"/>
    <n v="224"/>
    <n v="1024576"/>
    <n v="327567.22689075628"/>
    <n v="80"/>
    <n v="223.5"/>
    <n v="80"/>
    <n v="0"/>
    <n v="0"/>
    <n v="0"/>
    <n v="300"/>
    <n v="1087215.75"/>
    <n v="389160"/>
    <n v="0"/>
    <n v="0"/>
    <n v="223.5"/>
    <n v="1087215.75"/>
    <n v="1209411.7647058824"/>
    <n v="70"/>
    <n v="143.5"/>
    <n v="70"/>
    <m/>
    <n v="0"/>
    <n v="303"/>
    <n v="698055.75"/>
    <n v="340515"/>
    <n v="0"/>
    <n v="1473943.5"/>
    <n v="446.5"/>
    <n v="2171999.25"/>
    <n v="1058235.294117647"/>
    <n v="150"/>
    <n v="376.5"/>
    <n v="150"/>
    <n v="0"/>
    <n v="0"/>
    <n v="1831484.25"/>
    <n v="729675"/>
    <n v="0"/>
    <n v="0"/>
    <n v="376.5"/>
    <n v="1831484.25"/>
    <n v="2519747.8991596638"/>
    <n v="42"/>
    <n v="226.5"/>
    <n v="42"/>
    <n v="0"/>
    <m/>
    <n v="1101809.25"/>
    <n v="192108"/>
    <n v="0"/>
    <n v="226.5"/>
    <n v="1101809.25"/>
    <n v="705529.4117647059"/>
  </r>
  <r>
    <s v="Lhotse-Equipamiento"/>
    <x v="4"/>
    <x v="18"/>
    <x v="41"/>
    <n v="1623703861303"/>
    <x v="234"/>
    <x v="222"/>
    <x v="0"/>
    <x v="1"/>
    <n v="1"/>
    <x v="31"/>
    <n v="438"/>
    <m/>
    <n v="0"/>
    <n v="9941"/>
    <n v="4354158"/>
    <n v="9.5"/>
    <n v="10378.75"/>
    <n v="19319.327731092439"/>
    <n v="19319.327731092439"/>
    <s v="Shenzhen"/>
    <x v="0"/>
    <n v="30"/>
    <m/>
    <n v="300"/>
    <n v="77"/>
    <n v="0.50090146919547318"/>
    <n v="37"/>
    <n v="0.54690241661654748"/>
    <n v="81"/>
    <n v="0.49534554468842434"/>
    <n v="47"/>
    <n v="0.52668302995111937"/>
    <n v="34"/>
    <n v="0.52780074701129054"/>
    <n v="90"/>
    <n v="0.44031212289670779"/>
    <n v="213"/>
    <n v="0.3628952773748706"/>
    <n v="18"/>
    <n v="0.55956464268463368"/>
    <n v="5"/>
    <n v="0.53532244785062277"/>
    <n v="50"/>
    <n v="0.50052340555526775"/>
    <n v="160"/>
    <n v="0.48900519853771507"/>
    <n v="95"/>
    <n v="0.47699955957331752"/>
    <n v="72"/>
    <n v="0.25704383352417109"/>
    <n v="25"/>
    <n v="0.29831894488290672"/>
    <n v="46"/>
    <n v="0.24535580951300684"/>
    <n v="40"/>
    <n v="0.26810028258819169"/>
    <n v="0.8"/>
    <n v="124"/>
    <n v="0.33872991416279274"/>
    <n v="3.5428571428571427"/>
    <n v="78"/>
    <n v="-0.10197246793733782"/>
    <n v="0.78"/>
    <n v="0"/>
    <s v=""/>
    <n v="0"/>
    <n v="24"/>
    <n v="0.28065767510534723"/>
    <n v="0.96"/>
    <n v="18"/>
    <n v="0.24214879748340451"/>
    <n v="0.51428571428571423"/>
    <m/>
    <m/>
    <m/>
    <m/>
    <m/>
    <m/>
    <m/>
    <m/>
    <m/>
    <n v="100"/>
    <n v="461"/>
    <n v="60"/>
    <n v="100"/>
    <n v="100"/>
    <n v="0"/>
    <n v="1426533.5"/>
    <n v="4532782.5"/>
    <n v="596460"/>
    <n v="0"/>
    <n v="438"/>
    <n v="4354158"/>
    <n v="974083.75114751793"/>
    <n v="60"/>
    <n v="522"/>
    <n v="37.5"/>
    <n v="0"/>
    <n v="0"/>
    <n v="0"/>
    <n v="1227713.5"/>
    <n v="5132565"/>
    <n v="372787.5"/>
    <n v="0"/>
    <n v="438"/>
    <n v="4354158"/>
    <n v="608802.34446719871"/>
    <n v="72"/>
    <n v="494"/>
    <n v="46"/>
    <n v="0"/>
    <n v="0"/>
    <n v="1199063.5"/>
    <n v="4910854"/>
    <n v="457286"/>
    <n v="0"/>
    <n v="438"/>
    <n v="4354158"/>
    <n v="888689.07563025213"/>
    <n v="50"/>
    <n v="451"/>
    <n v="40"/>
    <n v="0"/>
    <n v="0"/>
    <n v="4434457.5"/>
    <n v="397640"/>
    <x v="0"/>
    <x v="0"/>
    <n v="438"/>
    <n v="4354158"/>
    <n v="772773.10924369749"/>
    <n v="35"/>
    <n v="562"/>
    <n v="35"/>
    <m/>
    <n v="0"/>
    <n v="0"/>
    <n v="5586842"/>
    <n v="344137.5"/>
    <x v="0"/>
    <n v="0"/>
    <n v="438"/>
    <n v="4354158"/>
    <n v="676176.4705882353"/>
    <n v="100"/>
    <n v="516"/>
    <n v="78"/>
    <m/>
    <n v="0"/>
    <n v="0"/>
    <n v="5129556"/>
    <n v="766935"/>
    <n v="0"/>
    <n v="0"/>
    <n v="516"/>
    <n v="4354158"/>
    <n v="1506907.5630252103"/>
    <n v="100"/>
    <n v="438"/>
    <n v="0"/>
    <n v="0"/>
    <n v="0"/>
    <n v="0"/>
    <n v="4354158"/>
    <n v="0"/>
    <n v="0"/>
    <n v="0"/>
    <n v="438"/>
    <n v="4354158"/>
    <n v="0"/>
    <n v="25"/>
    <n v="462"/>
    <n v="24"/>
    <n v="0"/>
    <n v="0"/>
    <n v="0"/>
    <n v="4592742"/>
    <n v="235980"/>
    <n v="0"/>
    <n v="0"/>
    <n v="462"/>
    <n v="4592742"/>
    <n v="463663.86554621853"/>
    <n v="35"/>
    <n v="456"/>
    <n v="18"/>
    <n v="300"/>
    <n v="300"/>
    <n v="0"/>
    <n v="4483620"/>
    <n v="176985"/>
    <n v="2949750"/>
    <n v="0"/>
    <n v="438"/>
    <n v="4354158"/>
    <n v="347747.89915966388"/>
    <n v="70"/>
    <n v="438"/>
    <n v="70"/>
    <n v="0"/>
    <n v="0"/>
    <n v="0"/>
    <n v="300"/>
    <n v="4306635"/>
    <n v="688275"/>
    <n v="0"/>
    <n v="0"/>
    <n v="438"/>
    <n v="4306635"/>
    <n v="1352352.9411764706"/>
    <n v="60"/>
    <n v="368"/>
    <n v="60"/>
    <m/>
    <n v="0"/>
    <n v="0"/>
    <n v="3618360"/>
    <n v="589950"/>
    <n v="0"/>
    <n v="0"/>
    <n v="368"/>
    <n v="3618360"/>
    <n v="1159159.6638655462"/>
    <n v="150"/>
    <n v="308"/>
    <n v="150"/>
    <n v="300"/>
    <n v="300"/>
    <n v="3028410"/>
    <n v="1474875"/>
    <n v="2949750"/>
    <n v="2949750"/>
    <n v="608"/>
    <n v="5978160"/>
    <n v="2897899.1596638658"/>
    <n v="36"/>
    <n v="458"/>
    <n v="36"/>
    <n v="0"/>
    <m/>
    <n v="4503285"/>
    <n v="357876"/>
    <n v="0"/>
    <n v="458"/>
    <n v="4503285"/>
    <n v="695495.79831932776"/>
  </r>
  <r>
    <s v="Lhotse-Equipamiento"/>
    <x v="4"/>
    <x v="18"/>
    <x v="41"/>
    <s v="LHBOLDUF30"/>
    <x v="235"/>
    <x v="223"/>
    <x v="0"/>
    <x v="1"/>
    <n v="0.7"/>
    <x v="155"/>
    <n v="278"/>
    <m/>
    <n v="0"/>
    <n v="10465"/>
    <n v="2909270"/>
    <n v="10.33"/>
    <n v="11285.525"/>
    <n v="21000"/>
    <n v="23521.008403361346"/>
    <s v="Shenzhen"/>
    <x v="0"/>
    <n v="60"/>
    <m/>
    <n v="300"/>
    <n v="22"/>
    <n v="0.58680646472789166"/>
    <n v="25"/>
    <n v="0.57831532947882403"/>
    <n v="47"/>
    <n v="0.54727302600610206"/>
    <n v="31"/>
    <n v="0.51482833189401933"/>
    <n v="111"/>
    <n v="0.3967182788582671"/>
    <n v="39"/>
    <n v="-9.2396553804798401E-2"/>
    <n v="30"/>
    <n v="0.5028299898461932"/>
    <n v="20"/>
    <n v="0.54768922674425535"/>
    <n v="17"/>
    <n v="0.34569517386224652"/>
    <n v="28"/>
    <n v="0.48353325422794008"/>
    <n v="71"/>
    <n v="0.47594613183643614"/>
    <n v="74"/>
    <n v="0.52406482537530308"/>
    <n v="24"/>
    <n v="0.40411134643581442"/>
    <n v="42"/>
    <n v="0.26262332372522518"/>
    <n v="48"/>
    <n v="0.31706177206874847"/>
    <n v="4"/>
    <n v="0.29688857762231902"/>
    <n v="0.13333333333333333"/>
    <n v="6"/>
    <n v="0.64128325627552096"/>
    <n v="0.12"/>
    <n v="36"/>
    <n v="0.35430265050914667"/>
    <n v="0.45"/>
    <n v="1"/>
    <n v="0.57551717239079692"/>
    <n v="2.5000000000000001E-2"/>
    <n v="9"/>
    <n v="0.36026918316234957"/>
    <n v="0.47368421052631576"/>
    <n v="35"/>
    <n v="0.33115652540008789"/>
    <n v="1.1666666666666667"/>
    <m/>
    <m/>
    <m/>
    <m/>
    <m/>
    <m/>
    <m/>
    <m/>
    <m/>
    <n v="30"/>
    <n v="177"/>
    <n v="15"/>
    <n v="0"/>
    <n v="0"/>
    <n v="0"/>
    <n v="1318590"/>
    <n v="1892404.3499999999"/>
    <n v="156975"/>
    <n v="0"/>
    <n v="278"/>
    <n v="2909270"/>
    <n v="264705.8823529412"/>
    <n v="25"/>
    <n v="160"/>
    <n v="63"/>
    <n v="0"/>
    <n v="0"/>
    <n v="0"/>
    <n v="1203475"/>
    <n v="1710648"/>
    <n v="659295"/>
    <n v="0"/>
    <n v="278"/>
    <n v="2909270"/>
    <n v="1111764.705882353"/>
    <n v="50"/>
    <n v="103"/>
    <n v="48"/>
    <n v="0"/>
    <n v="0"/>
    <n v="918384.25"/>
    <n v="1077895"/>
    <n v="502320"/>
    <n v="0"/>
    <n v="278"/>
    <n v="2909270"/>
    <n v="1008000"/>
    <n v="30"/>
    <n v="67"/>
    <n v="4"/>
    <n v="0"/>
    <n v="0"/>
    <n v="716333.85"/>
    <n v="41860"/>
    <x v="0"/>
    <x v="0"/>
    <n v="278"/>
    <n v="2909270"/>
    <n v="84000"/>
    <n v="50"/>
    <n v="284"/>
    <n v="35"/>
    <m/>
    <n v="0"/>
    <n v="0"/>
    <n v="2972060"/>
    <n v="374204.25"/>
    <x v="0"/>
    <n v="0"/>
    <n v="278"/>
    <n v="2909270"/>
    <n v="735000"/>
    <n v="80"/>
    <n v="314"/>
    <n v="36"/>
    <m/>
    <n v="0"/>
    <n v="0"/>
    <n v="3286010"/>
    <n v="384895.8"/>
    <n v="0"/>
    <n v="0"/>
    <n v="314"/>
    <n v="2909270"/>
    <n v="756000"/>
    <n v="40"/>
    <n v="279"/>
    <n v="1"/>
    <n v="300"/>
    <n v="300"/>
    <n v="0"/>
    <n v="2919735"/>
    <n v="10691.55"/>
    <n v="3100549.4999999995"/>
    <n v="0"/>
    <n v="279"/>
    <n v="2909270"/>
    <n v="21000"/>
    <n v="19"/>
    <n v="287"/>
    <n v="9"/>
    <n v="0"/>
    <n v="0"/>
    <n v="0"/>
    <n v="3003455"/>
    <n v="96223.95"/>
    <n v="0"/>
    <n v="0"/>
    <n v="287"/>
    <n v="3003455"/>
    <n v="189000"/>
    <n v="30"/>
    <n v="313"/>
    <n v="24"/>
    <n v="0"/>
    <n v="300"/>
    <n v="0"/>
    <n v="3346455.15"/>
    <n v="256597.19999999998"/>
    <n v="0"/>
    <n v="0"/>
    <n v="278"/>
    <n v="2909270"/>
    <n v="504000"/>
    <n v="45"/>
    <n v="289"/>
    <n v="31.499999999999996"/>
    <n v="0"/>
    <n v="0"/>
    <n v="0"/>
    <n v="0"/>
    <n v="3089857.9499999997"/>
    <n v="336783.82499999995"/>
    <n v="0"/>
    <n v="0"/>
    <n v="289"/>
    <n v="3089857.9499999997"/>
    <n v="740911.76470588229"/>
    <n v="75"/>
    <n v="257.5"/>
    <n v="52.5"/>
    <m/>
    <n v="0"/>
    <n v="0"/>
    <n v="2753074.125"/>
    <n v="561306.375"/>
    <n v="0"/>
    <n v="0"/>
    <n v="257.5"/>
    <n v="2753074.125"/>
    <n v="1234852.9411764706"/>
    <n v="80"/>
    <n v="205"/>
    <n v="56"/>
    <n v="0"/>
    <n v="0"/>
    <n v="2191767.75"/>
    <n v="598726.79999999993"/>
    <n v="0"/>
    <n v="0"/>
    <n v="205"/>
    <n v="2191767.75"/>
    <n v="1176000"/>
    <n v="45"/>
    <n v="149"/>
    <n v="31.499999999999996"/>
    <n v="0"/>
    <m/>
    <n v="1593040.95"/>
    <n v="329647.49999999994"/>
    <n v="0"/>
    <n v="149"/>
    <n v="1593040.95"/>
    <n v="661499.99999999988"/>
  </r>
  <r>
    <s v="Lhotse-Equipamiento"/>
    <x v="4"/>
    <x v="18"/>
    <x v="41"/>
    <s v="LHBOLDUF30"/>
    <x v="236"/>
    <x v="224"/>
    <x v="0"/>
    <x v="1"/>
    <n v="1"/>
    <x v="156"/>
    <n v="153"/>
    <m/>
    <n v="0"/>
    <n v="9813"/>
    <n v="1501389"/>
    <n v="10.33"/>
    <n v="11285.525"/>
    <n v="21000"/>
    <n v="23521.008403361346"/>
    <s v="Shenzhen"/>
    <x v="0"/>
    <n v="60"/>
    <m/>
    <n v="300"/>
    <n v="11"/>
    <n v="0.58033178395622864"/>
    <n v="23"/>
    <n v="0.53022691880121364"/>
    <n v="29"/>
    <n v="0.50711586343740656"/>
    <n v="19"/>
    <n v="0.509179758995847"/>
    <n v="2"/>
    <n v="0.5586945480517419"/>
    <n v="12"/>
    <n v="0.57317584958460721"/>
    <n v="61"/>
    <n v="0.45086686167140289"/>
    <n v="6"/>
    <n v="0.57521912671552278"/>
    <n v="13"/>
    <n v="0.2934747071580236"/>
    <n v="10"/>
    <n v="0.49271987385185723"/>
    <n v="7"/>
    <n v="0.54402912425449568"/>
    <n v="27"/>
    <n v="0.45082614544363869"/>
    <n v="9"/>
    <n v="0.38033119511246749"/>
    <n v="36"/>
    <n v="0.30670296243722395"/>
    <n v="25"/>
    <n v="0.37708653438545203"/>
    <n v="21"/>
    <n v="0.45735491641465126"/>
    <n v="1.05"/>
    <n v="16"/>
    <n v="0.6269854406344465"/>
    <n v="0.8"/>
    <n v="20"/>
    <n v="0.25748230959721585"/>
    <n v="0.33333333333333331"/>
    <n v="30"/>
    <n v="0.60091134576427985"/>
    <n v="0.75"/>
    <n v="14"/>
    <n v="0.29698261295226158"/>
    <n v="0.93333333333333335"/>
    <n v="11"/>
    <n v="0.32949427317625585"/>
    <n v="0.55000000000000004"/>
    <m/>
    <m/>
    <m/>
    <m/>
    <m/>
    <m/>
    <m/>
    <m/>
    <m/>
    <n v="20"/>
    <n v="24"/>
    <n v="15"/>
    <n v="0"/>
    <n v="100"/>
    <n v="0"/>
    <n v="922422"/>
    <n v="256597.19999999998"/>
    <n v="147195"/>
    <n v="0"/>
    <n v="153"/>
    <n v="1501389"/>
    <n v="264705.8823529412"/>
    <n v="25"/>
    <n v="316"/>
    <n v="54"/>
    <n v="0"/>
    <n v="0"/>
    <n v="0"/>
    <n v="981300"/>
    <n v="3378529.8"/>
    <n v="529902"/>
    <n v="0"/>
    <n v="153"/>
    <n v="1501389"/>
    <n v="952941.17647058831"/>
    <n v="30"/>
    <n v="255"/>
    <n v="25"/>
    <n v="0"/>
    <n v="0"/>
    <n v="665229"/>
    <n v="2502315"/>
    <n v="245325"/>
    <n v="0"/>
    <n v="153"/>
    <n v="1501389"/>
    <n v="525000"/>
    <n v="20"/>
    <n v="256"/>
    <n v="21"/>
    <n v="0"/>
    <n v="0"/>
    <n v="2737036.8"/>
    <n v="206073"/>
    <x v="0"/>
    <x v="0"/>
    <n v="153"/>
    <n v="1501389"/>
    <n v="441000"/>
    <n v="20"/>
    <n v="169"/>
    <n v="20"/>
    <m/>
    <n v="0"/>
    <n v="0"/>
    <n v="1658397"/>
    <n v="213831"/>
    <x v="0"/>
    <n v="0"/>
    <n v="153"/>
    <n v="1501389"/>
    <n v="420000"/>
    <n v="60"/>
    <n v="173"/>
    <n v="20"/>
    <m/>
    <n v="0"/>
    <n v="0"/>
    <n v="1697649"/>
    <n v="213831"/>
    <n v="0"/>
    <n v="0"/>
    <n v="173"/>
    <n v="1501389"/>
    <n v="420000"/>
    <n v="40"/>
    <n v="183"/>
    <n v="30"/>
    <n v="0"/>
    <n v="0"/>
    <n v="0"/>
    <n v="1795779"/>
    <n v="320746.5"/>
    <n v="0"/>
    <n v="0"/>
    <n v="183"/>
    <n v="1501389"/>
    <n v="630000"/>
    <n v="15"/>
    <n v="167"/>
    <n v="14"/>
    <n v="0"/>
    <n v="0"/>
    <n v="0"/>
    <n v="1638771"/>
    <n v="149681.69999999998"/>
    <n v="0"/>
    <n v="0"/>
    <n v="167"/>
    <n v="1638771"/>
    <n v="294000"/>
    <n v="20"/>
    <n v="164"/>
    <n v="15"/>
    <n v="0"/>
    <n v="0"/>
    <n v="0"/>
    <n v="1753414.2"/>
    <n v="160373.25"/>
    <n v="0"/>
    <n v="0"/>
    <n v="153"/>
    <n v="1501389"/>
    <n v="315000"/>
    <n v="40"/>
    <n v="149"/>
    <n v="40"/>
    <n v="0"/>
    <n v="0"/>
    <n v="0"/>
    <m/>
    <n v="1593040.95"/>
    <n v="427662"/>
    <n v="0"/>
    <n v="0"/>
    <n v="149"/>
    <n v="1593040.95"/>
    <n v="940840.33613445377"/>
    <n v="35"/>
    <n v="109"/>
    <n v="35"/>
    <m/>
    <n v="0"/>
    <n v="0"/>
    <n v="1165378.95"/>
    <n v="374204.25"/>
    <n v="0"/>
    <n v="0"/>
    <n v="109"/>
    <n v="1165378.95"/>
    <n v="823235.29411764711"/>
    <n v="50"/>
    <n v="74"/>
    <n v="50"/>
    <n v="0"/>
    <n v="0"/>
    <n v="791174.7"/>
    <n v="534577.5"/>
    <n v="0"/>
    <n v="0"/>
    <n v="74"/>
    <n v="791174.7"/>
    <n v="1050000"/>
    <n v="21"/>
    <n v="24"/>
    <n v="21"/>
    <n v="0"/>
    <m/>
    <n v="256597.19999999998"/>
    <n v="206073"/>
    <n v="0"/>
    <n v="24"/>
    <n v="256597.19999999998"/>
    <n v="441000"/>
  </r>
  <r>
    <s v="Lhotse-Equipamiento"/>
    <x v="4"/>
    <x v="18"/>
    <x v="41"/>
    <s v="LHBOLDUF30"/>
    <x v="237"/>
    <x v="225"/>
    <x v="0"/>
    <x v="1"/>
    <n v="1"/>
    <x v="157"/>
    <n v="120"/>
    <m/>
    <n v="0"/>
    <n v="9737"/>
    <n v="1168440"/>
    <n v="10.33"/>
    <n v="11285.525"/>
    <n v="21000"/>
    <n v="23521.008403361346"/>
    <s v="Shenzhen"/>
    <x v="0"/>
    <n v="60"/>
    <m/>
    <n v="300"/>
    <n v="8"/>
    <n v="0.65506754562024083"/>
    <n v="11"/>
    <n v="0.5551497103622488"/>
    <n v="16"/>
    <n v="0.54823926498025721"/>
    <n v="14"/>
    <n v="0.53200282453254899"/>
    <n v="5"/>
    <n v="0.56009523053725896"/>
    <n v="13"/>
    <n v="0.48232828156873603"/>
    <n v="66"/>
    <n v="0.38995960654568601"/>
    <n v="8"/>
    <n v="0.58597477521865216"/>
    <n v="3"/>
    <n v="0.62294886287531748"/>
    <n v="27"/>
    <n v="0.48013092614590874"/>
    <n v="12"/>
    <n v="0.57428657296603669"/>
    <n v="15"/>
    <n v="0.58242719926747333"/>
    <n v="6"/>
    <n v="0.47332848616987855"/>
    <n v="39"/>
    <n v="0.31156975198118858"/>
    <n v="11"/>
    <n v="0.46636427409274939"/>
    <n v="4"/>
    <n v="0.54868022665639571"/>
    <n v="0.26666666666666666"/>
    <n v="12"/>
    <n v="0.68026529835365102"/>
    <n v="0.8"/>
    <n v="23"/>
    <n v="0.30228816063956648"/>
    <n v="0.46"/>
    <n v="41"/>
    <n v="0.56992988750734386"/>
    <n v="1.1714285714285715"/>
    <n v="41"/>
    <n v="0.30148170551193149"/>
    <n v="1.3666666666666667"/>
    <n v="19"/>
    <n v="0.39034006209261252"/>
    <n v="0.76"/>
    <m/>
    <m/>
    <m/>
    <m/>
    <m/>
    <m/>
    <m/>
    <m/>
    <m/>
    <n v="20"/>
    <n v="4"/>
    <n v="8"/>
    <n v="0"/>
    <n v="100"/>
    <n v="0"/>
    <n v="754617.5"/>
    <n v="42766.2"/>
    <n v="77896"/>
    <n v="0"/>
    <n v="120"/>
    <n v="1168440"/>
    <n v="141176.4705882353"/>
    <n v="20"/>
    <n v="307"/>
    <n v="58.5"/>
    <n v="0"/>
    <n v="0"/>
    <n v="0"/>
    <n v="715669.5"/>
    <n v="3282305.8499999996"/>
    <n v="569614.5"/>
    <n v="0"/>
    <n v="120"/>
    <n v="1168440"/>
    <n v="1032352.9411764706"/>
    <n v="37.5"/>
    <n v="247"/>
    <n v="11"/>
    <n v="0"/>
    <n v="0"/>
    <n v="306428.25"/>
    <n v="2405039"/>
    <n v="107107"/>
    <n v="0"/>
    <n v="120"/>
    <n v="1168440"/>
    <n v="231000"/>
    <n v="15"/>
    <n v="257"/>
    <n v="4"/>
    <n v="0"/>
    <n v="0"/>
    <n v="2747728.3499999996"/>
    <n v="38948"/>
    <x v="0"/>
    <x v="0"/>
    <n v="120"/>
    <n v="1168440"/>
    <n v="84000"/>
    <n v="15"/>
    <n v="132"/>
    <n v="15"/>
    <m/>
    <n v="0"/>
    <n v="0"/>
    <n v="1285284"/>
    <n v="160373.25"/>
    <x v="0"/>
    <n v="0"/>
    <n v="120"/>
    <n v="1168440"/>
    <n v="315000"/>
    <n v="50"/>
    <n v="143"/>
    <n v="23"/>
    <m/>
    <n v="0"/>
    <n v="0"/>
    <n v="1392391"/>
    <n v="245905.65"/>
    <n v="0"/>
    <n v="0"/>
    <n v="143"/>
    <n v="1168440"/>
    <n v="483000"/>
    <n v="35"/>
    <n v="161"/>
    <n v="41"/>
    <n v="0"/>
    <n v="0"/>
    <n v="0"/>
    <n v="1567657"/>
    <n v="438353.55"/>
    <n v="0"/>
    <n v="0"/>
    <n v="161"/>
    <n v="1168440"/>
    <n v="861000"/>
    <n v="30"/>
    <n v="161"/>
    <n v="42"/>
    <n v="0"/>
    <n v="0"/>
    <n v="0"/>
    <n v="1567657"/>
    <n v="449045.1"/>
    <n v="0"/>
    <n v="0"/>
    <n v="161"/>
    <n v="1567657"/>
    <n v="882000"/>
    <n v="25"/>
    <n v="139"/>
    <n v="22.5"/>
    <n v="0"/>
    <n v="0"/>
    <n v="0"/>
    <n v="1486125.45"/>
    <n v="240559.87499999997"/>
    <n v="0"/>
    <n v="0"/>
    <n v="120"/>
    <n v="1168440"/>
    <n v="472500"/>
    <n v="40"/>
    <n v="116.5"/>
    <n v="40"/>
    <n v="0"/>
    <n v="0"/>
    <n v="0"/>
    <m/>
    <n v="1245565.575"/>
    <n v="427662"/>
    <n v="0"/>
    <n v="0"/>
    <n v="116.5"/>
    <n v="1245565.575"/>
    <n v="940840.33613445377"/>
    <n v="35"/>
    <n v="76.5"/>
    <n v="35"/>
    <m/>
    <n v="0"/>
    <n v="0"/>
    <n v="817903.57499999995"/>
    <n v="374204.25"/>
    <n v="0"/>
    <n v="0"/>
    <n v="76.5"/>
    <n v="817903.57499999995"/>
    <n v="823235.29411764711"/>
    <n v="40"/>
    <n v="41.5"/>
    <n v="40"/>
    <n v="0"/>
    <n v="0"/>
    <n v="443699.32499999995"/>
    <n v="427662"/>
    <n v="0"/>
    <n v="0"/>
    <n v="41.5"/>
    <n v="443699.32499999995"/>
    <n v="840000"/>
    <n v="21"/>
    <n v="1.5"/>
    <n v="21"/>
    <n v="0"/>
    <m/>
    <n v="16037.324999999999"/>
    <n v="204477"/>
    <n v="0"/>
    <n v="1.5"/>
    <n v="16037.324999999999"/>
    <n v="441000"/>
  </r>
  <r>
    <s v="Lhotse-Equipamiento"/>
    <x v="4"/>
    <x v="18"/>
    <x v="41"/>
    <s v="LHBOLDUF60"/>
    <x v="238"/>
    <x v="226"/>
    <x v="0"/>
    <x v="1"/>
    <n v="0.8"/>
    <x v="158"/>
    <n v="320"/>
    <m/>
    <n v="0"/>
    <n v="12275"/>
    <n v="3928000"/>
    <n v="12"/>
    <n v="13109.999999999998"/>
    <n v="33605.042016806721"/>
    <n v="31924.36974789916"/>
    <s v="Shenzhen"/>
    <x v="0"/>
    <n v="60"/>
    <m/>
    <n v="300"/>
    <n v="17"/>
    <n v="0.65668724104160892"/>
    <n v="31"/>
    <n v="0.61892042746024001"/>
    <n v="150"/>
    <n v="0.5258857885336734"/>
    <n v="23"/>
    <n v="0.5784614830452729"/>
    <n v="0"/>
    <s v=""/>
    <n v="3"/>
    <n v="0.99999393444535167"/>
    <n v="15"/>
    <n v="0.47124605515562801"/>
    <n v="56"/>
    <n v="0.62092193661668915"/>
    <n v="21"/>
    <n v="0.65068092320802617"/>
    <n v="117"/>
    <n v="0.49380219696935607"/>
    <n v="44"/>
    <n v="0.61267288050710078"/>
    <n v="61"/>
    <n v="0.62061471349410768"/>
    <n v="87"/>
    <n v="0.4430458152555643"/>
    <n v="66"/>
    <n v="0.4464301089273397"/>
    <n v="25"/>
    <n v="0.47433956792353588"/>
    <n v="9"/>
    <n v="0.41829848763959226"/>
    <n v="0"/>
    <n v="9"/>
    <n v="0.68321735137319983"/>
    <n v="0.2"/>
    <n v="81"/>
    <n v="0.37651948821451259"/>
    <n v="1.0125"/>
    <n v="75"/>
    <n v="0.61900589865728406"/>
    <n v="1.5"/>
    <n v="88"/>
    <n v="0.37158832860467012"/>
    <n v="1.4193548387096775"/>
    <n v="46"/>
    <n v="0.38241874708383311"/>
    <n v="0.92"/>
    <m/>
    <m/>
    <m/>
    <m/>
    <m/>
    <m/>
    <m/>
    <m/>
    <m/>
    <n v="30"/>
    <n v="73"/>
    <n v="50"/>
    <n v="0"/>
    <n v="96"/>
    <n v="0"/>
    <n v="2135850"/>
    <n v="906659.99999999988"/>
    <n v="613750"/>
    <n v="0"/>
    <n v="320"/>
    <n v="3928000"/>
    <n v="1411976.5553280136"/>
    <n v="40"/>
    <n v="100"/>
    <n v="99"/>
    <n v="150"/>
    <n v="50"/>
    <n v="0"/>
    <n v="1632575"/>
    <n v="1241999.9999999998"/>
    <n v="1215225"/>
    <n v="0"/>
    <n v="320"/>
    <n v="3928000"/>
    <n v="2795713.5795494672"/>
    <n v="12"/>
    <n v="27"/>
    <n v="25"/>
    <n v="0"/>
    <n v="0"/>
    <n v="864470"/>
    <n v="331425"/>
    <n v="306875"/>
    <n v="0"/>
    <n v="320"/>
    <n v="3928000"/>
    <n v="840126.05042016809"/>
    <n v="0"/>
    <n v="309"/>
    <n v="9"/>
    <n v="0"/>
    <n v="0"/>
    <n v="3837779.9999999995"/>
    <n v="110475"/>
    <x v="0"/>
    <x v="0"/>
    <n v="320"/>
    <n v="3928000"/>
    <n v="302445.37815126049"/>
    <n v="45"/>
    <n v="329"/>
    <n v="36"/>
    <m/>
    <n v="0"/>
    <n v="0"/>
    <n v="4038475"/>
    <n v="447119.99999999994"/>
    <x v="0"/>
    <n v="0"/>
    <n v="320"/>
    <n v="3928000"/>
    <n v="1209781.512605042"/>
    <n v="80"/>
    <n v="401"/>
    <n v="81"/>
    <m/>
    <n v="0"/>
    <n v="0"/>
    <n v="4922275"/>
    <n v="1006019.9999999999"/>
    <n v="0"/>
    <n v="0"/>
    <n v="401"/>
    <n v="3928000"/>
    <n v="2722008.4033613442"/>
    <n v="50"/>
    <n v="395"/>
    <n v="75"/>
    <n v="300"/>
    <n v="300"/>
    <n v="0"/>
    <n v="4848625"/>
    <n v="931499.99999999988"/>
    <n v="3601799.9999999995"/>
    <n v="0"/>
    <n v="395"/>
    <n v="3928000"/>
    <n v="2520378.151260504"/>
    <n v="62"/>
    <n v="408"/>
    <n v="90"/>
    <n v="0"/>
    <n v="0"/>
    <n v="0"/>
    <n v="5008200"/>
    <n v="1117799.9999999998"/>
    <n v="0"/>
    <n v="0"/>
    <n v="408"/>
    <n v="5008200"/>
    <n v="3024453.781512605"/>
    <n v="50"/>
    <n v="366"/>
    <n v="55.5"/>
    <n v="0"/>
    <n v="300"/>
    <n v="0"/>
    <n v="4545719.9999999991"/>
    <n v="689309.99999999988"/>
    <n v="0"/>
    <n v="0"/>
    <n v="320"/>
    <n v="3928000"/>
    <n v="1865079.8319327731"/>
    <n v="120"/>
    <n v="310.5"/>
    <n v="96"/>
    <n v="0"/>
    <n v="0"/>
    <n v="0"/>
    <n v="0"/>
    <n v="3856409.9999999995"/>
    <n v="1192319.9999999998"/>
    <n v="0"/>
    <n v="0"/>
    <n v="310.5"/>
    <n v="3856409.9999999995"/>
    <n v="3064739.4957983196"/>
    <n v="65"/>
    <n v="214.5"/>
    <n v="52"/>
    <m/>
    <n v="0"/>
    <n v="0"/>
    <n v="2664089.9999999995"/>
    <n v="645839.99999999988"/>
    <n v="0"/>
    <n v="0"/>
    <n v="214.5"/>
    <n v="2664089.9999999995"/>
    <n v="1660067.2268907563"/>
    <n v="100"/>
    <n v="162.5"/>
    <n v="80"/>
    <n v="0"/>
    <n v="0"/>
    <n v="2018249.9999999998"/>
    <n v="993599.99999999988"/>
    <n v="0"/>
    <n v="0"/>
    <n v="162.5"/>
    <n v="2018249.9999999998"/>
    <n v="2688403.3613445377"/>
    <n v="39"/>
    <n v="82.5"/>
    <n v="31.200000000000003"/>
    <n v="0"/>
    <m/>
    <n v="1024649.9999999999"/>
    <n v="382980.00000000006"/>
    <n v="0"/>
    <n v="82.5"/>
    <n v="1024649.9999999999"/>
    <n v="1048477.3109243698"/>
  </r>
  <r>
    <s v="Lhotse-Equipamiento"/>
    <x v="4"/>
    <x v="18"/>
    <x v="41"/>
    <s v="LHBOLDUF60"/>
    <x v="239"/>
    <x v="227"/>
    <x v="0"/>
    <x v="1"/>
    <n v="0.8"/>
    <x v="159"/>
    <n v="209"/>
    <m/>
    <n v="0"/>
    <n v="12445"/>
    <n v="2601005"/>
    <n v="12"/>
    <n v="13109.999999999998"/>
    <n v="33605.042016806721"/>
    <n v="31924.36974789916"/>
    <s v="Shenzhen"/>
    <x v="0"/>
    <n v="60"/>
    <m/>
    <n v="300"/>
    <n v="9"/>
    <n v="0.70163267125359474"/>
    <n v="9"/>
    <n v="0.63218157874519387"/>
    <n v="25"/>
    <n v="0.52401091332482774"/>
    <n v="15"/>
    <n v="0.484050583768662"/>
    <n v="9"/>
    <n v="0.5883896062490036"/>
    <n v="19"/>
    <n v="0.52981619481808728"/>
    <n v="62"/>
    <n v="0.39760661395657559"/>
    <n v="12"/>
    <n v="0.49387208740738348"/>
    <n v="5"/>
    <n v="0.6615428093504313"/>
    <n v="22"/>
    <n v="0.55474778653906831"/>
    <n v="16"/>
    <n v="0.55850992758729756"/>
    <n v="20"/>
    <n v="0.66931904419312294"/>
    <n v="26"/>
    <n v="0.48870096756790826"/>
    <n v="15"/>
    <n v="0.42198460843706348"/>
    <n v="5"/>
    <n v="0.66004666197946416"/>
    <n v="8"/>
    <n v="0.49337888399684693"/>
    <n v="0.47058823529411764"/>
    <n v="36"/>
    <n v="0.51378110264945964"/>
    <n v="3.6"/>
    <n v="21"/>
    <n v="0.42711257660983704"/>
    <n v="0.6"/>
    <n v="21"/>
    <n v="0.62761597450683471"/>
    <n v="0.7"/>
    <n v="41"/>
    <n v="0.36052643582915178"/>
    <n v="1.3666666666666667"/>
    <n v="24"/>
    <n v="0.41309157700742266"/>
    <n v="0.96"/>
    <m/>
    <m/>
    <m/>
    <m/>
    <m/>
    <m/>
    <m/>
    <m/>
    <m/>
    <n v="20"/>
    <n v="110"/>
    <n v="30"/>
    <n v="0"/>
    <n v="0"/>
    <n v="0"/>
    <n v="715587.5"/>
    <n v="1366199.9999999998"/>
    <n v="373350"/>
    <n v="0"/>
    <n v="209"/>
    <n v="2601005"/>
    <n v="847185.93319680821"/>
    <n v="25"/>
    <n v="73"/>
    <n v="22.5"/>
    <n v="200"/>
    <n v="50"/>
    <n v="0"/>
    <n v="441797.5"/>
    <n v="906659.99999999988"/>
    <n v="280012.5"/>
    <n v="0"/>
    <n v="209"/>
    <n v="2601005"/>
    <n v="635389.44989760616"/>
    <n v="35"/>
    <n v="57"/>
    <n v="5"/>
    <n v="0"/>
    <n v="0"/>
    <n v="261145"/>
    <n v="709365"/>
    <n v="62225"/>
    <n v="0"/>
    <n v="209"/>
    <n v="2601005"/>
    <n v="168025.21008403361"/>
    <n v="17"/>
    <n v="359"/>
    <n v="8"/>
    <n v="0"/>
    <n v="0"/>
    <n v="4458779.9999999991"/>
    <n v="99560"/>
    <x v="0"/>
    <x v="0"/>
    <n v="209"/>
    <n v="2601005"/>
    <n v="268840.33613445377"/>
    <n v="10"/>
    <n v="245"/>
    <n v="8"/>
    <m/>
    <n v="0"/>
    <n v="0"/>
    <n v="3049025"/>
    <n v="99359.999999999985"/>
    <x v="0"/>
    <n v="0"/>
    <n v="209"/>
    <n v="2601005"/>
    <n v="268840.33613445377"/>
    <n v="35"/>
    <n v="230"/>
    <n v="21"/>
    <m/>
    <n v="0"/>
    <n v="0"/>
    <n v="2862350"/>
    <n v="260819.99999999997"/>
    <n v="0"/>
    <n v="0"/>
    <n v="230"/>
    <n v="2601005"/>
    <n v="705705.8823529412"/>
    <n v="30"/>
    <n v="230"/>
    <n v="21"/>
    <n v="0"/>
    <n v="0"/>
    <n v="0"/>
    <n v="2862350"/>
    <n v="260819.99999999997"/>
    <n v="0"/>
    <n v="0"/>
    <n v="230"/>
    <n v="2601005"/>
    <n v="705705.8823529412"/>
    <n v="30"/>
    <n v="250"/>
    <n v="42"/>
    <n v="0"/>
    <n v="0"/>
    <n v="0"/>
    <n v="3111250"/>
    <n v="521639.99999999994"/>
    <n v="0"/>
    <n v="0"/>
    <n v="250"/>
    <n v="3111250"/>
    <n v="1411411.7647058824"/>
    <n v="25"/>
    <n v="233"/>
    <n v="28.5"/>
    <n v="0"/>
    <n v="0"/>
    <n v="0"/>
    <n v="2893859.9999999995"/>
    <n v="353969.99999999994"/>
    <n v="0"/>
    <n v="0"/>
    <n v="209"/>
    <n v="2601005"/>
    <n v="957743.69747899158"/>
    <n v="35"/>
    <n v="204.5"/>
    <n v="28"/>
    <n v="0"/>
    <n v="0"/>
    <n v="0"/>
    <m/>
    <n v="2539889.9999999995"/>
    <n v="347759.99999999994"/>
    <n v="0"/>
    <n v="0"/>
    <n v="204.5"/>
    <n v="2539889.9999999995"/>
    <n v="893882.3529411765"/>
    <n v="30"/>
    <n v="176.5"/>
    <n v="24"/>
    <m/>
    <n v="0"/>
    <n v="0"/>
    <n v="2192129.9999999995"/>
    <n v="298079.99999999994"/>
    <n v="0"/>
    <n v="0"/>
    <n v="176.5"/>
    <n v="2192129.9999999995"/>
    <n v="766184.87394957989"/>
    <n v="45"/>
    <n v="152.5"/>
    <n v="36"/>
    <n v="0"/>
    <n v="0"/>
    <n v="1894049.9999999998"/>
    <n v="447119.99999999994"/>
    <n v="0"/>
    <n v="0"/>
    <n v="152.5"/>
    <n v="1894049.9999999998"/>
    <n v="1209781.512605042"/>
    <n v="18"/>
    <n v="116.5"/>
    <n v="14.4"/>
    <n v="0"/>
    <m/>
    <n v="1446929.9999999998"/>
    <n v="179208"/>
    <n v="0"/>
    <n v="116.5"/>
    <n v="1446929.9999999998"/>
    <n v="483912.60504201677"/>
  </r>
  <r>
    <s v="Lhotse-Equipamiento"/>
    <x v="4"/>
    <x v="18"/>
    <x v="41"/>
    <s v="LHBOLDUF60"/>
    <x v="240"/>
    <x v="228"/>
    <x v="0"/>
    <x v="1"/>
    <n v="1"/>
    <x v="160"/>
    <n v="299"/>
    <m/>
    <n v="0"/>
    <n v="12276"/>
    <n v="3670524"/>
    <n v="12"/>
    <n v="13109.999999999998"/>
    <n v="33605.042016806721"/>
    <n v="31924.36974789916"/>
    <s v="Shenzhen"/>
    <x v="0"/>
    <n v="60"/>
    <m/>
    <n v="300"/>
    <n v="25"/>
    <n v="0.68447641041757723"/>
    <n v="22"/>
    <n v="0.64689155763352102"/>
    <n v="36"/>
    <n v="0.58752146795392424"/>
    <n v="44"/>
    <n v="0.57035296466879215"/>
    <n v="14"/>
    <n v="0.63214899631707788"/>
    <n v="60"/>
    <n v="0.54199244346170228"/>
    <n v="31"/>
    <n v="0.56125259023003105"/>
    <n v="7"/>
    <n v="0.59157539359110656"/>
    <n v="5"/>
    <n v="0.67425279192789978"/>
    <n v="41"/>
    <n v="0.46056234511838745"/>
    <n v="14"/>
    <n v="0.5886280859351154"/>
    <n v="35"/>
    <n v="0.6431816374576651"/>
    <n v="94"/>
    <n v="0.40876763351838225"/>
    <n v="38"/>
    <n v="0.42280467928950122"/>
    <n v="17"/>
    <n v="0.46954240982948608"/>
    <n v="14"/>
    <n v="0.48278448290043496"/>
    <n v="0"/>
    <n v="13"/>
    <n v="0.67880089204118765"/>
    <n v="0.52"/>
    <n v="28"/>
    <n v="0.17460926442600838"/>
    <n v="0.56000000000000005"/>
    <n v="1"/>
    <n v="0.58998134630981347"/>
    <n v="2.9411764705882353E-2"/>
    <n v="6"/>
    <n v="0.38457180974915156"/>
    <n v="0.3"/>
    <n v="19"/>
    <n v="0.40043130437129421"/>
    <n v="0.95"/>
    <m/>
    <m/>
    <m/>
    <m/>
    <m/>
    <m/>
    <m/>
    <m/>
    <m/>
    <n v="30"/>
    <n v="208"/>
    <n v="35"/>
    <n v="0"/>
    <n v="0"/>
    <n v="0"/>
    <n v="1338084"/>
    <n v="2583359.9999999995"/>
    <n v="429660"/>
    <n v="0"/>
    <n v="299"/>
    <n v="3670524"/>
    <n v="988383.5887296095"/>
    <n v="25"/>
    <n v="119"/>
    <n v="57"/>
    <n v="0"/>
    <n v="0"/>
    <n v="0"/>
    <n v="1080288"/>
    <n v="1477979.9999999998"/>
    <n v="699732"/>
    <n v="0"/>
    <n v="299"/>
    <n v="3670524"/>
    <n v="1609653.2730739356"/>
    <n v="72"/>
    <n v="65"/>
    <n v="17"/>
    <n v="0"/>
    <n v="0"/>
    <n v="691056"/>
    <n v="797940"/>
    <n v="208692"/>
    <n v="0"/>
    <n v="299"/>
    <n v="3670524"/>
    <n v="571285.71428571432"/>
    <n v="0"/>
    <n v="58"/>
    <n v="14"/>
    <n v="0"/>
    <n v="0"/>
    <n v="720359.99999999988"/>
    <n v="171864"/>
    <x v="0"/>
    <x v="0"/>
    <n v="299"/>
    <n v="3670524"/>
    <n v="470470.5882352941"/>
    <n v="25"/>
    <n v="312"/>
    <n v="25"/>
    <m/>
    <n v="0"/>
    <n v="0"/>
    <n v="3830112"/>
    <n v="310499.99999999994"/>
    <x v="0"/>
    <n v="0"/>
    <n v="299"/>
    <n v="3670524"/>
    <n v="840126.05042016809"/>
    <n v="50"/>
    <n v="327"/>
    <n v="28"/>
    <m/>
    <n v="0"/>
    <n v="0"/>
    <n v="4014252"/>
    <n v="347759.99999999994"/>
    <n v="0"/>
    <n v="0"/>
    <n v="327"/>
    <n v="3670524"/>
    <n v="940941.17647058819"/>
    <n v="34"/>
    <n v="300"/>
    <n v="1"/>
    <n v="300"/>
    <n v="300"/>
    <n v="0"/>
    <n v="3682800"/>
    <n v="12419.999999999998"/>
    <n v="3601799.9999999995"/>
    <n v="0"/>
    <n v="300"/>
    <n v="3670524"/>
    <n v="33605.042016806721"/>
    <n v="20"/>
    <n v="305"/>
    <n v="6"/>
    <n v="0"/>
    <n v="0"/>
    <n v="0"/>
    <n v="3744180"/>
    <n v="74519.999999999985"/>
    <n v="0"/>
    <n v="0"/>
    <n v="305"/>
    <n v="3744180"/>
    <n v="201630.25210084033"/>
    <n v="20"/>
    <n v="318"/>
    <n v="16.5"/>
    <n v="0"/>
    <n v="300"/>
    <n v="0"/>
    <n v="3949559.9999999995"/>
    <n v="204929.99999999997"/>
    <n v="0"/>
    <n v="0"/>
    <n v="299"/>
    <n v="3670524"/>
    <n v="554483.19327731093"/>
    <n v="45"/>
    <n v="301.5"/>
    <n v="45"/>
    <n v="0"/>
    <n v="0"/>
    <n v="0"/>
    <n v="0"/>
    <n v="3744629.9999999995"/>
    <n v="558899.99999999988"/>
    <n v="0"/>
    <n v="0"/>
    <n v="301.5"/>
    <n v="3744629.9999999995"/>
    <n v="1436596.6386554623"/>
    <n v="40"/>
    <n v="256.5"/>
    <n v="40"/>
    <m/>
    <n v="0"/>
    <n v="0"/>
    <n v="3185729.9999999995"/>
    <n v="496799.99999999994"/>
    <n v="0"/>
    <n v="0"/>
    <n v="256.5"/>
    <n v="3185729.9999999995"/>
    <n v="1276974.7899159663"/>
    <n v="60"/>
    <n v="216.5"/>
    <n v="60"/>
    <n v="0"/>
    <n v="0"/>
    <n v="2688929.9999999995"/>
    <n v="745199.99999999988"/>
    <n v="0"/>
    <n v="0"/>
    <n v="216.5"/>
    <n v="2688929.9999999995"/>
    <n v="2016302.5210084033"/>
    <n v="24"/>
    <n v="156.5"/>
    <n v="24"/>
    <n v="0"/>
    <m/>
    <n v="1943729.9999999998"/>
    <n v="294624"/>
    <n v="0"/>
    <n v="156.5"/>
    <n v="1943729.9999999998"/>
    <n v="806521.00840336131"/>
  </r>
  <r>
    <s v="Lhotse-Equipamiento"/>
    <x v="4"/>
    <x v="18"/>
    <x v="42"/>
    <s v="LHMALEXPBK-30"/>
    <x v="241"/>
    <x v="229"/>
    <x v="0"/>
    <x v="2"/>
    <n v="0.6"/>
    <x v="161"/>
    <n v="5"/>
    <m/>
    <n v="0"/>
    <n v="30327"/>
    <n v="151635"/>
    <n v="28"/>
    <n v="30589.999999999996"/>
    <n v="58815.126050420171"/>
    <n v="54613.445378151264"/>
    <s v="Shenzhen"/>
    <x v="0"/>
    <n v="60"/>
    <m/>
    <n v="300"/>
    <n v="16"/>
    <n v="0.46539001235708888"/>
    <n v="19"/>
    <n v="0.41689806849280348"/>
    <n v="20"/>
    <n v="0.4448249315299167"/>
    <n v="6"/>
    <n v="0.2516019232952722"/>
    <n v="13"/>
    <n v="0.43739951762848345"/>
    <n v="33"/>
    <n v="0.30356290550149095"/>
    <n v="53"/>
    <n v="0.21021894875604749"/>
    <n v="34"/>
    <n v="0.21545006926476223"/>
    <n v="32"/>
    <n v="0.28917984507258276"/>
    <n v="34"/>
    <n v="0.25767280913126134"/>
    <n v="13"/>
    <n v="0.30152350194825717"/>
    <n v="24"/>
    <n v="0.30551152935131848"/>
    <n v="23"/>
    <n v="0.17243356811973495"/>
    <n v="64"/>
    <n v="0.23852185888384583"/>
    <n v="12"/>
    <n v="0.15182824526023267"/>
    <n v="2"/>
    <n v="0.11349938956216268"/>
    <n v="0.2"/>
    <n v="4"/>
    <n v="0.48446720960137157"/>
    <n v="0.4"/>
    <n v="1"/>
    <s v=""/>
    <n v="2.8571428571428571E-2"/>
    <n v="64"/>
    <n v="0.26101587725766034"/>
    <n v="0"/>
    <n v="-60"/>
    <n v="0.20799999999999999"/>
    <n v="0"/>
    <n v="-1"/>
    <s v=""/>
    <n v="0"/>
    <m/>
    <m/>
    <m/>
    <m/>
    <m/>
    <m/>
    <m/>
    <m/>
    <m/>
    <n v="15"/>
    <n v="159"/>
    <n v="20"/>
    <n v="0"/>
    <n v="0"/>
    <n v="0"/>
    <n v="3881856"/>
    <n v="4607819.9999999991"/>
    <n v="606540"/>
    <n v="0"/>
    <n v="5"/>
    <n v="151635"/>
    <n v="988489.5134524398"/>
    <n v="15"/>
    <n v="94"/>
    <n v="96"/>
    <n v="0"/>
    <n v="0"/>
    <n v="0"/>
    <n v="3335970"/>
    <n v="2724119.9999999995"/>
    <n v="2911392"/>
    <n v="0"/>
    <n v="5"/>
    <n v="151635"/>
    <n v="4744749.6645717118"/>
    <n v="18"/>
    <n v="86"/>
    <n v="12"/>
    <n v="0"/>
    <n v="0"/>
    <n v="598458"/>
    <n v="2608122"/>
    <n v="363924"/>
    <n v="0"/>
    <n v="5"/>
    <n v="151635"/>
    <n v="705781.51260504208"/>
    <n v="10"/>
    <n v="67"/>
    <n v="2"/>
    <n v="0"/>
    <n v="0"/>
    <n v="1941659.9999999998"/>
    <n v="60654"/>
    <x v="0"/>
    <x v="0"/>
    <n v="5"/>
    <n v="151635"/>
    <n v="117630.25210084034"/>
    <n v="10"/>
    <n v="9"/>
    <n v="6"/>
    <m/>
    <n v="0"/>
    <n v="0"/>
    <n v="272943"/>
    <n v="173879.99999999997"/>
    <x v="0"/>
    <n v="0"/>
    <n v="5"/>
    <n v="151635"/>
    <n v="352890.75630252104"/>
    <n v="35"/>
    <n v="6"/>
    <n v="1"/>
    <m/>
    <n v="0"/>
    <n v="0"/>
    <n v="181962"/>
    <n v="28979.999999999996"/>
    <n v="0"/>
    <n v="0"/>
    <n v="6"/>
    <n v="151635"/>
    <n v="58815.126050420171"/>
    <n v="0"/>
    <n v="69"/>
    <n v="64"/>
    <n v="0"/>
    <n v="0"/>
    <n v="0"/>
    <n v="2092563"/>
    <n v="1854719.9999999998"/>
    <n v="0"/>
    <n v="0"/>
    <n v="69"/>
    <n v="151635"/>
    <n v="3764168.0672268909"/>
    <n v="0"/>
    <n v="-55"/>
    <n v="-62"/>
    <n v="0"/>
    <n v="0"/>
    <n v="0"/>
    <n v="-1667985"/>
    <n v="-1796759.9999999998"/>
    <n v="0"/>
    <n v="0"/>
    <n v="-55"/>
    <n v="-1667985"/>
    <n v="-3646537.8151260507"/>
    <n v="0"/>
    <n v="4"/>
    <n v="0"/>
    <n v="0"/>
    <n v="0"/>
    <n v="0"/>
    <n v="115919.99999999999"/>
    <n v="0"/>
    <n v="0"/>
    <n v="0"/>
    <n v="5"/>
    <n v="151635"/>
    <n v="0"/>
    <n v="0"/>
    <n v="4"/>
    <n v="0"/>
    <n v="0"/>
    <n v="0"/>
    <n v="0"/>
    <m/>
    <n v="115919.99999999999"/>
    <n v="0"/>
    <n v="0"/>
    <n v="0"/>
    <n v="4"/>
    <n v="115919.99999999999"/>
    <n v="0"/>
    <n v="0"/>
    <n v="4"/>
    <n v="0"/>
    <m/>
    <n v="0"/>
    <n v="0"/>
    <n v="115919.99999999999"/>
    <n v="0"/>
    <n v="0"/>
    <n v="0"/>
    <n v="4"/>
    <n v="115919.99999999999"/>
    <n v="0"/>
    <n v="0"/>
    <n v="4"/>
    <n v="0"/>
    <n v="0"/>
    <n v="0"/>
    <n v="115919.99999999999"/>
    <n v="0"/>
    <n v="0"/>
    <n v="0"/>
    <n v="4"/>
    <n v="115919.99999999999"/>
    <n v="0"/>
    <n v="0"/>
    <n v="4"/>
    <n v="0"/>
    <n v="0"/>
    <m/>
    <n v="115919.99999999999"/>
    <n v="0"/>
    <n v="0"/>
    <n v="4"/>
    <n v="115919.99999999999"/>
    <n v="0"/>
  </r>
  <r>
    <s v="Lhotse-Equipamiento"/>
    <x v="4"/>
    <x v="18"/>
    <x v="42"/>
    <s v="LHMALEXPBK-70"/>
    <x v="242"/>
    <x v="230"/>
    <x v="0"/>
    <x v="2"/>
    <n v="1"/>
    <x v="162"/>
    <n v="12"/>
    <m/>
    <n v="0"/>
    <n v="36446"/>
    <n v="437352"/>
    <n v="34.799999999999997"/>
    <n v="38019"/>
    <n v="71420.168067226899"/>
    <n v="67218.487394957992"/>
    <s v="Shenzhen"/>
    <x v="0"/>
    <n v="60"/>
    <m/>
    <n v="300"/>
    <n v="5"/>
    <n v="0.40742063645645671"/>
    <n v="17"/>
    <n v="0.45295002051818428"/>
    <n v="23"/>
    <n v="0.42547948582087142"/>
    <n v="13"/>
    <n v="0.4625561881495821"/>
    <n v="8"/>
    <n v="0.45367967674550869"/>
    <n v="13"/>
    <n v="0.38019381952807646"/>
    <n v="34"/>
    <n v="0.34515910428326668"/>
    <n v="19"/>
    <n v="0.39669334555366637"/>
    <n v="7"/>
    <n v="0.44248240360349012"/>
    <n v="17"/>
    <n v="0.38794787411103526"/>
    <n v="12"/>
    <n v="0.41126944023252671"/>
    <n v="27"/>
    <n v="0.37844221264363487"/>
    <n v="75"/>
    <n v="0.16937592913535518"/>
    <n v="47"/>
    <n v="0.39012654773219224"/>
    <n v="19"/>
    <n v="0.31265957487890794"/>
    <n v="13"/>
    <n v="0.35107556068240942"/>
    <n v="0.8666666666666667"/>
    <n v="42"/>
    <n v="0.39929497996221147"/>
    <n v="2.8"/>
    <n v="41"/>
    <n v="0.29182695719383084"/>
    <n v="1.3666666666666667"/>
    <n v="13"/>
    <n v="0.51723177237192497"/>
    <n v="0.52"/>
    <n v="1"/>
    <n v="0.25261372625191525"/>
    <n v="3.3333333333333333E-2"/>
    <n v="0"/>
    <s v=""/>
    <n v="0"/>
    <m/>
    <m/>
    <m/>
    <m/>
    <m/>
    <m/>
    <m/>
    <m/>
    <m/>
    <n v="15"/>
    <n v="146"/>
    <n v="20"/>
    <n v="0"/>
    <n v="100"/>
    <n v="0"/>
    <n v="3990837"/>
    <n v="5258627.9999999991"/>
    <n v="728920"/>
    <n v="0"/>
    <n v="12"/>
    <n v="437352"/>
    <n v="1200338.9591130572"/>
    <n v="15"/>
    <n v="181"/>
    <n v="70.5"/>
    <n v="0"/>
    <n v="0"/>
    <n v="0"/>
    <n v="3735715"/>
    <n v="6519257.9999999991"/>
    <n v="2569443"/>
    <n v="0"/>
    <n v="12"/>
    <n v="437352"/>
    <n v="4231194.8308735266"/>
    <n v="40"/>
    <n v="132"/>
    <n v="19"/>
    <n v="0"/>
    <n v="0"/>
    <n v="1706542"/>
    <n v="4810872"/>
    <n v="692474"/>
    <n v="0"/>
    <n v="12"/>
    <n v="437352"/>
    <n v="1356983.193277311"/>
    <n v="15"/>
    <n v="119"/>
    <n v="13"/>
    <n v="0"/>
    <n v="0"/>
    <n v="4286141.9999999991"/>
    <n v="473798"/>
    <x v="0"/>
    <x v="0"/>
    <n v="12"/>
    <n v="437352"/>
    <n v="928462.18487394974"/>
    <n v="15"/>
    <n v="54"/>
    <n v="15"/>
    <m/>
    <n v="0"/>
    <n v="0"/>
    <n v="1968084"/>
    <n v="540269.99999999988"/>
    <x v="0"/>
    <n v="0"/>
    <n v="12"/>
    <n v="437352"/>
    <n v="1071302.5210084035"/>
    <n v="30"/>
    <n v="53"/>
    <n v="41"/>
    <m/>
    <n v="0"/>
    <n v="0"/>
    <n v="1931638"/>
    <n v="1476737.9999999998"/>
    <n v="0"/>
    <n v="0"/>
    <n v="53"/>
    <n v="437352"/>
    <n v="2928226.890756303"/>
    <n v="25"/>
    <n v="25"/>
    <n v="13"/>
    <n v="0"/>
    <n v="0"/>
    <n v="0"/>
    <n v="911150"/>
    <n v="468233.99999999988"/>
    <n v="0"/>
    <n v="0"/>
    <n v="25"/>
    <n v="437352"/>
    <n v="928462.18487394974"/>
    <n v="30"/>
    <n v="13"/>
    <n v="1"/>
    <n v="0"/>
    <n v="0"/>
    <n v="0"/>
    <n v="473798"/>
    <n v="36017.999999999993"/>
    <n v="0"/>
    <n v="0"/>
    <n v="13"/>
    <n v="473798"/>
    <n v="71420.168067226899"/>
    <n v="20"/>
    <n v="12"/>
    <n v="0"/>
    <n v="0"/>
    <n v="0"/>
    <n v="0"/>
    <n v="432215.99999999988"/>
    <n v="0"/>
    <n v="0"/>
    <n v="0"/>
    <n v="12"/>
    <n v="437352"/>
    <n v="0"/>
    <n v="0"/>
    <n v="12"/>
    <n v="0"/>
    <n v="0"/>
    <n v="0"/>
    <n v="0"/>
    <m/>
    <n v="432215.99999999988"/>
    <n v="0"/>
    <n v="0"/>
    <n v="0"/>
    <n v="12"/>
    <n v="432215.99999999988"/>
    <n v="0"/>
    <n v="20"/>
    <n v="12"/>
    <n v="12"/>
    <m/>
    <n v="0"/>
    <n v="0"/>
    <n v="432215.99999999988"/>
    <n v="432215.99999999988"/>
    <n v="0"/>
    <n v="0"/>
    <n v="12"/>
    <n v="432215.99999999988"/>
    <n v="806621.84873949597"/>
    <n v="30"/>
    <n v="0"/>
    <n v="0"/>
    <n v="0"/>
    <n v="0"/>
    <n v="0"/>
    <n v="0"/>
    <n v="0"/>
    <n v="0"/>
    <n v="0"/>
    <n v="0"/>
    <n v="0"/>
    <n v="12"/>
    <n v="0"/>
    <n v="12"/>
    <n v="0"/>
    <m/>
    <n v="0"/>
    <n v="437352"/>
    <n v="0"/>
    <n v="0"/>
    <n v="0"/>
    <n v="857042.01680672285"/>
  </r>
  <r>
    <m/>
    <x v="4"/>
    <x v="18"/>
    <x v="42"/>
    <s v="LHMALEXPBK-90"/>
    <x v="243"/>
    <x v="231"/>
    <x v="0"/>
    <x v="1"/>
    <n v="1"/>
    <x v="163"/>
    <n v="201"/>
    <m/>
    <n v="0"/>
    <n v="44185"/>
    <n v="8881185"/>
    <n v="40.75"/>
    <n v="44519.375"/>
    <n v="84025.210084033621"/>
    <n v="84025.210084033621"/>
    <s v="Shenzhen"/>
    <x v="0"/>
    <n v="60"/>
    <m/>
    <n v="300"/>
    <n v="20"/>
    <n v="0.51528033642771542"/>
    <n v="15"/>
    <n v="0.42385320796586712"/>
    <n v="26"/>
    <n v="0.44112697286426827"/>
    <n v="12"/>
    <n v="0.46180708828243322"/>
    <n v="8"/>
    <n v="0.45252512472191753"/>
    <n v="29"/>
    <n v="0.37970022698169947"/>
    <n v="27"/>
    <n v="0.36443946826836277"/>
    <n v="29"/>
    <n v="0.41685207962198634"/>
    <n v="5"/>
    <n v="0.50295206404092563"/>
    <n v="26"/>
    <n v="0.42547842449488854"/>
    <n v="16"/>
    <n v="0.394183079168613"/>
    <n v="57"/>
    <n v="0.34086640552302594"/>
    <n v="86"/>
    <n v="0.16658287136796915"/>
    <n v="45"/>
    <n v="0.21458217341971117"/>
    <n v="25"/>
    <n v="0.30444775699001492"/>
    <n v="18"/>
    <n v="0.38150654726113631"/>
    <n v="1.2"/>
    <n v="12"/>
    <n v="0.51831735919198729"/>
    <n v="0.8"/>
    <n v="8"/>
    <n v="0.32473294447372203"/>
    <n v="0.2"/>
    <n v="13"/>
    <n v="0.52353065380617281"/>
    <n v="0.8666666666666667"/>
    <n v="9"/>
    <n v="0.2124499078179021"/>
    <n v="2.25"/>
    <n v="4"/>
    <n v="0.31124666201172752"/>
    <n v="0"/>
    <m/>
    <m/>
    <m/>
    <m/>
    <m/>
    <m/>
    <m/>
    <m/>
    <m/>
    <n v="22"/>
    <n v="97"/>
    <n v="40"/>
    <n v="0"/>
    <n v="100"/>
    <n v="0"/>
    <n v="5854512.5"/>
    <n v="4091096.25"/>
    <n v="1767400"/>
    <n v="0"/>
    <n v="201"/>
    <n v="8881185"/>
    <n v="2824376.8095473484"/>
    <n v="35"/>
    <n v="125"/>
    <n v="67.5"/>
    <n v="0"/>
    <n v="0"/>
    <n v="0"/>
    <n v="4882442.5"/>
    <n v="5272031.25"/>
    <n v="2982487.5"/>
    <n v="0"/>
    <n v="201"/>
    <n v="8881185"/>
    <n v="4766135.8661111509"/>
    <n v="45"/>
    <n v="66"/>
    <n v="25"/>
    <n v="0"/>
    <n v="0"/>
    <n v="2532598.75"/>
    <n v="2916210"/>
    <n v="1104625"/>
    <n v="0"/>
    <n v="201"/>
    <n v="8881185"/>
    <n v="2100630.2521008407"/>
    <n v="15"/>
    <n v="48"/>
    <n v="18"/>
    <n v="0"/>
    <n v="0"/>
    <n v="2024460"/>
    <n v="795330"/>
    <x v="0"/>
    <x v="0"/>
    <n v="201"/>
    <n v="8881185"/>
    <n v="1512453.7815126053"/>
    <n v="15"/>
    <n v="213"/>
    <n v="15"/>
    <m/>
    <n v="0"/>
    <n v="0"/>
    <n v="9411405"/>
    <n v="632643.75"/>
    <x v="0"/>
    <n v="0"/>
    <n v="201"/>
    <n v="8881185"/>
    <n v="1260378.1512605043"/>
    <n v="40"/>
    <n v="209"/>
    <n v="8"/>
    <m/>
    <n v="0"/>
    <n v="0"/>
    <n v="9234665"/>
    <n v="337410"/>
    <n v="0"/>
    <n v="0"/>
    <n v="209"/>
    <n v="8881185"/>
    <n v="672201.68067226897"/>
    <n v="15"/>
    <n v="214"/>
    <n v="13"/>
    <n v="200"/>
    <n v="200"/>
    <n v="0"/>
    <n v="9455590"/>
    <n v="548291.25"/>
    <n v="8154075"/>
    <n v="0"/>
    <n v="214"/>
    <n v="8881185"/>
    <n v="1092327.7310924372"/>
    <n v="4"/>
    <n v="210"/>
    <n v="9"/>
    <n v="0"/>
    <n v="0"/>
    <n v="0"/>
    <n v="9278850"/>
    <n v="379586.25"/>
    <n v="0"/>
    <n v="0"/>
    <n v="210"/>
    <n v="9278850"/>
    <n v="756226.89075630263"/>
    <n v="0"/>
    <n v="205"/>
    <n v="1.5"/>
    <n v="0"/>
    <n v="0"/>
    <n v="0"/>
    <n v="8646131.25"/>
    <n v="63264.375"/>
    <n v="0"/>
    <n v="0"/>
    <n v="201"/>
    <n v="8881185"/>
    <n v="126037.81512605044"/>
    <n v="50"/>
    <n v="203.5"/>
    <n v="50"/>
    <n v="0"/>
    <n v="0"/>
    <n v="0"/>
    <n v="0"/>
    <n v="8582866.875"/>
    <n v="2108812.5"/>
    <n v="0"/>
    <n v="0"/>
    <n v="203.5"/>
    <n v="8582866.875"/>
    <n v="4201260.5042016814"/>
    <n v="25"/>
    <n v="153.5"/>
    <n v="25"/>
    <m/>
    <n v="0"/>
    <n v="0"/>
    <n v="6474054.375"/>
    <n v="1054406.25"/>
    <n v="0"/>
    <n v="0"/>
    <n v="153.5"/>
    <n v="6474054.375"/>
    <n v="2100630.2521008407"/>
    <n v="60"/>
    <n v="128.5"/>
    <n v="60"/>
    <n v="0"/>
    <n v="0"/>
    <n v="5419648.125"/>
    <n v="2530575"/>
    <n v="0"/>
    <n v="0"/>
    <n v="128.5"/>
    <n v="5419648.125"/>
    <n v="5041512.6050420171"/>
    <n v="15"/>
    <n v="68.5"/>
    <n v="15"/>
    <n v="150"/>
    <n v="150"/>
    <n v="2889073.125"/>
    <n v="662775"/>
    <n v="6326437.5"/>
    <n v="218.5"/>
    <n v="9215510.625"/>
    <n v="1260378.1512605043"/>
  </r>
  <r>
    <m/>
    <x v="4"/>
    <x v="18"/>
    <x v="42"/>
    <s v="LHMALFRONT-L"/>
    <x v="244"/>
    <x v="232"/>
    <x v="0"/>
    <x v="4"/>
    <n v="1"/>
    <x v="31"/>
    <n v="0"/>
    <m/>
    <m/>
    <n v="22942.5"/>
    <n v="0"/>
    <n v="21"/>
    <n v="22942.5"/>
    <n v="57838.23529411765"/>
    <n v="49162.5"/>
    <s v="Shenzhen"/>
    <x v="0"/>
    <n v="30"/>
    <m/>
    <n v="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x v="0"/>
    <x v="0"/>
    <n v="0"/>
    <n v="0"/>
    <n v="0"/>
    <n v="0"/>
    <n v="0"/>
    <m/>
    <m/>
    <m/>
    <n v="0"/>
    <n v="0"/>
    <n v="0"/>
    <x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150"/>
    <n v="150"/>
    <n v="0"/>
    <n v="0"/>
    <n v="0"/>
    <n v="326025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n v="0"/>
    <n v="0"/>
    <n v="0"/>
    <n v="150"/>
    <n v="0"/>
    <n v="0"/>
    <n v="0"/>
    <n v="0"/>
    <n v="0"/>
    <n v="0"/>
    <n v="0"/>
    <n v="30"/>
    <n v="0"/>
    <n v="30"/>
    <m/>
    <n v="150"/>
    <n v="150"/>
    <n v="0"/>
    <n v="652050"/>
    <n v="0"/>
    <n v="3260250"/>
    <n v="150"/>
    <n v="3260250"/>
    <n v="1474875"/>
    <n v="80"/>
    <n v="120"/>
    <n v="80"/>
    <n v="0"/>
    <n v="0"/>
    <n v="2608200"/>
    <n v="1738800"/>
    <n v="0"/>
    <n v="0"/>
    <n v="120"/>
    <n v="2608200"/>
    <n v="4627058.823529412"/>
    <n v="18"/>
    <n v="40"/>
    <m/>
    <n v="0"/>
    <m/>
    <n v="869400"/>
    <n v="0"/>
    <n v="0"/>
    <n v="40"/>
    <n v="869400"/>
    <n v="0"/>
  </r>
  <r>
    <m/>
    <x v="4"/>
    <x v="18"/>
    <x v="42"/>
    <s v="LHMALFRONT-M"/>
    <x v="245"/>
    <x v="233"/>
    <x v="0"/>
    <x v="4"/>
    <n v="1"/>
    <x v="31"/>
    <n v="0"/>
    <m/>
    <m/>
    <n v="22942.5"/>
    <n v="0"/>
    <n v="21"/>
    <n v="22942.5"/>
    <n v="57838.23529411765"/>
    <n v="49162.5"/>
    <s v="Shenzhen"/>
    <x v="0"/>
    <n v="30"/>
    <m/>
    <n v="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x v="0"/>
    <x v="0"/>
    <n v="0"/>
    <n v="0"/>
    <n v="0"/>
    <n v="0"/>
    <n v="0"/>
    <m/>
    <m/>
    <m/>
    <n v="0"/>
    <n v="0"/>
    <n v="0"/>
    <x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150"/>
    <n v="150"/>
    <n v="0"/>
    <n v="0"/>
    <n v="0"/>
    <n v="326025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n v="0"/>
    <n v="0"/>
    <n v="0"/>
    <n v="150"/>
    <n v="0"/>
    <n v="0"/>
    <n v="0"/>
    <n v="0"/>
    <n v="0"/>
    <n v="0"/>
    <n v="0"/>
    <n v="30"/>
    <n v="0"/>
    <n v="30"/>
    <m/>
    <n v="150"/>
    <n v="150"/>
    <n v="0"/>
    <n v="652050"/>
    <n v="0"/>
    <n v="3260250"/>
    <n v="150"/>
    <n v="3260250"/>
    <n v="1474875"/>
    <n v="80"/>
    <n v="120"/>
    <n v="80"/>
    <n v="0"/>
    <n v="0"/>
    <n v="2608200"/>
    <n v="1738800"/>
    <n v="0"/>
    <n v="0"/>
    <n v="120"/>
    <n v="2608200"/>
    <n v="4627058.823529412"/>
    <n v="18"/>
    <n v="40"/>
    <m/>
    <n v="0"/>
    <m/>
    <n v="869400"/>
    <n v="0"/>
    <n v="0"/>
    <n v="40"/>
    <n v="869400"/>
    <n v="0"/>
  </r>
  <r>
    <m/>
    <x v="4"/>
    <x v="18"/>
    <x v="42"/>
    <s v="LHMALFRONT-S"/>
    <x v="246"/>
    <x v="234"/>
    <x v="0"/>
    <x v="4"/>
    <n v="1"/>
    <x v="31"/>
    <n v="0"/>
    <m/>
    <m/>
    <n v="22942.5"/>
    <n v="0"/>
    <n v="21"/>
    <n v="22942.5"/>
    <n v="57838.23529411765"/>
    <n v="49162.5"/>
    <s v="Shenzhen"/>
    <x v="0"/>
    <n v="30"/>
    <m/>
    <n v="300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150"/>
    <n v="150"/>
    <n v="0"/>
    <n v="0"/>
    <n v="0"/>
    <n v="326025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n v="0"/>
    <n v="0"/>
    <n v="0"/>
    <n v="150"/>
    <n v="0"/>
    <n v="0"/>
    <n v="0"/>
    <n v="0"/>
    <n v="0"/>
    <n v="0"/>
    <n v="0"/>
    <n v="30"/>
    <n v="0"/>
    <n v="30"/>
    <m/>
    <n v="150"/>
    <n v="150"/>
    <n v="0"/>
    <n v="652050"/>
    <n v="0"/>
    <n v="3260250"/>
    <n v="150"/>
    <n v="3260250"/>
    <n v="1474875"/>
    <n v="80"/>
    <n v="120"/>
    <n v="80"/>
    <n v="0"/>
    <n v="0"/>
    <n v="2608200"/>
    <n v="1738800"/>
    <n v="0"/>
    <n v="0"/>
    <n v="120"/>
    <n v="2608200"/>
    <n v="4627058.823529412"/>
    <n v="18"/>
    <n v="40"/>
    <n v="18"/>
    <n v="0"/>
    <m/>
    <n v="869400"/>
    <n v="412965"/>
    <n v="0"/>
    <n v="40"/>
    <n v="869400"/>
    <n v="1041088.2352941177"/>
  </r>
  <r>
    <m/>
    <x v="4"/>
    <x v="18"/>
    <x v="18"/>
    <n v="1566849947902"/>
    <x v="247"/>
    <x v="235"/>
    <x v="0"/>
    <x v="2"/>
    <n v="0.7"/>
    <x v="31"/>
    <n v="33"/>
    <m/>
    <n v="0"/>
    <n v="10421"/>
    <n v="343893"/>
    <n v="9.9"/>
    <n v="10815.75"/>
    <n v="21000"/>
    <n v="21000"/>
    <s v="Shenzhen"/>
    <x v="0"/>
    <n v="30"/>
    <m/>
    <n v="300"/>
    <n v="40"/>
    <n v="0.46889490601054146"/>
    <n v="82"/>
    <n v="0.42873593647372116"/>
    <n v="111"/>
    <n v="0.40970901658060022"/>
    <n v="32"/>
    <n v="0.49144682846287319"/>
    <n v="23"/>
    <n v="0.55988498926849262"/>
    <n v="179"/>
    <n v="0.4701276398629724"/>
    <n v="46"/>
    <n v="0.45076795169574013"/>
    <n v="30"/>
    <n v="0.48685702575885165"/>
    <n v="10"/>
    <n v="0.45499293288118103"/>
    <n v="57"/>
    <n v="0.50286626469414775"/>
    <n v="83"/>
    <n v="0.44564888388426988"/>
    <n v="18"/>
    <n v="0.56683223482781608"/>
    <n v="82"/>
    <n v="0.35786193428894658"/>
    <n v="24"/>
    <n v="0.34668593927611524"/>
    <n v="25"/>
    <n v="0.35779541650250646"/>
    <n v="15"/>
    <n v="0.30773461592553225"/>
    <n v="0.5"/>
    <n v="143"/>
    <n v="0.19814571216428012"/>
    <n v="4.7666666666666666"/>
    <n v="18"/>
    <n v="0.42607279209920168"/>
    <n v="0.15"/>
    <n v="0"/>
    <s v=""/>
    <n v="0"/>
    <n v="125"/>
    <n v="0.5865390737976276"/>
    <n v="1.25"/>
    <n v="4"/>
    <n v="0.17307778165757534"/>
    <n v="4.2238648363252376E-2"/>
    <m/>
    <m/>
    <m/>
    <m/>
    <m/>
    <m/>
    <m/>
    <m/>
    <m/>
    <n v="30"/>
    <n v="563"/>
    <n v="20"/>
    <n v="0"/>
    <n v="0"/>
    <n v="0"/>
    <n v="844101"/>
    <n v="5768779.5"/>
    <n v="208420"/>
    <n v="0"/>
    <n v="33"/>
    <n v="343893"/>
    <n v="352941.17647058825"/>
    <n v="30"/>
    <n v="489"/>
    <n v="36"/>
    <n v="0"/>
    <n v="0"/>
    <n v="0"/>
    <n v="791996"/>
    <n v="5010538.5"/>
    <n v="375156"/>
    <n v="0"/>
    <n v="33"/>
    <n v="343893"/>
    <n v="635294.1176470588"/>
    <n v="100"/>
    <n v="450"/>
    <n v="25"/>
    <n v="0"/>
    <n v="0"/>
    <n v="632016.5"/>
    <n v="4689450"/>
    <n v="260525"/>
    <n v="0"/>
    <n v="33"/>
    <n v="343893"/>
    <n v="525000"/>
    <n v="30"/>
    <n v="440"/>
    <n v="15"/>
    <n v="0"/>
    <n v="0"/>
    <n v="4508460"/>
    <n v="156315"/>
    <x v="0"/>
    <x v="0"/>
    <n v="33"/>
    <n v="343893"/>
    <n v="315000"/>
    <n v="30"/>
    <n v="176"/>
    <n v="21"/>
    <m/>
    <n v="0"/>
    <n v="0"/>
    <n v="1834096"/>
    <n v="215176.5"/>
    <x v="0"/>
    <n v="0"/>
    <n v="33"/>
    <n v="343893"/>
    <n v="441000"/>
    <n v="120"/>
    <n v="51"/>
    <n v="18"/>
    <m/>
    <n v="0"/>
    <n v="0"/>
    <n v="531471"/>
    <n v="184437"/>
    <n v="0"/>
    <n v="0"/>
    <n v="51"/>
    <n v="343893"/>
    <n v="378000"/>
    <n v="141.69999999999999"/>
    <n v="33"/>
    <n v="0"/>
    <n v="0"/>
    <n v="0"/>
    <n v="0"/>
    <n v="343893"/>
    <n v="0"/>
    <n v="0"/>
    <n v="0"/>
    <n v="33"/>
    <n v="343893"/>
    <n v="0"/>
    <n v="100"/>
    <n v="158"/>
    <n v="129"/>
    <n v="154.98620689655172"/>
    <n v="154.98620689655172"/>
    <n v="0"/>
    <n v="1646518"/>
    <n v="1321798.5"/>
    <n v="1588066.1689655173"/>
    <n v="0"/>
    <n v="158"/>
    <n v="1646518"/>
    <n v="2709000"/>
    <n v="94.7"/>
    <n v="37"/>
    <n v="4.5"/>
    <n v="0"/>
    <n v="0"/>
    <n v="0"/>
    <n v="379120.5"/>
    <n v="46109.25"/>
    <n v="0"/>
    <n v="0"/>
    <n v="33"/>
    <n v="343893"/>
    <n v="94500"/>
    <n v="60"/>
    <n v="32.5"/>
    <n v="32.5"/>
    <n v="0"/>
    <n v="0"/>
    <n v="0"/>
    <m/>
    <n v="333011.25"/>
    <n v="333011.25"/>
    <n v="0"/>
    <n v="0"/>
    <n v="32.5"/>
    <n v="333011.25"/>
    <n v="682500"/>
    <n v="60"/>
    <n v="0"/>
    <n v="0"/>
    <m/>
    <n v="0"/>
    <n v="0"/>
    <n v="0"/>
    <n v="0"/>
    <n v="0"/>
    <n v="0"/>
    <n v="0"/>
    <n v="0"/>
    <n v="0"/>
    <n v="60"/>
    <n v="0"/>
    <n v="0"/>
    <n v="0"/>
    <n v="0"/>
    <n v="0"/>
    <n v="0"/>
    <n v="0"/>
    <n v="0"/>
    <n v="0"/>
    <n v="0"/>
    <n v="0"/>
    <n v="36"/>
    <n v="0"/>
    <n v="25.2"/>
    <n v="0"/>
    <m/>
    <n v="0"/>
    <n v="262609.2"/>
    <n v="0"/>
    <n v="0"/>
    <n v="0"/>
    <n v="529200"/>
  </r>
  <r>
    <m/>
    <x v="4"/>
    <x v="18"/>
    <x v="18"/>
    <n v="1623703690011"/>
    <x v="248"/>
    <x v="236"/>
    <x v="0"/>
    <x v="0"/>
    <n v="0.8"/>
    <x v="31"/>
    <n v="273"/>
    <m/>
    <n v="0"/>
    <n v="8341"/>
    <n v="2277093"/>
    <n v="8.6999999999999993"/>
    <n v="9504.75"/>
    <n v="18478.991596638658"/>
    <n v="19319.327731092439"/>
    <s v="Shenzhen"/>
    <x v="0"/>
    <n v="30"/>
    <m/>
    <n v="500"/>
    <n v="20"/>
    <n v="0.48136202190017813"/>
    <n v="67"/>
    <n v="0.43003425558895869"/>
    <n v="154"/>
    <n v="0.41727528423264387"/>
    <n v="34"/>
    <n v="0.35346977343862818"/>
    <n v="19"/>
    <n v="0.52272575689002154"/>
    <n v="49"/>
    <n v="0.43727985781187639"/>
    <n v="46"/>
    <n v="0.39975315480718998"/>
    <n v="48"/>
    <n v="0.41801595681727333"/>
    <n v="132"/>
    <n v="0.26451508471859392"/>
    <n v="3"/>
    <n v="0.38141475164807559"/>
    <n v="2"/>
    <n v="0.50872457166520002"/>
    <n v="1"/>
    <s v=""/>
    <n v="0"/>
    <s v=""/>
    <n v="0"/>
    <s v=""/>
    <n v="0"/>
    <s v=""/>
    <n v="14"/>
    <n v="0.34526264244421001"/>
    <n v="0.4"/>
    <n v="18"/>
    <n v="0.57116089447221308"/>
    <n v="0.9"/>
    <n v="14"/>
    <n v="0.41045948025809503"/>
    <n v="0.26415094339622641"/>
    <n v="0"/>
    <s v=""/>
    <n v="0"/>
    <n v="30"/>
    <n v="0.29235462337524543"/>
    <n v="0.8571428571428571"/>
    <n v="12"/>
    <n v="0.28996701081100323"/>
    <n v="0.15"/>
    <m/>
    <m/>
    <m/>
    <m/>
    <m/>
    <m/>
    <m/>
    <m/>
    <m/>
    <n v="0"/>
    <n v="2"/>
    <n v="0"/>
    <n v="0"/>
    <n v="0"/>
    <n v="0"/>
    <n v="0"/>
    <n v="18008.999999999996"/>
    <n v="0"/>
    <n v="0"/>
    <n v="273"/>
    <n v="2277093"/>
    <n v="0"/>
    <n v="60"/>
    <n v="2"/>
    <n v="0"/>
    <n v="100"/>
    <n v="200"/>
    <n v="0"/>
    <n v="116774"/>
    <n v="18008.999999999996"/>
    <n v="0"/>
    <n v="0"/>
    <n v="273"/>
    <n v="2277093"/>
    <n v="0"/>
    <n v="0"/>
    <n v="2"/>
    <n v="0"/>
    <n v="0"/>
    <n v="0"/>
    <n v="260845.99999999997"/>
    <n v="16682"/>
    <n v="0"/>
    <n v="0"/>
    <n v="273"/>
    <n v="2277093"/>
    <n v="0"/>
    <n v="35"/>
    <n v="202"/>
    <n v="14"/>
    <n v="0"/>
    <n v="0"/>
    <n v="1818908.9999999995"/>
    <n v="116774"/>
    <x v="0"/>
    <x v="0"/>
    <n v="273"/>
    <n v="2277093"/>
    <n v="258705.8823529412"/>
    <n v="20"/>
    <n v="291"/>
    <n v="16"/>
    <m/>
    <n v="0"/>
    <n v="0"/>
    <n v="2427231"/>
    <n v="144071.99999999997"/>
    <x v="0"/>
    <n v="0"/>
    <n v="273"/>
    <n v="2277093"/>
    <n v="295663.86554621853"/>
    <n v="53"/>
    <n v="287"/>
    <n v="14"/>
    <m/>
    <n v="0"/>
    <n v="0"/>
    <n v="2393867"/>
    <n v="126062.99999999997"/>
    <n v="0"/>
    <n v="0"/>
    <n v="287"/>
    <n v="2277093"/>
    <n v="258705.8823529412"/>
    <n v="113"/>
    <n v="273"/>
    <n v="0"/>
    <n v="300"/>
    <n v="300"/>
    <n v="0"/>
    <n v="2277093"/>
    <n v="0"/>
    <n v="2611304.9999999995"/>
    <n v="0"/>
    <n v="273"/>
    <n v="2277093"/>
    <n v="0"/>
    <n v="35"/>
    <n v="303"/>
    <n v="31"/>
    <n v="0"/>
    <n v="0"/>
    <n v="0"/>
    <n v="2527323"/>
    <n v="279139.49999999994"/>
    <n v="0"/>
    <n v="0"/>
    <n v="303"/>
    <n v="2527323"/>
    <n v="572848.73949579836"/>
    <n v="80"/>
    <n v="285"/>
    <n v="7.5"/>
    <n v="0"/>
    <n v="0"/>
    <n v="0"/>
    <n v="2566282.4999999995"/>
    <n v="67533.749999999985"/>
    <n v="0"/>
    <n v="0"/>
    <n v="273"/>
    <n v="2277093"/>
    <n v="138592.43697478995"/>
    <n v="100"/>
    <n v="277.5"/>
    <n v="80"/>
    <n v="0"/>
    <n v="0"/>
    <n v="0"/>
    <m/>
    <n v="2498748.7499999995"/>
    <n v="720359.99999999988"/>
    <n v="0"/>
    <n v="0"/>
    <n v="277.5"/>
    <n v="2498748.7499999995"/>
    <n v="1545546.218487395"/>
    <n v="80"/>
    <n v="197.5"/>
    <n v="64"/>
    <m/>
    <n v="0"/>
    <n v="0"/>
    <n v="1778388.7499999995"/>
    <n v="576287.99999999988"/>
    <n v="0"/>
    <n v="0"/>
    <n v="197.5"/>
    <n v="1778388.7499999995"/>
    <n v="1236436.9747899161"/>
    <n v="80"/>
    <n v="133.5"/>
    <n v="64"/>
    <n v="300"/>
    <n v="300"/>
    <n v="1202100.7499999998"/>
    <n v="576287.99999999988"/>
    <n v="2701349.9999999995"/>
    <n v="2701349.9999999995"/>
    <n v="433.5"/>
    <n v="3903450.7499999991"/>
    <n v="1182655.4621848741"/>
    <n v="48"/>
    <n v="369.5"/>
    <n v="38.400000000000006"/>
    <n v="0"/>
    <m/>
    <n v="3327162.7499999995"/>
    <n v="320294.40000000002"/>
    <n v="0"/>
    <n v="369.5"/>
    <n v="3327162.7499999995"/>
    <n v="709593.2773109246"/>
  </r>
  <r>
    <m/>
    <x v="4"/>
    <x v="18"/>
    <x v="18"/>
    <n v="1623703728452"/>
    <x v="249"/>
    <x v="237"/>
    <x v="0"/>
    <x v="2"/>
    <n v="1"/>
    <x v="31"/>
    <n v="9"/>
    <m/>
    <n v="0"/>
    <n v="9555"/>
    <n v="85995"/>
    <n v="8.6999999999999993"/>
    <n v="9504.75"/>
    <n v="18478.991596638658"/>
    <n v="19319.327731092439"/>
    <s v="Shenzhen"/>
    <x v="0"/>
    <n v="30"/>
    <m/>
    <n v="500"/>
    <n v="11"/>
    <n v="0.44674833053501473"/>
    <n v="24"/>
    <n v="0.44153740396527497"/>
    <n v="47"/>
    <n v="0.41168630091332953"/>
    <n v="12"/>
    <n v="0.49750600173245896"/>
    <n v="9"/>
    <n v="0.3854768422927482"/>
    <n v="46"/>
    <n v="0.40754608930386893"/>
    <n v="21"/>
    <n v="0.39521374826688449"/>
    <n v="22"/>
    <n v="0.43391470348726413"/>
    <n v="16"/>
    <n v="0.43824429466883408"/>
    <n v="33"/>
    <n v="0.44169268284081525"/>
    <n v="43"/>
    <n v="0.4840615156105425"/>
    <n v="54"/>
    <n v="0.45000916549821113"/>
    <n v="37"/>
    <n v="0.25684841489877042"/>
    <n v="33"/>
    <n v="0.26722719599225508"/>
    <n v="21"/>
    <n v="0.23389198010439699"/>
    <n v="18"/>
    <n v="0.26847316880078431"/>
    <n v="0.72"/>
    <n v="6"/>
    <n v="0.53254823900232973"/>
    <n v="0.3"/>
    <n v="9"/>
    <n v="0.35854596394471022"/>
    <n v="0.3"/>
    <n v="0"/>
    <s v=""/>
    <n v="0"/>
    <n v="4"/>
    <n v="0.27598538379228543"/>
    <n v="8.0645161290322578E-2"/>
    <n v="-1"/>
    <n v="0.52610004168403501"/>
    <n v="-2.4752475247524754E-2"/>
    <m/>
    <m/>
    <m/>
    <m/>
    <m/>
    <m/>
    <m/>
    <m/>
    <m/>
    <n v="20"/>
    <n v="139"/>
    <n v="24"/>
    <n v="0"/>
    <n v="0"/>
    <n v="0"/>
    <n v="902947.5"/>
    <n v="1251625.4999999998"/>
    <n v="229320"/>
    <n v="0"/>
    <n v="9"/>
    <n v="85995"/>
    <n v="372685.54480615782"/>
    <n v="25"/>
    <n v="99"/>
    <n v="49.5"/>
    <n v="0"/>
    <n v="0"/>
    <n v="0"/>
    <n v="845617.5"/>
    <n v="891445.49999999977"/>
    <n v="472972.5"/>
    <n v="0"/>
    <n v="9"/>
    <n v="85995"/>
    <n v="768663.93616270053"/>
    <n v="40"/>
    <n v="66"/>
    <n v="21"/>
    <n v="0"/>
    <n v="0"/>
    <n v="552735"/>
    <n v="630630"/>
    <n v="200655"/>
    <n v="0"/>
    <n v="9"/>
    <n v="85995"/>
    <n v="388058.82352941181"/>
    <n v="25"/>
    <n v="31"/>
    <n v="18"/>
    <n v="0"/>
    <n v="0"/>
    <n v="279139.49999999994"/>
    <n v="171990"/>
    <x v="0"/>
    <x v="0"/>
    <n v="9"/>
    <n v="85995"/>
    <n v="332621.84873949585"/>
    <n v="20"/>
    <n v="15"/>
    <n v="20"/>
    <m/>
    <n v="0"/>
    <n v="0"/>
    <n v="143325"/>
    <n v="180089.99999999997"/>
    <x v="0"/>
    <n v="0"/>
    <n v="9"/>
    <n v="85995"/>
    <n v="369579.83193277317"/>
    <n v="30"/>
    <n v="18"/>
    <n v="9"/>
    <m/>
    <n v="0"/>
    <n v="0"/>
    <n v="171990"/>
    <n v="81040.499999999985"/>
    <n v="0"/>
    <n v="0"/>
    <n v="18"/>
    <n v="85995"/>
    <n v="166310.92436974793"/>
    <n v="48.3"/>
    <n v="9"/>
    <n v="0"/>
    <n v="0"/>
    <n v="0"/>
    <n v="0"/>
    <n v="85995"/>
    <n v="0"/>
    <n v="0"/>
    <n v="0"/>
    <n v="9"/>
    <n v="85995"/>
    <n v="0"/>
    <n v="49.6"/>
    <n v="13"/>
    <n v="4"/>
    <n v="0"/>
    <n v="0"/>
    <n v="0"/>
    <n v="124215"/>
    <n v="36017.999999999993"/>
    <n v="0"/>
    <n v="0"/>
    <n v="13"/>
    <n v="124215"/>
    <n v="73915.966386554632"/>
    <n v="40.4"/>
    <n v="8"/>
    <n v="0"/>
    <n v="0"/>
    <n v="0"/>
    <n v="0"/>
    <n v="72035.999999999985"/>
    <n v="0"/>
    <n v="0"/>
    <n v="0"/>
    <n v="9"/>
    <n v="85995"/>
    <n v="0"/>
    <n v="40.1"/>
    <n v="8"/>
    <n v="8"/>
    <n v="0"/>
    <n v="0"/>
    <n v="0"/>
    <m/>
    <n v="72035.999999999985"/>
    <n v="72035.999999999985"/>
    <n v="0"/>
    <n v="0"/>
    <n v="8"/>
    <n v="72035.999999999985"/>
    <n v="154554.62184873951"/>
    <n v="40.1"/>
    <n v="0"/>
    <n v="0"/>
    <m/>
    <n v="0"/>
    <n v="0"/>
    <n v="0"/>
    <n v="0"/>
    <n v="0"/>
    <n v="0"/>
    <n v="0"/>
    <n v="0"/>
    <n v="0"/>
    <n v="40.1"/>
    <n v="0"/>
    <n v="0"/>
    <n v="0"/>
    <n v="0"/>
    <n v="0"/>
    <n v="0"/>
    <n v="0"/>
    <n v="0"/>
    <n v="0"/>
    <n v="0"/>
    <n v="0"/>
    <n v="24.06"/>
    <n v="0"/>
    <n v="24.06"/>
    <n v="0"/>
    <m/>
    <n v="0"/>
    <n v="229893.3"/>
    <n v="0"/>
    <n v="0"/>
    <n v="0"/>
    <n v="444604.53781512607"/>
  </r>
  <r>
    <m/>
    <x v="4"/>
    <x v="18"/>
    <x v="18"/>
    <n v="1661873799978"/>
    <x v="250"/>
    <x v="238"/>
    <x v="0"/>
    <x v="1"/>
    <n v="1"/>
    <x v="31"/>
    <n v="165"/>
    <m/>
    <n v="0"/>
    <n v="11426"/>
    <n v="1885290"/>
    <n v="9.1999999999999993"/>
    <n v="10051"/>
    <n v="19319.327731092439"/>
    <n v="21000"/>
    <s v="Shenzhen"/>
    <x v="0"/>
    <n v="30"/>
    <m/>
    <n v="250"/>
    <n v="46"/>
    <n v="0.5829332927682005"/>
    <n v="18"/>
    <n v="0.61702259065771503"/>
    <n v="12"/>
    <n v="0.62997180027960931"/>
    <n v="1"/>
    <s v=""/>
    <n v="1"/>
    <n v="0.48727267717403283"/>
    <n v="19"/>
    <n v="0.55708664094489302"/>
    <n v="43"/>
    <n v="0.51541583989305428"/>
    <n v="21"/>
    <n v="0.59133870367233787"/>
    <n v="39"/>
    <n v="0.49510222125197834"/>
    <n v="163"/>
    <n v="0.59169966918808303"/>
    <n v="20"/>
    <n v="0.59311102091416479"/>
    <n v="25"/>
    <n v="0.58753503111321514"/>
    <n v="50"/>
    <n v="0.33845766412551409"/>
    <n v="75"/>
    <n v="0.23663039248304615"/>
    <n v="155"/>
    <n v="0.24942749749768459"/>
    <n v="72"/>
    <n v="0.34630616966486316"/>
    <n v="1.8"/>
    <n v="32"/>
    <n v="0.55498814759364956"/>
    <n v="0.4"/>
    <n v="58"/>
    <n v="0.25791093832913115"/>
    <n v="0.38666666666666666"/>
    <n v="0"/>
    <s v=""/>
    <n v="0"/>
    <n v="46"/>
    <n v="0.24871835537556264"/>
    <n v="1.3142857142857143"/>
    <n v="18"/>
    <n v="0.15340828951035615"/>
    <n v="0.51428571428571423"/>
    <m/>
    <m/>
    <m/>
    <m/>
    <m/>
    <m/>
    <m/>
    <m/>
    <m/>
    <n v="35"/>
    <n v="437"/>
    <n v="22"/>
    <n v="0"/>
    <n v="0"/>
    <n v="0"/>
    <n v="3307827"/>
    <n v="4161114"/>
    <n v="251372"/>
    <n v="0"/>
    <n v="165"/>
    <n v="1885290"/>
    <n v="357164.04208742327"/>
    <n v="35"/>
    <n v="386"/>
    <n v="112.5"/>
    <n v="0"/>
    <n v="0"/>
    <n v="0"/>
    <n v="3879127"/>
    <n v="3675492"/>
    <n v="1285425"/>
    <n v="0"/>
    <n v="165"/>
    <n v="1885290"/>
    <n v="1826407.0334015961"/>
    <n v="60"/>
    <n v="271"/>
    <n v="155"/>
    <n v="0"/>
    <n v="0"/>
    <n v="3355462"/>
    <n v="3096446"/>
    <n v="1771030"/>
    <n v="0"/>
    <n v="165"/>
    <n v="1885290"/>
    <n v="2994495.7983193281"/>
    <n v="40"/>
    <n v="150"/>
    <n v="72"/>
    <n v="0"/>
    <n v="0"/>
    <n v="1428300"/>
    <n v="822672"/>
    <x v="0"/>
    <x v="0"/>
    <n v="165"/>
    <n v="1885290"/>
    <n v="1390991.5966386555"/>
    <n v="80"/>
    <n v="197"/>
    <n v="80"/>
    <m/>
    <n v="0"/>
    <n v="0"/>
    <n v="2250922"/>
    <n v="761760"/>
    <x v="0"/>
    <n v="0"/>
    <n v="165"/>
    <n v="1885290"/>
    <n v="1545546.218487395"/>
    <n v="150"/>
    <n v="223"/>
    <n v="58"/>
    <m/>
    <n v="0"/>
    <n v="0"/>
    <n v="2547998"/>
    <n v="552276"/>
    <n v="0"/>
    <n v="0"/>
    <n v="223"/>
    <n v="1885290"/>
    <n v="1120521.0084033615"/>
    <n v="66"/>
    <n v="165"/>
    <n v="0"/>
    <n v="100"/>
    <n v="100"/>
    <n v="0"/>
    <n v="1885290"/>
    <n v="0"/>
    <n v="920459.99999999988"/>
    <n v="0"/>
    <n v="165"/>
    <n v="1885290"/>
    <n v="0"/>
    <n v="35"/>
    <n v="211"/>
    <n v="47"/>
    <n v="150"/>
    <n v="150"/>
    <n v="0"/>
    <n v="2410886"/>
    <n v="447534"/>
    <n v="1428300"/>
    <n v="0"/>
    <n v="211"/>
    <n v="2410886"/>
    <n v="908008.40336134459"/>
    <n v="35"/>
    <n v="183"/>
    <n v="15"/>
    <n v="0"/>
    <n v="0"/>
    <n v="0"/>
    <n v="1742526"/>
    <n v="142830"/>
    <n v="0"/>
    <n v="0"/>
    <n v="165"/>
    <n v="1885290"/>
    <n v="289789.91596638656"/>
    <n v="100"/>
    <n v="168"/>
    <n v="100"/>
    <n v="300"/>
    <n v="300"/>
    <n v="0"/>
    <n v="0"/>
    <n v="1599696"/>
    <n v="952200"/>
    <n v="2856600"/>
    <n v="0"/>
    <n v="168"/>
    <n v="1599696"/>
    <n v="2100000"/>
    <n v="80"/>
    <n v="68"/>
    <n v="68"/>
    <m/>
    <n v="0"/>
    <n v="0"/>
    <n v="647496"/>
    <n v="647496"/>
    <n v="0"/>
    <n v="0"/>
    <n v="68"/>
    <n v="647496"/>
    <n v="1428000"/>
    <n v="120"/>
    <n v="0"/>
    <n v="0"/>
    <n v="0"/>
    <n v="0"/>
    <n v="0"/>
    <n v="0"/>
    <n v="0"/>
    <n v="0"/>
    <n v="0"/>
    <n v="0"/>
    <n v="0"/>
    <n v="48"/>
    <n v="0"/>
    <n v="48"/>
    <n v="0"/>
    <m/>
    <n v="0"/>
    <n v="548448"/>
    <n v="0"/>
    <n v="0"/>
    <n v="0"/>
    <n v="927327.73109243705"/>
  </r>
  <r>
    <m/>
    <x v="4"/>
    <x v="18"/>
    <x v="18"/>
    <n v="1661873818029"/>
    <x v="251"/>
    <x v="239"/>
    <x v="0"/>
    <x v="1"/>
    <n v="1"/>
    <x v="31"/>
    <n v="191"/>
    <m/>
    <n v="0"/>
    <n v="10864"/>
    <n v="2075024"/>
    <n v="9.1999999999999993"/>
    <n v="10051"/>
    <n v="19319.327731092439"/>
    <n v="21000"/>
    <s v="Shenzhen"/>
    <x v="0"/>
    <n v="30"/>
    <m/>
    <n v="250"/>
    <n v="61"/>
    <n v="0.53056928258352298"/>
    <n v="23"/>
    <n v="0.61172415442401362"/>
    <n v="21"/>
    <n v="0.62813467115429389"/>
    <n v="4"/>
    <n v="0.63096545663139358"/>
    <n v="1"/>
    <n v="0.63096857392270456"/>
    <n v="7"/>
    <n v="0.58268090781830406"/>
    <n v="24"/>
    <n v="0.516743795422552"/>
    <n v="14"/>
    <n v="0.58487967244797479"/>
    <n v="18"/>
    <n v="0.53290330727495994"/>
    <n v="105"/>
    <n v="0.59670098160076401"/>
    <n v="20"/>
    <n v="0.58532643163123632"/>
    <n v="33"/>
    <n v="0.5913386775912578"/>
    <n v="32"/>
    <n v="0.42428925039619531"/>
    <n v="44"/>
    <n v="0.26433922317118319"/>
    <n v="100"/>
    <n v="0.25410647299768901"/>
    <n v="44"/>
    <n v="0.36495457594234282"/>
    <n v="1.76"/>
    <n v="42"/>
    <n v="0.49540358810015067"/>
    <n v="1.05"/>
    <n v="28"/>
    <n v="0.347674068897731"/>
    <n v="0.35"/>
    <n v="0"/>
    <s v=""/>
    <n v="0"/>
    <n v="16"/>
    <n v="0.20715821068711665"/>
    <n v="0.64"/>
    <n v="19"/>
    <n v="0.23667853375101075"/>
    <n v="0.38"/>
    <m/>
    <m/>
    <m/>
    <m/>
    <m/>
    <m/>
    <m/>
    <m/>
    <m/>
    <n v="20"/>
    <n v="457"/>
    <n v="18"/>
    <n v="0"/>
    <n v="0"/>
    <n v="0"/>
    <n v="1998976"/>
    <n v="4351554"/>
    <n v="195552"/>
    <n v="0"/>
    <n v="191"/>
    <n v="2075024"/>
    <n v="292225.12534425542"/>
    <n v="20"/>
    <n v="403"/>
    <n v="66"/>
    <n v="0"/>
    <n v="0"/>
    <n v="0"/>
    <n v="2281440"/>
    <n v="3837366"/>
    <n v="717024"/>
    <n v="0"/>
    <n v="191"/>
    <n v="2075024"/>
    <n v="1071492.1262622697"/>
    <n v="90"/>
    <n v="338"/>
    <n v="100"/>
    <n v="0"/>
    <n v="0"/>
    <n v="1945296"/>
    <n v="3672032"/>
    <n v="1086400"/>
    <n v="0"/>
    <n v="191"/>
    <n v="2075024"/>
    <n v="1931932.7731092439"/>
    <n v="25"/>
    <n v="253"/>
    <n v="44"/>
    <n v="0"/>
    <n v="0"/>
    <n v="2409066"/>
    <n v="478016"/>
    <x v="0"/>
    <x v="0"/>
    <n v="191"/>
    <n v="2075024"/>
    <n v="850050.42016806733"/>
    <n v="40"/>
    <n v="233"/>
    <n v="40"/>
    <m/>
    <n v="0"/>
    <n v="0"/>
    <n v="2531312"/>
    <n v="380880"/>
    <x v="0"/>
    <n v="0"/>
    <n v="191"/>
    <n v="2075024"/>
    <n v="772773.10924369749"/>
    <n v="80"/>
    <n v="219"/>
    <n v="28"/>
    <m/>
    <n v="0"/>
    <n v="0"/>
    <n v="2379216"/>
    <n v="266616"/>
    <n v="0"/>
    <n v="0"/>
    <n v="219"/>
    <n v="2075024"/>
    <n v="540941.17647058831"/>
    <n v="35"/>
    <n v="191"/>
    <n v="0"/>
    <n v="0"/>
    <n v="0"/>
    <n v="0"/>
    <n v="2075024"/>
    <n v="0"/>
    <n v="0"/>
    <n v="0"/>
    <n v="191"/>
    <n v="2075024"/>
    <n v="0"/>
    <n v="25"/>
    <n v="207"/>
    <n v="16"/>
    <n v="100"/>
    <n v="100"/>
    <n v="0"/>
    <n v="2248848"/>
    <n v="152352"/>
    <n v="952200"/>
    <n v="0"/>
    <n v="207"/>
    <n v="2248848"/>
    <n v="309109.24369747902"/>
    <n v="50"/>
    <n v="210"/>
    <n v="22.5"/>
    <n v="0"/>
    <n v="0"/>
    <n v="0"/>
    <n v="1999620"/>
    <n v="214245"/>
    <n v="0"/>
    <n v="0"/>
    <n v="191"/>
    <n v="2075024"/>
    <n v="434684.87394957989"/>
    <n v="80"/>
    <n v="187.5"/>
    <n v="80"/>
    <n v="0"/>
    <n v="0"/>
    <n v="0"/>
    <m/>
    <n v="1785375"/>
    <n v="761760"/>
    <n v="0"/>
    <n v="0"/>
    <n v="187.5"/>
    <n v="1785375"/>
    <n v="1680000"/>
    <n v="50"/>
    <n v="107.5"/>
    <n v="50"/>
    <m/>
    <n v="0"/>
    <n v="0"/>
    <n v="1023615"/>
    <n v="476100"/>
    <n v="0"/>
    <n v="0"/>
    <n v="107.5"/>
    <n v="1023615"/>
    <n v="1050000"/>
    <n v="80"/>
    <n v="57.5"/>
    <n v="80"/>
    <n v="0"/>
    <n v="200"/>
    <n v="547515"/>
    <n v="761760"/>
    <n v="0"/>
    <n v="1904400"/>
    <n v="257.5"/>
    <n v="2451915"/>
    <n v="1545546.218487395"/>
    <n v="30"/>
    <n v="177.5"/>
    <n v="30"/>
    <n v="0"/>
    <m/>
    <n v="1690155"/>
    <n v="325920"/>
    <n v="0"/>
    <n v="177.5"/>
    <n v="1690155"/>
    <n v="579579.83193277312"/>
  </r>
  <r>
    <m/>
    <x v="4"/>
    <x v="18"/>
    <x v="18"/>
    <s v="LHCOLTOT"/>
    <x v="252"/>
    <x v="240"/>
    <x v="0"/>
    <x v="4"/>
    <n v="1"/>
    <x v="31"/>
    <n v="0"/>
    <m/>
    <n v="0"/>
    <n v="25576"/>
    <n v="0"/>
    <n v="27.8"/>
    <n v="25576"/>
    <n v="64477.310924369747"/>
    <n v="54805.714285714283"/>
    <s v="Ningbo"/>
    <x v="0"/>
    <n v="30"/>
    <m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n v="0"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18"/>
    <x v="18"/>
    <s v="LHMOBI001"/>
    <x v="253"/>
    <x v="241"/>
    <x v="0"/>
    <x v="0"/>
    <n v="1"/>
    <x v="31"/>
    <n v="4"/>
    <m/>
    <n v="0"/>
    <n v="9408"/>
    <n v="37632"/>
    <n v="8.9499999999999993"/>
    <n v="9777.875"/>
    <n v="21000"/>
    <n v="21000"/>
    <s v="Shenzhen"/>
    <x v="0"/>
    <n v="30"/>
    <m/>
    <n v="300"/>
    <n v="49"/>
    <n v="0.55456841532527235"/>
    <n v="21"/>
    <n v="0.56238154598472845"/>
    <n v="14"/>
    <n v="0.56674904761904754"/>
    <n v="4"/>
    <n v="0.56674904761904765"/>
    <n v="10"/>
    <n v="0.56674904761904765"/>
    <n v="21"/>
    <n v="0.55800366001111068"/>
    <n v="27"/>
    <n v="0.41358626994680847"/>
    <n v="19"/>
    <n v="0.53226847862114657"/>
    <n v="26"/>
    <n v="0.51383348207275814"/>
    <n v="77"/>
    <n v="0.48037210889089971"/>
    <n v="68"/>
    <n v="0.51857972580637857"/>
    <n v="64"/>
    <n v="0.51642829025351"/>
    <n v="4"/>
    <n v="0.36827889176584033"/>
    <n v="2"/>
    <n v="0.37337095424107142"/>
    <n v="3"/>
    <n v="0.35160304284474209"/>
    <n v="2"/>
    <n v="0.29680031622023811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0"/>
    <n v="8"/>
    <n v="0"/>
    <n v="100"/>
    <n v="100"/>
    <n v="0"/>
    <n v="56448"/>
    <n v="74105.999999999985"/>
    <n v="0"/>
    <n v="0"/>
    <n v="4"/>
    <n v="37632"/>
    <n v="0"/>
    <n v="0"/>
    <n v="5"/>
    <n v="3"/>
    <n v="0"/>
    <n v="0"/>
    <n v="0"/>
    <n v="75264"/>
    <n v="46316.249999999993"/>
    <n v="28224"/>
    <n v="0"/>
    <n v="4"/>
    <n v="37632"/>
    <n v="52941.176470588238"/>
    <n v="0"/>
    <n v="3"/>
    <n v="3"/>
    <n v="0"/>
    <n v="0"/>
    <n v="130409.24999999999"/>
    <n v="28224"/>
    <n v="28224"/>
    <n v="0"/>
    <n v="4"/>
    <n v="37632"/>
    <n v="63000"/>
    <n v="0"/>
    <n v="3"/>
    <n v="2"/>
    <n v="0"/>
    <n v="0"/>
    <n v="27789.749999999993"/>
    <n v="18816"/>
    <x v="0"/>
    <x v="0"/>
    <n v="4"/>
    <n v="37632"/>
    <n v="42000"/>
    <n v="9"/>
    <n v="4"/>
    <n v="9"/>
    <m/>
    <n v="0"/>
    <n v="0"/>
    <n v="37632"/>
    <n v="83369.249999999985"/>
    <x v="0"/>
    <n v="0"/>
    <n v="4"/>
    <n v="37632"/>
    <n v="189000"/>
    <n v="19"/>
    <n v="4"/>
    <n v="0"/>
    <m/>
    <n v="0"/>
    <n v="0"/>
    <n v="37632"/>
    <n v="0"/>
    <n v="0"/>
    <n v="0"/>
    <n v="4"/>
    <n v="37632"/>
    <n v="0"/>
    <n v="1"/>
    <n v="4"/>
    <n v="0"/>
    <n v="0"/>
    <n v="0"/>
    <n v="0"/>
    <n v="37632"/>
    <n v="0"/>
    <n v="0"/>
    <n v="0"/>
    <n v="4"/>
    <n v="37632"/>
    <n v="0"/>
    <n v="0"/>
    <n v="4"/>
    <n v="0"/>
    <n v="0"/>
    <n v="0"/>
    <n v="0"/>
    <n v="37632"/>
    <n v="0"/>
    <n v="0"/>
    <n v="0"/>
    <n v="4"/>
    <n v="37632"/>
    <n v="0"/>
    <n v="0"/>
    <n v="4"/>
    <n v="0"/>
    <n v="300"/>
    <n v="300"/>
    <n v="0"/>
    <n v="37052.999999999993"/>
    <n v="0"/>
    <n v="2778974.9999999995"/>
    <n v="0"/>
    <n v="4"/>
    <n v="37632"/>
    <n v="0"/>
    <n v="40"/>
    <n v="4"/>
    <n v="4"/>
    <n v="0"/>
    <n v="0"/>
    <n v="0"/>
    <n v="300"/>
    <n v="37052.999999999993"/>
    <n v="37052.999999999993"/>
    <n v="0"/>
    <n v="0"/>
    <n v="4"/>
    <n v="37052.999999999993"/>
    <n v="84000"/>
    <n v="68"/>
    <n v="0"/>
    <n v="68"/>
    <m/>
    <n v="0"/>
    <n v="300"/>
    <n v="0"/>
    <n v="629900.99999999988"/>
    <n v="0"/>
    <n v="2778974.9999999995"/>
    <n v="300"/>
    <n v="2778974.9999999995"/>
    <n v="0"/>
    <n v="120"/>
    <n v="232"/>
    <n v="120"/>
    <n v="0"/>
    <n v="0"/>
    <n v="2149073.9999999995"/>
    <n v="1111589.9999999998"/>
    <n v="0"/>
    <n v="0"/>
    <n v="232"/>
    <n v="2149073.9999999995"/>
    <n v="2520000"/>
    <n v="40.799999999999997"/>
    <n v="112"/>
    <n v="40.799999999999997"/>
    <n v="0"/>
    <m/>
    <n v="1037483.9999999998"/>
    <n v="383846.39999999997"/>
    <n v="0"/>
    <n v="112"/>
    <n v="1037483.9999999998"/>
    <n v="856799.99999999988"/>
  </r>
  <r>
    <m/>
    <x v="4"/>
    <x v="18"/>
    <x v="18"/>
    <s v="LHMOBROBK"/>
    <x v="254"/>
    <x v="242"/>
    <x v="0"/>
    <x v="1"/>
    <n v="1"/>
    <x v="164"/>
    <n v="283"/>
    <m/>
    <n v="0"/>
    <n v="20139"/>
    <n v="5699337"/>
    <n v="20"/>
    <n v="21850"/>
    <n v="42008.403361344543"/>
    <n v="63016.806722689078"/>
    <s v="Shenzhen"/>
    <x v="0"/>
    <n v="60"/>
    <m/>
    <n v="300"/>
    <n v="0"/>
    <n v="0.49630341733617156"/>
    <n v="0"/>
    <s v=""/>
    <n v="0"/>
    <n v="0.61199661471189792"/>
    <n v="82"/>
    <n v="0.63775406789700184"/>
    <n v="16"/>
    <n v="0.619627199988806"/>
    <n v="152"/>
    <n v="0.6035531652562347"/>
    <n v="67"/>
    <n v="0.53105162988015897"/>
    <n v="33"/>
    <n v="0.60470467073666623"/>
    <n v="22"/>
    <n v="0.62914609355428786"/>
    <n v="99"/>
    <n v="0.48602395606616283"/>
    <n v="11"/>
    <n v="0.61427690564164183"/>
    <n v="3"/>
    <n v="0.74263689103574715"/>
    <n v="92"/>
    <n v="0.38750172712996933"/>
    <n v="99"/>
    <n v="0.35855266146011666"/>
    <n v="174"/>
    <n v="0.38814816143531017"/>
    <n v="83"/>
    <n v="0.44990934433997398"/>
    <n v="1.3833333333333333"/>
    <n v="19"/>
    <n v="0.66498443901766224"/>
    <n v="0.16379310344827586"/>
    <n v="19"/>
    <n v="0.62550651905782018"/>
    <n v="0.12666666666666668"/>
    <n v="13"/>
    <n v="0.67194432990185915"/>
    <n v="0"/>
    <n v="3"/>
    <n v="0.43731842871317822"/>
    <n v="0.3"/>
    <n v="26"/>
    <n v="0.44928303307822148"/>
    <n v="0.52"/>
    <m/>
    <m/>
    <m/>
    <m/>
    <m/>
    <m/>
    <m/>
    <m/>
    <m/>
    <n v="50"/>
    <n v="301"/>
    <n v="30"/>
    <n v="0"/>
    <n v="200"/>
    <n v="0"/>
    <n v="7098997.5"/>
    <n v="6230700"/>
    <n v="604170"/>
    <n v="0"/>
    <n v="283"/>
    <n v="5699337"/>
    <n v="1059035.3788574254"/>
    <n v="45"/>
    <n v="415"/>
    <n v="148.5"/>
    <n v="0"/>
    <n v="0"/>
    <n v="0"/>
    <n v="8166364.5"/>
    <n v="8590500"/>
    <n v="2990641.5"/>
    <n v="0"/>
    <n v="283"/>
    <n v="5699337"/>
    <n v="5242225.1253442559"/>
    <n v="120"/>
    <n v="271"/>
    <n v="174"/>
    <n v="0"/>
    <n v="0"/>
    <n v="7576923"/>
    <n v="5457669"/>
    <n v="3504186"/>
    <n v="0"/>
    <n v="283"/>
    <n v="5699337"/>
    <n v="7309462.1848739507"/>
    <n v="60"/>
    <n v="121"/>
    <n v="83"/>
    <n v="0"/>
    <n v="0"/>
    <n v="2504700"/>
    <n v="1671537"/>
    <x v="0"/>
    <x v="0"/>
    <n v="283"/>
    <n v="5699337"/>
    <n v="3486697.478991597"/>
    <n v="116"/>
    <n v="302"/>
    <n v="116"/>
    <m/>
    <n v="0"/>
    <n v="0"/>
    <n v="6081978"/>
    <n v="2401200"/>
    <x v="0"/>
    <n v="0"/>
    <n v="283"/>
    <n v="5699337"/>
    <n v="4872974.7899159668"/>
    <n v="150"/>
    <n v="302"/>
    <n v="19"/>
    <m/>
    <n v="0"/>
    <n v="0"/>
    <n v="6081978"/>
    <n v="393300"/>
    <n v="0"/>
    <n v="0"/>
    <n v="302"/>
    <n v="5699337"/>
    <n v="798159.66386554635"/>
    <n v="0"/>
    <n v="296"/>
    <n v="13"/>
    <n v="300"/>
    <n v="300"/>
    <n v="0"/>
    <n v="5961144"/>
    <n v="269100"/>
    <n v="6003000"/>
    <n v="0"/>
    <n v="296"/>
    <n v="5699337"/>
    <n v="546109.24369747902"/>
    <n v="10"/>
    <n v="286"/>
    <n v="3"/>
    <n v="0"/>
    <n v="300"/>
    <n v="0"/>
    <n v="5759754"/>
    <n v="62100"/>
    <n v="0"/>
    <n v="0"/>
    <n v="286"/>
    <n v="5759754"/>
    <n v="126025.21008403364"/>
    <n v="50"/>
    <n v="309"/>
    <n v="33"/>
    <n v="300"/>
    <n v="0"/>
    <n v="0"/>
    <n v="6396300"/>
    <n v="683100"/>
    <n v="6210000"/>
    <n v="0"/>
    <n v="283"/>
    <n v="5699337"/>
    <n v="1386277.3109243698"/>
    <n v="150"/>
    <n v="276"/>
    <n v="150"/>
    <n v="0"/>
    <n v="0"/>
    <n v="0"/>
    <n v="0"/>
    <n v="5713200"/>
    <n v="3105000"/>
    <n v="0"/>
    <n v="0"/>
    <n v="276"/>
    <n v="5713200"/>
    <n v="9452521.0084033608"/>
    <n v="80"/>
    <n v="126"/>
    <n v="80"/>
    <m/>
    <n v="0"/>
    <n v="303"/>
    <n v="2608200"/>
    <n v="1656000"/>
    <n v="0"/>
    <n v="6272100"/>
    <n v="429"/>
    <n v="8880300"/>
    <n v="5041344.5378151266"/>
    <n v="150"/>
    <n v="349"/>
    <n v="150"/>
    <n v="300"/>
    <n v="300"/>
    <n v="7224300"/>
    <n v="3105000"/>
    <n v="6210000"/>
    <n v="6210000"/>
    <n v="649"/>
    <n v="13434300"/>
    <n v="6301260.5042016814"/>
    <n v="48"/>
    <n v="499"/>
    <n v="48"/>
    <n v="0"/>
    <m/>
    <n v="10329300"/>
    <n v="966672"/>
    <n v="0"/>
    <n v="499"/>
    <n v="10329300"/>
    <n v="2016403.3613445382"/>
  </r>
  <r>
    <m/>
    <x v="4"/>
    <x v="18"/>
    <x v="18"/>
    <s v="LHMOCCOL-BK"/>
    <x v="255"/>
    <x v="243"/>
    <x v="0"/>
    <x v="4"/>
    <n v="1"/>
    <x v="31"/>
    <n v="0"/>
    <m/>
    <n v="0"/>
    <n v="30175.999999999996"/>
    <n v="0"/>
    <n v="32.799999999999997"/>
    <n v="30175.999999999996"/>
    <n v="76073.949579831926"/>
    <n v="64662.857142857138"/>
    <s v="Ningbo"/>
    <x v="0"/>
    <n v="45"/>
    <m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n v="0"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40"/>
    <n v="0"/>
    <n v="0"/>
    <n v="0"/>
    <n v="0"/>
    <n v="0"/>
    <n v="0"/>
    <n v="0"/>
    <n v="0"/>
    <n v="0"/>
    <n v="0"/>
    <n v="0"/>
    <n v="0"/>
    <n v="0"/>
    <n v="0"/>
    <n v="60"/>
    <m/>
    <n v="0"/>
    <n v="0"/>
    <n v="0"/>
    <n v="0"/>
    <n v="0"/>
    <n v="0"/>
  </r>
  <r>
    <m/>
    <x v="4"/>
    <x v="18"/>
    <x v="18"/>
    <s v="LHMOCLATK-BK"/>
    <x v="256"/>
    <x v="244"/>
    <x v="0"/>
    <x v="4"/>
    <n v="1"/>
    <x v="31"/>
    <n v="0"/>
    <m/>
    <n v="0"/>
    <n v="15513.499999999998"/>
    <n v="0"/>
    <n v="14.2"/>
    <n v="15513.499999999998"/>
    <n v="39109.663865546216"/>
    <n v="33243.214285714283"/>
    <s v="Shenzhen"/>
    <x v="0"/>
    <n v="60"/>
    <m/>
    <n v="300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250"/>
    <n v="250"/>
    <n v="0"/>
    <n v="0"/>
    <n v="0"/>
    <n v="3674249.9999999995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0"/>
    <n v="0"/>
    <n v="0"/>
    <n v="0"/>
    <n v="0"/>
    <m/>
    <n v="0"/>
    <n v="0"/>
    <n v="0"/>
    <n v="0"/>
    <n v="0"/>
    <n v="0"/>
    <n v="0"/>
    <n v="40"/>
    <n v="0"/>
    <n v="40"/>
    <m/>
    <n v="0"/>
    <n v="251"/>
    <n v="0"/>
    <n v="587879.99999999988"/>
    <n v="0"/>
    <n v="3688946.9999999995"/>
    <n v="251"/>
    <n v="3688946.9999999995"/>
    <n v="0"/>
    <n v="60"/>
    <n v="211"/>
    <n v="60"/>
    <n v="0"/>
    <n v="0"/>
    <n v="3101066.9999999995"/>
    <n v="881819.99999999988"/>
    <n v="0"/>
    <n v="0"/>
    <n v="211"/>
    <n v="3101066.9999999995"/>
    <n v="2346579.8319327729"/>
    <n v="24"/>
    <n v="151"/>
    <n v="24"/>
    <n v="0"/>
    <m/>
    <n v="2219246.9999999995"/>
    <n v="372323.99999999994"/>
    <n v="0"/>
    <n v="151"/>
    <n v="2219246.9999999995"/>
    <n v="938631.93277310918"/>
  </r>
  <r>
    <m/>
    <x v="4"/>
    <x v="18"/>
    <x v="18"/>
    <s v="LHMOCLATK-BU"/>
    <x v="257"/>
    <x v="245"/>
    <x v="0"/>
    <x v="4"/>
    <n v="1"/>
    <x v="31"/>
    <n v="0"/>
    <m/>
    <n v="0"/>
    <n v="15513.499999999998"/>
    <n v="0"/>
    <n v="14.2"/>
    <n v="15513.499999999998"/>
    <n v="39109.663865546216"/>
    <n v="33243.214285714283"/>
    <s v="Shenzhen"/>
    <x v="0"/>
    <n v="60"/>
    <m/>
    <n v="300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250"/>
    <n v="250"/>
    <n v="0"/>
    <n v="0"/>
    <n v="0"/>
    <n v="3674249.9999999995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0"/>
    <n v="0"/>
    <n v="0"/>
    <n v="0"/>
    <n v="0"/>
    <m/>
    <n v="0"/>
    <n v="0"/>
    <n v="0"/>
    <n v="0"/>
    <n v="0"/>
    <n v="0"/>
    <n v="0"/>
    <n v="40"/>
    <n v="0"/>
    <n v="40"/>
    <m/>
    <n v="0"/>
    <n v="251"/>
    <n v="0"/>
    <n v="587879.99999999988"/>
    <n v="0"/>
    <n v="3688946.9999999995"/>
    <n v="251"/>
    <n v="3688946.9999999995"/>
    <n v="0"/>
    <n v="60"/>
    <n v="211"/>
    <n v="60"/>
    <n v="0"/>
    <n v="0"/>
    <n v="3101066.9999999995"/>
    <n v="881819.99999999988"/>
    <n v="0"/>
    <n v="0"/>
    <n v="211"/>
    <n v="3101066.9999999995"/>
    <n v="2346579.8319327729"/>
    <n v="24"/>
    <n v="151"/>
    <n v="24"/>
    <n v="0"/>
    <m/>
    <n v="2219246.9999999995"/>
    <n v="372323.99999999994"/>
    <n v="0"/>
    <n v="151"/>
    <n v="2219246.9999999995"/>
    <n v="938631.93277310918"/>
  </r>
  <r>
    <m/>
    <x v="4"/>
    <x v="18"/>
    <x v="18"/>
    <s v="LHMOMAK"/>
    <x v="258"/>
    <x v="246"/>
    <x v="0"/>
    <x v="1"/>
    <n v="1"/>
    <x v="165"/>
    <n v="5"/>
    <m/>
    <n v="0"/>
    <n v="11220"/>
    <n v="56100"/>
    <n v="12"/>
    <n v="13109.999999999998"/>
    <n v="27722.689075630253"/>
    <n v="23521.008403361346"/>
    <s v="Shenzhen"/>
    <x v="0"/>
    <n v="60"/>
    <m/>
    <n v="300"/>
    <n v="0"/>
    <s v=""/>
    <n v="0"/>
    <s v=""/>
    <n v="0"/>
    <s v=""/>
    <n v="0"/>
    <s v=""/>
    <n v="0"/>
    <s v=""/>
    <n v="0"/>
    <s v=""/>
    <n v="0"/>
    <s v=""/>
    <n v="0"/>
    <s v=""/>
    <n v="12"/>
    <n v="0.58546133970643854"/>
    <n v="14"/>
    <n v="0.54329895468299028"/>
    <n v="13"/>
    <n v="0.5027373916013651"/>
    <n v="53"/>
    <n v="0.51167973011877577"/>
    <n v="56"/>
    <n v="0.51608997754571195"/>
    <n v="39"/>
    <n v="0.42219292689764376"/>
    <n v="13"/>
    <n v="0.36486106665732265"/>
    <n v="27"/>
    <n v="0.37118651336976066"/>
    <n v="0.67500000000000004"/>
    <n v="39"/>
    <n v="0.58719708468906917"/>
    <n v="1.3"/>
    <n v="93"/>
    <n v="0.33096584102084103"/>
    <n v="1.55"/>
    <n v="91"/>
    <n v="0.57059499200358776"/>
    <n v="2.2749999999999999"/>
    <n v="44"/>
    <n v="0.30129680349838844"/>
    <n v="0.89795918367346939"/>
    <n v="0"/>
    <s v=""/>
    <n v="0"/>
    <m/>
    <m/>
    <m/>
    <m/>
    <m/>
    <m/>
    <m/>
    <m/>
    <m/>
    <n v="25"/>
    <n v="11"/>
    <n v="20"/>
    <n v="0"/>
    <n v="50"/>
    <n v="0"/>
    <n v="1026630"/>
    <n v="136619.99999999997"/>
    <n v="224400"/>
    <n v="0"/>
    <n v="5"/>
    <n v="56100"/>
    <n v="465927.54748958407"/>
    <n v="30"/>
    <n v="50"/>
    <n v="58.5"/>
    <n v="100"/>
    <n v="100"/>
    <n v="0"/>
    <n v="1105170"/>
    <n v="620999.99999999988"/>
    <n v="656370"/>
    <n v="0"/>
    <n v="5"/>
    <n v="56100"/>
    <n v="1362838.0764070335"/>
    <n v="50"/>
    <n v="10"/>
    <n v="13"/>
    <n v="0"/>
    <n v="0"/>
    <n v="821400"/>
    <n v="112200"/>
    <n v="145860"/>
    <n v="0"/>
    <n v="5"/>
    <n v="56100"/>
    <n v="360394.95798319328"/>
    <n v="40"/>
    <n v="295"/>
    <n v="27"/>
    <n v="0"/>
    <n v="0"/>
    <n v="3663899.9999999995"/>
    <n v="302940"/>
    <x v="0"/>
    <x v="0"/>
    <n v="5"/>
    <n v="56100"/>
    <n v="748512.60504201683"/>
    <n v="30"/>
    <n v="44"/>
    <n v="30"/>
    <m/>
    <n v="0"/>
    <n v="0"/>
    <n v="493680"/>
    <n v="372599.99999999994"/>
    <x v="0"/>
    <n v="0"/>
    <n v="5"/>
    <n v="56100"/>
    <n v="831680.67226890754"/>
    <n v="60"/>
    <n v="98"/>
    <n v="93"/>
    <m/>
    <n v="0"/>
    <n v="0"/>
    <n v="1099560"/>
    <n v="1155059.9999999998"/>
    <n v="0"/>
    <n v="0"/>
    <n v="98"/>
    <n v="56100"/>
    <n v="2578210.0840336136"/>
    <n v="40"/>
    <n v="96"/>
    <n v="91"/>
    <n v="0"/>
    <n v="0"/>
    <n v="0"/>
    <n v="1077120"/>
    <n v="1130219.9999999998"/>
    <n v="0"/>
    <n v="0"/>
    <n v="96"/>
    <n v="56100"/>
    <n v="2522764.7058823528"/>
    <n v="49"/>
    <n v="49"/>
    <n v="45"/>
    <n v="0"/>
    <n v="0"/>
    <n v="0"/>
    <n v="549780"/>
    <n v="558899.99999999988"/>
    <n v="0"/>
    <n v="0"/>
    <n v="49"/>
    <n v="549780"/>
    <n v="1247521.0084033613"/>
    <n v="0"/>
    <n v="5"/>
    <n v="0"/>
    <n v="0"/>
    <n v="0"/>
    <n v="0"/>
    <n v="62099.999999999993"/>
    <n v="0"/>
    <n v="0"/>
    <n v="0"/>
    <n v="5"/>
    <n v="56100"/>
    <n v="0"/>
    <n v="60"/>
    <n v="5"/>
    <n v="5"/>
    <n v="0"/>
    <n v="0"/>
    <n v="0"/>
    <n v="300"/>
    <n v="62099.999999999993"/>
    <n v="62099.999999999993"/>
    <n v="0"/>
    <n v="0"/>
    <n v="5"/>
    <n v="62099.999999999993"/>
    <n v="117605.04201680672"/>
    <n v="65"/>
    <n v="0"/>
    <n v="65"/>
    <m/>
    <n v="300"/>
    <n v="303"/>
    <n v="0"/>
    <n v="807299.99999999988"/>
    <n v="0"/>
    <n v="3763259.9999999995"/>
    <n v="303"/>
    <n v="3763259.9999999995"/>
    <n v="1528865.5462184874"/>
    <n v="120"/>
    <n v="238"/>
    <n v="120"/>
    <n v="0"/>
    <n v="0"/>
    <n v="2955959.9999999995"/>
    <n v="1490399.9999999998"/>
    <n v="0"/>
    <n v="0"/>
    <n v="238"/>
    <n v="2955959.9999999995"/>
    <n v="3326722.6890756302"/>
    <n v="39"/>
    <n v="118"/>
    <n v="39"/>
    <n v="0"/>
    <m/>
    <n v="1465559.9999999998"/>
    <n v="437580"/>
    <n v="0"/>
    <n v="118"/>
    <n v="1465559.9999999998"/>
    <n v="1081184.8739495799"/>
  </r>
  <r>
    <m/>
    <x v="4"/>
    <x v="18"/>
    <x v="18"/>
    <s v="LHMOMAK"/>
    <x v="259"/>
    <x v="247"/>
    <x v="0"/>
    <x v="1"/>
    <n v="1"/>
    <x v="166"/>
    <n v="236"/>
    <m/>
    <n v="0"/>
    <n v="12332"/>
    <n v="2910352"/>
    <n v="12"/>
    <n v="13109.999999999998"/>
    <n v="27722.689075630253"/>
    <n v="23521.008403361346"/>
    <s v="Shenzhen"/>
    <x v="0"/>
    <n v="60"/>
    <m/>
    <n v="300"/>
    <n v="0"/>
    <s v=""/>
    <n v="0"/>
    <s v=""/>
    <n v="0"/>
    <s v=""/>
    <n v="0"/>
    <s v=""/>
    <n v="0"/>
    <s v=""/>
    <n v="0"/>
    <s v=""/>
    <n v="0"/>
    <s v=""/>
    <n v="0"/>
    <s v=""/>
    <n v="6"/>
    <n v="0.57879876703877242"/>
    <n v="12"/>
    <n v="0.5516807199291035"/>
    <n v="11"/>
    <n v="0.49254030780968461"/>
    <n v="31"/>
    <n v="0.55553859351050749"/>
    <n v="49"/>
    <n v="0.30302278290671542"/>
    <n v="63"/>
    <n v="0.33558925192541844"/>
    <n v="18"/>
    <n v="0.3252277005166872"/>
    <n v="3"/>
    <n v="0.35453004455558068"/>
    <n v="0.1"/>
    <n v="2"/>
    <n v="0.5446080630494089"/>
    <n v="5.7142857142857141E-2"/>
    <n v="0"/>
    <s v=""/>
    <n v="0"/>
    <n v="0"/>
    <s v=""/>
    <n v="0"/>
    <n v="2"/>
    <n v="0.25644280014491527"/>
    <n v="2"/>
    <n v="61"/>
    <n v="0.35227561387015816"/>
    <n v="1.5249999999999999"/>
    <m/>
    <m/>
    <m/>
    <m/>
    <m/>
    <m/>
    <m/>
    <m/>
    <m/>
    <n v="20"/>
    <n v="85"/>
    <n v="40"/>
    <n v="0"/>
    <n v="50"/>
    <n v="0"/>
    <n v="1880630"/>
    <n v="1055699.9999999998"/>
    <n v="493280"/>
    <n v="0"/>
    <n v="236"/>
    <n v="2910352"/>
    <n v="931855.09497916815"/>
    <n v="30"/>
    <n v="86"/>
    <n v="94.5"/>
    <n v="0"/>
    <n v="0"/>
    <n v="0"/>
    <n v="1424346"/>
    <n v="1068119.9999999998"/>
    <n v="1165374"/>
    <n v="0"/>
    <n v="236"/>
    <n v="2910352"/>
    <n v="2201507.6618882851"/>
    <n v="75"/>
    <n v="18"/>
    <n v="18"/>
    <n v="0"/>
    <n v="0"/>
    <n v="693672"/>
    <n v="221976"/>
    <n v="221976"/>
    <n v="0"/>
    <n v="236"/>
    <n v="2910352"/>
    <n v="499008.40336134454"/>
    <n v="30"/>
    <n v="3"/>
    <n v="3"/>
    <n v="100"/>
    <n v="0"/>
    <n v="37259.999999999993"/>
    <n v="36996"/>
    <x v="51"/>
    <x v="0"/>
    <n v="236"/>
    <n v="2910352"/>
    <n v="83168.067226890766"/>
    <n v="35"/>
    <n v="238"/>
    <n v="35"/>
    <m/>
    <n v="0"/>
    <n v="0"/>
    <n v="2935016"/>
    <n v="434699.99999999994"/>
    <x v="0"/>
    <n v="0"/>
    <n v="236"/>
    <n v="2910352"/>
    <n v="970294.1176470588"/>
    <n v="60"/>
    <n v="236"/>
    <n v="0"/>
    <m/>
    <n v="0"/>
    <n v="0"/>
    <n v="2910352"/>
    <n v="0"/>
    <n v="0"/>
    <n v="0"/>
    <n v="236"/>
    <n v="2910352"/>
    <n v="0"/>
    <n v="35"/>
    <n v="236"/>
    <n v="0"/>
    <n v="300"/>
    <n v="300"/>
    <n v="0"/>
    <n v="2910352"/>
    <n v="0"/>
    <n v="3601799.9999999995"/>
    <n v="0"/>
    <n v="236"/>
    <n v="2910352"/>
    <n v="0"/>
    <n v="1"/>
    <n v="238"/>
    <n v="2"/>
    <n v="0"/>
    <n v="0"/>
    <n v="0"/>
    <n v="2935016"/>
    <n v="24839.999999999996"/>
    <n v="0"/>
    <n v="0"/>
    <n v="238"/>
    <n v="2935016"/>
    <n v="55445.378151260506"/>
    <n v="40"/>
    <n v="297"/>
    <n v="87"/>
    <n v="0"/>
    <n v="0"/>
    <n v="0"/>
    <n v="3688739.9999999995"/>
    <n v="1080539.9999999998"/>
    <n v="0"/>
    <n v="0"/>
    <n v="236"/>
    <n v="2910352"/>
    <n v="2411873.9495798321"/>
    <n v="65"/>
    <n v="210"/>
    <n v="65"/>
    <n v="0"/>
    <n v="0"/>
    <n v="0"/>
    <n v="0"/>
    <n v="2608199.9999999995"/>
    <n v="807299.99999999988"/>
    <n v="0"/>
    <n v="0"/>
    <n v="210"/>
    <n v="2608199.9999999995"/>
    <n v="1528865.5462184874"/>
    <n v="60"/>
    <n v="145"/>
    <n v="60"/>
    <m/>
    <n v="0"/>
    <n v="0"/>
    <n v="1800899.9999999998"/>
    <n v="745199.99999999988"/>
    <n v="0"/>
    <n v="0"/>
    <n v="145"/>
    <n v="1800899.9999999998"/>
    <n v="1411260.5042016807"/>
    <n v="80"/>
    <n v="85"/>
    <n v="80"/>
    <n v="0"/>
    <n v="0"/>
    <n v="1055699.9999999998"/>
    <n v="993599.99999999988"/>
    <n v="0"/>
    <n v="0"/>
    <n v="85"/>
    <n v="1055699.9999999998"/>
    <n v="2217815.1260504201"/>
    <n v="36"/>
    <n v="5"/>
    <n v="36"/>
    <n v="0"/>
    <m/>
    <n v="62099.999999999993"/>
    <n v="443952"/>
    <n v="0"/>
    <n v="5"/>
    <n v="62099.999999999993"/>
    <n v="998016.80672268907"/>
  </r>
  <r>
    <m/>
    <x v="4"/>
    <x v="18"/>
    <x v="18"/>
    <s v="LHMOPUM"/>
    <x v="260"/>
    <x v="248"/>
    <x v="0"/>
    <x v="1"/>
    <n v="1.2"/>
    <x v="167"/>
    <n v="4"/>
    <m/>
    <n v="0"/>
    <n v="11589"/>
    <n v="46356"/>
    <n v="12.5"/>
    <n v="13656.249999999998"/>
    <n v="29403.361344537818"/>
    <n v="23521.008403361346"/>
    <s v="Shenzhen"/>
    <x v="0"/>
    <n v="60"/>
    <m/>
    <n v="300"/>
    <n v="0"/>
    <s v=""/>
    <n v="0"/>
    <s v=""/>
    <n v="0"/>
    <s v=""/>
    <n v="0"/>
    <s v=""/>
    <n v="0"/>
    <s v=""/>
    <n v="0"/>
    <s v=""/>
    <n v="0"/>
    <s v=""/>
    <n v="1"/>
    <n v="0.66088149876214053"/>
    <n v="3"/>
    <n v="0.6024875138864253"/>
    <n v="16"/>
    <n v="0.46657978524905119"/>
    <n v="11"/>
    <n v="0.52634535280653016"/>
    <n v="14"/>
    <n v="0.46666240123600544"/>
    <n v="29"/>
    <n v="0.49405943983897388"/>
    <n v="26"/>
    <n v="0.42941760608982571"/>
    <n v="90"/>
    <n v="0.39897781079557154"/>
    <n v="58"/>
    <n v="0.38597471739448475"/>
    <n v="1.45"/>
    <n v="59"/>
    <n v="0.55782065709116246"/>
    <n v="1.4750000000000001"/>
    <n v="100"/>
    <n v="0.31161573517667412"/>
    <n v="1.6666666666666667"/>
    <n v="42"/>
    <n v="0.55176559607650799"/>
    <n v="1.2"/>
    <n v="30"/>
    <n v="0.32406390745874797"/>
    <n v="0.8571428571428571"/>
    <n v="0"/>
    <n v="1.4217950319940713E-2"/>
    <n v="0"/>
    <m/>
    <m/>
    <m/>
    <m/>
    <m/>
    <m/>
    <m/>
    <m/>
    <m/>
    <n v="20"/>
    <n v="61"/>
    <n v="40"/>
    <n v="0"/>
    <n v="100"/>
    <n v="0"/>
    <n v="1958541"/>
    <n v="789187.49999999988"/>
    <n v="463560"/>
    <n v="0"/>
    <n v="4"/>
    <n v="46356"/>
    <n v="988348.28048866615"/>
    <n v="35"/>
    <n v="120"/>
    <n v="39"/>
    <n v="120"/>
    <n v="120"/>
    <n v="0"/>
    <n v="2167143"/>
    <n v="1552499.9999999998"/>
    <n v="451971"/>
    <n v="0"/>
    <n v="4"/>
    <n v="46356"/>
    <n v="963639.57347644959"/>
    <n v="50"/>
    <n v="85"/>
    <n v="90"/>
    <n v="0"/>
    <n v="0"/>
    <n v="2336172"/>
    <n v="985065"/>
    <n v="1043010"/>
    <n v="0"/>
    <n v="4"/>
    <n v="46356"/>
    <n v="2646302.5210084035"/>
    <n v="40"/>
    <n v="309"/>
    <n v="58"/>
    <n v="0"/>
    <n v="0"/>
    <n v="3997687.4999999995"/>
    <n v="672162"/>
    <x v="0"/>
    <x v="0"/>
    <n v="4"/>
    <n v="46356"/>
    <n v="1705394.9579831935"/>
    <n v="40"/>
    <n v="63"/>
    <n v="48"/>
    <m/>
    <n v="0"/>
    <n v="0"/>
    <n v="730107"/>
    <n v="620999.99999999988"/>
    <x v="0"/>
    <n v="0"/>
    <n v="4"/>
    <n v="46356"/>
    <n v="1411361.3445378153"/>
    <n v="60"/>
    <n v="104"/>
    <n v="100"/>
    <m/>
    <n v="0"/>
    <n v="0"/>
    <n v="1205256"/>
    <n v="1293749.9999999998"/>
    <n v="0"/>
    <n v="0"/>
    <n v="104"/>
    <n v="46356"/>
    <n v="2940336.1344537819"/>
    <n v="35"/>
    <n v="46"/>
    <n v="42"/>
    <n v="0"/>
    <n v="0"/>
    <n v="0"/>
    <n v="533094"/>
    <n v="543374.99999999988"/>
    <n v="0"/>
    <n v="0"/>
    <n v="46"/>
    <n v="46356"/>
    <n v="1234941.1764705884"/>
    <n v="35"/>
    <n v="34"/>
    <n v="31"/>
    <n v="0"/>
    <n v="0"/>
    <n v="0"/>
    <n v="394026"/>
    <n v="401062.49999999994"/>
    <n v="0"/>
    <n v="0"/>
    <n v="34"/>
    <n v="394026"/>
    <n v="911504.20168067235"/>
    <n v="0"/>
    <n v="4"/>
    <n v="0"/>
    <n v="0"/>
    <n v="0"/>
    <n v="0"/>
    <n v="51749.999999999993"/>
    <n v="0"/>
    <n v="0"/>
    <n v="0"/>
    <n v="4"/>
    <n v="46356"/>
    <n v="0"/>
    <n v="60"/>
    <n v="4"/>
    <n v="4"/>
    <n v="0"/>
    <n v="0"/>
    <n v="0"/>
    <n v="300"/>
    <n v="51749.999999999993"/>
    <n v="51749.999999999993"/>
    <n v="0"/>
    <n v="0"/>
    <n v="4"/>
    <n v="51749.999999999993"/>
    <n v="94084.033613445383"/>
    <n v="65"/>
    <n v="0"/>
    <n v="78"/>
    <m/>
    <n v="300"/>
    <n v="301"/>
    <n v="0"/>
    <n v="1009124.9999999999"/>
    <n v="0"/>
    <n v="3894187.4999999995"/>
    <n v="301"/>
    <n v="3894187.4999999995"/>
    <n v="1834638.6554621849"/>
    <n v="120"/>
    <n v="223"/>
    <n v="144"/>
    <n v="0"/>
    <n v="0"/>
    <n v="2885062.4999999995"/>
    <n v="1862999.9999999998"/>
    <n v="0"/>
    <n v="0"/>
    <n v="223"/>
    <n v="2885062.4999999995"/>
    <n v="4234084.0336134462"/>
    <n v="39"/>
    <n v="79"/>
    <n v="46.8"/>
    <n v="0"/>
    <m/>
    <n v="1022062.4999999999"/>
    <n v="542365.19999999995"/>
    <n v="0"/>
    <n v="79"/>
    <n v="1022062.4999999999"/>
    <n v="1376077.3109243698"/>
  </r>
  <r>
    <s v="Lhotse-Equipamiento"/>
    <x v="4"/>
    <x v="18"/>
    <x v="18"/>
    <s v="LHMOPUM"/>
    <x v="261"/>
    <x v="249"/>
    <x v="0"/>
    <x v="1"/>
    <n v="1.2"/>
    <x v="168"/>
    <n v="289"/>
    <m/>
    <n v="0"/>
    <n v="12632"/>
    <n v="3650648"/>
    <n v="12.5"/>
    <n v="13656.249999999998"/>
    <n v="29403.361344537818"/>
    <n v="23521.008403361346"/>
    <s v="Shenzhen"/>
    <x v="0"/>
    <n v="60"/>
    <m/>
    <n v="300"/>
    <n v="0"/>
    <s v=""/>
    <n v="0"/>
    <s v=""/>
    <n v="0"/>
    <s v=""/>
    <n v="0"/>
    <s v=""/>
    <n v="0"/>
    <s v=""/>
    <n v="0"/>
    <s v=""/>
    <n v="0"/>
    <s v=""/>
    <n v="0"/>
    <n v="2.176049417376742E-5"/>
    <n v="4"/>
    <n v="0.52478591078667258"/>
    <n v="13"/>
    <n v="0.5215312551307435"/>
    <n v="8"/>
    <n v="0.4883307237418365"/>
    <n v="26"/>
    <n v="0.54978260700770454"/>
    <n v="13"/>
    <n v="0.29612246593484076"/>
    <n v="22"/>
    <n v="0.32953618973056181"/>
    <n v="33"/>
    <n v="0.32662463446814632"/>
    <n v="30"/>
    <n v="0.3230418817823566"/>
    <n v="1.2"/>
    <n v="24"/>
    <n v="0.50277339084768136"/>
    <n v="0.96"/>
    <n v="14"/>
    <n v="0.31489416967252548"/>
    <n v="0.28000000000000003"/>
    <n v="7"/>
    <n v="0.51133946311851675"/>
    <n v="0.2"/>
    <n v="4"/>
    <n v="0.34689943698323372"/>
    <n v="0.26666666666666666"/>
    <n v="16"/>
    <n v="0.3286911955966812"/>
    <n v="0.4"/>
    <m/>
    <m/>
    <m/>
    <m/>
    <m/>
    <m/>
    <m/>
    <m/>
    <m/>
    <n v="20"/>
    <n v="56"/>
    <n v="15"/>
    <n v="0"/>
    <n v="100"/>
    <n v="0"/>
    <n v="1023192"/>
    <n v="724499.99999999988"/>
    <n v="189480"/>
    <n v="0"/>
    <n v="289"/>
    <n v="3650648"/>
    <n v="370630.60518324981"/>
    <n v="25"/>
    <n v="137"/>
    <n v="33"/>
    <n v="0"/>
    <n v="0"/>
    <n v="0"/>
    <n v="1212672"/>
    <n v="1772437.4999999998"/>
    <n v="416856"/>
    <n v="0"/>
    <n v="289"/>
    <n v="3650648"/>
    <n v="815387.33140314964"/>
    <n v="40"/>
    <n v="109"/>
    <n v="33"/>
    <n v="0"/>
    <n v="0"/>
    <n v="1183941"/>
    <n v="1376888"/>
    <n v="416856"/>
    <n v="0"/>
    <n v="289"/>
    <n v="3650648"/>
    <n v="970310.92436974798"/>
    <n v="25"/>
    <n v="83"/>
    <n v="30"/>
    <n v="0"/>
    <n v="0"/>
    <n v="1073812.4999999998"/>
    <n v="378960"/>
    <x v="0"/>
    <x v="0"/>
    <n v="289"/>
    <n v="3650648"/>
    <n v="882100.84033613454"/>
    <n v="25"/>
    <n v="313"/>
    <n v="30"/>
    <m/>
    <n v="0"/>
    <n v="0"/>
    <n v="3953816"/>
    <n v="388124.99999999994"/>
    <x v="0"/>
    <n v="0"/>
    <n v="289"/>
    <n v="3650648"/>
    <n v="882100.84033613454"/>
    <n v="50"/>
    <n v="303"/>
    <n v="14"/>
    <m/>
    <n v="0"/>
    <n v="0"/>
    <n v="3827496"/>
    <n v="181124.99999999997"/>
    <n v="0"/>
    <n v="0"/>
    <n v="303"/>
    <n v="3650648"/>
    <n v="411647.05882352946"/>
    <n v="35"/>
    <n v="296"/>
    <n v="7"/>
    <n v="300"/>
    <n v="300"/>
    <n v="0"/>
    <n v="3739072"/>
    <n v="90562.499999999985"/>
    <n v="3751874.9999999995"/>
    <n v="0"/>
    <n v="296"/>
    <n v="3650648"/>
    <n v="205823.52941176473"/>
    <n v="15"/>
    <n v="293"/>
    <n v="4"/>
    <n v="0"/>
    <n v="0"/>
    <n v="0"/>
    <n v="3701176"/>
    <n v="51749.999999999993"/>
    <n v="0"/>
    <n v="0"/>
    <n v="293"/>
    <n v="3701176"/>
    <n v="117613.44537815127"/>
    <n v="40"/>
    <n v="305"/>
    <n v="19.5"/>
    <n v="0"/>
    <n v="0"/>
    <n v="0"/>
    <n v="3945937.4999999995"/>
    <n v="252281.24999999997"/>
    <n v="0"/>
    <n v="0"/>
    <n v="289"/>
    <n v="3650648"/>
    <n v="573365.54621848743"/>
    <n v="60"/>
    <n v="285.5"/>
    <n v="72"/>
    <n v="0"/>
    <n v="0"/>
    <n v="0"/>
    <n v="0"/>
    <n v="3693656.2499999995"/>
    <n v="931499.99999999988"/>
    <n v="0"/>
    <n v="0"/>
    <n v="285.5"/>
    <n v="3693656.2499999995"/>
    <n v="1693512.6050420168"/>
    <n v="40"/>
    <n v="213.5"/>
    <n v="48"/>
    <m/>
    <n v="0"/>
    <n v="0"/>
    <n v="2762156.2499999995"/>
    <n v="620999.99999999988"/>
    <n v="0"/>
    <n v="0"/>
    <n v="213.5"/>
    <n v="2762156.2499999995"/>
    <n v="1129008.4033613447"/>
    <n v="60"/>
    <n v="165.5"/>
    <n v="72"/>
    <n v="0"/>
    <n v="0"/>
    <n v="2141156.2499999995"/>
    <n v="931499.99999999988"/>
    <n v="0"/>
    <n v="0"/>
    <n v="165.5"/>
    <n v="2141156.2499999995"/>
    <n v="2117042.0168067231"/>
    <n v="24"/>
    <n v="93.5"/>
    <n v="28.799999999999997"/>
    <n v="0"/>
    <m/>
    <n v="1209656.2499999998"/>
    <n v="363801.59999999998"/>
    <n v="0"/>
    <n v="93.5"/>
    <n v="1209656.2499999998"/>
    <n v="846816.80672268907"/>
  </r>
  <r>
    <m/>
    <x v="4"/>
    <x v="18"/>
    <x v="18"/>
    <s v="LHMOVINOM"/>
    <x v="262"/>
    <x v="250"/>
    <x v="0"/>
    <x v="3"/>
    <n v="1"/>
    <x v="169"/>
    <n v="42"/>
    <m/>
    <n v="0"/>
    <n v="20412"/>
    <n v="857304"/>
    <n v="22"/>
    <n v="24034.999999999996"/>
    <n v="54613.445378151264"/>
    <n v="40327.731092436974"/>
    <s v="Shenzhen"/>
    <x v="0"/>
    <n v="60"/>
    <m/>
    <n v="300"/>
    <n v="0"/>
    <s v=""/>
    <n v="0"/>
    <s v=""/>
    <n v="0"/>
    <s v=""/>
    <n v="0"/>
    <s v=""/>
    <n v="0"/>
    <s v=""/>
    <n v="0"/>
    <s v=""/>
    <n v="0"/>
    <s v=""/>
    <n v="0"/>
    <s v=""/>
    <n v="3"/>
    <n v="0.53276045576602715"/>
    <n v="69"/>
    <n v="0.42055884782686664"/>
    <n v="35"/>
    <n v="0.49043192624150173"/>
    <n v="14"/>
    <n v="0.43298392226628624"/>
    <n v="7"/>
    <n v="0.37180277469035145"/>
    <n v="11"/>
    <n v="0.42593095158853062"/>
    <n v="30"/>
    <n v="0.37035426447802322"/>
    <n v="27"/>
    <n v="0.3611819419900511"/>
    <n v="0.77142857142857146"/>
    <n v="37"/>
    <n v="0.50525683116059539"/>
    <n v="1.48"/>
    <n v="159"/>
    <n v="0.3539786916095502"/>
    <n v="3.18"/>
    <n v="37"/>
    <n v="0.51113398241051711"/>
    <n v="0.82222222222222219"/>
    <n v="51"/>
    <n v="0.36241696947691804"/>
    <n v="1.4571428571428571"/>
    <n v="27"/>
    <n v="0.36624661900499178"/>
    <n v="0.77142857142857146"/>
    <m/>
    <m/>
    <m/>
    <m/>
    <m/>
    <m/>
    <m/>
    <m/>
    <m/>
    <n v="15"/>
    <n v="16"/>
    <n v="10"/>
    <n v="0"/>
    <n v="100"/>
    <n v="0"/>
    <n v="1153278"/>
    <n v="364320"/>
    <n v="204120"/>
    <n v="0"/>
    <n v="42"/>
    <n v="857304"/>
    <n v="458936.51578278374"/>
    <n v="30"/>
    <n v="367"/>
    <n v="16.5"/>
    <n v="0"/>
    <n v="0"/>
    <n v="0"/>
    <n v="1500282"/>
    <n v="8356590"/>
    <n v="336798"/>
    <n v="0"/>
    <n v="42"/>
    <n v="857304"/>
    <n v="757245.25104159315"/>
    <n v="40"/>
    <n v="350"/>
    <n v="30"/>
    <n v="0"/>
    <n v="0"/>
    <n v="1732734"/>
    <n v="7144200"/>
    <n v="612360"/>
    <n v="0"/>
    <n v="42"/>
    <n v="857304"/>
    <n v="1638403.3613445379"/>
    <n v="35"/>
    <n v="325"/>
    <n v="27"/>
    <m/>
    <n v="0"/>
    <n v="7400250"/>
    <n v="551124"/>
    <x v="0"/>
    <x v="0"/>
    <n v="42"/>
    <n v="857304"/>
    <n v="1474563.0252100842"/>
    <n v="25"/>
    <n v="79"/>
    <n v="25"/>
    <m/>
    <n v="0"/>
    <n v="0"/>
    <n v="1612548"/>
    <n v="569250"/>
    <x v="0"/>
    <n v="0"/>
    <n v="42"/>
    <n v="857304"/>
    <n v="1365336.1344537816"/>
    <n v="50"/>
    <n v="201"/>
    <n v="159"/>
    <m/>
    <n v="0"/>
    <n v="0"/>
    <n v="4102812"/>
    <n v="3620430"/>
    <n v="0"/>
    <n v="0"/>
    <n v="201"/>
    <n v="857304"/>
    <n v="8683537.8151260503"/>
    <n v="45"/>
    <n v="79"/>
    <n v="37"/>
    <n v="0"/>
    <n v="0"/>
    <n v="0"/>
    <n v="1612548"/>
    <n v="842490"/>
    <n v="0"/>
    <n v="0"/>
    <n v="79"/>
    <n v="857304"/>
    <n v="2020697.4789915967"/>
    <n v="35"/>
    <n v="93"/>
    <n v="52"/>
    <n v="0"/>
    <n v="0"/>
    <n v="0"/>
    <n v="1898316"/>
    <n v="1184040"/>
    <n v="0"/>
    <n v="0"/>
    <n v="93"/>
    <n v="1898316"/>
    <n v="2839899.1596638658"/>
    <n v="35"/>
    <n v="69"/>
    <n v="33"/>
    <n v="0"/>
    <n v="0"/>
    <n v="0"/>
    <n v="1571130"/>
    <n v="751410"/>
    <n v="0"/>
    <n v="0"/>
    <n v="42"/>
    <n v="857304"/>
    <n v="1802243.6974789917"/>
    <n v="54"/>
    <n v="36"/>
    <n v="36"/>
    <n v="0"/>
    <n v="0"/>
    <n v="0"/>
    <m/>
    <n v="819720"/>
    <n v="819720"/>
    <n v="0"/>
    <n v="0"/>
    <n v="36"/>
    <n v="819720"/>
    <n v="1451798.3193277312"/>
    <n v="0"/>
    <n v="0"/>
    <n v="0"/>
    <m/>
    <n v="0"/>
    <n v="0"/>
    <n v="0"/>
    <n v="0"/>
    <n v="0"/>
    <n v="0"/>
    <n v="0"/>
    <n v="0"/>
    <n v="0"/>
    <n v="60"/>
    <n v="0"/>
    <n v="60"/>
    <n v="300"/>
    <n v="300"/>
    <n v="0"/>
    <n v="1366200"/>
    <n v="6831000"/>
    <n v="6831000"/>
    <n v="300"/>
    <n v="6831000"/>
    <n v="3276806.7226890759"/>
    <n v="0"/>
    <n v="240"/>
    <n v="0"/>
    <n v="0"/>
    <m/>
    <n v="5464800"/>
    <n v="0"/>
    <n v="0"/>
    <n v="240"/>
    <n v="5464800"/>
    <n v="0"/>
  </r>
  <r>
    <m/>
    <x v="4"/>
    <x v="18"/>
    <x v="43"/>
    <s v="LHNECKHUM"/>
    <x v="263"/>
    <x v="251"/>
    <x v="0"/>
    <x v="3"/>
    <n v="0.9"/>
    <x v="170"/>
    <n v="492"/>
    <m/>
    <n v="0"/>
    <n v="4800"/>
    <n v="2361600"/>
    <n v="4.4000000000000004"/>
    <n v="4807"/>
    <n v="10915.966386554623"/>
    <n v="10915.966386554623"/>
    <s v="Shenzhen"/>
    <x v="0"/>
    <n v="60"/>
    <m/>
    <n v="300"/>
    <n v="18"/>
    <n v="0.65982470469673593"/>
    <n v="29"/>
    <n v="0.54886887649735883"/>
    <n v="39"/>
    <n v="0.54539214219255239"/>
    <n v="23"/>
    <n v="0.51301420074382698"/>
    <n v="41"/>
    <n v="0.40918504625787466"/>
    <n v="31"/>
    <n v="0.282577659914373"/>
    <n v="83"/>
    <n v="0.38710702668691022"/>
    <n v="74"/>
    <n v="0.48308774266497084"/>
    <n v="31"/>
    <n v="0.55890131250472797"/>
    <n v="62"/>
    <n v="0.50617614650264087"/>
    <n v="40"/>
    <n v="0.51481918565630869"/>
    <n v="17"/>
    <n v="0.53274220910506376"/>
    <n v="1"/>
    <n v="0.54714753069196431"/>
    <n v="8"/>
    <n v="-0.35274486498576396"/>
    <n v="2"/>
    <n v="0.57773287739365753"/>
    <n v="7"/>
    <n v="0.49963249815984345"/>
    <n v="0.17499999999999999"/>
    <n v="15"/>
    <n v="0.58193605151821481"/>
    <n v="0.36585365853658536"/>
    <n v="9"/>
    <n v="0.38867478941034894"/>
    <n v="0.1125"/>
    <n v="14"/>
    <n v="0.61724007303559436"/>
    <n v="0.23333333333333334"/>
    <n v="26"/>
    <n v="0.32816096717291443"/>
    <n v="1.3"/>
    <n v="23"/>
    <n v="0.35563961393174098"/>
    <n v="0.76666666666666672"/>
    <m/>
    <m/>
    <m/>
    <m/>
    <m/>
    <m/>
    <m/>
    <m/>
    <m/>
    <n v="40"/>
    <n v="1"/>
    <n v="0"/>
    <n v="300"/>
    <n v="150"/>
    <n v="0"/>
    <n v="67200"/>
    <n v="4554"/>
    <n v="0"/>
    <n v="0"/>
    <n v="492"/>
    <n v="2361600"/>
    <n v="0"/>
    <n v="0"/>
    <n v="9"/>
    <n v="12"/>
    <n v="0"/>
    <n v="0"/>
    <n v="0"/>
    <n v="100800"/>
    <n v="40986"/>
    <n v="57600"/>
    <n v="0"/>
    <n v="492"/>
    <n v="2361600"/>
    <n v="110076.9719652567"/>
    <n v="0"/>
    <n v="1"/>
    <n v="2"/>
    <n v="0"/>
    <n v="0"/>
    <n v="211242.6"/>
    <n v="4800"/>
    <n v="9600"/>
    <n v="0"/>
    <n v="492"/>
    <n v="2361600"/>
    <n v="21831.932773109245"/>
    <n v="40"/>
    <n v="287"/>
    <n v="7"/>
    <n v="0"/>
    <n v="0"/>
    <n v="1306998"/>
    <n v="33600"/>
    <x v="0"/>
    <x v="0"/>
    <n v="492"/>
    <n v="2361600"/>
    <n v="76411.764705882364"/>
    <n v="41"/>
    <n v="507"/>
    <n v="36.9"/>
    <m/>
    <n v="0"/>
    <n v="0"/>
    <n v="2433600"/>
    <n v="168042.6"/>
    <x v="0"/>
    <n v="0"/>
    <n v="492"/>
    <n v="2361600"/>
    <n v="402799.15966386558"/>
    <n v="80"/>
    <n v="501"/>
    <n v="9"/>
    <m/>
    <n v="0"/>
    <n v="0"/>
    <n v="2404800"/>
    <n v="40986"/>
    <n v="0"/>
    <n v="0"/>
    <n v="501"/>
    <n v="2361600"/>
    <n v="98243.697478991598"/>
    <n v="60"/>
    <n v="506"/>
    <n v="14"/>
    <n v="0"/>
    <n v="0"/>
    <n v="0"/>
    <n v="2428800"/>
    <n v="63756"/>
    <n v="0"/>
    <n v="0"/>
    <n v="506"/>
    <n v="2361600"/>
    <n v="152823.52941176473"/>
    <n v="20"/>
    <n v="518"/>
    <n v="26"/>
    <n v="300"/>
    <n v="300"/>
    <n v="0"/>
    <n v="2486400"/>
    <n v="118404"/>
    <n v="1366200"/>
    <n v="0"/>
    <n v="518"/>
    <n v="2486400"/>
    <n v="283815.12605042016"/>
    <n v="30"/>
    <n v="515"/>
    <n v="28.5"/>
    <n v="0"/>
    <n v="0"/>
    <n v="0"/>
    <n v="2345310"/>
    <n v="129789"/>
    <n v="0"/>
    <n v="0"/>
    <n v="492"/>
    <n v="2361600"/>
    <n v="311105.04201680672"/>
    <n v="60"/>
    <n v="486.5"/>
    <n v="54"/>
    <n v="0"/>
    <n v="0"/>
    <n v="0"/>
    <m/>
    <n v="2215521"/>
    <n v="245916"/>
    <n v="0"/>
    <n v="0"/>
    <n v="486.5"/>
    <n v="2215521"/>
    <n v="589462.18487394962"/>
    <n v="50"/>
    <n v="432.5"/>
    <n v="45"/>
    <m/>
    <n v="0"/>
    <n v="0"/>
    <n v="1969605"/>
    <n v="204930"/>
    <n v="0"/>
    <n v="0"/>
    <n v="432.5"/>
    <n v="1969605"/>
    <n v="491218.48739495804"/>
    <n v="100"/>
    <n v="387.5"/>
    <n v="90"/>
    <n v="0"/>
    <n v="0"/>
    <n v="1764675"/>
    <n v="409860"/>
    <n v="0"/>
    <n v="0"/>
    <n v="387.5"/>
    <n v="1764675"/>
    <n v="982436.97478991607"/>
    <n v="30"/>
    <n v="297.5"/>
    <n v="27"/>
    <n v="0"/>
    <m/>
    <n v="1354815"/>
    <n v="129600"/>
    <n v="0"/>
    <n v="297.5"/>
    <n v="1354815"/>
    <n v="294731.09243697481"/>
  </r>
  <r>
    <m/>
    <x v="4"/>
    <x v="18"/>
    <x v="43"/>
    <s v="LHNECKHUM"/>
    <x v="264"/>
    <x v="251"/>
    <x v="0"/>
    <x v="3"/>
    <n v="1"/>
    <x v="31"/>
    <n v="318"/>
    <m/>
    <n v="0"/>
    <n v="5056"/>
    <n v="1607808"/>
    <n v="4.4000000000000004"/>
    <n v="4807"/>
    <n v="10915.966386554623"/>
    <n v="10915.966386554623"/>
    <s v="Shenzhen"/>
    <x v="0"/>
    <n v="60"/>
    <m/>
    <n v="300"/>
    <n v="5"/>
    <n v="0.63387918091906681"/>
    <n v="6"/>
    <n v="0.52843413714164944"/>
    <n v="15"/>
    <n v="0.55283557448739096"/>
    <n v="11"/>
    <n v="0.53662425316320417"/>
    <n v="5"/>
    <n v="0.60186656343622691"/>
    <n v="18"/>
    <n v="0.54315844216827081"/>
    <n v="52"/>
    <n v="0.34784569580106978"/>
    <n v="6"/>
    <n v="0.59639338025580735"/>
    <n v="22"/>
    <n v="0.5565252674522384"/>
    <n v="28"/>
    <n v="0.49928968378943805"/>
    <n v="51"/>
    <n v="0.51152253490815225"/>
    <n v="224"/>
    <n v="0.52125056301545869"/>
    <n v="4"/>
    <n v="0.15442477298837559"/>
    <n v="21"/>
    <n v="0.44090418406898585"/>
    <n v="2"/>
    <n v="0.43197173215491647"/>
    <n v="0"/>
    <s v=""/>
    <n v="0"/>
    <n v="0"/>
    <s v=""/>
    <n v="0"/>
    <n v="0"/>
    <s v=""/>
    <n v="0"/>
    <n v="0"/>
    <s v=""/>
    <n v="0"/>
    <n v="2"/>
    <n v="0.38716677785190123"/>
    <n v="0.08"/>
    <n v="1"/>
    <n v="0.18273646448841477"/>
    <n v="0.04"/>
    <m/>
    <m/>
    <m/>
    <m/>
    <m/>
    <m/>
    <m/>
    <m/>
    <m/>
    <n v="40"/>
    <n v="45"/>
    <n v="40"/>
    <n v="0"/>
    <n v="0"/>
    <n v="0"/>
    <n v="371616"/>
    <n v="204930"/>
    <n v="202240"/>
    <n v="0"/>
    <n v="318"/>
    <n v="1607808"/>
    <n v="366923.23988418904"/>
    <n v="5"/>
    <n v="36"/>
    <n v="31.5"/>
    <n v="0"/>
    <n v="0"/>
    <n v="0"/>
    <n v="169376"/>
    <n v="163944"/>
    <n v="159264"/>
    <n v="0"/>
    <n v="318"/>
    <n v="1607808"/>
    <n v="288952.05140879884"/>
    <n v="0"/>
    <n v="15"/>
    <n v="2"/>
    <n v="0"/>
    <n v="0"/>
    <n v="101192"/>
    <n v="75840"/>
    <n v="10112"/>
    <n v="0"/>
    <n v="318"/>
    <n v="1607808"/>
    <n v="21831.932773109245"/>
    <n v="0"/>
    <n v="13"/>
    <n v="0"/>
    <n v="0"/>
    <n v="0"/>
    <n v="59202"/>
    <n v="0"/>
    <x v="0"/>
    <x v="0"/>
    <n v="318"/>
    <n v="1607808"/>
    <n v="0"/>
    <n v="20"/>
    <n v="318"/>
    <n v="20"/>
    <m/>
    <n v="0"/>
    <n v="0"/>
    <n v="1607808"/>
    <n v="91080"/>
    <x v="0"/>
    <n v="0"/>
    <n v="318"/>
    <n v="1607808"/>
    <n v="218319.32773109246"/>
    <n v="20"/>
    <n v="318"/>
    <n v="0"/>
    <m/>
    <n v="0"/>
    <n v="0"/>
    <n v="1607808"/>
    <n v="0"/>
    <n v="0"/>
    <n v="0"/>
    <n v="318"/>
    <n v="1607808"/>
    <n v="0"/>
    <n v="55"/>
    <n v="318"/>
    <n v="0"/>
    <n v="0"/>
    <n v="0"/>
    <n v="0"/>
    <n v="1607808"/>
    <n v="0"/>
    <n v="0"/>
    <n v="0"/>
    <n v="318"/>
    <n v="1607808"/>
    <n v="0"/>
    <n v="25"/>
    <n v="320"/>
    <n v="2"/>
    <n v="300"/>
    <n v="300"/>
    <n v="0"/>
    <n v="1617920"/>
    <n v="9108"/>
    <n v="1366200"/>
    <n v="0"/>
    <n v="320"/>
    <n v="1617920"/>
    <n v="21831.932773109245"/>
    <n v="25"/>
    <n v="319"/>
    <n v="0"/>
    <n v="0"/>
    <n v="0"/>
    <n v="0"/>
    <n v="1452726"/>
    <n v="0"/>
    <n v="0"/>
    <n v="0"/>
    <n v="318"/>
    <n v="1607808"/>
    <n v="0"/>
    <n v="50"/>
    <n v="319"/>
    <n v="50"/>
    <n v="0"/>
    <n v="0"/>
    <n v="0"/>
    <m/>
    <n v="1452726"/>
    <n v="227700"/>
    <n v="0"/>
    <n v="0"/>
    <n v="319"/>
    <n v="1452726"/>
    <n v="545798.31932773115"/>
    <n v="50"/>
    <n v="269"/>
    <n v="50"/>
    <m/>
    <n v="0"/>
    <n v="0"/>
    <n v="1225026"/>
    <n v="227700"/>
    <n v="0"/>
    <n v="0"/>
    <n v="269"/>
    <n v="1225026"/>
    <n v="545798.31932773115"/>
    <n v="100"/>
    <n v="219"/>
    <n v="100"/>
    <n v="0"/>
    <n v="0"/>
    <n v="997326"/>
    <n v="455400"/>
    <n v="0"/>
    <n v="0"/>
    <n v="219"/>
    <n v="997326"/>
    <n v="1091596.6386554623"/>
    <n v="30"/>
    <n v="119"/>
    <n v="30"/>
    <n v="0"/>
    <m/>
    <n v="541926"/>
    <n v="151680"/>
    <n v="0"/>
    <n v="119"/>
    <n v="541926"/>
    <n v="327478.99159663869"/>
  </r>
  <r>
    <m/>
    <x v="4"/>
    <x v="18"/>
    <x v="43"/>
    <s v="LHNECTRRIM"/>
    <x v="265"/>
    <x v="252"/>
    <x v="0"/>
    <x v="3"/>
    <n v="1.5"/>
    <x v="171"/>
    <n v="0"/>
    <m/>
    <n v="0"/>
    <n v="4057"/>
    <n v="0"/>
    <n v="4.5"/>
    <n v="4916.25"/>
    <n v="12596.638655462186"/>
    <n v="12596.638655462186"/>
    <s v="Shenzhen"/>
    <x v="0"/>
    <n v="60"/>
    <m/>
    <n v="300"/>
    <n v="0"/>
    <s v=""/>
    <n v="0"/>
    <s v=""/>
    <n v="0"/>
    <s v=""/>
    <n v="0"/>
    <s v=""/>
    <n v="0"/>
    <s v=""/>
    <n v="0"/>
    <s v=""/>
    <n v="0"/>
    <s v=""/>
    <n v="0"/>
    <n v="0"/>
    <n v="25"/>
    <n v="0.62921621553211604"/>
    <n v="53"/>
    <n v="0.59007697568455997"/>
    <n v="18"/>
    <n v="0.61458586198500287"/>
    <n v="0"/>
    <s v=""/>
    <n v="9"/>
    <n v="0.41820432284758507"/>
    <n v="43"/>
    <n v="0.20611210961150936"/>
    <n v="9"/>
    <n v="0.36596987744640314"/>
    <n v="45"/>
    <n v="0.46658990053506821"/>
    <n v="1.5"/>
    <n v="61"/>
    <n v="0.66554327091215471"/>
    <n v="2.44"/>
    <n v="89"/>
    <n v="0.34088692978727281"/>
    <n v="1.78"/>
    <n v="57"/>
    <n v="0.67057106529628141"/>
    <n v="1.425"/>
    <n v="40"/>
    <n v="0.48166104089329409"/>
    <n v="1.3333333333333333"/>
    <n v="2"/>
    <n v="0.45431430253090049"/>
    <n v="0.16666666666666666"/>
    <m/>
    <m/>
    <m/>
    <m/>
    <m/>
    <m/>
    <m/>
    <m/>
    <m/>
    <n v="15"/>
    <n v="0"/>
    <n v="10"/>
    <n v="0"/>
    <n v="50"/>
    <n v="0"/>
    <n v="338759.5"/>
    <n v="0"/>
    <n v="40570"/>
    <n v="0"/>
    <n v="0"/>
    <n v="0"/>
    <n v="105854.10634842174"/>
    <n v="30"/>
    <n v="42"/>
    <n v="64.5"/>
    <n v="300"/>
    <n v="150"/>
    <n v="0"/>
    <n v="480754.5"/>
    <n v="195615"/>
    <n v="261676.5"/>
    <n v="0"/>
    <n v="0"/>
    <n v="0"/>
    <n v="682758.98594732024"/>
    <n v="15"/>
    <n v="0"/>
    <n v="9"/>
    <n v="0"/>
    <n v="0"/>
    <n v="393734.25"/>
    <n v="0"/>
    <n v="36513"/>
    <n v="0"/>
    <n v="0"/>
    <n v="0"/>
    <n v="113369.74789915967"/>
    <n v="30"/>
    <n v="295"/>
    <n v="45"/>
    <n v="0"/>
    <n v="0"/>
    <n v="1373962.5"/>
    <n v="182565"/>
    <x v="0"/>
    <x v="0"/>
    <n v="0"/>
    <n v="0"/>
    <n v="566848.73949579836"/>
    <n v="25"/>
    <n v="61"/>
    <n v="37.5"/>
    <m/>
    <n v="0"/>
    <n v="0"/>
    <n v="247477"/>
    <n v="174656.25"/>
    <x v="0"/>
    <n v="0"/>
    <n v="0"/>
    <n v="0"/>
    <n v="472373.94957983197"/>
    <n v="50"/>
    <n v="89"/>
    <n v="89"/>
    <m/>
    <n v="0"/>
    <n v="0"/>
    <n v="361073"/>
    <n v="414517.5"/>
    <n v="0"/>
    <n v="0"/>
    <n v="89"/>
    <n v="0"/>
    <n v="1121100.8403361347"/>
    <n v="40"/>
    <n v="57"/>
    <n v="57"/>
    <n v="0"/>
    <n v="0"/>
    <n v="0"/>
    <n v="231249"/>
    <n v="265477.5"/>
    <n v="0"/>
    <n v="0"/>
    <n v="57"/>
    <n v="0"/>
    <n v="718008.40336134459"/>
    <n v="30"/>
    <n v="40"/>
    <n v="41"/>
    <n v="0"/>
    <n v="0"/>
    <n v="0"/>
    <n v="162280"/>
    <n v="190957.5"/>
    <n v="0"/>
    <n v="0"/>
    <n v="40"/>
    <n v="162280"/>
    <n v="516462.18487394962"/>
    <n v="12"/>
    <n v="2"/>
    <n v="3"/>
    <n v="0"/>
    <n v="0"/>
    <n v="0"/>
    <n v="9315"/>
    <n v="13972.5"/>
    <n v="0"/>
    <n v="0"/>
    <n v="0"/>
    <n v="0"/>
    <n v="37789.915966386558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150"/>
    <n v="0"/>
    <n v="225"/>
    <n v="300"/>
    <n v="300"/>
    <n v="0"/>
    <n v="1047937.5"/>
    <n v="1397250"/>
    <n v="1397250"/>
    <n v="300"/>
    <n v="1397250"/>
    <n v="2834243.6974789919"/>
    <n v="0"/>
    <n v="75"/>
    <n v="0"/>
    <n v="0"/>
    <m/>
    <n v="349312.5"/>
    <n v="0"/>
    <n v="0"/>
    <n v="75"/>
    <n v="349312.5"/>
    <n v="0"/>
  </r>
  <r>
    <m/>
    <x v="4"/>
    <x v="19"/>
    <x v="44"/>
    <s v="LHBIGMU-BL"/>
    <x v="266"/>
    <x v="253"/>
    <x v="0"/>
    <x v="2"/>
    <n v="1"/>
    <x v="31"/>
    <n v="5"/>
    <m/>
    <n v="0"/>
    <n v="3942"/>
    <n v="19710"/>
    <n v="4"/>
    <n v="4370"/>
    <n v="16798.319327731093"/>
    <n v="16798.319327731093"/>
    <s v="Shenzhen"/>
    <x v="0"/>
    <n v="30"/>
    <m/>
    <n v="100"/>
    <n v="22"/>
    <n v="0.72260127811973429"/>
    <n v="14"/>
    <n v="0.71688752472023642"/>
    <n v="23"/>
    <n v="0.67905519624863542"/>
    <n v="247"/>
    <n v="0.46449085446885147"/>
    <n v="8"/>
    <n v="0.6742960799092983"/>
    <n v="24"/>
    <n v="0.70321894991206058"/>
    <n v="32"/>
    <n v="0.59294096658876716"/>
    <n v="6"/>
    <n v="0.70829099889688263"/>
    <n v="4"/>
    <n v="0.74685506013069791"/>
    <n v="22"/>
    <n v="0.53838103572045759"/>
    <n v="14"/>
    <n v="0.56375536531575332"/>
    <n v="144"/>
    <n v="0.50535091889060968"/>
    <n v="36"/>
    <n v="0.23909761734406779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25"/>
    <n v="20"/>
    <n v="25"/>
    <n v="0"/>
    <n v="0"/>
    <n v="0"/>
    <n v="98550"/>
    <n v="82800"/>
    <n v="98550"/>
    <n v="0"/>
    <n v="5"/>
    <n v="19710"/>
    <n v="352905.86822964484"/>
    <n v="25"/>
    <n v="0"/>
    <n v="0"/>
    <n v="0"/>
    <n v="0"/>
    <n v="0"/>
    <n v="0"/>
    <n v="0"/>
    <n v="0"/>
    <n v="0"/>
    <n v="5"/>
    <n v="19710"/>
    <n v="0"/>
    <n v="0"/>
    <n v="-1"/>
    <n v="0"/>
    <n v="0"/>
    <n v="0"/>
    <n v="0"/>
    <n v="-3942"/>
    <n v="0"/>
    <n v="0"/>
    <n v="5"/>
    <n v="19710"/>
    <n v="0"/>
    <n v="0"/>
    <n v="4"/>
    <n v="0"/>
    <n v="0"/>
    <n v="0"/>
    <n v="16560"/>
    <n v="0"/>
    <x v="0"/>
    <x v="0"/>
    <n v="5"/>
    <n v="19710"/>
    <n v="0"/>
    <n v="0"/>
    <n v="5"/>
    <n v="0"/>
    <m/>
    <n v="0"/>
    <n v="0"/>
    <n v="19710"/>
    <n v="0"/>
    <x v="0"/>
    <n v="0"/>
    <n v="5"/>
    <n v="19710"/>
    <n v="0"/>
    <n v="0"/>
    <n v="5"/>
    <n v="0"/>
    <m/>
    <n v="0"/>
    <n v="0"/>
    <n v="19710"/>
    <n v="0"/>
    <n v="0"/>
    <n v="0"/>
    <n v="5"/>
    <n v="19710"/>
    <n v="0"/>
    <n v="0"/>
    <n v="5"/>
    <n v="0"/>
    <n v="0"/>
    <n v="0"/>
    <n v="0"/>
    <n v="19710"/>
    <n v="0"/>
    <n v="0"/>
    <n v="0"/>
    <n v="5"/>
    <n v="19710"/>
    <n v="0"/>
    <n v="0"/>
    <n v="5"/>
    <n v="0"/>
    <n v="0"/>
    <n v="0"/>
    <n v="0"/>
    <n v="19710"/>
    <n v="0"/>
    <n v="0"/>
    <n v="0"/>
    <n v="5"/>
    <n v="19710"/>
    <n v="0"/>
    <n v="0"/>
    <n v="5"/>
    <n v="0"/>
    <n v="0"/>
    <n v="0"/>
    <n v="0"/>
    <n v="20700"/>
    <n v="0"/>
    <n v="0"/>
    <n v="0"/>
    <n v="5"/>
    <n v="19710"/>
    <n v="0"/>
    <n v="0"/>
    <n v="5"/>
    <n v="0"/>
    <n v="0"/>
    <n v="0"/>
    <n v="0"/>
    <m/>
    <n v="20700"/>
    <n v="0"/>
    <n v="0"/>
    <n v="0"/>
    <n v="5"/>
    <n v="20700"/>
    <n v="0"/>
    <n v="0"/>
    <n v="5"/>
    <n v="0"/>
    <m/>
    <n v="0"/>
    <n v="0"/>
    <n v="20700"/>
    <n v="0"/>
    <n v="0"/>
    <n v="0"/>
    <n v="5"/>
    <n v="20700"/>
    <n v="0"/>
    <n v="0"/>
    <n v="5"/>
    <n v="0"/>
    <n v="0"/>
    <n v="0"/>
    <n v="20700"/>
    <n v="0"/>
    <n v="0"/>
    <n v="0"/>
    <n v="5"/>
    <n v="20700"/>
    <n v="0"/>
    <n v="0"/>
    <n v="5"/>
    <n v="0"/>
    <n v="0"/>
    <m/>
    <n v="20700"/>
    <n v="0"/>
    <n v="0"/>
    <n v="5"/>
    <n v="20700"/>
    <n v="0"/>
  </r>
  <r>
    <m/>
    <x v="4"/>
    <x v="19"/>
    <x v="44"/>
    <s v="LHBIGMU-CR"/>
    <x v="267"/>
    <x v="254"/>
    <x v="0"/>
    <x v="2"/>
    <n v="1"/>
    <x v="31"/>
    <n v="2"/>
    <m/>
    <n v="0"/>
    <n v="4038"/>
    <n v="8076"/>
    <n v="4"/>
    <n v="4370"/>
    <n v="7554.6218487394963"/>
    <n v="7554.6218487394963"/>
    <s v="Shenzhen"/>
    <x v="0"/>
    <n v="30"/>
    <m/>
    <n v="100"/>
    <n v="29"/>
    <n v="0.69395345583080792"/>
    <n v="9"/>
    <n v="0.70708255015128485"/>
    <n v="19"/>
    <n v="0.659900047791386"/>
    <n v="68"/>
    <n v="0.57403207405006462"/>
    <n v="18"/>
    <n v="0.68821300088421811"/>
    <n v="130"/>
    <n v="0.61440824602456101"/>
    <n v="19"/>
    <n v="0.58841293671647454"/>
    <n v="36"/>
    <n v="0.68579433172273874"/>
    <n v="6"/>
    <n v="0.70263983105259498"/>
    <n v="12"/>
    <n v="0.6411966171714405"/>
    <n v="15"/>
    <n v="0.61578706766763391"/>
    <n v="3"/>
    <n v="0.56281352629109671"/>
    <n v="2"/>
    <n v="0.56374243034051397"/>
    <n v="0"/>
    <s v=""/>
    <n v="0"/>
    <s v=""/>
    <n v="2"/>
    <n v="0.68784304400550333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10"/>
    <n v="3"/>
    <n v="10"/>
    <n v="0"/>
    <n v="0"/>
    <n v="0"/>
    <n v="40380"/>
    <n v="12420"/>
    <n v="40380"/>
    <n v="0"/>
    <n v="2"/>
    <n v="8076"/>
    <n v="63484.21721629829"/>
    <n v="10"/>
    <n v="1"/>
    <n v="0"/>
    <n v="0"/>
    <n v="0"/>
    <n v="0"/>
    <n v="8076"/>
    <n v="4140"/>
    <n v="0"/>
    <n v="0"/>
    <n v="2"/>
    <n v="8076"/>
    <n v="0"/>
    <n v="0"/>
    <n v="1"/>
    <n v="0"/>
    <n v="0"/>
    <n v="0"/>
    <n v="8076"/>
    <n v="4038"/>
    <n v="0"/>
    <n v="0"/>
    <n v="2"/>
    <n v="8076"/>
    <n v="0"/>
    <n v="0"/>
    <n v="4"/>
    <n v="2"/>
    <n v="0"/>
    <n v="0"/>
    <n v="16560"/>
    <n v="8076"/>
    <x v="0"/>
    <x v="0"/>
    <n v="2"/>
    <n v="8076"/>
    <n v="15109.243697478993"/>
    <n v="0"/>
    <n v="2"/>
    <n v="0"/>
    <m/>
    <n v="0"/>
    <n v="0"/>
    <n v="8076"/>
    <n v="0"/>
    <x v="0"/>
    <n v="0"/>
    <n v="2"/>
    <n v="8076"/>
    <n v="0"/>
    <n v="0"/>
    <n v="2"/>
    <n v="0"/>
    <m/>
    <n v="0"/>
    <n v="0"/>
    <n v="8076"/>
    <n v="0"/>
    <n v="0"/>
    <n v="0"/>
    <n v="2"/>
    <n v="8076"/>
    <n v="0"/>
    <n v="0"/>
    <n v="2"/>
    <n v="0"/>
    <n v="0"/>
    <n v="0"/>
    <n v="0"/>
    <n v="8076"/>
    <n v="0"/>
    <n v="0"/>
    <n v="0"/>
    <n v="2"/>
    <n v="8076"/>
    <n v="0"/>
    <n v="0"/>
    <n v="2"/>
    <n v="0"/>
    <n v="0"/>
    <n v="0"/>
    <n v="0"/>
    <n v="8076"/>
    <n v="0"/>
    <n v="0"/>
    <n v="0"/>
    <n v="2"/>
    <n v="8076"/>
    <n v="0"/>
    <n v="0"/>
    <n v="2"/>
    <n v="0"/>
    <n v="0"/>
    <n v="0"/>
    <n v="0"/>
    <n v="8280"/>
    <n v="0"/>
    <n v="0"/>
    <n v="0"/>
    <n v="2"/>
    <n v="8076"/>
    <n v="0"/>
    <n v="0"/>
    <n v="2"/>
    <n v="0"/>
    <n v="0"/>
    <n v="0"/>
    <n v="0"/>
    <m/>
    <n v="8280"/>
    <n v="0"/>
    <n v="0"/>
    <n v="0"/>
    <n v="2"/>
    <n v="8280"/>
    <n v="0"/>
    <n v="0"/>
    <n v="2"/>
    <n v="0"/>
    <m/>
    <n v="0"/>
    <n v="0"/>
    <n v="8280"/>
    <n v="0"/>
    <n v="0"/>
    <n v="0"/>
    <n v="2"/>
    <n v="8280"/>
    <n v="0"/>
    <n v="0"/>
    <n v="2"/>
    <n v="0"/>
    <n v="0"/>
    <n v="0"/>
    <n v="8280"/>
    <n v="0"/>
    <n v="0"/>
    <n v="0"/>
    <n v="2"/>
    <n v="8280"/>
    <n v="0"/>
    <n v="0"/>
    <n v="2"/>
    <n v="0"/>
    <n v="0"/>
    <m/>
    <n v="8280"/>
    <n v="0"/>
    <n v="0"/>
    <n v="2"/>
    <n v="8280"/>
    <n v="0"/>
  </r>
  <r>
    <m/>
    <x v="4"/>
    <x v="19"/>
    <x v="44"/>
    <s v="LHBIGMUN"/>
    <x v="268"/>
    <x v="255"/>
    <x v="0"/>
    <x v="3"/>
    <n v="1"/>
    <x v="172"/>
    <n v="284"/>
    <m/>
    <n v="0"/>
    <n v="3972"/>
    <n v="1128048"/>
    <n v="3.6"/>
    <n v="3932.9999999999995"/>
    <n v="10915.966386554623"/>
    <n v="10915.966386554623"/>
    <s v="Shenzhen"/>
    <x v="0"/>
    <n v="30"/>
    <m/>
    <n v="200"/>
    <n v="0"/>
    <m/>
    <n v="0"/>
    <m/>
    <n v="0"/>
    <m/>
    <n v="0"/>
    <m/>
    <n v="0"/>
    <m/>
    <n v="0"/>
    <m/>
    <n v="0"/>
    <m/>
    <n v="0"/>
    <m/>
    <n v="0"/>
    <s v=""/>
    <n v="5"/>
    <n v="0.60455417233322872"/>
    <n v="29"/>
    <n v="0.54511283483006212"/>
    <n v="166"/>
    <n v="0.51320031663640953"/>
    <n v="92"/>
    <n v="0.30963771738573137"/>
    <n v="39"/>
    <n v="0.46201691965582742"/>
    <n v="149"/>
    <n v="0.45859110294380462"/>
    <n v="35"/>
    <n v="0.53697879115114699"/>
    <n v="0.7"/>
    <n v="7"/>
    <n v="0.66266732682604801"/>
    <n v="0.15555555555555556"/>
    <n v="52"/>
    <n v="0.51386974325588408"/>
    <n v="0.65"/>
    <n v="7"/>
    <n v="0.6694235189032407"/>
    <n v="0.11666666666666667"/>
    <n v="8"/>
    <n v="0.33115234855637748"/>
    <n v="1.6"/>
    <n v="3"/>
    <n v="1.4563895304080044E-2"/>
    <n v="0.1"/>
    <m/>
    <m/>
    <m/>
    <m/>
    <m/>
    <m/>
    <m/>
    <m/>
    <m/>
    <n v="40"/>
    <n v="217"/>
    <n v="60"/>
    <n v="100"/>
    <n v="100"/>
    <n v="0"/>
    <n v="1062510"/>
    <n v="808541.99999999988"/>
    <n v="238320"/>
    <n v="0"/>
    <n v="284"/>
    <n v="1128048"/>
    <n v="550384.85982628353"/>
    <n v="50"/>
    <n v="303"/>
    <n v="58.5"/>
    <n v="0"/>
    <n v="0"/>
    <n v="0"/>
    <n v="963210"/>
    <n v="1128977.9999999998"/>
    <n v="232362"/>
    <n v="0"/>
    <n v="284"/>
    <n v="1128048"/>
    <n v="536625.23833062639"/>
    <n v="56"/>
    <n v="259"/>
    <n v="149"/>
    <n v="0"/>
    <n v="0"/>
    <n v="898518"/>
    <n v="1028748"/>
    <n v="591828"/>
    <n v="0"/>
    <n v="284"/>
    <n v="1128048"/>
    <n v="1626478.9915966387"/>
    <n v="50"/>
    <n v="118"/>
    <n v="35"/>
    <n v="0"/>
    <n v="0"/>
    <n v="439667.99999999994"/>
    <n v="139020"/>
    <x v="0"/>
    <x v="0"/>
    <n v="284"/>
    <n v="1128048"/>
    <n v="382058.82352941181"/>
    <n v="45"/>
    <n v="291"/>
    <n v="45"/>
    <m/>
    <n v="0"/>
    <n v="0"/>
    <n v="1155852"/>
    <n v="167669.99999999997"/>
    <x v="0"/>
    <n v="0"/>
    <n v="284"/>
    <n v="1128048"/>
    <n v="491218.48739495804"/>
    <n v="80"/>
    <n v="336"/>
    <n v="52"/>
    <m/>
    <n v="0"/>
    <n v="0"/>
    <n v="1334592"/>
    <n v="193751.99999999997"/>
    <n v="0"/>
    <n v="0"/>
    <n v="336"/>
    <n v="1128048"/>
    <n v="567630.25210084033"/>
    <n v="60"/>
    <n v="291"/>
    <n v="7"/>
    <n v="150"/>
    <n v="150"/>
    <n v="0"/>
    <n v="1155852"/>
    <n v="26081.999999999996"/>
    <n v="540270"/>
    <n v="0"/>
    <n v="291"/>
    <n v="1128048"/>
    <n v="76411.764705882364"/>
    <n v="5"/>
    <n v="292"/>
    <n v="8"/>
    <n v="0"/>
    <n v="0"/>
    <n v="0"/>
    <n v="1159824"/>
    <n v="29807.999999999996"/>
    <n v="0"/>
    <n v="0"/>
    <n v="292"/>
    <n v="1159824"/>
    <n v="87327.731092436981"/>
    <n v="30"/>
    <n v="287"/>
    <n v="4.5"/>
    <n v="0"/>
    <n v="0"/>
    <n v="0"/>
    <n v="1069361.9999999998"/>
    <n v="16766.999999999996"/>
    <n v="0"/>
    <n v="0"/>
    <n v="284"/>
    <n v="1128048"/>
    <n v="49121.848739495799"/>
    <n v="50"/>
    <n v="282.5"/>
    <n v="50"/>
    <n v="0"/>
    <n v="0"/>
    <n v="0"/>
    <n v="0"/>
    <n v="1052594.9999999998"/>
    <n v="186299.99999999997"/>
    <n v="0"/>
    <n v="0"/>
    <n v="282.5"/>
    <n v="1052594.9999999998"/>
    <n v="545798.31932773115"/>
    <n v="65"/>
    <n v="232.5"/>
    <n v="65"/>
    <m/>
    <n v="0"/>
    <n v="0"/>
    <n v="866294.99999999988"/>
    <n v="242189.99999999997"/>
    <n v="0"/>
    <n v="0"/>
    <n v="232.5"/>
    <n v="866294.99999999988"/>
    <n v="709537.8151260505"/>
    <n v="150"/>
    <n v="167.5"/>
    <n v="150"/>
    <n v="0"/>
    <n v="0"/>
    <n v="624104.99999999988"/>
    <n v="558899.99999999988"/>
    <n v="0"/>
    <n v="0"/>
    <n v="167.5"/>
    <n v="624104.99999999988"/>
    <n v="1637394.9579831935"/>
    <n v="39"/>
    <n v="17.5"/>
    <n v="39"/>
    <n v="0"/>
    <m/>
    <n v="65204.999999999993"/>
    <n v="154908"/>
    <n v="0"/>
    <n v="17.5"/>
    <n v="65204.999999999993"/>
    <n v="425722.68907563027"/>
  </r>
  <r>
    <m/>
    <x v="4"/>
    <x v="19"/>
    <x v="44"/>
    <s v="LHBIGMUN"/>
    <x v="269"/>
    <x v="256"/>
    <x v="0"/>
    <x v="3"/>
    <n v="1.2"/>
    <x v="173"/>
    <n v="103"/>
    <m/>
    <n v="0"/>
    <n v="4227"/>
    <n v="435381"/>
    <n v="3.6"/>
    <n v="3932.9999999999995"/>
    <n v="10915.966386554623"/>
    <n v="10915.966386554623"/>
    <s v="Ningbo"/>
    <x v="0"/>
    <n v="30"/>
    <m/>
    <n v="200"/>
    <n v="0"/>
    <m/>
    <n v="0"/>
    <m/>
    <n v="0"/>
    <m/>
    <n v="0"/>
    <m/>
    <n v="0"/>
    <m/>
    <n v="0"/>
    <m/>
    <n v="0"/>
    <m/>
    <n v="0"/>
    <m/>
    <n v="0"/>
    <s v=""/>
    <n v="7"/>
    <n v="0.62026339969372124"/>
    <n v="14"/>
    <n v="0.52172441744249187"/>
    <n v="111"/>
    <n v="0.53091183005541387"/>
    <n v="43"/>
    <n v="0.28564740078235978"/>
    <n v="9"/>
    <n v="0.44092973215309883"/>
    <n v="45"/>
    <n v="0.4240131611326719"/>
    <n v="21"/>
    <n v="0.5764101304291418"/>
    <n v="1.05"/>
    <n v="12"/>
    <n v="0.65874022598009829"/>
    <n v="0.6"/>
    <n v="47"/>
    <n v="0.50085829995686548"/>
    <n v="0.94"/>
    <n v="1"/>
    <n v="0.70398410829899938"/>
    <n v="0.02"/>
    <n v="7"/>
    <n v="0.16132452557405891"/>
    <n v="0.875"/>
    <n v="1"/>
    <s v=""/>
    <n v="4.6296296296296294E-2"/>
    <m/>
    <m/>
    <m/>
    <m/>
    <m/>
    <m/>
    <m/>
    <m/>
    <m/>
    <n v="30"/>
    <n v="138"/>
    <n v="30"/>
    <n v="150"/>
    <n v="150"/>
    <n v="0"/>
    <n v="374089.5"/>
    <n v="514187.99999999994"/>
    <n v="126810"/>
    <n v="0"/>
    <n v="103"/>
    <n v="435381"/>
    <n v="275192.42991314176"/>
    <n v="30"/>
    <n v="244"/>
    <n v="13.5"/>
    <n v="0"/>
    <n v="0"/>
    <n v="0"/>
    <n v="336046.5"/>
    <n v="909143.99999999988"/>
    <n v="57064.5"/>
    <n v="0"/>
    <n v="103"/>
    <n v="435381"/>
    <n v="123836.59346091379"/>
    <n v="40"/>
    <n v="235"/>
    <n v="45"/>
    <n v="0"/>
    <n v="0"/>
    <n v="368406"/>
    <n v="993345"/>
    <n v="190215"/>
    <n v="0"/>
    <n v="103"/>
    <n v="435381"/>
    <n v="491218.48739495804"/>
    <n v="20"/>
    <n v="185"/>
    <n v="21"/>
    <n v="0"/>
    <n v="0"/>
    <n v="689309.99999999988"/>
    <n v="88767"/>
    <x v="0"/>
    <x v="0"/>
    <n v="103"/>
    <n v="435381"/>
    <n v="229235.29411764708"/>
    <n v="20"/>
    <n v="115"/>
    <n v="24"/>
    <m/>
    <n v="0"/>
    <n v="0"/>
    <n v="486105"/>
    <n v="89423.999999999985"/>
    <x v="0"/>
    <n v="0"/>
    <n v="103"/>
    <n v="435381"/>
    <n v="261983.19327731093"/>
    <n v="50"/>
    <n v="150"/>
    <n v="47"/>
    <m/>
    <n v="0"/>
    <n v="0"/>
    <n v="634050"/>
    <n v="175121.99999999997"/>
    <n v="0"/>
    <n v="0"/>
    <n v="150"/>
    <n v="435381"/>
    <n v="513050.42016806727"/>
    <n v="50"/>
    <n v="104"/>
    <n v="1"/>
    <n v="0"/>
    <n v="0"/>
    <n v="0"/>
    <n v="439608"/>
    <n v="3725.9999999999995"/>
    <n v="0"/>
    <n v="0"/>
    <n v="104"/>
    <n v="435381"/>
    <n v="10915.966386554623"/>
    <n v="8"/>
    <n v="110"/>
    <n v="7"/>
    <n v="0"/>
    <n v="0"/>
    <n v="0"/>
    <n v="464970"/>
    <n v="26081.999999999996"/>
    <n v="0"/>
    <n v="0"/>
    <n v="110"/>
    <n v="464970"/>
    <n v="76411.764705882364"/>
    <n v="21.6"/>
    <n v="104"/>
    <n v="1.5"/>
    <n v="0"/>
    <n v="0"/>
    <n v="0"/>
    <n v="387503.99999999994"/>
    <n v="5588.9999999999991"/>
    <n v="0"/>
    <n v="0"/>
    <n v="103"/>
    <n v="435381"/>
    <n v="16373.949579831933"/>
    <n v="40"/>
    <n v="102.5"/>
    <n v="48"/>
    <n v="0"/>
    <n v="0"/>
    <n v="0"/>
    <n v="0"/>
    <n v="381914.99999999994"/>
    <n v="178847.99999999997"/>
    <n v="0"/>
    <n v="0"/>
    <n v="102.5"/>
    <n v="381914.99999999994"/>
    <n v="523966.38655462186"/>
    <n v="35"/>
    <n v="54.5"/>
    <n v="42"/>
    <m/>
    <n v="0"/>
    <n v="0"/>
    <n v="203066.99999999997"/>
    <n v="156491.99999999997"/>
    <n v="0"/>
    <n v="0"/>
    <n v="54.5"/>
    <n v="203066.99999999997"/>
    <n v="458470.58823529416"/>
    <n v="30"/>
    <n v="12.5"/>
    <n v="12.5"/>
    <n v="0"/>
    <n v="0"/>
    <n v="46574.999999999993"/>
    <n v="46574.999999999993"/>
    <n v="0"/>
    <n v="0"/>
    <n v="12.5"/>
    <n v="46574.999999999993"/>
    <n v="136449.57983193279"/>
    <n v="21"/>
    <n v="0"/>
    <n v="25.2"/>
    <n v="0"/>
    <m/>
    <n v="0"/>
    <n v="106520.4"/>
    <n v="0"/>
    <n v="0"/>
    <n v="0"/>
    <n v="275082.3529411765"/>
  </r>
  <r>
    <m/>
    <x v="4"/>
    <x v="19"/>
    <x v="44"/>
    <s v="LHBIGMUN"/>
    <x v="270"/>
    <x v="257"/>
    <x v="0"/>
    <x v="3"/>
    <n v="1.2"/>
    <x v="174"/>
    <n v="213"/>
    <m/>
    <n v="0"/>
    <n v="4184"/>
    <n v="891192"/>
    <n v="3.6"/>
    <n v="3932.9999999999995"/>
    <n v="10915.966386554623"/>
    <n v="10915.966386554623"/>
    <s v="Shenzhen"/>
    <x v="0"/>
    <n v="30"/>
    <m/>
    <n v="200"/>
    <n v="0"/>
    <m/>
    <n v="0"/>
    <m/>
    <n v="0"/>
    <m/>
    <n v="0"/>
    <m/>
    <n v="0"/>
    <m/>
    <n v="0"/>
    <m/>
    <n v="0"/>
    <m/>
    <m/>
    <m/>
    <n v="2"/>
    <n v="0.50433760564168584"/>
    <n v="4"/>
    <n v="0.62995926041993111"/>
    <n v="39"/>
    <n v="0.61016426017612613"/>
    <n v="147"/>
    <n v="0.53347835473275851"/>
    <n v="83"/>
    <n v="0.30420105877455089"/>
    <n v="17"/>
    <n v="0.40269184674600411"/>
    <n v="27"/>
    <n v="0.4375785647000448"/>
    <n v="23"/>
    <n v="0.53063670893547199"/>
    <n v="0.57499999999999996"/>
    <n v="7"/>
    <n v="0.58838029998818941"/>
    <n v="0.17499999999999999"/>
    <n v="86"/>
    <n v="0.46972857631192161"/>
    <n v="1.075"/>
    <n v="5"/>
    <n v="0.5776800717995102"/>
    <n v="0.125"/>
    <n v="6"/>
    <n v="0.5121719518989799"/>
    <n v="0.1875"/>
    <n v="4"/>
    <n v="0.13620342320261436"/>
    <n v="0.1388888888888889"/>
    <m/>
    <m/>
    <m/>
    <m/>
    <m/>
    <m/>
    <m/>
    <m/>
    <m/>
    <n v="50"/>
    <n v="351"/>
    <n v="40"/>
    <n v="100"/>
    <n v="100"/>
    <n v="0"/>
    <n v="387020"/>
    <n v="1307825.9999999998"/>
    <n v="167360"/>
    <n v="0"/>
    <n v="213"/>
    <n v="891192"/>
    <n v="366923.23988418904"/>
    <n v="40"/>
    <n v="389"/>
    <n v="25.5"/>
    <n v="0"/>
    <n v="0"/>
    <n v="0"/>
    <n v="315892"/>
    <n v="1449413.9999999998"/>
    <n v="106692"/>
    <n v="0"/>
    <n v="213"/>
    <n v="891192"/>
    <n v="233913.56542617051"/>
    <n v="56"/>
    <n v="371"/>
    <n v="27"/>
    <n v="0"/>
    <n v="0"/>
    <n v="388048"/>
    <n v="1552264"/>
    <n v="112968"/>
    <n v="0"/>
    <n v="213"/>
    <n v="891192"/>
    <n v="294731.09243697481"/>
    <n v="40"/>
    <n v="344"/>
    <n v="23"/>
    <n v="0"/>
    <n v="0"/>
    <n v="1281743.9999999998"/>
    <n v="96232"/>
    <x v="0"/>
    <x v="0"/>
    <n v="213"/>
    <n v="891192"/>
    <n v="251067.22689075631"/>
    <n v="40"/>
    <n v="220"/>
    <n v="48"/>
    <m/>
    <n v="0"/>
    <n v="0"/>
    <n v="920480"/>
    <n v="178847.99999999997"/>
    <x v="0"/>
    <n v="0"/>
    <n v="213"/>
    <n v="891192"/>
    <n v="523966.38655462186"/>
    <n v="80"/>
    <n v="299"/>
    <n v="86"/>
    <m/>
    <n v="0"/>
    <n v="0"/>
    <n v="1251016"/>
    <n v="320435.99999999994"/>
    <n v="0"/>
    <n v="0"/>
    <n v="299"/>
    <n v="891192"/>
    <n v="938773.1092436976"/>
    <n v="40"/>
    <n v="218"/>
    <n v="5"/>
    <n v="0"/>
    <n v="0"/>
    <n v="0"/>
    <n v="912112"/>
    <n v="18629.999999999996"/>
    <n v="0"/>
    <n v="0"/>
    <n v="218"/>
    <n v="891192"/>
    <n v="54579.831932773115"/>
    <n v="32"/>
    <n v="219"/>
    <n v="6"/>
    <n v="0"/>
    <n v="0"/>
    <n v="0"/>
    <n v="916296"/>
    <n v="22355.999999999996"/>
    <n v="0"/>
    <n v="0"/>
    <n v="219"/>
    <n v="916296"/>
    <n v="65495.798319327732"/>
    <n v="28.8"/>
    <n v="217"/>
    <n v="6"/>
    <n v="0"/>
    <n v="0"/>
    <n v="0"/>
    <n v="808541.99999999988"/>
    <n v="22355.999999999996"/>
    <n v="0"/>
    <n v="0"/>
    <n v="213"/>
    <n v="891192"/>
    <n v="65495.798319327732"/>
    <n v="80"/>
    <n v="211"/>
    <n v="96"/>
    <n v="0"/>
    <n v="0"/>
    <n v="0"/>
    <n v="0"/>
    <n v="786185.99999999988"/>
    <n v="357695.99999999994"/>
    <n v="0"/>
    <n v="0"/>
    <n v="211"/>
    <n v="786185.99999999988"/>
    <n v="1047932.7731092437"/>
    <n v="70"/>
    <n v="115"/>
    <n v="84"/>
    <m/>
    <n v="0"/>
    <n v="0"/>
    <n v="428489.99999999994"/>
    <n v="312983.99999999994"/>
    <n v="0"/>
    <n v="0"/>
    <n v="115"/>
    <n v="428489.99999999994"/>
    <n v="916941.17647058831"/>
    <n v="120"/>
    <n v="31"/>
    <n v="31"/>
    <n v="0"/>
    <n v="0"/>
    <n v="115505.99999999999"/>
    <n v="115505.99999999999"/>
    <n v="0"/>
    <n v="0"/>
    <n v="31"/>
    <n v="115505.99999999999"/>
    <n v="338394.95798319328"/>
    <n v="42"/>
    <n v="0"/>
    <n v="50.4"/>
    <n v="0"/>
    <m/>
    <n v="0"/>
    <n v="210873.60000000001"/>
    <n v="0"/>
    <n v="0"/>
    <n v="0"/>
    <n v="550164.70588235301"/>
  </r>
  <r>
    <m/>
    <x v="4"/>
    <x v="19"/>
    <x v="44"/>
    <s v="LHBIGMUN"/>
    <x v="271"/>
    <x v="258"/>
    <x v="0"/>
    <x v="3"/>
    <n v="1"/>
    <x v="175"/>
    <n v="199"/>
    <m/>
    <n v="0"/>
    <n v="4292"/>
    <n v="854108"/>
    <n v="3.6"/>
    <n v="3932.9999999999995"/>
    <n v="12596.638655462186"/>
    <n v="10915.966386554623"/>
    <s v="Shenzhen"/>
    <x v="0"/>
    <n v="30"/>
    <m/>
    <n v="200"/>
    <n v="0"/>
    <m/>
    <n v="0"/>
    <m/>
    <n v="0"/>
    <m/>
    <n v="0"/>
    <m/>
    <n v="0"/>
    <m/>
    <n v="0"/>
    <m/>
    <n v="0"/>
    <m/>
    <n v="0"/>
    <m/>
    <n v="1"/>
    <n v="0.69877551020408168"/>
    <n v="7"/>
    <n v="0.59221638274737221"/>
    <n v="19"/>
    <n v="0.57198077938965419"/>
    <n v="98"/>
    <n v="0.52799090820923333"/>
    <n v="66"/>
    <n v="0.32579512407053168"/>
    <n v="11"/>
    <n v="0.54037864109817102"/>
    <n v="20"/>
    <n v="0.40654282811845804"/>
    <n v="15"/>
    <n v="0.4926713238226389"/>
    <n v="0.5"/>
    <n v="9"/>
    <n v="0.60690274796233423"/>
    <n v="0.3"/>
    <n v="41"/>
    <n v="0.49215873510289376"/>
    <n v="0.82"/>
    <n v="1"/>
    <n v="0.48886486486486491"/>
    <n v="3.3333333333333333E-2"/>
    <n v="3"/>
    <n v="-0.27975717144763174"/>
    <n v="0.125"/>
    <n v="6"/>
    <n v="0.36378862335348749"/>
    <n v="0.27777777777777773"/>
    <m/>
    <m/>
    <m/>
    <m/>
    <m/>
    <m/>
    <m/>
    <m/>
    <m/>
    <n v="40"/>
    <n v="370"/>
    <n v="30"/>
    <n v="0"/>
    <n v="0"/>
    <n v="0"/>
    <n v="285418"/>
    <n v="1378619.9999999998"/>
    <n v="128760"/>
    <n v="0"/>
    <n v="199"/>
    <n v="854108"/>
    <n v="317562.31904526521"/>
    <n v="40"/>
    <n v="311"/>
    <n v="16.5"/>
    <n v="0"/>
    <n v="0"/>
    <n v="0"/>
    <n v="221038"/>
    <n v="1158785.9999999998"/>
    <n v="70818"/>
    <n v="0"/>
    <n v="199"/>
    <n v="854108"/>
    <n v="174659.27547489587"/>
    <n v="48"/>
    <n v="299"/>
    <n v="20"/>
    <n v="0"/>
    <n v="0"/>
    <n v="262000"/>
    <n v="1283308"/>
    <n v="85840"/>
    <n v="0"/>
    <n v="199"/>
    <n v="854108"/>
    <n v="251932.77310924372"/>
    <n v="30"/>
    <n v="279"/>
    <n v="15"/>
    <n v="0"/>
    <n v="0"/>
    <n v="1039553.9999999999"/>
    <n v="64380"/>
    <x v="0"/>
    <x v="0"/>
    <n v="199"/>
    <n v="854108"/>
    <n v="188949.57983193279"/>
    <n v="30"/>
    <n v="208"/>
    <n v="30"/>
    <m/>
    <n v="0"/>
    <n v="0"/>
    <n v="892736"/>
    <n v="111779.99999999999"/>
    <x v="0"/>
    <n v="0"/>
    <n v="199"/>
    <n v="854108"/>
    <n v="377899.15966386558"/>
    <n v="50"/>
    <n v="240"/>
    <n v="41"/>
    <m/>
    <n v="0"/>
    <n v="0"/>
    <n v="1030080"/>
    <n v="152765.99999999997"/>
    <n v="0"/>
    <n v="0"/>
    <n v="240"/>
    <n v="854108"/>
    <n v="516462.18487394962"/>
    <n v="30"/>
    <n v="200"/>
    <n v="1"/>
    <n v="0"/>
    <n v="0"/>
    <n v="0"/>
    <n v="858400"/>
    <n v="3725.9999999999995"/>
    <n v="0"/>
    <n v="0"/>
    <n v="200"/>
    <n v="854108"/>
    <n v="12596.638655462186"/>
    <n v="24"/>
    <n v="202"/>
    <n v="3"/>
    <n v="0"/>
    <n v="0"/>
    <n v="0"/>
    <n v="866984"/>
    <n v="11177.999999999998"/>
    <n v="0"/>
    <n v="0"/>
    <n v="202"/>
    <n v="866984"/>
    <n v="37789.915966386558"/>
    <n v="21.6"/>
    <n v="205"/>
    <n v="9"/>
    <n v="0"/>
    <n v="0"/>
    <n v="0"/>
    <n v="763829.99999999988"/>
    <n v="33533.999999999993"/>
    <n v="0"/>
    <n v="0"/>
    <n v="199"/>
    <n v="854108"/>
    <n v="113369.74789915967"/>
    <n v="50"/>
    <n v="196"/>
    <n v="50"/>
    <n v="0"/>
    <n v="0"/>
    <n v="0"/>
    <m/>
    <n v="730295.99999999988"/>
    <n v="186299.99999999997"/>
    <n v="0"/>
    <n v="0"/>
    <n v="196"/>
    <n v="730295.99999999988"/>
    <n v="545798.31932773115"/>
    <n v="45"/>
    <n v="146"/>
    <n v="45"/>
    <m/>
    <n v="0"/>
    <n v="0"/>
    <n v="543995.99999999988"/>
    <n v="167669.99999999997"/>
    <n v="0"/>
    <n v="0"/>
    <n v="146"/>
    <n v="543995.99999999988"/>
    <n v="491218.48739495804"/>
    <n v="80"/>
    <n v="101"/>
    <n v="80"/>
    <n v="0"/>
    <n v="0"/>
    <n v="376325.99999999994"/>
    <n v="298079.99999999994"/>
    <n v="0"/>
    <n v="0"/>
    <n v="101"/>
    <n v="376325.99999999994"/>
    <n v="1007731.0924369749"/>
    <n v="27"/>
    <n v="21"/>
    <n v="27"/>
    <n v="0"/>
    <m/>
    <n v="78245.999999999985"/>
    <n v="115884"/>
    <n v="0"/>
    <n v="21"/>
    <n v="78245.999999999985"/>
    <n v="340109.24369747902"/>
  </r>
  <r>
    <m/>
    <x v="4"/>
    <x v="19"/>
    <x v="44"/>
    <s v="LHBIGMUN"/>
    <x v="272"/>
    <x v="259"/>
    <x v="0"/>
    <x v="3"/>
    <n v="1"/>
    <x v="176"/>
    <n v="424"/>
    <m/>
    <n v="0"/>
    <n v="4212"/>
    <n v="1785888"/>
    <n v="3.6"/>
    <n v="3932.9999999999995"/>
    <n v="10915.966386554623"/>
    <n v="10915.966386554623"/>
    <s v="Shenzhen"/>
    <x v="0"/>
    <n v="30"/>
    <m/>
    <n v="200"/>
    <n v="0"/>
    <m/>
    <n v="0"/>
    <m/>
    <n v="0"/>
    <m/>
    <n v="0"/>
    <m/>
    <n v="0"/>
    <m/>
    <n v="0"/>
    <m/>
    <n v="0"/>
    <m/>
    <n v="0"/>
    <m/>
    <n v="0"/>
    <s v=""/>
    <n v="10"/>
    <n v="0.63458412074898707"/>
    <n v="20"/>
    <n v="0.56194907887320045"/>
    <n v="168"/>
    <n v="0.53055151933734479"/>
    <n v="84"/>
    <n v="0.3054067716583454"/>
    <n v="18"/>
    <n v="0.43747283225766148"/>
    <n v="33"/>
    <n v="0.46441530740625836"/>
    <n v="23"/>
    <n v="0.58569840596145273"/>
    <n v="0.51111111111111107"/>
    <n v="6"/>
    <n v="0.66369503728464896"/>
    <n v="0.15"/>
    <n v="66"/>
    <n v="0.5181822876507941"/>
    <n v="0.66"/>
    <n v="4"/>
    <n v="0.71737077226606527"/>
    <n v="0.05"/>
    <n v="5"/>
    <n v="0.41150572016603071"/>
    <n v="0.15625"/>
    <n v="4"/>
    <n v="0.20806890943085202"/>
    <n v="0.1388888888888889"/>
    <m/>
    <m/>
    <m/>
    <m/>
    <m/>
    <m/>
    <m/>
    <m/>
    <m/>
    <n v="50"/>
    <n v="448"/>
    <n v="40"/>
    <n v="200"/>
    <n v="200"/>
    <n v="0"/>
    <n v="421200"/>
    <n v="1669247.9999999998"/>
    <n v="168480"/>
    <n v="0"/>
    <n v="424"/>
    <n v="1785888"/>
    <n v="366923.23988418904"/>
    <n v="50"/>
    <n v="590"/>
    <n v="27"/>
    <n v="0"/>
    <n v="0"/>
    <n v="0"/>
    <n v="349596"/>
    <n v="2198339.9999999995"/>
    <n v="113724"/>
    <n v="0"/>
    <n v="424"/>
    <n v="1785888"/>
    <n v="247673.18692182758"/>
    <n v="80"/>
    <n v="570"/>
    <n v="33"/>
    <n v="0"/>
    <n v="0"/>
    <n v="384912"/>
    <n v="2400840"/>
    <n v="138996"/>
    <n v="0"/>
    <n v="424"/>
    <n v="1785888"/>
    <n v="360226.89075630257"/>
    <n v="45"/>
    <n v="536"/>
    <n v="23"/>
    <n v="0"/>
    <n v="0"/>
    <n v="1997135.9999999998"/>
    <n v="96876"/>
    <x v="0"/>
    <x v="0"/>
    <n v="424"/>
    <n v="1785888"/>
    <n v="251067.22689075631"/>
    <n v="40"/>
    <n v="430"/>
    <n v="40"/>
    <m/>
    <n v="0"/>
    <n v="0"/>
    <n v="1811160"/>
    <n v="149039.99999999997"/>
    <x v="0"/>
    <n v="0"/>
    <n v="424"/>
    <n v="1785888"/>
    <n v="436638.65546218492"/>
    <n v="100"/>
    <n v="490"/>
    <n v="66"/>
    <m/>
    <n v="0"/>
    <n v="0"/>
    <n v="2063880"/>
    <n v="245915.99999999997"/>
    <n v="0"/>
    <n v="0"/>
    <n v="490"/>
    <n v="1785888"/>
    <n v="720453.78151260514"/>
    <n v="80"/>
    <n v="428"/>
    <n v="4"/>
    <n v="0"/>
    <n v="0"/>
    <n v="0"/>
    <n v="1802736"/>
    <n v="14903.999999999998"/>
    <n v="0"/>
    <n v="0"/>
    <n v="428"/>
    <n v="1785888"/>
    <n v="43663.865546218491"/>
    <n v="32"/>
    <n v="429"/>
    <n v="5"/>
    <n v="0"/>
    <n v="0"/>
    <n v="0"/>
    <n v="1806948"/>
    <n v="18629.999999999996"/>
    <n v="0"/>
    <n v="0"/>
    <n v="429"/>
    <n v="1806948"/>
    <n v="54579.831932773115"/>
    <n v="28.8"/>
    <n v="428"/>
    <n v="3"/>
    <n v="0"/>
    <n v="0"/>
    <n v="0"/>
    <n v="1594727.9999999998"/>
    <n v="11177.999999999998"/>
    <n v="0"/>
    <n v="0"/>
    <n v="424"/>
    <n v="1785888"/>
    <n v="32747.899159663866"/>
    <n v="120"/>
    <n v="425"/>
    <n v="120"/>
    <n v="0"/>
    <n v="0"/>
    <n v="0"/>
    <m/>
    <n v="1583549.9999999998"/>
    <n v="447119.99999999994"/>
    <n v="0"/>
    <n v="0"/>
    <n v="425"/>
    <n v="1583549.9999999998"/>
    <n v="1309915.9663865548"/>
    <n v="100"/>
    <n v="305"/>
    <n v="100"/>
    <m/>
    <n v="0"/>
    <n v="0"/>
    <n v="1136429.9999999998"/>
    <n v="372599.99999999994"/>
    <n v="0"/>
    <n v="0"/>
    <n v="305"/>
    <n v="1136429.9999999998"/>
    <n v="1091596.6386554623"/>
    <n v="150"/>
    <n v="205"/>
    <n v="150"/>
    <n v="0"/>
    <n v="0"/>
    <n v="763829.99999999988"/>
    <n v="558899.99999999988"/>
    <n v="0"/>
    <n v="0"/>
    <n v="205"/>
    <n v="763829.99999999988"/>
    <n v="1637394.9579831935"/>
    <n v="60"/>
    <n v="55"/>
    <n v="60"/>
    <n v="0"/>
    <m/>
    <n v="204929.99999999997"/>
    <n v="252720"/>
    <n v="0"/>
    <n v="55"/>
    <n v="204929.99999999997"/>
    <n v="654957.98319327738"/>
  </r>
  <r>
    <m/>
    <x v="4"/>
    <x v="19"/>
    <x v="44"/>
    <s v="LHBIGMUN"/>
    <x v="273"/>
    <x v="260"/>
    <x v="0"/>
    <x v="3"/>
    <n v="1"/>
    <x v="177"/>
    <n v="249"/>
    <m/>
    <n v="0"/>
    <n v="3970"/>
    <n v="988530"/>
    <n v="3.3"/>
    <n v="3605.2499999999995"/>
    <n v="10915.966386554623"/>
    <n v="10915.966386554623"/>
    <s v="Shenzhen"/>
    <x v="0"/>
    <n v="30"/>
    <m/>
    <n v="200"/>
    <n v="0"/>
    <m/>
    <n v="0"/>
    <m/>
    <n v="0"/>
    <m/>
    <n v="0"/>
    <m/>
    <n v="0"/>
    <m/>
    <n v="0"/>
    <m/>
    <n v="0"/>
    <m/>
    <n v="0"/>
    <m/>
    <n v="2"/>
    <n v="0.70704765684426363"/>
    <n v="12"/>
    <n v="0.62206392171474889"/>
    <n v="27"/>
    <n v="0.55290995500386531"/>
    <n v="193"/>
    <n v="0.52159483761264447"/>
    <n v="62"/>
    <n v="0.29209409868250358"/>
    <n v="26"/>
    <n v="0.38934648126079818"/>
    <n v="63"/>
    <n v="0.40334044736492702"/>
    <n v="20"/>
    <n v="0.57822883994050001"/>
    <n v="0.66666666666666663"/>
    <n v="7"/>
    <n v="0.68993027965700005"/>
    <n v="0.23333333333333334"/>
    <n v="29"/>
    <n v="0.48315561441695787"/>
    <n v="0.41428571428571431"/>
    <n v="8"/>
    <n v="0.67010874907839757"/>
    <n v="0.26666666666666666"/>
    <n v="5"/>
    <n v="0.42952043003726498"/>
    <n v="0.10416666666666667"/>
    <n v="11"/>
    <n v="0.41634660454854616"/>
    <n v="0.25462962962962959"/>
    <m/>
    <m/>
    <m/>
    <m/>
    <m/>
    <m/>
    <m/>
    <m/>
    <m/>
    <n v="50"/>
    <n v="98"/>
    <n v="60"/>
    <n v="100"/>
    <n v="100"/>
    <n v="0"/>
    <n v="643140"/>
    <n v="334718.99999999994"/>
    <n v="238200"/>
    <n v="0"/>
    <n v="249"/>
    <n v="988530"/>
    <n v="550384.85982628353"/>
    <n v="45"/>
    <n v="169"/>
    <n v="39"/>
    <n v="0"/>
    <n v="0"/>
    <n v="0"/>
    <n v="484340"/>
    <n v="577219.49999999988"/>
    <n v="154830"/>
    <n v="0"/>
    <n v="249"/>
    <n v="988530"/>
    <n v="357750.15888708428"/>
    <n v="72"/>
    <n v="135"/>
    <n v="63"/>
    <n v="0"/>
    <n v="0"/>
    <n v="431975"/>
    <n v="535950"/>
    <n v="250110"/>
    <n v="0"/>
    <n v="249"/>
    <n v="988530"/>
    <n v="687705.8823529412"/>
    <n v="30"/>
    <n v="77"/>
    <n v="20"/>
    <n v="0"/>
    <n v="0"/>
    <n v="262993.49999999994"/>
    <n v="79400"/>
    <x v="0"/>
    <x v="0"/>
    <n v="249"/>
    <n v="988530"/>
    <n v="218319.32773109246"/>
    <n v="30"/>
    <n v="256"/>
    <n v="30"/>
    <m/>
    <n v="0"/>
    <n v="0"/>
    <n v="1016320"/>
    <n v="102464.99999999999"/>
    <x v="0"/>
    <n v="0"/>
    <n v="249"/>
    <n v="988530"/>
    <n v="327478.99159663869"/>
    <n v="70"/>
    <n v="278"/>
    <n v="29"/>
    <m/>
    <n v="0"/>
    <n v="0"/>
    <n v="1103660"/>
    <n v="99049.499999999985"/>
    <n v="0"/>
    <n v="0"/>
    <n v="278"/>
    <n v="988530"/>
    <n v="316563.02521008404"/>
    <n v="30"/>
    <n v="257"/>
    <n v="8"/>
    <n v="150"/>
    <n v="150"/>
    <n v="0"/>
    <n v="1020290"/>
    <n v="27323.999999999996"/>
    <n v="495247.49999999994"/>
    <n v="0"/>
    <n v="257"/>
    <n v="988530"/>
    <n v="87327.731092436981"/>
    <n v="48"/>
    <n v="254"/>
    <n v="5"/>
    <n v="0"/>
    <n v="0"/>
    <n v="0"/>
    <n v="1008380"/>
    <n v="17077.499999999996"/>
    <n v="0"/>
    <n v="0"/>
    <n v="254"/>
    <n v="1008380"/>
    <n v="54579.831932773115"/>
    <n v="43.2"/>
    <n v="260"/>
    <n v="15"/>
    <n v="0"/>
    <n v="0"/>
    <n v="0"/>
    <n v="888029.99999999988"/>
    <n v="51232.499999999993"/>
    <n v="0"/>
    <n v="0"/>
    <n v="249"/>
    <n v="988530"/>
    <n v="163739.49579831935"/>
    <n v="70"/>
    <n v="245"/>
    <n v="70"/>
    <n v="0"/>
    <n v="0"/>
    <n v="0"/>
    <n v="0"/>
    <n v="836797.49999999988"/>
    <n v="239084.99999999997"/>
    <n v="0"/>
    <n v="0"/>
    <n v="245"/>
    <n v="836797.49999999988"/>
    <n v="764117.64705882361"/>
    <n v="60"/>
    <n v="175"/>
    <n v="60"/>
    <m/>
    <n v="0"/>
    <n v="0"/>
    <n v="597712.49999999988"/>
    <n v="204929.99999999997"/>
    <n v="0"/>
    <n v="0"/>
    <n v="175"/>
    <n v="597712.49999999988"/>
    <n v="654957.98319327738"/>
    <n v="150"/>
    <n v="115"/>
    <n v="115"/>
    <n v="0"/>
    <n v="0"/>
    <n v="392782.49999999994"/>
    <n v="392782.49999999994"/>
    <n v="0"/>
    <n v="0"/>
    <n v="115"/>
    <n v="392782.49999999994"/>
    <n v="1255336.1344537816"/>
    <n v="36"/>
    <n v="0"/>
    <n v="36"/>
    <n v="0"/>
    <m/>
    <n v="0"/>
    <n v="142920"/>
    <n v="0"/>
    <n v="0"/>
    <n v="0"/>
    <n v="392974.78991596639"/>
  </r>
  <r>
    <m/>
    <x v="4"/>
    <x v="19"/>
    <x v="44"/>
    <s v="LHBIGMU-PK"/>
    <x v="274"/>
    <x v="261"/>
    <x v="0"/>
    <x v="2"/>
    <n v="1"/>
    <x v="31"/>
    <n v="2"/>
    <m/>
    <n v="0"/>
    <n v="4034"/>
    <n v="8068"/>
    <n v="4"/>
    <n v="4370"/>
    <n v="16798.319327731093"/>
    <n v="16798.319327731093"/>
    <s v="Shenzhen"/>
    <x v="0"/>
    <n v="30"/>
    <m/>
    <n v="100"/>
    <n v="51"/>
    <n v="0.75647248110191245"/>
    <n v="67"/>
    <n v="0.71030745007318741"/>
    <n v="65"/>
    <n v="0.67403076418630425"/>
    <n v="158"/>
    <n v="0.50027466275192878"/>
    <n v="45"/>
    <n v="0.710932739442516"/>
    <n v="83"/>
    <n v="0.68277986824604686"/>
    <n v="43"/>
    <n v="0.63710021622184421"/>
    <n v="17"/>
    <n v="0.7585940890664743"/>
    <n v="9"/>
    <n v="0.72619933374783963"/>
    <n v="29"/>
    <n v="0.57296819836333401"/>
    <n v="1"/>
    <n v="0.65694361765456244"/>
    <n v="3"/>
    <n v="0.63982142857142854"/>
    <n v="2"/>
    <n v="0.56334903152442817"/>
    <n v="0"/>
    <s v=""/>
    <n v="1"/>
    <n v="0.75985239604345423"/>
    <n v="1"/>
    <n v="0.68814261879496308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10"/>
    <n v="11"/>
    <n v="10"/>
    <n v="0"/>
    <n v="0"/>
    <n v="0"/>
    <n v="44374"/>
    <n v="45540"/>
    <n v="40340"/>
    <n v="0"/>
    <n v="2"/>
    <n v="8068"/>
    <n v="141162.34729185794"/>
    <n v="10"/>
    <n v="7"/>
    <n v="0"/>
    <n v="0"/>
    <n v="0"/>
    <n v="0"/>
    <n v="8068"/>
    <n v="28980"/>
    <n v="0"/>
    <n v="0"/>
    <n v="2"/>
    <n v="8068"/>
    <n v="0"/>
    <n v="0"/>
    <n v="6"/>
    <n v="1"/>
    <n v="0"/>
    <n v="0"/>
    <n v="8068"/>
    <n v="24204"/>
    <n v="4034"/>
    <n v="0"/>
    <n v="2"/>
    <n v="8068"/>
    <n v="16798.319327731093"/>
    <n v="0"/>
    <n v="8"/>
    <n v="1"/>
    <n v="0"/>
    <n v="0"/>
    <n v="33120"/>
    <n v="4034"/>
    <x v="0"/>
    <x v="0"/>
    <n v="2"/>
    <n v="8068"/>
    <n v="16798.319327731093"/>
    <n v="0"/>
    <n v="2"/>
    <n v="0"/>
    <m/>
    <n v="0"/>
    <n v="0"/>
    <n v="8068"/>
    <n v="0"/>
    <x v="0"/>
    <n v="0"/>
    <n v="2"/>
    <n v="8068"/>
    <n v="0"/>
    <n v="0"/>
    <n v="2"/>
    <n v="0"/>
    <m/>
    <n v="0"/>
    <n v="0"/>
    <n v="8068"/>
    <n v="0"/>
    <n v="0"/>
    <n v="0"/>
    <n v="2"/>
    <n v="8068"/>
    <n v="0"/>
    <n v="0"/>
    <n v="2"/>
    <n v="0"/>
    <n v="0"/>
    <n v="0"/>
    <n v="0"/>
    <n v="8068"/>
    <n v="0"/>
    <n v="0"/>
    <n v="0"/>
    <n v="2"/>
    <n v="8068"/>
    <n v="0"/>
    <n v="0"/>
    <n v="2"/>
    <n v="0"/>
    <n v="0"/>
    <n v="0"/>
    <n v="0"/>
    <n v="8068"/>
    <n v="0"/>
    <n v="0"/>
    <n v="0"/>
    <n v="2"/>
    <n v="8068"/>
    <n v="0"/>
    <n v="0"/>
    <n v="2"/>
    <n v="0"/>
    <n v="0"/>
    <n v="0"/>
    <n v="0"/>
    <n v="8280"/>
    <n v="0"/>
    <n v="0"/>
    <n v="0"/>
    <n v="2"/>
    <n v="8068"/>
    <n v="0"/>
    <n v="0"/>
    <n v="2"/>
    <n v="0"/>
    <n v="0"/>
    <n v="0"/>
    <n v="0"/>
    <m/>
    <n v="8280"/>
    <n v="0"/>
    <n v="0"/>
    <n v="0"/>
    <n v="2"/>
    <n v="8280"/>
    <n v="0"/>
    <n v="0"/>
    <n v="2"/>
    <n v="0"/>
    <m/>
    <n v="0"/>
    <n v="0"/>
    <n v="8280"/>
    <n v="0"/>
    <n v="0"/>
    <n v="0"/>
    <n v="2"/>
    <n v="8280"/>
    <n v="0"/>
    <n v="0"/>
    <n v="2"/>
    <n v="0"/>
    <n v="0"/>
    <n v="0"/>
    <n v="8280"/>
    <n v="0"/>
    <n v="0"/>
    <n v="0"/>
    <n v="2"/>
    <n v="8280"/>
    <n v="0"/>
    <n v="0"/>
    <n v="2"/>
    <n v="0"/>
    <n v="0"/>
    <m/>
    <n v="8280"/>
    <n v="0"/>
    <n v="0"/>
    <n v="2"/>
    <n v="8280"/>
    <n v="0"/>
  </r>
  <r>
    <m/>
    <x v="4"/>
    <x v="19"/>
    <x v="44"/>
    <s v="LHBOADV"/>
    <x v="275"/>
    <x v="262"/>
    <x v="0"/>
    <x v="3"/>
    <n v="1"/>
    <x v="178"/>
    <n v="51"/>
    <m/>
    <n v="0"/>
    <n v="3087"/>
    <n v="157437"/>
    <n v="2.6"/>
    <n v="2840.5"/>
    <n v="8394.957983193277"/>
    <n v="9235.2941176470595"/>
    <s v="Shenzhen"/>
    <x v="0"/>
    <n v="30"/>
    <m/>
    <n v="100"/>
    <n v="29"/>
    <n v="0.67583767624875468"/>
    <n v="31"/>
    <n v="0.69392404992859269"/>
    <n v="15"/>
    <n v="0.69863568907802664"/>
    <n v="23"/>
    <n v="0.68214087419348668"/>
    <n v="25"/>
    <n v="0.68662375385869034"/>
    <n v="30"/>
    <n v="0.69316713485395409"/>
    <n v="28"/>
    <n v="0.64698736941030255"/>
    <n v="98"/>
    <n v="0.60142144236842732"/>
    <n v="6"/>
    <n v="0.64638680637650392"/>
    <n v="47"/>
    <n v="0.59654194673163341"/>
    <n v="130"/>
    <n v="0.57403681753289792"/>
    <n v="103"/>
    <n v="0.61386382459213895"/>
    <n v="29"/>
    <n v="0.53344802126256508"/>
    <n v="23"/>
    <n v="0.53688690827442909"/>
    <n v="53"/>
    <n v="0.51327882576120121"/>
    <n v="48"/>
    <n v="0.5932776937011992"/>
    <n v="1.3714285714285714"/>
    <n v="21"/>
    <n v="0.63579207173700325"/>
    <n v="0.42"/>
    <n v="69"/>
    <n v="0.51813859831789955"/>
    <n v="0.53076923076923077"/>
    <n v="16"/>
    <n v="0.55112183369907963"/>
    <n v="0.53333333333333333"/>
    <n v="153"/>
    <n v="0.38588882457442009"/>
    <n v="3.06"/>
    <n v="82"/>
    <n v="0.3993654824586364"/>
    <n v="2.0499999999999998"/>
    <m/>
    <m/>
    <m/>
    <m/>
    <m/>
    <m/>
    <m/>
    <m/>
    <m/>
    <n v="40"/>
    <n v="35"/>
    <n v="35"/>
    <n v="100"/>
    <n v="100"/>
    <n v="0"/>
    <n v="378157.5"/>
    <n v="94185"/>
    <n v="108045"/>
    <n v="0"/>
    <n v="51"/>
    <n v="157437"/>
    <n v="246910.52891744935"/>
    <n v="30"/>
    <n v="128"/>
    <n v="34.5"/>
    <n v="0"/>
    <n v="0"/>
    <n v="0"/>
    <n v="418288.5"/>
    <n v="344448"/>
    <n v="106501.5"/>
    <n v="0"/>
    <n v="51"/>
    <n v="157437"/>
    <n v="243383.23564720005"/>
    <n v="80"/>
    <n v="96"/>
    <n v="53"/>
    <n v="0"/>
    <n v="0"/>
    <n v="446337"/>
    <n v="296352"/>
    <n v="163611"/>
    <n v="0"/>
    <n v="51"/>
    <n v="157437"/>
    <n v="444932.77310924366"/>
    <n v="35"/>
    <n v="198"/>
    <n v="48"/>
    <n v="150"/>
    <n v="0"/>
    <n v="532818"/>
    <n v="148176"/>
    <x v="52"/>
    <x v="0"/>
    <n v="51"/>
    <n v="157437"/>
    <n v="402957.98319327726"/>
    <n v="50"/>
    <n v="72"/>
    <n v="50"/>
    <m/>
    <n v="0"/>
    <n v="0"/>
    <n v="222264"/>
    <n v="134550"/>
    <x v="0"/>
    <n v="0"/>
    <n v="51"/>
    <n v="157437"/>
    <n v="419747.89915966382"/>
    <n v="130"/>
    <n v="120"/>
    <n v="69"/>
    <m/>
    <n v="0"/>
    <n v="0"/>
    <n v="370440"/>
    <n v="185679"/>
    <n v="0"/>
    <n v="0"/>
    <n v="120"/>
    <n v="157437"/>
    <n v="579252.10084033606"/>
    <n v="30"/>
    <n v="67"/>
    <n v="16"/>
    <n v="100"/>
    <n v="100"/>
    <n v="0"/>
    <n v="206829"/>
    <n v="43056"/>
    <n v="260129.99999999997"/>
    <n v="0"/>
    <n v="67"/>
    <n v="157437"/>
    <n v="134319.32773109243"/>
    <n v="50"/>
    <n v="204"/>
    <n v="158"/>
    <n v="100"/>
    <n v="100"/>
    <n v="0"/>
    <n v="629748"/>
    <n v="425178"/>
    <n v="269100"/>
    <n v="0"/>
    <n v="204"/>
    <n v="629748"/>
    <n v="1326403.3613445377"/>
    <n v="40"/>
    <n v="133"/>
    <n v="108"/>
    <n v="0"/>
    <n v="0"/>
    <n v="0"/>
    <n v="357903"/>
    <n v="290628"/>
    <n v="0"/>
    <n v="0"/>
    <n v="51"/>
    <n v="157437"/>
    <n v="906655.46218487388"/>
    <n v="50"/>
    <n v="25"/>
    <n v="25"/>
    <n v="0"/>
    <n v="0"/>
    <n v="0"/>
    <m/>
    <n v="67275"/>
    <n v="67275"/>
    <n v="0"/>
    <n v="0"/>
    <n v="25"/>
    <n v="67275"/>
    <n v="230882.35294117648"/>
    <n v="60"/>
    <n v="0"/>
    <n v="0"/>
    <m/>
    <n v="0"/>
    <n v="0"/>
    <n v="0"/>
    <n v="0"/>
    <n v="0"/>
    <n v="0"/>
    <n v="0"/>
    <n v="0"/>
    <n v="0"/>
    <n v="90"/>
    <n v="0"/>
    <n v="0"/>
    <n v="0"/>
    <n v="0"/>
    <n v="0"/>
    <n v="0"/>
    <n v="0"/>
    <n v="0"/>
    <n v="0"/>
    <n v="0"/>
    <n v="0"/>
    <n v="36"/>
    <n v="0"/>
    <n v="36"/>
    <n v="0"/>
    <m/>
    <n v="0"/>
    <n v="111132"/>
    <n v="0"/>
    <n v="0"/>
    <n v="0"/>
    <n v="302218.48739495798"/>
  </r>
  <r>
    <m/>
    <x v="4"/>
    <x v="19"/>
    <x v="44"/>
    <s v="LHBOADV"/>
    <x v="276"/>
    <x v="263"/>
    <x v="0"/>
    <x v="3"/>
    <n v="1"/>
    <x v="179"/>
    <n v="81"/>
    <m/>
    <n v="0"/>
    <n v="3435"/>
    <n v="278235"/>
    <n v="2.6"/>
    <n v="2840.5"/>
    <n v="8394.957983193277"/>
    <n v="9235.2941176470595"/>
    <s v="Shenzhen"/>
    <x v="0"/>
    <n v="30"/>
    <m/>
    <n v="100"/>
    <n v="26"/>
    <n v="0.71287817369080975"/>
    <n v="3"/>
    <n v="0.74602341743422562"/>
    <n v="8"/>
    <n v="0.70381244267466048"/>
    <n v="16"/>
    <n v="0.70609394423725813"/>
    <n v="20"/>
    <n v="0.69554938365146257"/>
    <n v="15"/>
    <n v="0.70778542877692763"/>
    <n v="33"/>
    <n v="0.60670316729850826"/>
    <n v="9"/>
    <n v="0.6914129710529594"/>
    <n v="3"/>
    <n v="0.66899256089977444"/>
    <n v="22"/>
    <n v="0.60963447297177609"/>
    <n v="41"/>
    <n v="0.5770036866824908"/>
    <n v="142"/>
    <n v="0.57333820594646179"/>
    <n v="42"/>
    <n v="0.43213774146501832"/>
    <n v="48"/>
    <n v="0.47565346352643023"/>
    <n v="84"/>
    <n v="0.54373210836490449"/>
    <n v="42"/>
    <n v="0.54370579758293569"/>
    <n v="1.68"/>
    <n v="16"/>
    <n v="0.68494985472453751"/>
    <n v="0.4"/>
    <n v="20"/>
    <n v="0.57806505092974669"/>
    <n v="0.4"/>
    <n v="11"/>
    <n v="0.68664513308707398"/>
    <n v="0.26190476190476192"/>
    <n v="27"/>
    <n v="0.39211789378240169"/>
    <n v="0.77142857142857146"/>
    <n v="17"/>
    <n v="0.32094572347380113"/>
    <n v="0.68"/>
    <m/>
    <m/>
    <m/>
    <m/>
    <m/>
    <m/>
    <m/>
    <m/>
    <m/>
    <n v="35"/>
    <n v="74"/>
    <n v="60"/>
    <n v="100"/>
    <n v="127"/>
    <n v="0"/>
    <n v="741960"/>
    <n v="199134"/>
    <n v="206100"/>
    <n v="0"/>
    <n v="81"/>
    <n v="278235"/>
    <n v="423275.19242991315"/>
    <n v="30"/>
    <n v="145"/>
    <n v="72"/>
    <n v="0"/>
    <n v="0"/>
    <n v="0"/>
    <n v="680130"/>
    <n v="390195"/>
    <n v="247320"/>
    <n v="0"/>
    <n v="81"/>
    <n v="278235"/>
    <n v="507930.23091589578"/>
    <n v="45"/>
    <n v="165"/>
    <n v="84"/>
    <n v="0"/>
    <n v="0"/>
    <n v="540450"/>
    <n v="566775"/>
    <n v="288540"/>
    <n v="0"/>
    <n v="81"/>
    <n v="278235"/>
    <n v="705176.4705882353"/>
    <n v="25"/>
    <n v="106"/>
    <n v="42"/>
    <n v="0"/>
    <n v="0"/>
    <n v="285246"/>
    <n v="144270"/>
    <x v="0"/>
    <x v="0"/>
    <n v="81"/>
    <n v="278235"/>
    <n v="352588.23529411765"/>
    <n v="40"/>
    <n v="97"/>
    <n v="40"/>
    <m/>
    <n v="0"/>
    <n v="0"/>
    <n v="333195"/>
    <n v="107640"/>
    <x v="0"/>
    <n v="0"/>
    <n v="81"/>
    <n v="278235"/>
    <n v="335798.31932773109"/>
    <n v="50"/>
    <n v="101"/>
    <n v="20"/>
    <m/>
    <n v="0"/>
    <n v="0"/>
    <n v="346935"/>
    <n v="53820"/>
    <n v="0"/>
    <n v="0"/>
    <n v="101"/>
    <n v="278235"/>
    <n v="167899.15966386555"/>
    <n v="42"/>
    <n v="92"/>
    <n v="11"/>
    <n v="0"/>
    <n v="0"/>
    <n v="0"/>
    <n v="316020"/>
    <n v="29601"/>
    <n v="0"/>
    <n v="0"/>
    <n v="92"/>
    <n v="278235"/>
    <n v="92344.537815126052"/>
    <n v="35"/>
    <n v="108"/>
    <n v="27"/>
    <n v="100"/>
    <n v="100"/>
    <n v="0"/>
    <n v="370980"/>
    <n v="72657"/>
    <n v="269100"/>
    <n v="0"/>
    <n v="108"/>
    <n v="370980"/>
    <n v="226663.86554621847"/>
    <n v="25"/>
    <n v="98"/>
    <n v="13.5"/>
    <n v="0"/>
    <n v="0"/>
    <n v="0"/>
    <n v="263718"/>
    <n v="36328.5"/>
    <n v="0"/>
    <n v="0"/>
    <n v="81"/>
    <n v="278235"/>
    <n v="113331.93277310923"/>
    <n v="35"/>
    <n v="84.5"/>
    <n v="35"/>
    <n v="0"/>
    <n v="0"/>
    <n v="0"/>
    <m/>
    <n v="227389.5"/>
    <n v="94185"/>
    <n v="0"/>
    <n v="0"/>
    <n v="84.5"/>
    <n v="227389.5"/>
    <n v="323235.29411764711"/>
    <n v="0"/>
    <n v="49.5"/>
    <n v="0"/>
    <m/>
    <n v="0"/>
    <n v="100"/>
    <n v="133204.5"/>
    <n v="0"/>
    <n v="0"/>
    <n v="269100"/>
    <n v="149.5"/>
    <n v="402304.5"/>
    <n v="0"/>
    <n v="5"/>
    <n v="149.5"/>
    <n v="5"/>
    <n v="0"/>
    <n v="0"/>
    <n v="402304.5"/>
    <n v="13455"/>
    <n v="0"/>
    <n v="0"/>
    <n v="149.5"/>
    <n v="402304.5"/>
    <n v="41974.789915966387"/>
    <n v="0"/>
    <n v="144.5"/>
    <n v="0"/>
    <n v="0"/>
    <m/>
    <n v="388849.5"/>
    <n v="0"/>
    <n v="0"/>
    <n v="144.5"/>
    <n v="388849.5"/>
    <n v="0"/>
  </r>
  <r>
    <m/>
    <x v="4"/>
    <x v="19"/>
    <x v="44"/>
    <s v="LHBOADV"/>
    <x v="277"/>
    <x v="264"/>
    <x v="0"/>
    <x v="3"/>
    <n v="1"/>
    <x v="180"/>
    <n v="42"/>
    <m/>
    <n v="0"/>
    <n v="3279"/>
    <n v="137718"/>
    <n v="2.6"/>
    <n v="2840.5"/>
    <n v="8394.957983193277"/>
    <n v="9235.2941176470595"/>
    <s v="Shenzhen"/>
    <x v="0"/>
    <n v="30"/>
    <m/>
    <n v="100"/>
    <n v="35"/>
    <n v="0.69413916455013169"/>
    <n v="29"/>
    <n v="0.68389881278175257"/>
    <n v="49"/>
    <n v="0.7088535259295331"/>
    <n v="15"/>
    <n v="0.6770439224252589"/>
    <n v="37"/>
    <n v="0.69111022068329964"/>
    <n v="22"/>
    <n v="0.70959954888675481"/>
    <n v="36"/>
    <n v="0.61541250763214173"/>
    <n v="11"/>
    <n v="0.6925913383036012"/>
    <n v="9"/>
    <n v="0.65656294474880084"/>
    <n v="26"/>
    <n v="0.61811367467959277"/>
    <n v="101"/>
    <n v="0.59337674637121751"/>
    <n v="71"/>
    <n v="0.5774281838217814"/>
    <n v="22"/>
    <n v="0.53048026302429041"/>
    <n v="17"/>
    <n v="0.56754270870632617"/>
    <n v="66"/>
    <n v="0.55924288898328733"/>
    <n v="160"/>
    <n v="0.58508707559583606"/>
    <n v="4.5714285714285712"/>
    <n v="20"/>
    <n v="0.68332797069565054"/>
    <n v="0.5"/>
    <n v="14"/>
    <n v="0.58805261042599177"/>
    <n v="0.14000000000000001"/>
    <n v="19"/>
    <n v="0.63850108575639009"/>
    <n v="0.86363636363636365"/>
    <n v="107"/>
    <n v="0.35730646087835893"/>
    <n v="5.35"/>
    <n v="15"/>
    <n v="0.47159929371870501"/>
    <n v="0.6"/>
    <m/>
    <m/>
    <m/>
    <m/>
    <m/>
    <m/>
    <m/>
    <m/>
    <m/>
    <n v="45"/>
    <n v="21"/>
    <n v="30"/>
    <n v="100"/>
    <n v="100"/>
    <n v="0"/>
    <n v="398398.5"/>
    <n v="56511"/>
    <n v="98370"/>
    <n v="0"/>
    <n v="42"/>
    <n v="137718"/>
    <n v="211637.59621495657"/>
    <n v="40"/>
    <n v="114"/>
    <n v="25.5"/>
    <n v="100"/>
    <n v="100"/>
    <n v="0"/>
    <n v="824668.5"/>
    <n v="306774"/>
    <n v="83614.5"/>
    <n v="0"/>
    <n v="42"/>
    <n v="137718"/>
    <n v="179891.9567827131"/>
    <n v="50"/>
    <n v="108"/>
    <n v="66"/>
    <n v="0"/>
    <n v="0"/>
    <n v="848694"/>
    <n v="354132"/>
    <n v="216414"/>
    <n v="0"/>
    <n v="42"/>
    <n v="137718"/>
    <n v="554067.22689075628"/>
    <n v="35"/>
    <n v="235"/>
    <n v="160"/>
    <n v="100"/>
    <n v="0"/>
    <n v="632385"/>
    <n v="524640"/>
    <x v="53"/>
    <x v="0"/>
    <n v="42"/>
    <n v="137718"/>
    <n v="1343193.2773109244"/>
    <n v="40"/>
    <n v="62"/>
    <n v="40"/>
    <m/>
    <n v="0"/>
    <n v="0"/>
    <n v="203298"/>
    <n v="107640"/>
    <x v="0"/>
    <n v="0"/>
    <n v="42"/>
    <n v="137718"/>
    <n v="335798.31932773109"/>
    <n v="100"/>
    <n v="56"/>
    <n v="14"/>
    <m/>
    <n v="0"/>
    <n v="0"/>
    <n v="183624"/>
    <n v="37674"/>
    <n v="0"/>
    <n v="0"/>
    <n v="56"/>
    <n v="137718"/>
    <n v="117529.41176470587"/>
    <n v="22"/>
    <n v="61"/>
    <n v="19"/>
    <n v="0"/>
    <n v="0"/>
    <n v="0"/>
    <n v="200019"/>
    <n v="51129"/>
    <n v="0"/>
    <n v="0"/>
    <n v="61"/>
    <n v="137718"/>
    <n v="159504.20168067227"/>
    <n v="20"/>
    <n v="149"/>
    <n v="110"/>
    <n v="100"/>
    <n v="100"/>
    <n v="0"/>
    <n v="488571"/>
    <n v="296010"/>
    <n v="269100"/>
    <n v="0"/>
    <n v="149"/>
    <n v="488571"/>
    <n v="923445.37815126043"/>
    <n v="25"/>
    <n v="57"/>
    <n v="10.5"/>
    <n v="0"/>
    <n v="0"/>
    <n v="0"/>
    <n v="153387"/>
    <n v="28255.5"/>
    <n v="0"/>
    <n v="0"/>
    <n v="42"/>
    <n v="137718"/>
    <n v="88147.058823529413"/>
    <n v="50"/>
    <n v="46.5"/>
    <n v="46.5"/>
    <n v="0"/>
    <n v="0"/>
    <n v="0"/>
    <m/>
    <n v="125131.5"/>
    <n v="125131.5"/>
    <n v="0"/>
    <n v="0"/>
    <n v="46.5"/>
    <n v="125131.5"/>
    <n v="429441.17647058825"/>
    <n v="31"/>
    <n v="0"/>
    <n v="0"/>
    <m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18.599999999999998"/>
    <n v="0"/>
    <n v="18.599999999999998"/>
    <n v="0"/>
    <m/>
    <n v="0"/>
    <n v="60989.399999999994"/>
    <n v="0"/>
    <n v="0"/>
    <n v="0"/>
    <n v="156146.21848739494"/>
  </r>
  <r>
    <m/>
    <x v="4"/>
    <x v="19"/>
    <x v="44"/>
    <s v="LHBOADV"/>
    <x v="278"/>
    <x v="265"/>
    <x v="0"/>
    <x v="3"/>
    <n v="1"/>
    <x v="181"/>
    <n v="142"/>
    <m/>
    <n v="0"/>
    <n v="3218"/>
    <n v="456956"/>
    <n v="2.6"/>
    <n v="2840.5"/>
    <n v="8394.957983193277"/>
    <n v="9235.2941176470595"/>
    <s v="Shenzhen"/>
    <x v="0"/>
    <n v="30"/>
    <m/>
    <n v="100"/>
    <n v="51"/>
    <n v="0.71665311844442792"/>
    <n v="34"/>
    <n v="0.71907201050638569"/>
    <n v="25"/>
    <n v="0.71528048155026447"/>
    <n v="59"/>
    <n v="0.61774453901143489"/>
    <n v="18"/>
    <n v="0.69132119924835889"/>
    <n v="29"/>
    <n v="0.69886920575302336"/>
    <n v="27"/>
    <n v="0.65488561861227645"/>
    <n v="14"/>
    <n v="0.70442255687597688"/>
    <n v="13"/>
    <n v="0.69242021224245309"/>
    <n v="49"/>
    <n v="0.58590969537418902"/>
    <n v="153"/>
    <n v="0.57922316085417702"/>
    <n v="89"/>
    <n v="0.5945409337343216"/>
    <n v="16"/>
    <n v="0.57150407318151319"/>
    <n v="30"/>
    <n v="0.53894178664798975"/>
    <n v="61"/>
    <n v="0.53164990927019917"/>
    <n v="40"/>
    <n v="0.59930485496600516"/>
    <n v="1"/>
    <n v="19"/>
    <n v="0.66660859656073246"/>
    <n v="0.54285714285714282"/>
    <n v="24"/>
    <n v="0.59226006285118293"/>
    <n v="0.2"/>
    <n v="16"/>
    <n v="0.56350602316081078"/>
    <n v="1.0666666666666667"/>
    <n v="18"/>
    <n v="0.39262185516317805"/>
    <n v="0.54545454545454541"/>
    <n v="56"/>
    <n v="0.36819383510978787"/>
    <n v="1.6"/>
    <m/>
    <m/>
    <m/>
    <m/>
    <m/>
    <m/>
    <m/>
    <m/>
    <m/>
    <n v="40"/>
    <n v="1"/>
    <n v="5"/>
    <n v="100"/>
    <n v="100"/>
    <n v="0"/>
    <n v="357198"/>
    <n v="2691"/>
    <n v="16090"/>
    <n v="0"/>
    <n v="142"/>
    <n v="456956"/>
    <n v="35272.932702492762"/>
    <n v="35"/>
    <n v="111"/>
    <n v="45"/>
    <n v="0"/>
    <n v="0"/>
    <n v="0"/>
    <n v="469828"/>
    <n v="298701"/>
    <n v="144810"/>
    <n v="0"/>
    <n v="142"/>
    <n v="456956"/>
    <n v="317456.39432243485"/>
    <n v="40"/>
    <n v="71"/>
    <n v="61"/>
    <n v="0"/>
    <n v="0"/>
    <n v="419203"/>
    <n v="228478"/>
    <n v="196298"/>
    <n v="0"/>
    <n v="142"/>
    <n v="456956"/>
    <n v="512092.43697478989"/>
    <n v="40"/>
    <n v="180"/>
    <n v="40"/>
    <n v="150"/>
    <n v="0"/>
    <n v="484380"/>
    <n v="128720"/>
    <x v="52"/>
    <x v="0"/>
    <n v="142"/>
    <n v="456956"/>
    <n v="335798.31932773109"/>
    <n v="35"/>
    <n v="161"/>
    <n v="35"/>
    <m/>
    <n v="0"/>
    <n v="0"/>
    <n v="518098"/>
    <n v="94185"/>
    <x v="0"/>
    <n v="0"/>
    <n v="142"/>
    <n v="456956"/>
    <n v="293823.5294117647"/>
    <n v="120"/>
    <n v="166"/>
    <n v="24"/>
    <m/>
    <n v="0"/>
    <n v="0"/>
    <n v="534188"/>
    <n v="64584"/>
    <n v="0"/>
    <n v="0"/>
    <n v="166"/>
    <n v="456956"/>
    <n v="201478.99159663863"/>
    <n v="15"/>
    <n v="158"/>
    <n v="16"/>
    <n v="0"/>
    <n v="0"/>
    <n v="0"/>
    <n v="508444"/>
    <n v="43056"/>
    <n v="0"/>
    <n v="0"/>
    <n v="158"/>
    <n v="456956"/>
    <n v="134319.32773109243"/>
    <n v="33"/>
    <n v="160"/>
    <n v="18"/>
    <n v="100"/>
    <n v="100"/>
    <n v="0"/>
    <n v="514880"/>
    <n v="48438"/>
    <n v="269100"/>
    <n v="0"/>
    <n v="160"/>
    <n v="514880"/>
    <n v="151109.24369747899"/>
    <n v="35"/>
    <n v="198"/>
    <n v="12"/>
    <n v="0"/>
    <n v="0"/>
    <n v="0"/>
    <n v="532818"/>
    <n v="32292"/>
    <n v="0"/>
    <n v="0"/>
    <n v="142"/>
    <n v="456956"/>
    <n v="100739.49579831932"/>
    <n v="40"/>
    <n v="186"/>
    <n v="40"/>
    <n v="0"/>
    <n v="0"/>
    <n v="0"/>
    <m/>
    <n v="500526"/>
    <n v="107640"/>
    <n v="0"/>
    <n v="0"/>
    <n v="186"/>
    <n v="500526"/>
    <n v="369411.76470588241"/>
    <n v="56"/>
    <n v="146"/>
    <n v="56"/>
    <m/>
    <n v="0"/>
    <n v="75"/>
    <n v="392886"/>
    <n v="150696"/>
    <n v="0"/>
    <n v="201825"/>
    <n v="221"/>
    <n v="594711"/>
    <n v="517176.4705882353"/>
    <n v="20"/>
    <n v="165"/>
    <n v="20"/>
    <n v="0"/>
    <n v="0"/>
    <n v="444015"/>
    <n v="53820"/>
    <n v="0"/>
    <n v="0"/>
    <n v="165"/>
    <n v="444015"/>
    <n v="167899.15966386555"/>
    <n v="33.6"/>
    <n v="145"/>
    <n v="33.6"/>
    <n v="0"/>
    <m/>
    <n v="390195"/>
    <n v="108124.8"/>
    <n v="0"/>
    <n v="145"/>
    <n v="390195"/>
    <n v="282070.5882352941"/>
  </r>
  <r>
    <m/>
    <x v="4"/>
    <x v="19"/>
    <x v="44"/>
    <s v="LHBOHY95"/>
    <x v="279"/>
    <x v="266"/>
    <x v="0"/>
    <x v="2"/>
    <n v="1"/>
    <x v="31"/>
    <n v="4"/>
    <m/>
    <n v="0"/>
    <n v="4684"/>
    <n v="18736"/>
    <n v="4"/>
    <n v="4370"/>
    <n v="12596.638655462186"/>
    <n v="8394.957983193277"/>
    <s v="Shenzhen"/>
    <x v="0"/>
    <n v="30"/>
    <m/>
    <n v="100"/>
    <n v="15"/>
    <n v="0.63264991711664997"/>
    <n v="20"/>
    <n v="0.66613211694877994"/>
    <n v="33"/>
    <n v="0.63580811224575662"/>
    <n v="43"/>
    <n v="0.59831464056858708"/>
    <n v="25"/>
    <n v="0.62149724252917782"/>
    <n v="39"/>
    <n v="0.55713203572457959"/>
    <n v="30"/>
    <n v="0.50633378613492952"/>
    <n v="17"/>
    <n v="0.59450807177607379"/>
    <n v="18"/>
    <n v="0.57787798992796147"/>
    <n v="14"/>
    <n v="0.52954101932184283"/>
    <n v="6"/>
    <n v="0.57905458031274337"/>
    <n v="3"/>
    <n v="0.46881378997505102"/>
    <n v="2"/>
    <n v="0.45547547603508587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0"/>
    <n v="6"/>
    <n v="0"/>
    <n v="0"/>
    <n v="0"/>
    <n v="0"/>
    <n v="0"/>
    <n v="24840"/>
    <n v="0"/>
    <n v="0"/>
    <n v="4"/>
    <n v="18736"/>
    <n v="0"/>
    <n v="0"/>
    <n v="4"/>
    <n v="0"/>
    <n v="0"/>
    <n v="0"/>
    <n v="0"/>
    <n v="0"/>
    <n v="16560"/>
    <n v="0"/>
    <n v="0"/>
    <n v="4"/>
    <n v="18736"/>
    <n v="0"/>
    <n v="0"/>
    <n v="4"/>
    <n v="0"/>
    <n v="0"/>
    <n v="0"/>
    <n v="0"/>
    <n v="18736"/>
    <n v="0"/>
    <n v="0"/>
    <n v="4"/>
    <n v="18736"/>
    <n v="0"/>
    <n v="0"/>
    <n v="4"/>
    <n v="0"/>
    <n v="0"/>
    <n v="0"/>
    <n v="16560"/>
    <n v="0"/>
    <x v="0"/>
    <x v="0"/>
    <n v="4"/>
    <n v="18736"/>
    <n v="0"/>
    <n v="0"/>
    <n v="4"/>
    <n v="0"/>
    <m/>
    <n v="0"/>
    <n v="0"/>
    <n v="18736"/>
    <n v="0"/>
    <x v="0"/>
    <n v="0"/>
    <n v="4"/>
    <n v="18736"/>
    <n v="0"/>
    <n v="0"/>
    <n v="4"/>
    <n v="0"/>
    <m/>
    <n v="0"/>
    <n v="0"/>
    <n v="18736"/>
    <n v="0"/>
    <n v="0"/>
    <n v="0"/>
    <n v="4"/>
    <n v="18736"/>
    <n v="0"/>
    <n v="0"/>
    <n v="4"/>
    <n v="0"/>
    <n v="0"/>
    <n v="0"/>
    <n v="0"/>
    <n v="18736"/>
    <n v="0"/>
    <n v="0"/>
    <n v="0"/>
    <n v="4"/>
    <n v="18736"/>
    <n v="0"/>
    <n v="0"/>
    <n v="4"/>
    <n v="0"/>
    <n v="0"/>
    <n v="0"/>
    <n v="0"/>
    <n v="18736"/>
    <n v="0"/>
    <n v="0"/>
    <n v="0"/>
    <n v="4"/>
    <n v="18736"/>
    <n v="0"/>
    <n v="0"/>
    <n v="4"/>
    <n v="0"/>
    <n v="0"/>
    <n v="0"/>
    <n v="0"/>
    <n v="16560"/>
    <n v="0"/>
    <n v="0"/>
    <n v="0"/>
    <n v="4"/>
    <n v="18736"/>
    <n v="0"/>
    <n v="0"/>
    <n v="4"/>
    <n v="0"/>
    <n v="0"/>
    <n v="0"/>
    <n v="0"/>
    <m/>
    <n v="16560"/>
    <n v="0"/>
    <n v="0"/>
    <n v="0"/>
    <n v="4"/>
    <n v="16560"/>
    <n v="0"/>
    <n v="0"/>
    <n v="4"/>
    <n v="0"/>
    <m/>
    <n v="0"/>
    <n v="0"/>
    <n v="16560"/>
    <n v="0"/>
    <n v="0"/>
    <n v="0"/>
    <n v="4"/>
    <n v="16560"/>
    <n v="0"/>
    <n v="0"/>
    <n v="4"/>
    <n v="0"/>
    <n v="0"/>
    <n v="0"/>
    <n v="16560"/>
    <n v="0"/>
    <n v="0"/>
    <n v="0"/>
    <n v="4"/>
    <n v="16560"/>
    <n v="0"/>
    <n v="0"/>
    <n v="4"/>
    <n v="0"/>
    <n v="0"/>
    <m/>
    <n v="16560"/>
    <n v="0"/>
    <n v="0"/>
    <n v="4"/>
    <n v="16560"/>
    <n v="0"/>
  </r>
  <r>
    <m/>
    <x v="4"/>
    <x v="19"/>
    <x v="44"/>
    <s v="LHBOHY95"/>
    <x v="280"/>
    <x v="267"/>
    <x v="0"/>
    <x v="2"/>
    <n v="1"/>
    <x v="31"/>
    <n v="0"/>
    <m/>
    <n v="0"/>
    <n v="4758"/>
    <n v="0"/>
    <n v="4"/>
    <n v="4370"/>
    <n v="11016.806722689076"/>
    <n v="9364.2857142857138"/>
    <s v="Shenzhen"/>
    <x v="0"/>
    <n v="30"/>
    <m/>
    <n v="100"/>
    <n v="52"/>
    <n v="0.61220485242743738"/>
    <n v="44"/>
    <n v="0.64192284997757854"/>
    <n v="14"/>
    <n v="0.6476060360629442"/>
    <n v="0"/>
    <n v="0.64761133603238863"/>
    <n v="2"/>
    <n v="0.58979215913652383"/>
    <n v="49"/>
    <n v="0.55691713946781551"/>
    <n v="35"/>
    <n v="0.50179450314687912"/>
    <n v="15"/>
    <n v="0.58835788615072804"/>
    <n v="8"/>
    <n v="0.57668405191107952"/>
    <n v="16"/>
    <n v="0.5518238653087657"/>
    <n v="16"/>
    <n v="0.55991901265969135"/>
    <n v="21"/>
    <n v="0.49318505483016567"/>
    <n v="2"/>
    <n v="0.22580523949339787"/>
    <n v="1"/>
    <n v="0.43323407636758876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0"/>
    <n v="2"/>
    <n v="0"/>
    <n v="0"/>
    <n v="0"/>
    <n v="0"/>
    <n v="7137"/>
    <n v="8280"/>
    <n v="0"/>
    <n v="0"/>
    <n v="0"/>
    <n v="0"/>
    <n v="0"/>
    <n v="0"/>
    <n v="2"/>
    <n v="1.5"/>
    <n v="0"/>
    <n v="0"/>
    <n v="0"/>
    <n v="7137"/>
    <n v="8280"/>
    <n v="7137"/>
    <n v="0"/>
    <n v="0"/>
    <n v="0"/>
    <n v="13886.7311630534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19"/>
    <x v="44"/>
    <s v="LHBOHYCO"/>
    <x v="281"/>
    <x v="268"/>
    <x v="0"/>
    <x v="3"/>
    <n v="1"/>
    <x v="182"/>
    <n v="2"/>
    <m/>
    <n v="0"/>
    <n v="5234"/>
    <n v="10468"/>
    <n v="5.15"/>
    <n v="5626.375"/>
    <n v="12596.638655462186"/>
    <n v="12596.638655462186"/>
    <s v="Ningbo"/>
    <x v="0"/>
    <n v="30"/>
    <m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8"/>
    <n v="0.50169131572321535"/>
    <n v="111"/>
    <n v="0.35713544137076042"/>
    <n v="28"/>
    <n v="0.48592475280252129"/>
    <n v="28"/>
    <n v="0.45344486504596182"/>
    <n v="64"/>
    <n v="0.42431369318053269"/>
    <n v="35"/>
    <n v="0.51009572124266633"/>
    <n v="0.7"/>
    <n v="44"/>
    <n v="0.50381342788322003"/>
    <n v="0.88"/>
    <n v="24"/>
    <n v="0.49201854724357541"/>
    <n v="0.24"/>
    <n v="10"/>
    <n v="0.43937087579709283"/>
    <n v="0.25"/>
    <n v="2"/>
    <n v="0.35385938501142877"/>
    <n v="0.05"/>
    <n v="-2"/>
    <n v="0.58452101400933953"/>
    <n v="-0.05"/>
    <m/>
    <m/>
    <m/>
    <m/>
    <m/>
    <m/>
    <m/>
    <m/>
    <m/>
    <n v="30"/>
    <n v="64"/>
    <n v="20"/>
    <n v="0"/>
    <n v="200"/>
    <n v="0"/>
    <n v="659484"/>
    <n v="341136"/>
    <n v="104680"/>
    <n v="0"/>
    <n v="2"/>
    <n v="10468"/>
    <n v="211708.21269684349"/>
    <n v="30"/>
    <n v="310"/>
    <n v="42"/>
    <n v="0"/>
    <n v="0"/>
    <n v="0"/>
    <n v="737994"/>
    <n v="1652377.5"/>
    <n v="219828"/>
    <n v="0"/>
    <n v="2"/>
    <n v="10468"/>
    <n v="444587.24666337128"/>
    <n v="90"/>
    <n v="271"/>
    <n v="64"/>
    <n v="0"/>
    <n v="0"/>
    <n v="784678.5"/>
    <n v="1418414"/>
    <n v="334976"/>
    <n v="0"/>
    <n v="2"/>
    <n v="10468"/>
    <n v="806184.87394957989"/>
    <n v="50"/>
    <n v="118"/>
    <n v="35"/>
    <n v="0"/>
    <n v="0"/>
    <n v="628969.5"/>
    <n v="183190"/>
    <x v="0"/>
    <x v="0"/>
    <n v="2"/>
    <n v="10468"/>
    <n v="440882.3529411765"/>
    <n v="50"/>
    <n v="46"/>
    <n v="50"/>
    <m/>
    <n v="0"/>
    <n v="0"/>
    <n v="240764"/>
    <n v="266512.5"/>
    <x v="0"/>
    <n v="0"/>
    <n v="2"/>
    <n v="10468"/>
    <n v="629831.93277310929"/>
    <n v="100"/>
    <n v="26"/>
    <n v="24"/>
    <m/>
    <n v="0"/>
    <n v="0"/>
    <n v="136084"/>
    <n v="127926"/>
    <n v="0"/>
    <n v="0"/>
    <n v="26"/>
    <n v="10468"/>
    <n v="302319.32773109246"/>
    <n v="40"/>
    <n v="12"/>
    <n v="10"/>
    <n v="0"/>
    <n v="0"/>
    <n v="0"/>
    <n v="62808"/>
    <n v="53302.5"/>
    <n v="0"/>
    <n v="0"/>
    <n v="12"/>
    <n v="10468"/>
    <n v="125966.38655462186"/>
    <n v="40"/>
    <n v="4"/>
    <n v="2"/>
    <n v="0"/>
    <n v="0"/>
    <n v="0"/>
    <n v="20936"/>
    <n v="10660.5"/>
    <n v="0"/>
    <n v="0"/>
    <n v="4"/>
    <n v="20936"/>
    <n v="25193.277310924372"/>
    <n v="40"/>
    <n v="0"/>
    <n v="0"/>
    <n v="0"/>
    <n v="0"/>
    <n v="0"/>
    <n v="0"/>
    <n v="0"/>
    <n v="0"/>
    <n v="0"/>
    <n v="2"/>
    <n v="10468"/>
    <n v="0"/>
    <n v="70"/>
    <n v="0"/>
    <n v="0"/>
    <n v="500"/>
    <n v="500"/>
    <n v="0"/>
    <n v="0"/>
    <n v="0"/>
    <n v="0"/>
    <n v="2665125"/>
    <n v="0"/>
    <n v="0"/>
    <n v="0"/>
    <n v="0"/>
    <n v="60"/>
    <n v="0"/>
    <n v="0"/>
    <m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36"/>
    <n v="0"/>
    <n v="36"/>
    <n v="0"/>
    <m/>
    <n v="0"/>
    <n v="188424"/>
    <n v="0"/>
    <n v="0"/>
    <n v="0"/>
    <n v="453478.99159663869"/>
  </r>
  <r>
    <m/>
    <x v="4"/>
    <x v="19"/>
    <x v="44"/>
    <s v="LHBOHYCO"/>
    <x v="282"/>
    <x v="269"/>
    <x v="0"/>
    <x v="3"/>
    <n v="1"/>
    <x v="183"/>
    <n v="238"/>
    <m/>
    <n v="0"/>
    <n v="5737"/>
    <n v="1365406"/>
    <n v="5.15"/>
    <n v="5626.375"/>
    <n v="12596.638655462186"/>
    <n v="12596.638655462186"/>
    <s v="Ningbo"/>
    <x v="0"/>
    <n v="30"/>
    <m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5"/>
    <n v="0.47525889867735577"/>
    <n v="143"/>
    <n v="0.40246171992555324"/>
    <n v="24"/>
    <n v="0.51134988384559943"/>
    <n v="25"/>
    <n v="0.43553701751508961"/>
    <n v="173"/>
    <n v="0.41860335001317883"/>
    <n v="16"/>
    <n v="0.41967444962089562"/>
    <n v="0.32"/>
    <n v="2"/>
    <n v="0.50652418517276543"/>
    <n v="0.02"/>
    <n v="53"/>
    <n v="0.26002523165267322"/>
    <n v="0.35333333333333333"/>
    <n v="32"/>
    <n v="0.52242264413320738"/>
    <n v="0.4"/>
    <n v="52"/>
    <n v="0.28078684140768922"/>
    <n v="0.65"/>
    <n v="110"/>
    <n v="0.32465652507243659"/>
    <n v="1.375"/>
    <m/>
    <m/>
    <m/>
    <m/>
    <m/>
    <m/>
    <m/>
    <m/>
    <m/>
    <n v="40"/>
    <n v="39"/>
    <n v="35"/>
    <n v="0"/>
    <n v="200"/>
    <n v="0"/>
    <n v="1408433.5"/>
    <n v="207879.75"/>
    <n v="200795"/>
    <n v="0"/>
    <n v="238"/>
    <n v="1365406"/>
    <n v="370489.37221947609"/>
    <n v="40"/>
    <n v="215"/>
    <n v="37.5"/>
    <n v="0"/>
    <n v="0"/>
    <n v="0"/>
    <n v="1299430.5"/>
    <n v="1146003.75"/>
    <n v="215137.5"/>
    <n v="0"/>
    <n v="238"/>
    <n v="1365406"/>
    <n v="396952.89880658151"/>
    <n v="80"/>
    <n v="165"/>
    <n v="173"/>
    <n v="0"/>
    <n v="0"/>
    <n v="1617318"/>
    <n v="946605"/>
    <n v="992501"/>
    <n v="0"/>
    <n v="238"/>
    <n v="1365406"/>
    <n v="2179218.4873949583"/>
    <n v="50"/>
    <n v="19"/>
    <n v="16"/>
    <n v="0"/>
    <n v="0"/>
    <n v="101274.75"/>
    <n v="91792"/>
    <x v="0"/>
    <x v="0"/>
    <n v="238"/>
    <n v="1365406"/>
    <n v="201546.21848739497"/>
    <n v="100"/>
    <n v="240"/>
    <n v="100"/>
    <m/>
    <n v="0"/>
    <n v="0"/>
    <n v="1376880"/>
    <n v="533025"/>
    <x v="0"/>
    <n v="0"/>
    <n v="238"/>
    <n v="1365406"/>
    <n v="1259663.8655462186"/>
    <n v="150"/>
    <n v="291"/>
    <n v="53"/>
    <m/>
    <n v="0"/>
    <n v="0"/>
    <n v="1669467"/>
    <n v="282503.25"/>
    <n v="0"/>
    <n v="0"/>
    <n v="291"/>
    <n v="1365406"/>
    <n v="667621.84873949585"/>
    <n v="80"/>
    <n v="270"/>
    <n v="32"/>
    <n v="500"/>
    <n v="500"/>
    <n v="0"/>
    <n v="1548990"/>
    <n v="170568"/>
    <n v="2576287.5"/>
    <n v="0"/>
    <n v="270"/>
    <n v="1365406"/>
    <n v="403092.43697478995"/>
    <n v="80"/>
    <n v="290"/>
    <n v="53"/>
    <n v="0"/>
    <n v="0"/>
    <n v="0"/>
    <n v="1663730"/>
    <n v="282503.25"/>
    <n v="0"/>
    <n v="0"/>
    <n v="290"/>
    <n v="1663730"/>
    <n v="667621.84873949585"/>
    <n v="80"/>
    <n v="348"/>
    <n v="114"/>
    <n v="0"/>
    <n v="0"/>
    <n v="0"/>
    <n v="1854927"/>
    <n v="607648.5"/>
    <n v="0"/>
    <n v="0"/>
    <n v="238"/>
    <n v="1365406"/>
    <n v="1436016.8067226892"/>
    <n v="120"/>
    <n v="234"/>
    <n v="120"/>
    <n v="0"/>
    <n v="0"/>
    <n v="0"/>
    <m/>
    <n v="1247278.5"/>
    <n v="639630"/>
    <n v="0"/>
    <n v="0"/>
    <n v="234"/>
    <n v="1247278.5"/>
    <n v="1511596.6386554623"/>
    <n v="80"/>
    <n v="114"/>
    <n v="80"/>
    <m/>
    <n v="0"/>
    <n v="0"/>
    <n v="607648.5"/>
    <n v="426420"/>
    <n v="0"/>
    <n v="0"/>
    <n v="114"/>
    <n v="607648.5"/>
    <n v="1007731.0924369749"/>
    <n v="150"/>
    <n v="34"/>
    <n v="34"/>
    <n v="0"/>
    <n v="0"/>
    <n v="181228.5"/>
    <n v="181228.5"/>
    <n v="0"/>
    <n v="0"/>
    <n v="34"/>
    <n v="181228.5"/>
    <n v="428285.71428571432"/>
    <n v="48"/>
    <n v="0"/>
    <n v="48"/>
    <n v="0"/>
    <m/>
    <n v="0"/>
    <n v="275376"/>
    <n v="0"/>
    <n v="0"/>
    <n v="0"/>
    <n v="604638.65546218492"/>
  </r>
  <r>
    <m/>
    <x v="4"/>
    <x v="19"/>
    <x v="44"/>
    <s v="LHBOHYCO"/>
    <x v="283"/>
    <x v="270"/>
    <x v="0"/>
    <x v="3"/>
    <n v="1.2"/>
    <x v="184"/>
    <n v="44"/>
    <m/>
    <n v="0"/>
    <n v="5197"/>
    <n v="228668"/>
    <n v="5.15"/>
    <n v="5626.375"/>
    <n v="12596.638655462186"/>
    <n v="12596.638655462186"/>
    <s v="Ningbo"/>
    <x v="0"/>
    <n v="30"/>
    <m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5"/>
    <n v="0.28951377269435358"/>
    <n v="37"/>
    <n v="0.48403585274560723"/>
    <n v="19"/>
    <n v="0.45482926500017679"/>
    <n v="19"/>
    <n v="0.47412534583025634"/>
    <n v="44"/>
    <n v="0.39647791396825233"/>
    <n v="93"/>
    <n v="0.45844548215150649"/>
    <n v="3.1"/>
    <n v="14"/>
    <n v="0.55672430023279063"/>
    <n v="0.56000000000000005"/>
    <n v="44"/>
    <n v="0.45519384806884072"/>
    <n v="0.88"/>
    <n v="16"/>
    <n v="0.56393058633164306"/>
    <n v="0.53333333333333333"/>
    <n v="53"/>
    <n v="0.38625050463719796"/>
    <n v="1.7666666666666666"/>
    <n v="-7"/>
    <n v="0.58356962073394347"/>
    <n v="-0.23333333333333334"/>
    <m/>
    <m/>
    <m/>
    <m/>
    <m/>
    <m/>
    <m/>
    <m/>
    <m/>
    <n v="30"/>
    <n v="155"/>
    <n v="25"/>
    <n v="0"/>
    <n v="100"/>
    <n v="0"/>
    <n v="506707.5"/>
    <n v="826188.75"/>
    <n v="129925"/>
    <n v="0"/>
    <n v="44"/>
    <n v="228668"/>
    <n v="264635.26587105432"/>
    <n v="25"/>
    <n v="248"/>
    <n v="28.5"/>
    <n v="0"/>
    <n v="0"/>
    <n v="0"/>
    <n v="860103.5"/>
    <n v="1321902"/>
    <n v="148114.5"/>
    <n v="0"/>
    <n v="44"/>
    <n v="228668"/>
    <n v="301684.20309300197"/>
    <n v="50"/>
    <n v="227"/>
    <n v="44"/>
    <n v="0"/>
    <n v="0"/>
    <n v="871896.5"/>
    <n v="1179719"/>
    <n v="228668"/>
    <n v="0"/>
    <n v="44"/>
    <n v="228668"/>
    <n v="554252.10084033618"/>
    <n v="30"/>
    <n v="178"/>
    <n v="93"/>
    <n v="0"/>
    <n v="0"/>
    <n v="948784.5"/>
    <n v="483321"/>
    <x v="0"/>
    <x v="0"/>
    <n v="44"/>
    <n v="228668"/>
    <n v="1171487.3949579834"/>
    <n v="25"/>
    <n v="58"/>
    <n v="30"/>
    <m/>
    <n v="0"/>
    <n v="0"/>
    <n v="301426"/>
    <n v="159907.5"/>
    <x v="0"/>
    <n v="0"/>
    <n v="44"/>
    <n v="228668"/>
    <n v="377899.15966386558"/>
    <n v="50"/>
    <n v="88"/>
    <n v="44"/>
    <m/>
    <n v="0"/>
    <n v="0"/>
    <n v="457336"/>
    <n v="234531"/>
    <n v="0"/>
    <n v="0"/>
    <n v="88"/>
    <n v="228668"/>
    <n v="554252.10084033618"/>
    <n v="30"/>
    <n v="60"/>
    <n v="16"/>
    <n v="0"/>
    <n v="0"/>
    <n v="0"/>
    <n v="311820"/>
    <n v="85284"/>
    <n v="0"/>
    <n v="0"/>
    <n v="60"/>
    <n v="228668"/>
    <n v="201546.21848739497"/>
    <n v="30"/>
    <n v="97"/>
    <n v="54"/>
    <n v="0"/>
    <n v="0"/>
    <n v="0"/>
    <n v="504109"/>
    <n v="287833.5"/>
    <n v="0"/>
    <n v="0"/>
    <n v="97"/>
    <n v="504109"/>
    <n v="680218.48739495804"/>
    <n v="30"/>
    <n v="37"/>
    <n v="22.5"/>
    <n v="0"/>
    <n v="0"/>
    <n v="0"/>
    <n v="197219.25"/>
    <n v="119930.625"/>
    <n v="0"/>
    <n v="0"/>
    <n v="44"/>
    <n v="228668"/>
    <n v="283424.36974789918"/>
    <n v="20"/>
    <n v="14.5"/>
    <n v="14.5"/>
    <n v="0"/>
    <n v="0"/>
    <n v="0"/>
    <m/>
    <n v="77288.625"/>
    <n v="77288.625"/>
    <n v="0"/>
    <n v="0"/>
    <n v="14.5"/>
    <n v="77288.625"/>
    <n v="182651.26050420169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19"/>
    <x v="44"/>
    <s v="LHBOHYCO"/>
    <x v="284"/>
    <x v="271"/>
    <x v="0"/>
    <x v="3"/>
    <n v="1"/>
    <x v="185"/>
    <n v="6"/>
    <m/>
    <n v="0"/>
    <n v="5408"/>
    <n v="32448"/>
    <n v="5.15"/>
    <n v="5626.375"/>
    <n v="12596.638655462186"/>
    <n v="12596.638655462186"/>
    <s v="Ningbo"/>
    <x v="0"/>
    <n v="30"/>
    <m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6"/>
    <n v="0.52032128294038027"/>
    <n v="95"/>
    <n v="0.38627723201013214"/>
    <n v="34"/>
    <n v="0.45696805183155637"/>
    <n v="44"/>
    <n v="0.44708626662121009"/>
    <n v="197"/>
    <n v="0.39449294982198568"/>
    <n v="28"/>
    <n v="0.48324458873391746"/>
    <n v="0.93333333333333335"/>
    <n v="16"/>
    <n v="0.49909391822889132"/>
    <n v="0.26666666666666666"/>
    <n v="3"/>
    <n v="0.53973670555794395"/>
    <n v="3.3333333333333333E-2"/>
    <n v="0"/>
    <s v=""/>
    <n v="0"/>
    <n v="1"/>
    <n v="0.43935354284997841"/>
    <n v="2.5000000000000001E-2"/>
    <n v="1"/>
    <n v="0.32063639933230514"/>
    <n v="2.5000000000000001E-2"/>
    <m/>
    <m/>
    <m/>
    <m/>
    <m/>
    <m/>
    <m/>
    <m/>
    <m/>
    <n v="20"/>
    <n v="95"/>
    <n v="15"/>
    <n v="0"/>
    <n v="200"/>
    <n v="0"/>
    <n v="1503424"/>
    <n v="506373.75"/>
    <n v="81120"/>
    <n v="0"/>
    <n v="6"/>
    <n v="32448"/>
    <n v="158781.1595226326"/>
    <n v="25"/>
    <n v="321"/>
    <n v="66"/>
    <n v="0"/>
    <n v="0"/>
    <n v="0"/>
    <n v="1573728"/>
    <n v="1711010.25"/>
    <n v="356928"/>
    <n v="0"/>
    <n v="6"/>
    <n v="32448"/>
    <n v="698637.10189958347"/>
    <n v="63"/>
    <n v="274"/>
    <n v="197"/>
    <n v="0"/>
    <n v="0"/>
    <n v="1536615"/>
    <n v="1481792"/>
    <n v="1065376"/>
    <n v="0"/>
    <n v="6"/>
    <n v="32448"/>
    <n v="2481537.8151260507"/>
    <n v="30"/>
    <n v="34"/>
    <n v="28"/>
    <n v="0"/>
    <n v="0"/>
    <n v="181228.5"/>
    <n v="151424"/>
    <x v="0"/>
    <x v="0"/>
    <n v="6"/>
    <n v="32448"/>
    <n v="352705.8823529412"/>
    <n v="60"/>
    <n v="22"/>
    <n v="60"/>
    <m/>
    <n v="0"/>
    <n v="0"/>
    <n v="118976"/>
    <n v="319815"/>
    <x v="0"/>
    <n v="0"/>
    <n v="6"/>
    <n v="32448"/>
    <n v="755798.31932773115"/>
    <n v="90"/>
    <n v="9"/>
    <n v="3"/>
    <m/>
    <n v="0"/>
    <n v="0"/>
    <n v="48672"/>
    <n v="15990.75"/>
    <n v="0"/>
    <n v="0"/>
    <n v="9"/>
    <n v="32448"/>
    <n v="37789.915966386558"/>
    <n v="40"/>
    <n v="6"/>
    <n v="0"/>
    <n v="0"/>
    <n v="0"/>
    <n v="0"/>
    <n v="32448"/>
    <n v="0"/>
    <n v="0"/>
    <n v="0"/>
    <n v="6"/>
    <n v="32448"/>
    <n v="0"/>
    <n v="40"/>
    <n v="7"/>
    <n v="1"/>
    <n v="0"/>
    <n v="0"/>
    <n v="0"/>
    <n v="37856"/>
    <n v="5330.25"/>
    <n v="0"/>
    <n v="0"/>
    <n v="7"/>
    <n v="37856"/>
    <n v="12596.638655462186"/>
    <n v="40"/>
    <n v="7"/>
    <n v="1.5"/>
    <n v="0"/>
    <n v="0"/>
    <n v="0"/>
    <n v="37311.75"/>
    <n v="7995.375"/>
    <n v="0"/>
    <n v="0"/>
    <n v="6"/>
    <n v="32448"/>
    <n v="18894.957983193279"/>
    <n v="70"/>
    <n v="5.5"/>
    <n v="5.5"/>
    <n v="500"/>
    <n v="500"/>
    <n v="0"/>
    <n v="0"/>
    <n v="29316.375"/>
    <n v="29316.375"/>
    <n v="2665125"/>
    <n v="0"/>
    <n v="5.5"/>
    <n v="29316.375"/>
    <n v="69281.512605042022"/>
    <n v="50"/>
    <n v="0"/>
    <n v="0"/>
    <m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30"/>
    <n v="0"/>
    <n v="30"/>
    <n v="0"/>
    <m/>
    <n v="0"/>
    <n v="162240"/>
    <n v="0"/>
    <n v="0"/>
    <n v="0"/>
    <n v="377899.15966386558"/>
  </r>
  <r>
    <s v="Lhotse-Hidratación"/>
    <x v="4"/>
    <x v="19"/>
    <x v="44"/>
    <s v="LHBOHYCO"/>
    <x v="285"/>
    <x v="272"/>
    <x v="0"/>
    <x v="3"/>
    <n v="1.2"/>
    <x v="186"/>
    <n v="409"/>
    <m/>
    <n v="0"/>
    <n v="5748"/>
    <n v="2350932"/>
    <n v="5.15"/>
    <n v="5626.375"/>
    <n v="12596.638655462186"/>
    <n v="12596.638655462186"/>
    <s v="Ningbo"/>
    <x v="0"/>
    <n v="30"/>
    <m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3"/>
    <n v="0.49271097239305683"/>
    <n v="48"/>
    <n v="0.50534774882961897"/>
    <n v="29"/>
    <n v="0.47246256540265019"/>
    <n v="63"/>
    <n v="0.37198722435805587"/>
    <n v="141"/>
    <n v="0.40738479521560939"/>
    <n v="56"/>
    <n v="0.47612814564882044"/>
    <n v="1.4"/>
    <n v="39"/>
    <n v="0.58142080975030774"/>
    <n v="0.32500000000000001"/>
    <n v="11"/>
    <n v="0.45638374784061425"/>
    <n v="6.8750000000000006E-2"/>
    <n v="13"/>
    <n v="0.51398643303750424"/>
    <n v="0.13"/>
    <n v="34"/>
    <n v="0.33632935880590553"/>
    <n v="0.34"/>
    <n v="23"/>
    <n v="0.30256232710342312"/>
    <n v="0.23"/>
    <m/>
    <m/>
    <m/>
    <m/>
    <m/>
    <m/>
    <m/>
    <m/>
    <m/>
    <n v="30"/>
    <n v="143"/>
    <n v="30"/>
    <n v="0"/>
    <n v="200"/>
    <n v="0"/>
    <n v="1526094"/>
    <n v="762225.75"/>
    <n v="172440"/>
    <n v="0"/>
    <n v="409"/>
    <n v="2350932"/>
    <n v="317562.31904526521"/>
    <n v="30"/>
    <n v="306"/>
    <n v="94.5"/>
    <n v="0"/>
    <n v="0"/>
    <n v="0"/>
    <n v="1675542"/>
    <n v="1631056.5"/>
    <n v="543186"/>
    <n v="0"/>
    <n v="409"/>
    <n v="2350932"/>
    <n v="1000321.3049925854"/>
    <n v="120"/>
    <n v="233"/>
    <n v="141"/>
    <n v="0"/>
    <n v="0"/>
    <n v="1899912"/>
    <n v="1339284"/>
    <n v="810468"/>
    <n v="0"/>
    <n v="409"/>
    <n v="2350932"/>
    <n v="1776126.0504201683"/>
    <n v="40"/>
    <n v="85"/>
    <n v="56"/>
    <n v="0"/>
    <n v="0"/>
    <n v="453071.25"/>
    <n v="321888"/>
    <x v="0"/>
    <x v="0"/>
    <n v="409"/>
    <n v="2350932"/>
    <n v="705411.76470588241"/>
    <n v="120"/>
    <n v="448"/>
    <n v="144"/>
    <m/>
    <n v="0"/>
    <n v="0"/>
    <n v="2575104"/>
    <n v="767556"/>
    <x v="0"/>
    <n v="0"/>
    <n v="409"/>
    <n v="2350932"/>
    <n v="1813915.9663865548"/>
    <n v="160"/>
    <n v="420"/>
    <n v="11"/>
    <m/>
    <n v="0"/>
    <n v="0"/>
    <n v="2414160"/>
    <n v="58632.75"/>
    <n v="0"/>
    <n v="0"/>
    <n v="420"/>
    <n v="2350932"/>
    <n v="138563.02521008404"/>
    <n v="100"/>
    <n v="422"/>
    <n v="13"/>
    <n v="500"/>
    <n v="500"/>
    <n v="0"/>
    <n v="2425656"/>
    <n v="69293.25"/>
    <n v="2576287.5"/>
    <n v="0"/>
    <n v="422"/>
    <n v="2350932"/>
    <n v="163756.30252100842"/>
    <n v="100"/>
    <n v="443"/>
    <n v="35"/>
    <n v="0"/>
    <n v="0"/>
    <n v="0"/>
    <n v="2546364"/>
    <n v="186558.75"/>
    <n v="0"/>
    <n v="0"/>
    <n v="443"/>
    <n v="2546364"/>
    <n v="440882.3529411765"/>
    <n v="100"/>
    <n v="432"/>
    <n v="27"/>
    <n v="0"/>
    <n v="0"/>
    <n v="0"/>
    <n v="2302668"/>
    <n v="143916.75"/>
    <n v="0"/>
    <n v="0"/>
    <n v="409"/>
    <n v="2350932"/>
    <n v="340109.24369747902"/>
    <n v="120"/>
    <n v="405"/>
    <n v="144"/>
    <n v="500"/>
    <n v="500"/>
    <n v="0"/>
    <n v="0"/>
    <n v="2158751.25"/>
    <n v="767556"/>
    <n v="2665125"/>
    <n v="0"/>
    <n v="405"/>
    <n v="2158751.25"/>
    <n v="1813915.9663865548"/>
    <n v="80"/>
    <n v="261"/>
    <n v="96"/>
    <m/>
    <n v="0"/>
    <n v="0"/>
    <n v="1391195.25"/>
    <n v="511704"/>
    <n v="0"/>
    <n v="0"/>
    <n v="261"/>
    <n v="1391195.25"/>
    <n v="1209277.3109243698"/>
    <n v="150"/>
    <n v="165"/>
    <n v="165"/>
    <n v="0"/>
    <n v="0"/>
    <n v="879491.25"/>
    <n v="879491.25"/>
    <n v="0"/>
    <n v="0"/>
    <n v="165"/>
    <n v="879491.25"/>
    <n v="2078445.3781512608"/>
    <n v="48"/>
    <n v="0"/>
    <n v="57.599999999999994"/>
    <n v="0"/>
    <m/>
    <n v="0"/>
    <n v="331084.79999999999"/>
    <n v="0"/>
    <n v="0"/>
    <n v="0"/>
    <n v="725566.38655462186"/>
  </r>
  <r>
    <s v="Lhotse-Hidratación"/>
    <x v="4"/>
    <x v="19"/>
    <x v="44"/>
    <s v="LHBOHYTK750"/>
    <x v="286"/>
    <x v="273"/>
    <x v="0"/>
    <x v="4"/>
    <n v="1"/>
    <x v="31"/>
    <n v="499"/>
    <m/>
    <n v="0"/>
    <n v="4359"/>
    <n v="2175141"/>
    <n v="3.5"/>
    <n v="3501.7499999999995"/>
    <n v="8827.9411764705874"/>
    <n v="7503.7499999999991"/>
    <s v="Ningbo"/>
    <x v="0"/>
    <n v="30"/>
    <m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n v="1"/>
    <s v=""/>
    <n v="3.3333333333333333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499"/>
    <n v="2175141"/>
    <n v="0"/>
    <n v="0"/>
    <n v="0"/>
    <n v="0"/>
    <n v="0"/>
    <n v="0"/>
    <n v="0"/>
    <n v="0"/>
    <x v="0"/>
    <x v="0"/>
    <n v="499"/>
    <n v="2175141"/>
    <n v="0"/>
    <n v="0"/>
    <n v="499"/>
    <n v="0"/>
    <m/>
    <m/>
    <n v="0"/>
    <n v="2175141"/>
    <n v="0"/>
    <x v="0"/>
    <n v="0"/>
    <n v="499"/>
    <n v="2175141"/>
    <n v="0"/>
    <n v="0"/>
    <n v="499"/>
    <n v="0"/>
    <m/>
    <n v="0"/>
    <n v="0"/>
    <n v="2175141"/>
    <n v="0"/>
    <n v="0"/>
    <n v="0"/>
    <n v="499"/>
    <n v="2175141"/>
    <n v="0"/>
    <n v="0"/>
    <n v="499"/>
    <n v="0"/>
    <n v="500"/>
    <n v="0"/>
    <n v="0"/>
    <n v="2175141"/>
    <n v="0"/>
    <n v="1750874.9999999998"/>
    <n v="0"/>
    <n v="499"/>
    <n v="2175141"/>
    <n v="0"/>
    <n v="30"/>
    <n v="499"/>
    <n v="0"/>
    <n v="0"/>
    <n v="500"/>
    <n v="0"/>
    <n v="2175141"/>
    <n v="0"/>
    <n v="0"/>
    <n v="0"/>
    <n v="499"/>
    <n v="2175141"/>
    <n v="0"/>
    <n v="30"/>
    <n v="500"/>
    <n v="1.5"/>
    <n v="0"/>
    <n v="0"/>
    <n v="0"/>
    <n v="1811249.9999999998"/>
    <n v="5433.7499999999991"/>
    <n v="0"/>
    <n v="0"/>
    <n v="499"/>
    <n v="2175141"/>
    <n v="13241.911764705881"/>
    <n v="60"/>
    <n v="498.5"/>
    <n v="60"/>
    <n v="0"/>
    <n v="0"/>
    <n v="0"/>
    <m/>
    <n v="1805816.2499999998"/>
    <n v="217349.99999999997"/>
    <n v="0"/>
    <n v="0"/>
    <n v="498.5"/>
    <n v="1805816.2499999998"/>
    <n v="450224.99999999994"/>
    <n v="40"/>
    <n v="438.5"/>
    <n v="40"/>
    <m/>
    <n v="0"/>
    <n v="0"/>
    <n v="1588466.2499999998"/>
    <n v="144899.99999999997"/>
    <n v="0"/>
    <n v="0"/>
    <n v="438.5"/>
    <n v="1588466.2499999998"/>
    <n v="300149.99999999994"/>
    <n v="90"/>
    <n v="398.5"/>
    <n v="90"/>
    <n v="0"/>
    <n v="0"/>
    <n v="1443566.2499999998"/>
    <n v="326024.99999999994"/>
    <n v="0"/>
    <n v="0"/>
    <n v="398.5"/>
    <n v="1443566.2499999998"/>
    <n v="794514.70588235289"/>
    <n v="24"/>
    <n v="308.5"/>
    <n v="24"/>
    <n v="0"/>
    <m/>
    <n v="1117541.2499999998"/>
    <n v="104616"/>
    <n v="0"/>
    <n v="308.5"/>
    <n v="1117541.2499999998"/>
    <n v="211870.5882352941"/>
  </r>
  <r>
    <s v="Lhotse-Hidratación"/>
    <x v="4"/>
    <x v="19"/>
    <x v="44"/>
    <s v="LHBOHYTK750"/>
    <x v="287"/>
    <x v="274"/>
    <x v="0"/>
    <x v="4"/>
    <n v="1"/>
    <x v="31"/>
    <n v="478"/>
    <m/>
    <n v="0"/>
    <n v="4359"/>
    <n v="2083602"/>
    <n v="3.5"/>
    <n v="3501.7499999999995"/>
    <n v="8827.9411764705874"/>
    <n v="7503.7499999999991"/>
    <s v="Ningbo"/>
    <x v="0"/>
    <n v="30"/>
    <m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n v="23"/>
    <s v=""/>
    <n v="0.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478"/>
    <n v="2083602"/>
    <n v="0"/>
    <n v="0"/>
    <n v="0"/>
    <n v="0"/>
    <n v="0"/>
    <n v="0"/>
    <n v="0"/>
    <n v="0"/>
    <x v="0"/>
    <x v="0"/>
    <n v="478"/>
    <n v="2083602"/>
    <n v="0"/>
    <n v="0"/>
    <n v="478"/>
    <n v="0"/>
    <m/>
    <m/>
    <n v="0"/>
    <n v="2083602"/>
    <n v="0"/>
    <x v="0"/>
    <n v="0"/>
    <n v="478"/>
    <n v="2083602"/>
    <n v="0"/>
    <n v="0"/>
    <n v="478"/>
    <n v="0"/>
    <m/>
    <n v="0"/>
    <n v="0"/>
    <n v="2083602"/>
    <n v="0"/>
    <n v="0"/>
    <n v="0"/>
    <n v="478"/>
    <n v="2083602"/>
    <n v="0"/>
    <n v="0"/>
    <n v="478"/>
    <n v="0"/>
    <n v="500"/>
    <n v="0"/>
    <n v="0"/>
    <n v="2083602"/>
    <n v="0"/>
    <n v="1750874.9999999998"/>
    <n v="0"/>
    <n v="478"/>
    <n v="2083602"/>
    <n v="0"/>
    <n v="50"/>
    <n v="478"/>
    <n v="0"/>
    <n v="0"/>
    <n v="500"/>
    <n v="0"/>
    <n v="2083602"/>
    <n v="0"/>
    <n v="0"/>
    <n v="0"/>
    <n v="478"/>
    <n v="2083602"/>
    <n v="0"/>
    <n v="50"/>
    <n v="501"/>
    <n v="34.5"/>
    <n v="0"/>
    <n v="0"/>
    <n v="0"/>
    <n v="1814872.4999999998"/>
    <n v="124976.24999999999"/>
    <n v="0"/>
    <n v="0"/>
    <n v="478"/>
    <n v="2083602"/>
    <n v="304563.97058823524"/>
    <n v="100"/>
    <n v="466.5"/>
    <n v="100"/>
    <n v="0"/>
    <n v="0"/>
    <n v="0"/>
    <m/>
    <n v="1689896.2499999998"/>
    <n v="362249.99999999994"/>
    <n v="0"/>
    <n v="0"/>
    <n v="466.5"/>
    <n v="1689896.2499999998"/>
    <n v="750374.99999999988"/>
    <n v="80"/>
    <n v="366.5"/>
    <n v="80"/>
    <m/>
    <n v="0"/>
    <n v="0"/>
    <n v="1327646.2499999998"/>
    <n v="289799.99999999994"/>
    <n v="0"/>
    <n v="0"/>
    <n v="366.5"/>
    <n v="1327646.2499999998"/>
    <n v="600299.99999999988"/>
    <n v="150"/>
    <n v="286.5"/>
    <n v="150"/>
    <n v="0"/>
    <n v="0"/>
    <n v="1037846.2499999999"/>
    <n v="543374.99999999988"/>
    <n v="0"/>
    <n v="0"/>
    <n v="286.5"/>
    <n v="1037846.2499999999"/>
    <n v="1324191.1764705882"/>
    <n v="48"/>
    <n v="136.5"/>
    <n v="48"/>
    <n v="0"/>
    <m/>
    <n v="494471.24999999994"/>
    <n v="209232"/>
    <n v="0"/>
    <n v="136.5"/>
    <n v="494471.24999999994"/>
    <n v="423741.17647058819"/>
  </r>
  <r>
    <s v="Lhotse-Hidratación"/>
    <x v="4"/>
    <x v="19"/>
    <x v="44"/>
    <s v="LHBOHYTK750"/>
    <x v="288"/>
    <x v="275"/>
    <x v="0"/>
    <x v="4"/>
    <n v="1"/>
    <x v="31"/>
    <n v="499"/>
    <m/>
    <n v="0"/>
    <n v="4359"/>
    <n v="2175141"/>
    <n v="3.5"/>
    <n v="3501.7499999999995"/>
    <n v="8827.9411764705874"/>
    <n v="7503.7499999999991"/>
    <s v="Ningbo"/>
    <x v="0"/>
    <n v="30"/>
    <m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n v="1"/>
    <s v=""/>
    <n v="3.3333333333333333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499"/>
    <n v="2175141"/>
    <n v="0"/>
    <n v="0"/>
    <n v="0"/>
    <n v="0"/>
    <n v="0"/>
    <n v="0"/>
    <n v="0"/>
    <n v="0"/>
    <x v="0"/>
    <x v="0"/>
    <n v="499"/>
    <n v="2175141"/>
    <n v="0"/>
    <n v="0"/>
    <n v="499"/>
    <n v="0"/>
    <m/>
    <m/>
    <n v="0"/>
    <n v="2175141"/>
    <n v="0"/>
    <x v="0"/>
    <n v="0"/>
    <n v="499"/>
    <n v="2175141"/>
    <n v="0"/>
    <n v="0"/>
    <n v="499"/>
    <n v="0"/>
    <m/>
    <n v="0"/>
    <n v="0"/>
    <n v="2175141"/>
    <n v="0"/>
    <n v="0"/>
    <n v="0"/>
    <n v="499"/>
    <n v="2175141"/>
    <n v="0"/>
    <n v="0"/>
    <n v="499"/>
    <n v="0"/>
    <n v="500"/>
    <n v="0"/>
    <n v="0"/>
    <n v="2175141"/>
    <n v="0"/>
    <n v="1750874.9999999998"/>
    <n v="0"/>
    <n v="499"/>
    <n v="2175141"/>
    <n v="0"/>
    <n v="30"/>
    <n v="499"/>
    <n v="0"/>
    <n v="0"/>
    <n v="500"/>
    <n v="0"/>
    <n v="2175141"/>
    <n v="0"/>
    <n v="0"/>
    <n v="0"/>
    <n v="499"/>
    <n v="2175141"/>
    <n v="0"/>
    <n v="30"/>
    <n v="500"/>
    <n v="1.5"/>
    <n v="0"/>
    <n v="0"/>
    <n v="0"/>
    <n v="1811249.9999999998"/>
    <n v="5433.7499999999991"/>
    <n v="0"/>
    <n v="0"/>
    <n v="499"/>
    <n v="2175141"/>
    <n v="13241.911764705881"/>
    <n v="60"/>
    <n v="498.5"/>
    <n v="60"/>
    <n v="0"/>
    <n v="0"/>
    <n v="0"/>
    <m/>
    <n v="1805816.2499999998"/>
    <n v="217349.99999999997"/>
    <n v="0"/>
    <n v="0"/>
    <n v="498.5"/>
    <n v="1805816.2499999998"/>
    <n v="450224.99999999994"/>
    <n v="40"/>
    <n v="438.5"/>
    <n v="40"/>
    <m/>
    <n v="0"/>
    <n v="0"/>
    <n v="1588466.2499999998"/>
    <n v="144899.99999999997"/>
    <n v="0"/>
    <n v="0"/>
    <n v="438.5"/>
    <n v="1588466.2499999998"/>
    <n v="300149.99999999994"/>
    <n v="90"/>
    <n v="398.5"/>
    <n v="90"/>
    <n v="0"/>
    <n v="0"/>
    <n v="1443566.2499999998"/>
    <n v="326024.99999999994"/>
    <n v="0"/>
    <n v="0"/>
    <n v="398.5"/>
    <n v="1443566.2499999998"/>
    <n v="794514.70588235289"/>
    <n v="24"/>
    <n v="308.5"/>
    <n v="24"/>
    <n v="0"/>
    <m/>
    <n v="1117541.2499999998"/>
    <n v="104616"/>
    <n v="0"/>
    <n v="308.5"/>
    <n v="1117541.2499999998"/>
    <n v="211870.5882352941"/>
  </r>
  <r>
    <s v="Lhotse-Hidratación"/>
    <x v="4"/>
    <x v="19"/>
    <x v="44"/>
    <s v="LHBOHYTK750"/>
    <x v="289"/>
    <x v="276"/>
    <x v="0"/>
    <x v="4"/>
    <n v="1"/>
    <x v="31"/>
    <n v="68"/>
    <m/>
    <n v="0"/>
    <n v="4359"/>
    <n v="296412"/>
    <n v="3.5"/>
    <n v="3501.7499999999995"/>
    <n v="8827.9411764705874"/>
    <n v="7503.7499999999991"/>
    <s v="Ningbo"/>
    <x v="0"/>
    <n v="30"/>
    <m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410"/>
    <s v=""/>
    <n v="13.666666666666666"/>
    <n v="23"/>
    <s v=""/>
    <n v="0.766666666666666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68"/>
    <n v="296412"/>
    <n v="0"/>
    <n v="0"/>
    <n v="0"/>
    <n v="0"/>
    <n v="0"/>
    <n v="0"/>
    <n v="0"/>
    <n v="0"/>
    <x v="0"/>
    <x v="0"/>
    <n v="68"/>
    <n v="296412"/>
    <n v="0"/>
    <n v="0"/>
    <n v="68"/>
    <n v="0"/>
    <m/>
    <m/>
    <n v="0"/>
    <n v="296412"/>
    <n v="0"/>
    <x v="0"/>
    <n v="0"/>
    <n v="68"/>
    <n v="296412"/>
    <n v="0"/>
    <n v="0"/>
    <n v="68"/>
    <n v="0"/>
    <m/>
    <n v="0"/>
    <n v="0"/>
    <n v="296412"/>
    <n v="0"/>
    <n v="0"/>
    <n v="0"/>
    <n v="68"/>
    <n v="296412"/>
    <n v="0"/>
    <n v="0"/>
    <n v="68"/>
    <n v="0"/>
    <n v="500"/>
    <n v="0"/>
    <n v="0"/>
    <n v="296412"/>
    <n v="0"/>
    <n v="1750874.9999999998"/>
    <n v="0"/>
    <n v="68"/>
    <n v="296412"/>
    <n v="0"/>
    <n v="30"/>
    <n v="478"/>
    <n v="423"/>
    <n v="0"/>
    <n v="500"/>
    <n v="0"/>
    <n v="2083602"/>
    <n v="1532317.4999999998"/>
    <n v="0"/>
    <n v="0"/>
    <n v="478"/>
    <n v="2083602"/>
    <n v="3734219.1176470583"/>
    <n v="30"/>
    <n v="91"/>
    <n v="33"/>
    <n v="0"/>
    <n v="0"/>
    <n v="0"/>
    <n v="329647.49999999994"/>
    <n v="119542.49999999999"/>
    <n v="0"/>
    <n v="0"/>
    <n v="68"/>
    <n v="296412"/>
    <n v="291322.0588235294"/>
    <n v="60"/>
    <n v="58"/>
    <n v="58"/>
    <n v="0"/>
    <n v="0"/>
    <n v="0"/>
    <m/>
    <n v="210104.99999999997"/>
    <n v="210104.99999999997"/>
    <n v="0"/>
    <n v="0"/>
    <n v="58"/>
    <n v="210104.99999999997"/>
    <n v="435217.49999999994"/>
    <n v="40"/>
    <n v="0"/>
    <n v="0"/>
    <m/>
    <n v="0"/>
    <n v="0"/>
    <n v="0"/>
    <n v="0"/>
    <n v="0"/>
    <n v="0"/>
    <n v="0"/>
    <n v="0"/>
    <n v="0"/>
    <n v="90"/>
    <n v="0"/>
    <n v="0"/>
    <n v="0"/>
    <n v="0"/>
    <n v="0"/>
    <n v="0"/>
    <n v="0"/>
    <n v="0"/>
    <n v="0"/>
    <n v="0"/>
    <n v="0"/>
    <n v="24"/>
    <n v="0"/>
    <n v="24"/>
    <n v="0"/>
    <m/>
    <n v="0"/>
    <n v="104616"/>
    <n v="0"/>
    <n v="0"/>
    <n v="0"/>
    <n v="211870.5882352941"/>
  </r>
  <r>
    <s v="Lhotse-Hidratación"/>
    <x v="4"/>
    <x v="19"/>
    <x v="44"/>
    <s v="LHBOHYTK750"/>
    <x v="290"/>
    <x v="277"/>
    <x v="0"/>
    <x v="4"/>
    <n v="1"/>
    <x v="31"/>
    <n v="498"/>
    <m/>
    <n v="0"/>
    <n v="4359"/>
    <n v="2170782"/>
    <n v="3.5"/>
    <n v="3501.7499999999995"/>
    <n v="8827.9411764705874"/>
    <n v="7503.7499999999991"/>
    <s v="Ningbo"/>
    <x v="0"/>
    <n v="30"/>
    <m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n v="1"/>
    <s v=""/>
    <n v="0.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498"/>
    <n v="2170782"/>
    <n v="0"/>
    <n v="0"/>
    <n v="0"/>
    <n v="0"/>
    <n v="0"/>
    <n v="0"/>
    <n v="0"/>
    <n v="0"/>
    <x v="0"/>
    <x v="0"/>
    <n v="498"/>
    <n v="2170782"/>
    <n v="0"/>
    <n v="0"/>
    <n v="498"/>
    <n v="0"/>
    <m/>
    <m/>
    <n v="0"/>
    <n v="2170782"/>
    <n v="0"/>
    <x v="0"/>
    <n v="0"/>
    <n v="498"/>
    <n v="2170782"/>
    <n v="0"/>
    <n v="0"/>
    <n v="498"/>
    <n v="0"/>
    <m/>
    <n v="0"/>
    <n v="0"/>
    <n v="2170782"/>
    <n v="0"/>
    <n v="0"/>
    <n v="0"/>
    <n v="498"/>
    <n v="2170782"/>
    <n v="0"/>
    <n v="0"/>
    <n v="498"/>
    <n v="0"/>
    <n v="500"/>
    <n v="0"/>
    <n v="0"/>
    <n v="2170782"/>
    <n v="0"/>
    <n v="1750874.9999999998"/>
    <n v="0"/>
    <n v="498"/>
    <n v="2170782"/>
    <n v="0"/>
    <n v="50"/>
    <n v="498"/>
    <n v="0"/>
    <n v="0"/>
    <n v="500"/>
    <n v="0"/>
    <n v="2170782"/>
    <n v="0"/>
    <n v="0"/>
    <n v="0"/>
    <n v="498"/>
    <n v="2170782"/>
    <n v="0"/>
    <n v="50"/>
    <n v="499"/>
    <n v="0"/>
    <n v="0"/>
    <n v="0"/>
    <n v="0"/>
    <n v="1807627.4999999998"/>
    <n v="0"/>
    <n v="0"/>
    <n v="0"/>
    <n v="498"/>
    <n v="2170782"/>
    <n v="0"/>
    <n v="100"/>
    <n v="499"/>
    <n v="100"/>
    <n v="0"/>
    <n v="0"/>
    <n v="0"/>
    <m/>
    <n v="1807627.4999999998"/>
    <n v="362249.99999999994"/>
    <n v="0"/>
    <n v="0"/>
    <n v="499"/>
    <n v="1807627.4999999998"/>
    <n v="750374.99999999988"/>
    <n v="80"/>
    <n v="399"/>
    <n v="80"/>
    <m/>
    <n v="0"/>
    <n v="0"/>
    <n v="1445377.4999999998"/>
    <n v="289799.99999999994"/>
    <n v="0"/>
    <n v="0"/>
    <n v="399"/>
    <n v="1445377.4999999998"/>
    <n v="600299.99999999988"/>
    <n v="150"/>
    <n v="319"/>
    <n v="150"/>
    <n v="0"/>
    <n v="0"/>
    <n v="1155577.4999999998"/>
    <n v="543374.99999999988"/>
    <n v="0"/>
    <n v="0"/>
    <n v="319"/>
    <n v="1155577.4999999998"/>
    <n v="1324191.1764705882"/>
    <n v="48"/>
    <n v="169"/>
    <n v="48"/>
    <n v="0"/>
    <m/>
    <n v="612202.49999999988"/>
    <n v="209232"/>
    <n v="0"/>
    <n v="169"/>
    <n v="612202.49999999988"/>
    <n v="423741.17647058819"/>
  </r>
  <r>
    <s v="Lhotse-Hidratación"/>
    <x v="4"/>
    <x v="19"/>
    <x v="44"/>
    <s v="LHBOIND"/>
    <x v="291"/>
    <x v="278"/>
    <x v="0"/>
    <x v="2"/>
    <n v="0.6"/>
    <x v="187"/>
    <n v="13"/>
    <m/>
    <n v="0"/>
    <n v="3794"/>
    <n v="49322"/>
    <n v="3.4"/>
    <n v="3714.4999999999995"/>
    <n v="8394.957983193277"/>
    <n v="8394.957983193277"/>
    <s v="Shenzhen"/>
    <x v="0"/>
    <n v="30"/>
    <m/>
    <n v="200"/>
    <n v="15"/>
    <n v="0.62911945128073776"/>
    <n v="29"/>
    <n v="0.5976361395469455"/>
    <n v="44"/>
    <n v="0.63145975815674704"/>
    <n v="30"/>
    <n v="0.56749192279353722"/>
    <n v="38"/>
    <n v="0.54933020716866043"/>
    <n v="155"/>
    <n v="0.51277599226248893"/>
    <n v="237"/>
    <n v="0.47689281149026702"/>
    <n v="379"/>
    <n v="0.4480831054132014"/>
    <n v="40"/>
    <n v="0.47115108383667159"/>
    <n v="113"/>
    <n v="0.50773607579825764"/>
    <n v="228"/>
    <n v="0.47218501612923863"/>
    <n v="247"/>
    <n v="0.46859884841096089"/>
    <n v="250"/>
    <n v="0.32704466790682074"/>
    <n v="147"/>
    <n v="0.30088757863050242"/>
    <n v="59"/>
    <n v="0.38249049285690745"/>
    <n v="33"/>
    <n v="0.37937465978173579"/>
    <n v="0.33"/>
    <n v="1"/>
    <n v="0.54806706706706709"/>
    <n v="0.04"/>
    <n v="1"/>
    <n v="0.35434496567505724"/>
    <n v="0"/>
    <n v="0"/>
    <s v=""/>
    <n v="0"/>
    <n v="1"/>
    <n v="0.65243879907621238"/>
    <n v="0"/>
    <n v="0"/>
    <s v=""/>
    <n v="0"/>
    <m/>
    <m/>
    <m/>
    <m/>
    <m/>
    <m/>
    <m/>
    <m/>
    <m/>
    <n v="100"/>
    <n v="293"/>
    <n v="100"/>
    <n v="0"/>
    <n v="0"/>
    <n v="0"/>
    <n v="1439823"/>
    <n v="1031066.9999999999"/>
    <n v="379400"/>
    <n v="0"/>
    <n v="13"/>
    <n v="49322"/>
    <n v="705458.65404985519"/>
    <n v="100"/>
    <n v="251"/>
    <n v="220.5"/>
    <n v="0"/>
    <n v="0"/>
    <n v="0"/>
    <n v="1185625"/>
    <n v="883268.99999999988"/>
    <n v="836577"/>
    <n v="0"/>
    <n v="13"/>
    <n v="49322"/>
    <n v="1555536.3321799308"/>
    <n v="100"/>
    <n v="87"/>
    <n v="59"/>
    <n v="0"/>
    <n v="0"/>
    <n v="401833"/>
    <n v="330078"/>
    <n v="223846"/>
    <n v="0"/>
    <n v="13"/>
    <n v="49322"/>
    <n v="495302.52100840333"/>
    <n v="100"/>
    <n v="38"/>
    <n v="33"/>
    <n v="0"/>
    <n v="0"/>
    <n v="133721.99999999997"/>
    <n v="125202"/>
    <x v="0"/>
    <x v="0"/>
    <n v="13"/>
    <n v="49322"/>
    <n v="277033.61344537814"/>
    <n v="25"/>
    <n v="14"/>
    <n v="15"/>
    <m/>
    <n v="0"/>
    <n v="0"/>
    <n v="53116"/>
    <n v="52784.999999999993"/>
    <x v="0"/>
    <n v="0"/>
    <n v="13"/>
    <n v="49322"/>
    <n v="125924.36974789915"/>
    <n v="0"/>
    <n v="14"/>
    <n v="1"/>
    <m/>
    <n v="0"/>
    <n v="0"/>
    <n v="53116"/>
    <n v="3518.9999999999995"/>
    <n v="0"/>
    <n v="0"/>
    <n v="14"/>
    <n v="49322"/>
    <n v="8394.957983193277"/>
    <n v="0"/>
    <n v="13"/>
    <n v="0"/>
    <n v="0"/>
    <n v="0"/>
    <n v="0"/>
    <n v="49322"/>
    <n v="0"/>
    <n v="0"/>
    <n v="0"/>
    <n v="13"/>
    <n v="49322"/>
    <n v="0"/>
    <n v="0"/>
    <n v="14"/>
    <n v="1"/>
    <n v="0"/>
    <n v="0"/>
    <n v="0"/>
    <n v="53116"/>
    <n v="3518.9999999999995"/>
    <n v="0"/>
    <n v="0"/>
    <n v="14"/>
    <n v="53116"/>
    <n v="8394.957983193277"/>
    <n v="0"/>
    <n v="13"/>
    <n v="0"/>
    <n v="0"/>
    <n v="0"/>
    <n v="0"/>
    <n v="45746.999999999993"/>
    <n v="0"/>
    <n v="0"/>
    <n v="0"/>
    <n v="13"/>
    <n v="49322"/>
    <n v="0"/>
    <n v="0"/>
    <n v="13"/>
    <n v="0"/>
    <n v="0"/>
    <n v="0"/>
    <n v="0"/>
    <m/>
    <n v="45746.999999999993"/>
    <n v="0"/>
    <n v="0"/>
    <n v="0"/>
    <n v="13"/>
    <n v="45746.999999999993"/>
    <n v="0"/>
    <n v="0"/>
    <n v="13"/>
    <n v="0"/>
    <m/>
    <n v="0"/>
    <n v="0"/>
    <n v="45746.999999999993"/>
    <n v="0"/>
    <n v="0"/>
    <n v="0"/>
    <n v="13"/>
    <n v="45746.999999999993"/>
    <n v="0"/>
    <n v="0"/>
    <n v="13"/>
    <n v="0"/>
    <n v="0"/>
    <n v="0"/>
    <n v="45746.999999999993"/>
    <n v="0"/>
    <n v="0"/>
    <n v="0"/>
    <n v="13"/>
    <n v="45746.999999999993"/>
    <n v="0"/>
    <n v="0"/>
    <n v="13"/>
    <n v="0"/>
    <n v="0"/>
    <m/>
    <n v="45746.999999999993"/>
    <n v="0"/>
    <n v="0"/>
    <n v="13"/>
    <n v="45746.999999999993"/>
    <n v="0"/>
  </r>
  <r>
    <s v="Lhotse-Hidratación"/>
    <x v="4"/>
    <x v="19"/>
    <x v="44"/>
    <s v="LHBOIND"/>
    <x v="292"/>
    <x v="279"/>
    <x v="0"/>
    <x v="2"/>
    <n v="1"/>
    <x v="188"/>
    <n v="4"/>
    <m/>
    <n v="0"/>
    <n v="3794"/>
    <n v="15176"/>
    <n v="3.4"/>
    <n v="3714.4999999999995"/>
    <n v="10915.966386554623"/>
    <n v="10915.966386554623"/>
    <s v="Shenzhen"/>
    <x v="0"/>
    <n v="30"/>
    <m/>
    <n v="200"/>
    <n v="3"/>
    <n v="0.58973399653979242"/>
    <n v="6"/>
    <n v="0.55268745578872913"/>
    <n v="8"/>
    <n v="0.64359426631410999"/>
    <n v="8"/>
    <n v="0.63666923817673149"/>
    <n v="9"/>
    <n v="0.54584766388700479"/>
    <n v="85"/>
    <n v="0.50989161914898185"/>
    <n v="14"/>
    <n v="0.54040213138708337"/>
    <n v="17"/>
    <n v="0.54320611606067903"/>
    <n v="6"/>
    <n v="0.57507139790566131"/>
    <n v="5"/>
    <n v="0.575117424041382"/>
    <n v="-1"/>
    <n v="0.54805122096485992"/>
    <n v="0"/>
    <s v=""/>
    <n v="2"/>
    <n v="0.55264708601657098"/>
    <n v="1"/>
    <n v="0.53675307959165863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0"/>
    <n v="4"/>
    <n v="0"/>
    <n v="0"/>
    <n v="0"/>
    <n v="0"/>
    <n v="5691"/>
    <n v="14075.999999999998"/>
    <n v="0"/>
    <n v="0"/>
    <n v="4"/>
    <n v="15176"/>
    <n v="0"/>
    <n v="0"/>
    <n v="4"/>
    <n v="1.5"/>
    <n v="0"/>
    <n v="0"/>
    <n v="0"/>
    <n v="5691"/>
    <n v="14075.999999999998"/>
    <n v="5691"/>
    <n v="0"/>
    <n v="4"/>
    <n v="15176"/>
    <n v="13759.621495657088"/>
    <n v="0"/>
    <n v="3"/>
    <n v="0"/>
    <n v="0"/>
    <n v="0"/>
    <n v="0"/>
    <n v="11382"/>
    <n v="0"/>
    <n v="0"/>
    <n v="4"/>
    <n v="15176"/>
    <n v="0"/>
    <n v="0"/>
    <n v="3"/>
    <n v="0"/>
    <n v="0"/>
    <n v="0"/>
    <n v="10556.999999999998"/>
    <n v="0"/>
    <x v="0"/>
    <x v="0"/>
    <n v="4"/>
    <n v="15176"/>
    <n v="0"/>
    <n v="0"/>
    <n v="4"/>
    <n v="0"/>
    <m/>
    <n v="0"/>
    <n v="0"/>
    <n v="15176"/>
    <n v="0"/>
    <x v="0"/>
    <n v="0"/>
    <n v="4"/>
    <n v="15176"/>
    <n v="0"/>
    <n v="0"/>
    <n v="4"/>
    <n v="0"/>
    <m/>
    <n v="0"/>
    <n v="0"/>
    <n v="15176"/>
    <n v="0"/>
    <n v="0"/>
    <n v="0"/>
    <n v="4"/>
    <n v="15176"/>
    <n v="0"/>
    <n v="0"/>
    <n v="4"/>
    <n v="0"/>
    <n v="0"/>
    <n v="0"/>
    <n v="0"/>
    <n v="15176"/>
    <n v="0"/>
    <n v="0"/>
    <n v="0"/>
    <n v="4"/>
    <n v="15176"/>
    <n v="0"/>
    <n v="0"/>
    <n v="4"/>
    <n v="0"/>
    <n v="0"/>
    <n v="0"/>
    <n v="0"/>
    <n v="15176"/>
    <n v="0"/>
    <n v="0"/>
    <n v="0"/>
    <n v="4"/>
    <n v="15176"/>
    <n v="0"/>
    <n v="0"/>
    <n v="4"/>
    <n v="0"/>
    <n v="0"/>
    <n v="0"/>
    <n v="0"/>
    <n v="14075.999999999998"/>
    <n v="0"/>
    <n v="0"/>
    <n v="0"/>
    <n v="4"/>
    <n v="15176"/>
    <n v="0"/>
    <n v="0"/>
    <n v="4"/>
    <n v="0"/>
    <n v="0"/>
    <n v="0"/>
    <n v="0"/>
    <m/>
    <n v="14075.999999999998"/>
    <n v="0"/>
    <n v="0"/>
    <n v="0"/>
    <n v="4"/>
    <n v="14075.999999999998"/>
    <n v="0"/>
    <n v="0"/>
    <n v="4"/>
    <n v="0"/>
    <m/>
    <n v="0"/>
    <n v="0"/>
    <n v="14075.999999999998"/>
    <n v="0"/>
    <n v="0"/>
    <n v="0"/>
    <n v="4"/>
    <n v="14075.999999999998"/>
    <n v="0"/>
    <n v="0"/>
    <n v="4"/>
    <n v="0"/>
    <n v="0"/>
    <n v="0"/>
    <n v="14075.999999999998"/>
    <n v="0"/>
    <n v="0"/>
    <n v="0"/>
    <n v="4"/>
    <n v="14075.999999999998"/>
    <n v="0"/>
    <n v="0"/>
    <n v="4"/>
    <n v="0"/>
    <n v="0"/>
    <m/>
    <n v="14075.999999999998"/>
    <n v="0"/>
    <n v="0"/>
    <n v="4"/>
    <n v="14075.999999999998"/>
    <n v="0"/>
  </r>
  <r>
    <s v="Lhotse-Hidratación"/>
    <x v="4"/>
    <x v="19"/>
    <x v="44"/>
    <s v="LHBOIND"/>
    <x v="293"/>
    <x v="280"/>
    <x v="0"/>
    <x v="2"/>
    <n v="1"/>
    <x v="189"/>
    <n v="10"/>
    <m/>
    <n v="0"/>
    <n v="3794"/>
    <n v="37940"/>
    <n v="3.4"/>
    <n v="3714.4999999999995"/>
    <n v="10915.966386554623"/>
    <n v="10915.966386554623"/>
    <s v="Shenzhen"/>
    <x v="0"/>
    <n v="30"/>
    <m/>
    <n v="200"/>
    <n v="8"/>
    <n v="0.60579453493875768"/>
    <n v="9"/>
    <n v="0.64264649251615957"/>
    <n v="5"/>
    <n v="0.64881430607749135"/>
    <n v="3"/>
    <n v="0.65242396482227927"/>
    <n v="3"/>
    <n v="0.5342899226709219"/>
    <n v="7"/>
    <n v="0.54804764740917211"/>
    <n v="24"/>
    <n v="0.47037135768224536"/>
    <n v="17"/>
    <n v="0.5263870539276323"/>
    <n v="6"/>
    <n v="0.47545090625052033"/>
    <n v="7"/>
    <n v="0.49250300957330945"/>
    <n v="27"/>
    <n v="0.53241097878827992"/>
    <n v="19"/>
    <n v="0.54806408590446754"/>
    <n v="12"/>
    <n v="0.48227235379565259"/>
    <n v="8"/>
    <n v="0.37803014381472755"/>
    <n v="2"/>
    <n v="0.42993234627533988"/>
    <n v="3"/>
    <n v="0.55906082718934946"/>
    <n v="0"/>
    <n v="0"/>
    <s v=""/>
    <n v="0"/>
    <n v="0"/>
    <s v=""/>
    <n v="0"/>
    <n v="1"/>
    <n v="0.5583290941107415"/>
    <n v="0"/>
    <n v="0"/>
    <s v=""/>
    <n v="0"/>
    <n v="0"/>
    <s v=""/>
    <n v="0"/>
    <m/>
    <m/>
    <m/>
    <m/>
    <m/>
    <m/>
    <m/>
    <m/>
    <m/>
    <n v="10"/>
    <n v="28"/>
    <n v="10"/>
    <n v="0"/>
    <n v="0"/>
    <n v="0"/>
    <n v="91056"/>
    <n v="98531.999999999985"/>
    <n v="37940"/>
    <n v="0"/>
    <n v="10"/>
    <n v="37940"/>
    <n v="91730.80997104726"/>
    <n v="0"/>
    <n v="15"/>
    <n v="12"/>
    <n v="0"/>
    <n v="0"/>
    <n v="0"/>
    <n v="64498"/>
    <n v="52784.999999999993"/>
    <n v="45528"/>
    <n v="0"/>
    <n v="10"/>
    <n v="37940"/>
    <n v="110076.9719652567"/>
    <n v="0"/>
    <n v="7"/>
    <n v="2"/>
    <n v="0"/>
    <n v="0"/>
    <n v="29527"/>
    <n v="26558"/>
    <n v="7588"/>
    <n v="0"/>
    <n v="10"/>
    <n v="37940"/>
    <n v="21831.932773109245"/>
    <n v="0"/>
    <n v="6"/>
    <n v="3"/>
    <n v="0"/>
    <n v="0"/>
    <n v="21113.999999999996"/>
    <n v="11382"/>
    <x v="0"/>
    <x v="0"/>
    <n v="10"/>
    <n v="37940"/>
    <n v="32747.899159663866"/>
    <n v="3"/>
    <n v="10"/>
    <n v="3"/>
    <m/>
    <n v="0"/>
    <n v="0"/>
    <n v="37940"/>
    <n v="10556.999999999998"/>
    <x v="0"/>
    <n v="0"/>
    <n v="10"/>
    <n v="37940"/>
    <n v="32747.899159663866"/>
    <n v="0"/>
    <n v="10"/>
    <n v="0"/>
    <m/>
    <n v="0"/>
    <n v="0"/>
    <n v="37940"/>
    <n v="0"/>
    <n v="0"/>
    <n v="0"/>
    <n v="10"/>
    <n v="37940"/>
    <n v="0"/>
    <n v="0"/>
    <n v="11"/>
    <n v="1"/>
    <n v="0"/>
    <n v="0"/>
    <n v="0"/>
    <n v="41734"/>
    <n v="3518.9999999999995"/>
    <n v="0"/>
    <n v="0"/>
    <n v="11"/>
    <n v="37940"/>
    <n v="10915.966386554623"/>
    <n v="0"/>
    <n v="10"/>
    <n v="0"/>
    <n v="0"/>
    <n v="0"/>
    <n v="0"/>
    <n v="37940"/>
    <n v="0"/>
    <n v="0"/>
    <n v="0"/>
    <n v="10"/>
    <n v="37940"/>
    <n v="0"/>
    <n v="0"/>
    <n v="10"/>
    <n v="0"/>
    <n v="0"/>
    <n v="0"/>
    <n v="0"/>
    <n v="35189.999999999993"/>
    <n v="0"/>
    <n v="0"/>
    <n v="0"/>
    <n v="10"/>
    <n v="37940"/>
    <n v="0"/>
    <n v="0"/>
    <n v="10"/>
    <n v="0"/>
    <n v="0"/>
    <n v="0"/>
    <n v="0"/>
    <m/>
    <n v="35189.999999999993"/>
    <n v="0"/>
    <n v="0"/>
    <n v="0"/>
    <n v="10"/>
    <n v="35189.999999999993"/>
    <n v="0"/>
    <n v="0"/>
    <n v="10"/>
    <n v="0"/>
    <m/>
    <n v="0"/>
    <n v="0"/>
    <n v="35189.999999999993"/>
    <n v="0"/>
    <n v="0"/>
    <n v="0"/>
    <n v="10"/>
    <n v="35189.999999999993"/>
    <n v="0"/>
    <n v="0"/>
    <n v="10"/>
    <n v="0"/>
    <n v="0"/>
    <n v="0"/>
    <n v="35189.999999999993"/>
    <n v="0"/>
    <n v="0"/>
    <n v="0"/>
    <n v="10"/>
    <n v="35189.999999999993"/>
    <n v="0"/>
    <n v="0"/>
    <n v="10"/>
    <n v="0"/>
    <n v="0"/>
    <m/>
    <n v="35189.999999999993"/>
    <n v="0"/>
    <n v="0"/>
    <n v="10"/>
    <n v="35189.999999999993"/>
    <n v="0"/>
  </r>
  <r>
    <s v="Lhotse-Hidratación"/>
    <x v="4"/>
    <x v="19"/>
    <x v="44"/>
    <s v="LHMUTER590"/>
    <x v="294"/>
    <x v="281"/>
    <x v="0"/>
    <x v="4"/>
    <n v="1"/>
    <x v="31"/>
    <n v="478"/>
    <m/>
    <n v="0"/>
    <n v="3824"/>
    <n v="1827872"/>
    <n v="3.5"/>
    <n v="3501.7499999999995"/>
    <n v="8827.9411764705874"/>
    <n v="7503.7499999999991"/>
    <s v="Ningbo"/>
    <x v="0"/>
    <n v="30"/>
    <m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7"/>
    <s v=""/>
    <n v="0.23333333333333334"/>
    <n v="11"/>
    <s v=""/>
    <n v="0.366666666666666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478"/>
    <n v="1827872"/>
    <n v="0"/>
    <n v="0"/>
    <n v="0"/>
    <n v="0"/>
    <n v="0"/>
    <n v="0"/>
    <n v="0"/>
    <n v="0"/>
    <x v="0"/>
    <x v="0"/>
    <n v="478"/>
    <n v="1827872"/>
    <n v="0"/>
    <n v="0"/>
    <n v="478"/>
    <n v="0"/>
    <m/>
    <m/>
    <n v="0"/>
    <n v="1827872"/>
    <n v="0"/>
    <x v="0"/>
    <n v="0"/>
    <n v="478"/>
    <n v="1827872"/>
    <n v="0"/>
    <n v="0"/>
    <n v="478"/>
    <n v="0"/>
    <m/>
    <n v="0"/>
    <n v="0"/>
    <n v="1827872"/>
    <n v="0"/>
    <n v="0"/>
    <n v="0"/>
    <n v="478"/>
    <n v="1827872"/>
    <n v="0"/>
    <n v="0"/>
    <n v="478"/>
    <n v="0"/>
    <n v="500"/>
    <n v="0"/>
    <n v="0"/>
    <n v="1827872"/>
    <n v="0"/>
    <n v="1750874.9999999998"/>
    <n v="0"/>
    <n v="478"/>
    <n v="1827872"/>
    <n v="0"/>
    <n v="30"/>
    <n v="485"/>
    <n v="7"/>
    <n v="0"/>
    <n v="500"/>
    <n v="0"/>
    <n v="1854640"/>
    <n v="25357.499999999996"/>
    <n v="0"/>
    <n v="0"/>
    <n v="485"/>
    <n v="1854640"/>
    <n v="61795.588235294112"/>
    <n v="30"/>
    <n v="489"/>
    <n v="15"/>
    <n v="0"/>
    <n v="0"/>
    <n v="0"/>
    <n v="1771402.4999999998"/>
    <n v="54337.499999999993"/>
    <n v="0"/>
    <n v="0"/>
    <n v="478"/>
    <n v="1827872"/>
    <n v="132419.1176470588"/>
    <n v="40"/>
    <n v="474"/>
    <n v="40"/>
    <n v="0"/>
    <n v="0"/>
    <n v="0"/>
    <m/>
    <n v="1717064.9999999998"/>
    <n v="144899.99999999997"/>
    <n v="0"/>
    <n v="0"/>
    <n v="474"/>
    <n v="1717064.9999999998"/>
    <n v="300149.99999999994"/>
    <n v="40"/>
    <n v="434"/>
    <n v="40"/>
    <m/>
    <n v="0"/>
    <n v="0"/>
    <n v="1572164.9999999998"/>
    <n v="144899.99999999997"/>
    <n v="0"/>
    <n v="0"/>
    <n v="434"/>
    <n v="1572164.9999999998"/>
    <n v="300149.99999999994"/>
    <n v="80"/>
    <n v="394"/>
    <n v="80"/>
    <n v="0"/>
    <n v="0"/>
    <n v="1427264.9999999998"/>
    <n v="289799.99999999994"/>
    <n v="0"/>
    <n v="0"/>
    <n v="394"/>
    <n v="1427264.9999999998"/>
    <n v="706235.29411764699"/>
    <n v="24"/>
    <n v="314"/>
    <n v="24"/>
    <n v="0"/>
    <m/>
    <n v="1137464.9999999998"/>
    <n v="91776"/>
    <n v="0"/>
    <n v="314"/>
    <n v="1137464.9999999998"/>
    <n v="211870.5882352941"/>
  </r>
  <r>
    <s v="Lhotse-Hidratación"/>
    <x v="4"/>
    <x v="19"/>
    <x v="44"/>
    <s v="LHMUTER590"/>
    <x v="295"/>
    <x v="282"/>
    <x v="0"/>
    <x v="4"/>
    <n v="1"/>
    <x v="31"/>
    <n v="438"/>
    <m/>
    <n v="0"/>
    <n v="3824"/>
    <n v="1674912"/>
    <n v="3.5"/>
    <n v="3501.7499999999995"/>
    <n v="8827.9411764705874"/>
    <n v="7503.7499999999991"/>
    <s v="Ningbo"/>
    <x v="0"/>
    <n v="30"/>
    <m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11"/>
    <s v=""/>
    <n v="0.22"/>
    <n v="25"/>
    <s v=""/>
    <n v="0.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438"/>
    <n v="1674912"/>
    <n v="0"/>
    <n v="0"/>
    <n v="0"/>
    <n v="0"/>
    <n v="0"/>
    <n v="0"/>
    <n v="0"/>
    <n v="0"/>
    <x v="0"/>
    <x v="0"/>
    <n v="438"/>
    <n v="1674912"/>
    <n v="0"/>
    <n v="0"/>
    <n v="438"/>
    <n v="0"/>
    <m/>
    <m/>
    <n v="0"/>
    <n v="1674912"/>
    <n v="0"/>
    <x v="0"/>
    <n v="0"/>
    <n v="438"/>
    <n v="1674912"/>
    <n v="0"/>
    <n v="0"/>
    <n v="438"/>
    <n v="0"/>
    <m/>
    <n v="0"/>
    <n v="0"/>
    <n v="1674912"/>
    <n v="0"/>
    <n v="0"/>
    <n v="0"/>
    <n v="438"/>
    <n v="1674912"/>
    <n v="0"/>
    <n v="0"/>
    <n v="438"/>
    <n v="0"/>
    <n v="500"/>
    <n v="0"/>
    <n v="0"/>
    <n v="1674912"/>
    <n v="0"/>
    <n v="1750874.9999999998"/>
    <n v="0"/>
    <n v="438"/>
    <n v="1674912"/>
    <n v="0"/>
    <n v="50"/>
    <n v="449"/>
    <n v="11"/>
    <n v="0"/>
    <n v="500"/>
    <n v="0"/>
    <n v="1716976"/>
    <n v="39847.499999999993"/>
    <n v="0"/>
    <n v="0"/>
    <n v="449"/>
    <n v="1716976"/>
    <n v="97107.352941176461"/>
    <n v="50"/>
    <n v="463"/>
    <n v="25.5"/>
    <n v="0"/>
    <n v="0"/>
    <n v="0"/>
    <n v="1677217.4999999998"/>
    <n v="92373.749999999985"/>
    <n v="0"/>
    <n v="0"/>
    <n v="438"/>
    <n v="1674912"/>
    <n v="225112.49999999997"/>
    <n v="80"/>
    <n v="437.5"/>
    <n v="80"/>
    <n v="0"/>
    <n v="0"/>
    <n v="0"/>
    <m/>
    <n v="1584843.7499999998"/>
    <n v="289799.99999999994"/>
    <n v="0"/>
    <n v="0"/>
    <n v="437.5"/>
    <n v="1584843.7499999998"/>
    <n v="600299.99999999988"/>
    <n v="60"/>
    <n v="357.5"/>
    <n v="60"/>
    <m/>
    <n v="0"/>
    <n v="0"/>
    <n v="1295043.7499999998"/>
    <n v="217349.99999999997"/>
    <n v="0"/>
    <n v="0"/>
    <n v="357.5"/>
    <n v="1295043.7499999998"/>
    <n v="450224.99999999994"/>
    <n v="100"/>
    <n v="297.5"/>
    <n v="100"/>
    <n v="0"/>
    <n v="0"/>
    <n v="1077693.7499999998"/>
    <n v="362249.99999999994"/>
    <n v="0"/>
    <n v="0"/>
    <n v="297.5"/>
    <n v="1077693.7499999998"/>
    <n v="882794.1176470588"/>
    <n v="36"/>
    <n v="197.5"/>
    <n v="36"/>
    <n v="0"/>
    <m/>
    <n v="715443.74999999988"/>
    <n v="137664"/>
    <n v="0"/>
    <n v="197.5"/>
    <n v="715443.74999999988"/>
    <n v="317805.88235294115"/>
  </r>
  <r>
    <s v="Lhotse-Hidratación"/>
    <x v="4"/>
    <x v="19"/>
    <x v="44"/>
    <s v="LHMUTER590"/>
    <x v="296"/>
    <x v="283"/>
    <x v="0"/>
    <x v="4"/>
    <n v="1"/>
    <x v="31"/>
    <n v="468"/>
    <m/>
    <n v="0"/>
    <n v="3824"/>
    <n v="1789632"/>
    <n v="3.5"/>
    <n v="3501.7499999999995"/>
    <n v="8827.9411764705874"/>
    <n v="7503.7499999999991"/>
    <s v="Ningbo"/>
    <x v="0"/>
    <n v="30"/>
    <m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5"/>
    <s v=""/>
    <n v="0.16666666666666666"/>
    <n v="11"/>
    <s v=""/>
    <n v="0.366666666666666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468"/>
    <n v="1789632"/>
    <n v="0"/>
    <n v="0"/>
    <n v="0"/>
    <n v="0"/>
    <n v="0"/>
    <n v="0"/>
    <n v="0"/>
    <n v="0"/>
    <x v="0"/>
    <x v="0"/>
    <n v="468"/>
    <n v="1789632"/>
    <n v="0"/>
    <n v="0"/>
    <n v="468"/>
    <n v="0"/>
    <m/>
    <m/>
    <n v="0"/>
    <n v="1789632"/>
    <n v="0"/>
    <x v="0"/>
    <n v="0"/>
    <n v="468"/>
    <n v="1789632"/>
    <n v="0"/>
    <n v="0"/>
    <n v="468"/>
    <n v="0"/>
    <m/>
    <n v="0"/>
    <n v="0"/>
    <n v="1789632"/>
    <n v="0"/>
    <n v="0"/>
    <n v="0"/>
    <n v="468"/>
    <n v="1789632"/>
    <n v="0"/>
    <n v="0"/>
    <n v="468"/>
    <n v="0"/>
    <n v="500"/>
    <n v="0"/>
    <n v="0"/>
    <n v="1789632"/>
    <n v="0"/>
    <n v="1750874.9999999998"/>
    <n v="0"/>
    <n v="468"/>
    <n v="1789632"/>
    <n v="0"/>
    <n v="30"/>
    <n v="473"/>
    <n v="5"/>
    <n v="0"/>
    <n v="500"/>
    <n v="0"/>
    <n v="1808752"/>
    <n v="18112.499999999996"/>
    <n v="0"/>
    <n v="0"/>
    <n v="473"/>
    <n v="1808752"/>
    <n v="44139.705882352937"/>
    <n v="30"/>
    <n v="479"/>
    <n v="12"/>
    <n v="0"/>
    <n v="0"/>
    <n v="0"/>
    <n v="1735177.4999999998"/>
    <n v="43469.999999999993"/>
    <n v="0"/>
    <n v="0"/>
    <n v="468"/>
    <n v="1789632"/>
    <n v="105935.29411764705"/>
    <n v="40"/>
    <n v="467"/>
    <n v="40"/>
    <n v="0"/>
    <n v="0"/>
    <n v="0"/>
    <m/>
    <n v="1691707.4999999998"/>
    <n v="144899.99999999997"/>
    <n v="0"/>
    <n v="0"/>
    <n v="467"/>
    <n v="1691707.4999999998"/>
    <n v="300149.99999999994"/>
    <n v="40"/>
    <n v="427"/>
    <n v="40"/>
    <m/>
    <n v="0"/>
    <n v="0"/>
    <n v="1546807.4999999998"/>
    <n v="144899.99999999997"/>
    <n v="0"/>
    <n v="0"/>
    <n v="427"/>
    <n v="1546807.4999999998"/>
    <n v="300149.99999999994"/>
    <n v="80"/>
    <n v="387"/>
    <n v="80"/>
    <n v="0"/>
    <n v="0"/>
    <n v="1401907.4999999998"/>
    <n v="289799.99999999994"/>
    <n v="0"/>
    <n v="0"/>
    <n v="387"/>
    <n v="1401907.4999999998"/>
    <n v="706235.29411764699"/>
    <n v="24"/>
    <n v="307"/>
    <n v="24"/>
    <n v="0"/>
    <m/>
    <n v="1112107.4999999998"/>
    <n v="91776"/>
    <n v="0"/>
    <n v="307"/>
    <n v="1112107.4999999998"/>
    <n v="211870.5882352941"/>
  </r>
  <r>
    <s v="Lhotse-Hidratación"/>
    <x v="4"/>
    <x v="19"/>
    <x v="44"/>
    <s v="LHMUTER590"/>
    <x v="297"/>
    <x v="284"/>
    <x v="0"/>
    <x v="4"/>
    <n v="1"/>
    <x v="31"/>
    <n v="483"/>
    <m/>
    <n v="0"/>
    <n v="3824"/>
    <n v="1846992"/>
    <n v="3.5"/>
    <n v="3501.7499999999995"/>
    <n v="8827.9411764705874"/>
    <n v="7503.7499999999991"/>
    <s v="Ningbo"/>
    <x v="0"/>
    <n v="30"/>
    <m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4"/>
    <s v=""/>
    <n v="0.13333333333333333"/>
    <n v="12"/>
    <s v=""/>
    <n v="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483"/>
    <n v="1846992"/>
    <n v="0"/>
    <n v="0"/>
    <n v="0"/>
    <n v="0"/>
    <n v="0"/>
    <n v="0"/>
    <n v="0"/>
    <n v="0"/>
    <x v="0"/>
    <x v="0"/>
    <n v="483"/>
    <n v="1846992"/>
    <n v="0"/>
    <n v="0"/>
    <n v="483"/>
    <n v="0"/>
    <m/>
    <m/>
    <n v="0"/>
    <n v="1846992"/>
    <n v="0"/>
    <x v="0"/>
    <n v="0"/>
    <n v="483"/>
    <n v="1846992"/>
    <n v="0"/>
    <n v="0"/>
    <n v="483"/>
    <n v="0"/>
    <m/>
    <n v="0"/>
    <n v="0"/>
    <n v="1846992"/>
    <n v="0"/>
    <n v="0"/>
    <n v="0"/>
    <n v="483"/>
    <n v="1846992"/>
    <n v="0"/>
    <n v="0"/>
    <n v="483"/>
    <n v="0"/>
    <n v="500"/>
    <n v="0"/>
    <n v="0"/>
    <n v="1846992"/>
    <n v="0"/>
    <n v="1750874.9999999998"/>
    <n v="0"/>
    <n v="483"/>
    <n v="1846992"/>
    <n v="0"/>
    <n v="30"/>
    <n v="487"/>
    <n v="4"/>
    <n v="0"/>
    <n v="500"/>
    <n v="0"/>
    <n v="1862288"/>
    <n v="14489.999999999998"/>
    <n v="0"/>
    <n v="0"/>
    <n v="487"/>
    <n v="1862288"/>
    <n v="35311.76470588235"/>
    <n v="30"/>
    <n v="495"/>
    <n v="15"/>
    <n v="0"/>
    <n v="0"/>
    <n v="0"/>
    <n v="1793137.4999999998"/>
    <n v="54337.499999999993"/>
    <n v="0"/>
    <n v="0"/>
    <n v="483"/>
    <n v="1846992"/>
    <n v="132419.1176470588"/>
    <n v="40"/>
    <n v="480"/>
    <n v="40"/>
    <n v="0"/>
    <n v="0"/>
    <n v="0"/>
    <m/>
    <n v="1738799.9999999998"/>
    <n v="144899.99999999997"/>
    <n v="0"/>
    <n v="0"/>
    <n v="480"/>
    <n v="1738799.9999999998"/>
    <n v="300149.99999999994"/>
    <n v="40"/>
    <n v="440"/>
    <n v="40"/>
    <m/>
    <n v="0"/>
    <n v="0"/>
    <n v="1593899.9999999998"/>
    <n v="144899.99999999997"/>
    <n v="0"/>
    <n v="0"/>
    <n v="440"/>
    <n v="1593899.9999999998"/>
    <n v="300149.99999999994"/>
    <n v="80"/>
    <n v="400"/>
    <n v="80"/>
    <n v="0"/>
    <n v="0"/>
    <n v="1448999.9999999998"/>
    <n v="289799.99999999994"/>
    <n v="0"/>
    <n v="0"/>
    <n v="400"/>
    <n v="1448999.9999999998"/>
    <n v="706235.29411764699"/>
    <n v="24"/>
    <n v="320"/>
    <n v="24"/>
    <n v="0"/>
    <m/>
    <n v="1159199.9999999998"/>
    <n v="91776"/>
    <n v="0"/>
    <n v="320"/>
    <n v="1159199.9999999998"/>
    <n v="211870.5882352941"/>
  </r>
  <r>
    <s v="Lhotse-Hidratación"/>
    <x v="4"/>
    <x v="19"/>
    <x v="44"/>
    <s v="LHMUTER590"/>
    <x v="298"/>
    <x v="285"/>
    <x v="0"/>
    <x v="4"/>
    <n v="1"/>
    <x v="31"/>
    <n v="439"/>
    <m/>
    <n v="0"/>
    <n v="3824"/>
    <n v="1678736"/>
    <n v="3.5"/>
    <n v="3501.7499999999995"/>
    <n v="8827.9411764705874"/>
    <n v="7503.7499999999991"/>
    <s v="Ningbo"/>
    <x v="0"/>
    <n v="30"/>
    <m/>
    <n v="5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13"/>
    <s v=""/>
    <n v="0.26"/>
    <n v="27"/>
    <s v=""/>
    <n v="0.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439"/>
    <n v="1678736"/>
    <n v="0"/>
    <n v="0"/>
    <n v="0"/>
    <n v="0"/>
    <n v="0"/>
    <n v="0"/>
    <n v="0"/>
    <n v="0"/>
    <x v="0"/>
    <x v="0"/>
    <n v="439"/>
    <n v="1678736"/>
    <n v="0"/>
    <n v="0"/>
    <n v="439"/>
    <n v="0"/>
    <m/>
    <m/>
    <n v="0"/>
    <n v="1678736"/>
    <n v="0"/>
    <x v="0"/>
    <n v="0"/>
    <n v="439"/>
    <n v="1678736"/>
    <n v="0"/>
    <n v="0"/>
    <n v="439"/>
    <n v="0"/>
    <m/>
    <n v="0"/>
    <n v="0"/>
    <n v="1678736"/>
    <n v="0"/>
    <n v="0"/>
    <n v="0"/>
    <n v="439"/>
    <n v="1678736"/>
    <n v="0"/>
    <n v="0"/>
    <n v="439"/>
    <n v="0"/>
    <n v="500"/>
    <n v="0"/>
    <n v="0"/>
    <n v="1678736"/>
    <n v="0"/>
    <n v="1750874.9999999998"/>
    <n v="0"/>
    <n v="439"/>
    <n v="1678736"/>
    <n v="0"/>
    <n v="50"/>
    <n v="452"/>
    <n v="13"/>
    <n v="0"/>
    <n v="500"/>
    <n v="0"/>
    <n v="1728448"/>
    <n v="47092.499999999993"/>
    <n v="0"/>
    <n v="0"/>
    <n v="452"/>
    <n v="1728448"/>
    <n v="114763.23529411764"/>
    <n v="50"/>
    <n v="466"/>
    <n v="24"/>
    <n v="0"/>
    <n v="0"/>
    <n v="0"/>
    <n v="1688084.9999999998"/>
    <n v="86939.999999999985"/>
    <n v="0"/>
    <n v="0"/>
    <n v="439"/>
    <n v="1678736"/>
    <n v="211870.5882352941"/>
    <n v="80"/>
    <n v="442"/>
    <n v="80"/>
    <n v="0"/>
    <n v="0"/>
    <n v="0"/>
    <m/>
    <n v="1601144.9999999998"/>
    <n v="289799.99999999994"/>
    <n v="0"/>
    <n v="0"/>
    <n v="442"/>
    <n v="1601144.9999999998"/>
    <n v="600299.99999999988"/>
    <n v="60"/>
    <n v="362"/>
    <n v="60"/>
    <m/>
    <n v="0"/>
    <n v="0"/>
    <n v="1311344.9999999998"/>
    <n v="217349.99999999997"/>
    <n v="0"/>
    <n v="0"/>
    <n v="362"/>
    <n v="1311344.9999999998"/>
    <n v="450224.99999999994"/>
    <n v="100"/>
    <n v="302"/>
    <n v="100"/>
    <n v="0"/>
    <n v="0"/>
    <n v="1093994.9999999998"/>
    <n v="362249.99999999994"/>
    <n v="0"/>
    <n v="0"/>
    <n v="302"/>
    <n v="1093994.9999999998"/>
    <n v="882794.1176470588"/>
    <n v="36"/>
    <n v="202"/>
    <n v="36"/>
    <n v="0"/>
    <m/>
    <n v="731744.99999999988"/>
    <n v="137664"/>
    <n v="0"/>
    <n v="202"/>
    <n v="731744.99999999988"/>
    <n v="317805.88235294115"/>
  </r>
  <r>
    <s v="Lhotse-Hidratación"/>
    <x v="4"/>
    <x v="19"/>
    <x v="44"/>
    <s v="LHSHNUCO"/>
    <x v="299"/>
    <x v="286"/>
    <x v="0"/>
    <x v="1"/>
    <n v="1"/>
    <x v="31"/>
    <n v="0"/>
    <m/>
    <n v="0"/>
    <n v="4031.3249999999998"/>
    <n v="0"/>
    <n v="3.69"/>
    <n v="4031.3249999999998"/>
    <n v="10163.004201680671"/>
    <n v="8638.5535714285706"/>
    <s v="Ningbo"/>
    <x v="0"/>
    <n v="30"/>
    <m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n v="0"/>
    <n v="0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30"/>
    <n v="37"/>
    <n v="37"/>
    <n v="0"/>
    <n v="240"/>
    <n v="0"/>
    <n v="149159.02499999999"/>
    <n v="141308.54999999999"/>
    <n v="149159.02499999999"/>
    <n v="0"/>
    <n v="0"/>
    <n v="0"/>
    <n v="315992.56761528138"/>
    <n v="40"/>
    <n v="242"/>
    <n v="0"/>
    <n v="0"/>
    <n v="0"/>
    <n v="0"/>
    <n v="0"/>
    <n v="924234.29999999993"/>
    <n v="0"/>
    <n v="0"/>
    <n v="0"/>
    <n v="0"/>
    <n v="0"/>
    <n v="60"/>
    <n v="205"/>
    <n v="0"/>
    <n v="0"/>
    <n v="0"/>
    <n v="0"/>
    <n v="826421.625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0"/>
    <n v="0"/>
    <n v="500"/>
    <n v="500"/>
    <n v="0"/>
    <n v="0"/>
    <n v="0"/>
    <n v="1909574.9999999998"/>
    <n v="0"/>
    <n v="0"/>
    <n v="0"/>
    <n v="0"/>
    <n v="80"/>
    <n v="0"/>
    <n v="80"/>
    <n v="0"/>
    <n v="0"/>
    <n v="500"/>
    <n v="500"/>
    <n v="0"/>
    <n v="305532"/>
    <n v="0"/>
    <n v="1909574.9999999998"/>
    <n v="500"/>
    <n v="1909574.9999999998"/>
    <n v="691084.28571428568"/>
    <n v="70"/>
    <n v="420"/>
    <n v="70"/>
    <m/>
    <n v="0"/>
    <n v="0"/>
    <n v="1604042.9999999998"/>
    <n v="267340.5"/>
    <n v="0"/>
    <n v="0"/>
    <n v="420"/>
    <n v="1604042.9999999998"/>
    <n v="604698.75"/>
    <n v="100"/>
    <n v="350"/>
    <n v="100"/>
    <n v="0"/>
    <n v="0"/>
    <n v="1336702.4999999998"/>
    <n v="381914.99999999994"/>
    <n v="0"/>
    <n v="0"/>
    <n v="350"/>
    <n v="1336702.4999999998"/>
    <n v="1016300.4201680671"/>
    <n v="42"/>
    <n v="250"/>
    <n v="42"/>
    <n v="0"/>
    <m/>
    <n v="954787.49999999988"/>
    <n v="169315.65"/>
    <n v="0"/>
    <n v="250"/>
    <n v="954787.49999999988"/>
    <n v="426846.17647058819"/>
  </r>
  <r>
    <s v="Lhotse-Hidratación"/>
    <x v="4"/>
    <x v="19"/>
    <x v="44"/>
    <s v="LHSHNUCO"/>
    <x v="300"/>
    <x v="287"/>
    <x v="0"/>
    <x v="1"/>
    <n v="1"/>
    <x v="190"/>
    <n v="508"/>
    <m/>
    <n v="0"/>
    <n v="4187"/>
    <n v="2126996"/>
    <n v="3.69"/>
    <n v="4031.3249999999998"/>
    <n v="10915.966386554623"/>
    <n v="10915.966386554623"/>
    <s v="Ningbo"/>
    <x v="0"/>
    <n v="30"/>
    <m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7"/>
    <n v="0.55553366940624371"/>
    <n v="120"/>
    <n v="0.60167400628605572"/>
    <n v="0"/>
    <s v=""/>
    <n v="32"/>
    <n v="0.17970098142259902"/>
    <n v="151"/>
    <n v="0.36006612116139125"/>
    <n v="57"/>
    <n v="0.4640129600597202"/>
    <n v="0.56999999999999995"/>
    <n v="72"/>
    <n v="0.67011658626546844"/>
    <n v="0.72"/>
    <n v="118"/>
    <n v="0.34654813540312174"/>
    <n v="0.78666666666666663"/>
    <n v="76"/>
    <n v="0.66492180757021324"/>
    <n v="0.95"/>
    <n v="114"/>
    <n v="0.40247527619810802"/>
    <n v="1.425"/>
    <n v="105"/>
    <n v="0.4331462133115046"/>
    <n v="1.3125"/>
    <m/>
    <m/>
    <m/>
    <m/>
    <m/>
    <m/>
    <m/>
    <m/>
    <m/>
    <n v="5"/>
    <n v="3"/>
    <n v="5"/>
    <n v="0"/>
    <n v="240"/>
    <n v="0"/>
    <n v="854148"/>
    <n v="11457.449999999999"/>
    <n v="20935"/>
    <n v="0"/>
    <n v="508"/>
    <n v="2126996"/>
    <n v="45865.40498552363"/>
    <n v="60"/>
    <n v="240"/>
    <n v="48"/>
    <n v="0"/>
    <n v="0"/>
    <n v="0"/>
    <n v="1071872"/>
    <n v="916595.99999999988"/>
    <n v="200976"/>
    <n v="0"/>
    <n v="508"/>
    <n v="2126996"/>
    <n v="440307.8878610268"/>
    <n v="120"/>
    <n v="168"/>
    <n v="151"/>
    <n v="0"/>
    <n v="0"/>
    <n v="1252811"/>
    <n v="703416"/>
    <n v="632237"/>
    <n v="0"/>
    <n v="508"/>
    <n v="2126996"/>
    <n v="1648310.924369748"/>
    <n v="100"/>
    <n v="52"/>
    <n v="57"/>
    <n v="300"/>
    <n v="0"/>
    <n v="198595.8"/>
    <n v="238659"/>
    <x v="54"/>
    <x v="0"/>
    <n v="508"/>
    <n v="2126996"/>
    <n v="622210.08403361344"/>
    <n v="100"/>
    <n v="580"/>
    <n v="100"/>
    <m/>
    <n v="0"/>
    <n v="0"/>
    <n v="2428460"/>
    <n v="381914.99999999994"/>
    <x v="0"/>
    <n v="0"/>
    <n v="508"/>
    <n v="2126996"/>
    <n v="1091596.6386554623"/>
    <n v="150"/>
    <n v="626"/>
    <n v="118"/>
    <m/>
    <n v="0"/>
    <n v="0"/>
    <n v="2621062"/>
    <n v="450659.69999999995"/>
    <n v="0"/>
    <n v="0"/>
    <n v="626"/>
    <n v="2126996"/>
    <n v="1288084.0336134455"/>
    <n v="80"/>
    <n v="584"/>
    <n v="76"/>
    <n v="0"/>
    <n v="0"/>
    <n v="0"/>
    <n v="2445208"/>
    <n v="290255.39999999997"/>
    <n v="0"/>
    <n v="0"/>
    <n v="584"/>
    <n v="2126996"/>
    <n v="829613.44537815137"/>
    <n v="80"/>
    <n v="622"/>
    <n v="117"/>
    <n v="500"/>
    <n v="500"/>
    <n v="0"/>
    <n v="2604314"/>
    <n v="446840.54999999993"/>
    <n v="1909574.9999999998"/>
    <n v="0"/>
    <n v="622"/>
    <n v="2604314"/>
    <n v="1277168.0672268909"/>
    <n v="80"/>
    <n v="613"/>
    <n v="106.5"/>
    <n v="0"/>
    <n v="0"/>
    <n v="0"/>
    <n v="2341138.9499999997"/>
    <n v="406739.47499999998"/>
    <n v="0"/>
    <n v="0"/>
    <n v="508"/>
    <n v="2126996"/>
    <n v="1162550.4201680673"/>
    <n v="150"/>
    <n v="506.5"/>
    <n v="150"/>
    <n v="0"/>
    <n v="0"/>
    <n v="0"/>
    <m/>
    <n v="1934399.4749999999"/>
    <n v="572872.5"/>
    <n v="0"/>
    <n v="0"/>
    <n v="506.5"/>
    <n v="1934399.4749999999"/>
    <n v="1637394.9579831935"/>
    <n v="120"/>
    <n v="356.5"/>
    <n v="120"/>
    <m/>
    <n v="0"/>
    <n v="0"/>
    <n v="1361526.9749999999"/>
    <n v="458297.99999999994"/>
    <n v="0"/>
    <n v="0"/>
    <n v="356.5"/>
    <n v="1361526.9749999999"/>
    <n v="1309915.9663865548"/>
    <n v="200"/>
    <n v="236.5"/>
    <n v="200"/>
    <n v="0"/>
    <n v="0"/>
    <n v="903228.97499999986"/>
    <n v="763829.99999999988"/>
    <n v="0"/>
    <n v="0"/>
    <n v="236.5"/>
    <n v="903228.97499999986"/>
    <n v="2183193.2773109246"/>
    <n v="72"/>
    <n v="36.5"/>
    <n v="72"/>
    <n v="0"/>
    <m/>
    <n v="139398.97499999998"/>
    <n v="301464"/>
    <n v="0"/>
    <n v="36.5"/>
    <n v="139398.97499999998"/>
    <n v="785949.57983193279"/>
  </r>
  <r>
    <s v="Lhotse-Hidratación"/>
    <x v="4"/>
    <x v="19"/>
    <x v="44"/>
    <s v="LHSHNUCO"/>
    <x v="301"/>
    <x v="288"/>
    <x v="0"/>
    <x v="1"/>
    <n v="1.1000000000000001"/>
    <x v="191"/>
    <n v="0"/>
    <m/>
    <n v="0"/>
    <n v="3510"/>
    <n v="0"/>
    <n v="3.69"/>
    <n v="4031.3249999999998"/>
    <n v="10915.966386554623"/>
    <n v="10915.966386554623"/>
    <s v="Ningbo"/>
    <x v="0"/>
    <n v="30"/>
    <m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8"/>
    <n v="0.49763491524056935"/>
    <n v="102"/>
    <n v="0.57878788220273181"/>
    <n v="27"/>
    <n v="0.35358029909758765"/>
    <n v="10"/>
    <n v="0.27840001357856653"/>
    <n v="47"/>
    <n v="0.39886820643130233"/>
    <n v="64"/>
    <n v="0.52351324607158822"/>
    <n v="1.28"/>
    <n v="38"/>
    <n v="0.69892243530266718"/>
    <n v="1.2666666666666666"/>
    <n v="52"/>
    <n v="0.4801355650413574"/>
    <n v="1.04"/>
    <n v="22"/>
    <n v="0.69901488732582839"/>
    <n v="0.73333333333333328"/>
    <n v="11"/>
    <n v="0.47321041188389795"/>
    <n v="0.36666666666666664"/>
    <n v="0"/>
    <s v=""/>
    <n v="0"/>
    <m/>
    <m/>
    <m/>
    <m/>
    <m/>
    <m/>
    <m/>
    <m/>
    <m/>
    <n v="30"/>
    <n v="37"/>
    <n v="37"/>
    <n v="0"/>
    <n v="240"/>
    <n v="0"/>
    <n v="347490"/>
    <n v="141308.54999999999"/>
    <n v="129870"/>
    <n v="0"/>
    <n v="0"/>
    <n v="0"/>
    <n v="339403.99689287483"/>
    <n v="40"/>
    <n v="242"/>
    <n v="15"/>
    <n v="0"/>
    <n v="0"/>
    <n v="0"/>
    <n v="442260"/>
    <n v="924234.29999999993"/>
    <n v="52650"/>
    <n v="0"/>
    <n v="0"/>
    <n v="0"/>
    <n v="137596.21495657088"/>
    <n v="60"/>
    <n v="205"/>
    <n v="47"/>
    <n v="0"/>
    <n v="0"/>
    <n v="515641.94999999995"/>
    <n v="719550"/>
    <n v="164970"/>
    <n v="0"/>
    <n v="0"/>
    <n v="0"/>
    <n v="513050.42016806727"/>
    <n v="50"/>
    <n v="188"/>
    <n v="64"/>
    <n v="0"/>
    <n v="0"/>
    <n v="718000.2"/>
    <n v="224640"/>
    <x v="0"/>
    <x v="0"/>
    <n v="0"/>
    <n v="0"/>
    <n v="698621.84873949585"/>
    <n v="30"/>
    <n v="38"/>
    <n v="33"/>
    <m/>
    <n v="0"/>
    <n v="0"/>
    <n v="133380"/>
    <n v="126031.94999999998"/>
    <x v="0"/>
    <n v="0"/>
    <n v="0"/>
    <n v="0"/>
    <n v="360226.89075630257"/>
    <n v="50"/>
    <n v="52"/>
    <n v="52"/>
    <m/>
    <n v="0"/>
    <n v="0"/>
    <n v="182520"/>
    <n v="198595.8"/>
    <n v="0"/>
    <n v="0"/>
    <n v="52"/>
    <n v="0"/>
    <n v="567630.25210084033"/>
    <n v="30"/>
    <n v="22"/>
    <n v="22"/>
    <n v="0"/>
    <n v="0"/>
    <n v="0"/>
    <n v="77220"/>
    <n v="84021.299999999988"/>
    <n v="0"/>
    <n v="0"/>
    <n v="22"/>
    <n v="0"/>
    <n v="240151.26050420169"/>
    <n v="30"/>
    <n v="11"/>
    <n v="11"/>
    <n v="0"/>
    <n v="0"/>
    <n v="0"/>
    <n v="38610"/>
    <n v="42010.649999999994"/>
    <n v="0"/>
    <n v="0"/>
    <n v="11"/>
    <n v="38610"/>
    <n v="120075.63025210085"/>
    <n v="25"/>
    <n v="0"/>
    <n v="0"/>
    <n v="0"/>
    <n v="0"/>
    <n v="0"/>
    <n v="0"/>
    <n v="0"/>
    <n v="0"/>
    <n v="0"/>
    <n v="0"/>
    <n v="0"/>
    <n v="0"/>
    <n v="60"/>
    <n v="0"/>
    <n v="0"/>
    <n v="0"/>
    <n v="0"/>
    <n v="0"/>
    <m/>
    <n v="0"/>
    <n v="0"/>
    <n v="0"/>
    <n v="0"/>
    <n v="0"/>
    <n v="0"/>
    <n v="0"/>
    <n v="50"/>
    <n v="0"/>
    <n v="0"/>
    <m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30"/>
    <n v="0"/>
    <n v="33"/>
    <n v="0"/>
    <m/>
    <n v="0"/>
    <n v="115830"/>
    <n v="0"/>
    <n v="0"/>
    <n v="0"/>
    <n v="360226.89075630257"/>
  </r>
  <r>
    <s v="Lhotse-Hidratación"/>
    <x v="4"/>
    <x v="19"/>
    <x v="44"/>
    <s v="LHSHNUCO"/>
    <x v="302"/>
    <x v="289"/>
    <x v="0"/>
    <x v="1"/>
    <n v="1"/>
    <x v="31"/>
    <n v="0"/>
    <m/>
    <n v="0"/>
    <n v="4031.3249999999998"/>
    <n v="0"/>
    <n v="3.69"/>
    <n v="4031.3249999999998"/>
    <n v="10163.004201680671"/>
    <n v="8638.5535714285706"/>
    <s v="Ningbo"/>
    <x v="0"/>
    <n v="30"/>
    <m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n v="0"/>
    <n v="0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30"/>
    <n v="37"/>
    <n v="37"/>
    <n v="0"/>
    <n v="240"/>
    <n v="0"/>
    <n v="149159.02499999999"/>
    <n v="141308.54999999999"/>
    <n v="149159.02499999999"/>
    <n v="0"/>
    <n v="0"/>
    <n v="0"/>
    <n v="315992.56761528138"/>
    <n v="40"/>
    <n v="242"/>
    <n v="0"/>
    <n v="0"/>
    <n v="0"/>
    <n v="0"/>
    <n v="0"/>
    <n v="924234.29999999993"/>
    <n v="0"/>
    <n v="0"/>
    <n v="0"/>
    <n v="0"/>
    <n v="0"/>
    <n v="60"/>
    <n v="205"/>
    <n v="0"/>
    <n v="0"/>
    <n v="0"/>
    <n v="0"/>
    <n v="826421.625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0"/>
    <n v="0"/>
    <n v="500"/>
    <n v="500"/>
    <n v="0"/>
    <n v="0"/>
    <n v="0"/>
    <n v="1909574.9999999998"/>
    <n v="0"/>
    <n v="0"/>
    <n v="0"/>
    <n v="0"/>
    <n v="80"/>
    <n v="0"/>
    <n v="80"/>
    <n v="0"/>
    <n v="0"/>
    <n v="500"/>
    <n v="500"/>
    <n v="0"/>
    <n v="305532"/>
    <n v="0"/>
    <n v="1909574.9999999998"/>
    <n v="500"/>
    <n v="1909574.9999999998"/>
    <n v="691084.28571428568"/>
    <n v="70"/>
    <n v="420"/>
    <n v="70"/>
    <m/>
    <n v="0"/>
    <n v="0"/>
    <n v="1604042.9999999998"/>
    <n v="267340.5"/>
    <n v="0"/>
    <n v="0"/>
    <n v="420"/>
    <n v="1604042.9999999998"/>
    <n v="604698.75"/>
    <n v="100"/>
    <n v="350"/>
    <n v="100"/>
    <n v="0"/>
    <n v="0"/>
    <n v="1336702.4999999998"/>
    <n v="381914.99999999994"/>
    <n v="0"/>
    <n v="0"/>
    <n v="350"/>
    <n v="1336702.4999999998"/>
    <n v="1016300.4201680671"/>
    <n v="42"/>
    <n v="250"/>
    <n v="42"/>
    <n v="0"/>
    <m/>
    <n v="954787.49999999988"/>
    <n v="169315.65"/>
    <n v="0"/>
    <n v="250"/>
    <n v="954787.49999999988"/>
    <n v="426846.17647058819"/>
  </r>
  <r>
    <s v="Lhotse-Hidratación"/>
    <x v="4"/>
    <x v="19"/>
    <x v="44"/>
    <s v="LHSHNUCO"/>
    <x v="303"/>
    <x v="290"/>
    <x v="0"/>
    <x v="1"/>
    <n v="1"/>
    <x v="192"/>
    <n v="393"/>
    <m/>
    <n v="0"/>
    <n v="4209"/>
    <n v="1654137"/>
    <n v="3.69"/>
    <n v="4031.3249999999998"/>
    <n v="10915.966386554623"/>
    <n v="10915.966386554623"/>
    <s v="Ningbo"/>
    <x v="0"/>
    <n v="30"/>
    <m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4"/>
    <n v="0.51959811087707475"/>
    <n v="125"/>
    <n v="0.58935289513806022"/>
    <n v="0"/>
    <s v=""/>
    <n v="25"/>
    <n v="0.21854527147250483"/>
    <n v="164"/>
    <n v="0.13678412445436697"/>
    <n v="55"/>
    <n v="0.49561141662068903"/>
    <n v="0.55000000000000004"/>
    <n v="86"/>
    <n v="0.67504698533095941"/>
    <n v="0.86"/>
    <n v="128"/>
    <n v="0.44038707784108461"/>
    <n v="0.85333333333333339"/>
    <n v="96"/>
    <n v="0.66673503688532232"/>
    <n v="1.2"/>
    <n v="129"/>
    <n v="0.41633253498032952"/>
    <n v="1.6125"/>
    <n v="145"/>
    <n v="0.42157367360609305"/>
    <n v="1.8125"/>
    <m/>
    <m/>
    <m/>
    <m/>
    <m/>
    <m/>
    <m/>
    <m/>
    <m/>
    <n v="5"/>
    <n v="2"/>
    <n v="5"/>
    <n v="0"/>
    <n v="240"/>
    <n v="0"/>
    <n v="869158.5"/>
    <n v="7638.2999999999993"/>
    <n v="21045"/>
    <n v="0"/>
    <n v="393"/>
    <n v="1654137"/>
    <n v="45865.40498552363"/>
    <n v="60"/>
    <n v="240"/>
    <n v="37.5"/>
    <n v="0"/>
    <n v="0"/>
    <n v="0"/>
    <n v="1079608.5"/>
    <n v="916595.99999999988"/>
    <n v="157837.5"/>
    <n v="0"/>
    <n v="393"/>
    <n v="1654137"/>
    <n v="343990.53739142721"/>
    <n v="120"/>
    <n v="186"/>
    <n v="164"/>
    <n v="0"/>
    <n v="0"/>
    <n v="1303686"/>
    <n v="782874"/>
    <n v="690276"/>
    <n v="0"/>
    <n v="393"/>
    <n v="1654137"/>
    <n v="1790218.487394958"/>
    <n v="100"/>
    <n v="54"/>
    <n v="55"/>
    <n v="300"/>
    <n v="0"/>
    <n v="206234.09999999998"/>
    <n v="231495"/>
    <x v="54"/>
    <x v="0"/>
    <n v="393"/>
    <n v="1654137"/>
    <n v="600378.15126050427"/>
    <n v="100"/>
    <n v="479"/>
    <n v="100"/>
    <m/>
    <n v="0"/>
    <n v="0"/>
    <n v="2016111"/>
    <n v="381914.99999999994"/>
    <x v="0"/>
    <n v="0"/>
    <n v="393"/>
    <n v="1654137"/>
    <n v="1091596.6386554623"/>
    <n v="150"/>
    <n v="521"/>
    <n v="128"/>
    <m/>
    <n v="0"/>
    <n v="0"/>
    <n v="2192889"/>
    <n v="488851.19999999995"/>
    <n v="0"/>
    <n v="0"/>
    <n v="521"/>
    <n v="1654137"/>
    <n v="1397243.6974789917"/>
    <n v="80"/>
    <n v="489"/>
    <n v="96"/>
    <n v="0"/>
    <n v="0"/>
    <n v="0"/>
    <n v="2058201"/>
    <n v="366638.39999999997"/>
    <n v="0"/>
    <n v="0"/>
    <n v="489"/>
    <n v="1654137"/>
    <n v="1047932.7731092437"/>
    <n v="80"/>
    <n v="522"/>
    <n v="133"/>
    <n v="500"/>
    <n v="500"/>
    <n v="0"/>
    <n v="2197098"/>
    <n v="507946.94999999995"/>
    <n v="1909574.9999999998"/>
    <n v="0"/>
    <n v="522"/>
    <n v="2197098"/>
    <n v="1451823.5294117648"/>
    <n v="80"/>
    <n v="538"/>
    <n v="156"/>
    <n v="0"/>
    <n v="0"/>
    <n v="0"/>
    <n v="2054702.6999999997"/>
    <n v="595787.39999999991"/>
    <n v="0"/>
    <n v="0"/>
    <n v="393"/>
    <n v="1654137"/>
    <n v="1702890.7563025211"/>
    <n v="150"/>
    <n v="382"/>
    <n v="150"/>
    <n v="0"/>
    <n v="0"/>
    <n v="0"/>
    <m/>
    <n v="1458915.2999999998"/>
    <n v="572872.5"/>
    <n v="0"/>
    <n v="0"/>
    <n v="382"/>
    <n v="1458915.2999999998"/>
    <n v="1637394.9579831935"/>
    <n v="120"/>
    <n v="232"/>
    <n v="120"/>
    <m/>
    <n v="0"/>
    <n v="0"/>
    <n v="886042.79999999993"/>
    <n v="458297.99999999994"/>
    <n v="0"/>
    <n v="0"/>
    <n v="232"/>
    <n v="886042.79999999993"/>
    <n v="1309915.9663865548"/>
    <n v="200"/>
    <n v="112"/>
    <n v="112"/>
    <n v="0"/>
    <n v="0"/>
    <n v="427744.79999999993"/>
    <n v="427744.79999999993"/>
    <n v="0"/>
    <n v="0"/>
    <n v="112"/>
    <n v="427744.79999999993"/>
    <n v="1222588.2352941178"/>
    <n v="72"/>
    <n v="0"/>
    <n v="72"/>
    <n v="0"/>
    <m/>
    <n v="0"/>
    <n v="303048"/>
    <n v="0"/>
    <n v="0"/>
    <n v="0"/>
    <n v="785949.57983193279"/>
  </r>
  <r>
    <s v="Lhotse-Hidratación"/>
    <x v="4"/>
    <x v="19"/>
    <x v="44"/>
    <s v="LHTPHY01"/>
    <x v="304"/>
    <x v="291"/>
    <x v="0"/>
    <x v="2"/>
    <n v="1"/>
    <x v="31"/>
    <n v="182"/>
    <m/>
    <n v="0"/>
    <n v="859"/>
    <n v="156338"/>
    <n v="0.5"/>
    <n v="546.25"/>
    <n v="3352.9411764705883"/>
    <n v="3352.9411764705883"/>
    <s v="Shenzhen"/>
    <x v="0"/>
    <n v="30"/>
    <m/>
    <n v="100"/>
    <n v="34"/>
    <n v="0.73618848792126457"/>
    <n v="21"/>
    <s v=""/>
    <n v="16"/>
    <n v="0.73618848792126457"/>
    <n v="4"/>
    <n v="0.73618848792126446"/>
    <n v="13"/>
    <n v="0.72229495330036886"/>
    <n v="30"/>
    <n v="0.58441885222103929"/>
    <n v="22"/>
    <n v="0.69630834512022621"/>
    <n v="9"/>
    <s v=""/>
    <n v="6"/>
    <s v=""/>
    <n v="8"/>
    <n v="0.74385923053981506"/>
    <n v="5"/>
    <n v="0.72671969455933816"/>
    <n v="1"/>
    <n v="0.74381151207873542"/>
    <n v="1"/>
    <s v=""/>
    <n v="2"/>
    <n v="0.97716453418572602"/>
    <n v="0"/>
    <s v=""/>
    <n v="1"/>
    <n v="0.74381149933547797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5"/>
    <n v="174"/>
    <n v="5"/>
    <n v="0"/>
    <n v="0"/>
    <n v="0"/>
    <n v="6872"/>
    <n v="90045"/>
    <n v="4295"/>
    <n v="0"/>
    <n v="182"/>
    <n v="156338"/>
    <n v="14087.988136431046"/>
    <n v="0"/>
    <n v="185"/>
    <n v="3"/>
    <n v="0"/>
    <n v="0"/>
    <n v="0"/>
    <n v="3436"/>
    <n v="95737.5"/>
    <n v="2577"/>
    <n v="0"/>
    <n v="182"/>
    <n v="156338"/>
    <n v="8452.7928818586261"/>
    <n v="0"/>
    <n v="183"/>
    <n v="0"/>
    <n v="0"/>
    <n v="0"/>
    <n v="7586.5"/>
    <n v="157197"/>
    <n v="0"/>
    <n v="0"/>
    <n v="182"/>
    <n v="156338"/>
    <n v="0"/>
    <n v="0"/>
    <n v="183"/>
    <n v="1"/>
    <n v="0"/>
    <n v="0"/>
    <n v="94702.5"/>
    <n v="859"/>
    <x v="0"/>
    <x v="0"/>
    <n v="182"/>
    <n v="156338"/>
    <n v="3352.9411764705883"/>
    <n v="13"/>
    <n v="182"/>
    <n v="13"/>
    <m/>
    <n v="0"/>
    <n v="0"/>
    <n v="156338"/>
    <n v="6727.5"/>
    <x v="0"/>
    <n v="0"/>
    <n v="182"/>
    <n v="156338"/>
    <n v="43588.23529411765"/>
    <n v="30"/>
    <n v="182"/>
    <n v="0"/>
    <m/>
    <n v="0"/>
    <n v="0"/>
    <n v="156338"/>
    <n v="0"/>
    <n v="0"/>
    <n v="0"/>
    <n v="182"/>
    <n v="156338"/>
    <n v="0"/>
    <n v="22"/>
    <n v="182"/>
    <n v="0"/>
    <n v="0"/>
    <n v="0"/>
    <n v="0"/>
    <n v="156338"/>
    <n v="0"/>
    <n v="0"/>
    <n v="0"/>
    <n v="182"/>
    <n v="156338"/>
    <n v="0"/>
    <n v="9"/>
    <n v="182"/>
    <n v="0"/>
    <n v="0"/>
    <n v="0"/>
    <n v="0"/>
    <n v="156338"/>
    <n v="0"/>
    <n v="0"/>
    <n v="0"/>
    <n v="182"/>
    <n v="156338"/>
    <n v="0"/>
    <n v="6"/>
    <n v="182"/>
    <n v="0"/>
    <n v="0"/>
    <n v="0"/>
    <n v="0"/>
    <n v="94185"/>
    <n v="0"/>
    <n v="0"/>
    <n v="0"/>
    <n v="182"/>
    <n v="156338"/>
    <n v="0"/>
    <n v="8"/>
    <n v="182"/>
    <n v="8"/>
    <n v="0"/>
    <n v="0"/>
    <n v="0"/>
    <m/>
    <n v="94185"/>
    <n v="4140"/>
    <n v="0"/>
    <n v="0"/>
    <n v="182"/>
    <n v="94185"/>
    <n v="26823.529411764706"/>
    <n v="8"/>
    <n v="174"/>
    <n v="8"/>
    <m/>
    <n v="0"/>
    <n v="0"/>
    <n v="90045"/>
    <n v="4140"/>
    <n v="0"/>
    <n v="0"/>
    <n v="174"/>
    <n v="90045"/>
    <n v="26823.529411764706"/>
    <n v="8"/>
    <n v="166"/>
    <n v="8"/>
    <n v="0"/>
    <n v="0"/>
    <n v="85905"/>
    <n v="4140"/>
    <n v="0"/>
    <n v="0"/>
    <n v="166"/>
    <n v="85905"/>
    <n v="26823.529411764706"/>
    <n v="4.8"/>
    <n v="158"/>
    <n v="4.8"/>
    <n v="0"/>
    <m/>
    <n v="81765"/>
    <n v="4123.2"/>
    <n v="0"/>
    <n v="158"/>
    <n v="81765"/>
    <n v="16094.117647058823"/>
  </r>
  <r>
    <s v="Lhotse-Hidratación"/>
    <x v="4"/>
    <x v="19"/>
    <x v="44"/>
    <s v="LHTRMU"/>
    <x v="305"/>
    <x v="292"/>
    <x v="0"/>
    <x v="3"/>
    <n v="1"/>
    <x v="193"/>
    <n v="105"/>
    <m/>
    <n v="0"/>
    <n v="3255"/>
    <n v="341775"/>
    <n v="2.8"/>
    <n v="3058.9999999999995"/>
    <n v="8394.957983193277"/>
    <n v="10915.966386554623"/>
    <s v="Shenzhen"/>
    <x v="0"/>
    <n v="30"/>
    <m/>
    <n v="100"/>
    <n v="1"/>
    <n v="0.77730685718288162"/>
    <n v="1"/>
    <n v="0.6872218396458436"/>
    <n v="25"/>
    <n v="0.71991955988913225"/>
    <n v="27"/>
    <n v="0.67885983890662072"/>
    <n v="49"/>
    <n v="0.65475928911207937"/>
    <n v="94"/>
    <n v="0.59997082794430789"/>
    <n v="1"/>
    <n v="0.67888054232319528"/>
    <n v="13"/>
    <n v="0.53852076381164249"/>
    <n v="8"/>
    <n v="0.7049439255719161"/>
    <n v="37"/>
    <n v="0.51120261017363522"/>
    <n v="33"/>
    <n v="0.63922429854880469"/>
    <n v="155"/>
    <n v="0.59706050214133333"/>
    <n v="30"/>
    <n v="0.50171388313846421"/>
    <n v="57"/>
    <n v="0.52891182997371444"/>
    <n v="93"/>
    <n v="0.44744632690340158"/>
    <n v="104"/>
    <n v="0.41946481605717256"/>
    <n v="1.3"/>
    <n v="34"/>
    <n v="0.67056209869828232"/>
    <n v="0.47222222222222221"/>
    <n v="40"/>
    <n v="0.51295250058235531"/>
    <n v="0.3007518796992481"/>
    <n v="4"/>
    <n v="0.71418951079572035"/>
    <n v="5.0632911392405063E-2"/>
    <n v="25"/>
    <n v="0.37187146314026454"/>
    <n v="0.83333333333333337"/>
    <n v="8"/>
    <n v="0.48152229647187389"/>
    <n v="0.2"/>
    <m/>
    <m/>
    <m/>
    <m/>
    <m/>
    <m/>
    <m/>
    <m/>
    <m/>
    <n v="35"/>
    <n v="97"/>
    <n v="30"/>
    <n v="100"/>
    <n v="100"/>
    <n v="0"/>
    <n v="678667.5"/>
    <n v="281106"/>
    <n v="97650"/>
    <n v="0"/>
    <n v="105"/>
    <n v="341775"/>
    <n v="211637.59621495657"/>
    <n v="30"/>
    <n v="182"/>
    <n v="85.5"/>
    <n v="100"/>
    <n v="0"/>
    <n v="0"/>
    <n v="919537.5"/>
    <n v="527436"/>
    <n v="278302.5"/>
    <n v="0"/>
    <n v="105"/>
    <n v="341775"/>
    <n v="603167.14921262627"/>
    <n v="45"/>
    <n v="198"/>
    <n v="93"/>
    <n v="0"/>
    <n v="0"/>
    <n v="849891"/>
    <n v="644490"/>
    <n v="302715"/>
    <n v="0"/>
    <n v="105"/>
    <n v="341775"/>
    <n v="780731.09243697475"/>
    <n v="80"/>
    <n v="218"/>
    <n v="104"/>
    <n v="100"/>
    <n v="0"/>
    <n v="631764"/>
    <n v="338520"/>
    <x v="55"/>
    <x v="0"/>
    <n v="105"/>
    <n v="341775"/>
    <n v="873075.63025210076"/>
    <n v="72"/>
    <n v="139"/>
    <n v="72"/>
    <m/>
    <n v="0"/>
    <n v="0"/>
    <n v="452445"/>
    <n v="208656"/>
    <x v="0"/>
    <n v="0"/>
    <n v="105"/>
    <n v="341775"/>
    <n v="604436.97478991596"/>
    <n v="133"/>
    <n v="145"/>
    <n v="40"/>
    <m/>
    <n v="0"/>
    <n v="0"/>
    <n v="471975"/>
    <n v="115920"/>
    <n v="0"/>
    <n v="0"/>
    <n v="145"/>
    <n v="341775"/>
    <n v="335798.31932773109"/>
    <n v="79"/>
    <n v="109"/>
    <n v="4"/>
    <n v="0"/>
    <n v="0"/>
    <n v="0"/>
    <n v="354795"/>
    <n v="11592"/>
    <n v="0"/>
    <n v="0"/>
    <n v="109"/>
    <n v="341775"/>
    <n v="33579.831932773108"/>
    <n v="30"/>
    <n v="130"/>
    <n v="25"/>
    <n v="100"/>
    <n v="100"/>
    <n v="0"/>
    <n v="423150"/>
    <n v="72450"/>
    <n v="289800"/>
    <n v="0"/>
    <n v="130"/>
    <n v="423150"/>
    <n v="209873.94957983191"/>
    <n v="40"/>
    <n v="113"/>
    <n v="7.5"/>
    <n v="0"/>
    <n v="0"/>
    <n v="0"/>
    <n v="327474"/>
    <n v="21735"/>
    <n v="0"/>
    <n v="0"/>
    <n v="105"/>
    <n v="341775"/>
    <n v="62962.184873949576"/>
    <n v="60"/>
    <n v="105.5"/>
    <n v="60"/>
    <n v="0"/>
    <n v="0"/>
    <n v="0"/>
    <n v="0"/>
    <n v="305739"/>
    <n v="173880"/>
    <n v="0"/>
    <n v="0"/>
    <n v="105.5"/>
    <n v="305739"/>
    <n v="654957.98319327738"/>
    <n v="7"/>
    <n v="45.5"/>
    <n v="7"/>
    <m/>
    <n v="0"/>
    <n v="100"/>
    <n v="131859"/>
    <n v="20286"/>
    <n v="0"/>
    <n v="289800"/>
    <n v="145.5"/>
    <n v="421659"/>
    <n v="76411.764705882364"/>
    <n v="0"/>
    <n v="138.5"/>
    <n v="0"/>
    <n v="0"/>
    <n v="0"/>
    <n v="401373"/>
    <n v="0"/>
    <n v="0"/>
    <n v="0"/>
    <n v="138.5"/>
    <n v="401373"/>
    <n v="0"/>
    <n v="4.2"/>
    <n v="138.5"/>
    <n v="4.2"/>
    <n v="0"/>
    <m/>
    <n v="401373"/>
    <n v="13671"/>
    <n v="0"/>
    <n v="138.5"/>
    <n v="401373"/>
    <n v="35258.823529411762"/>
  </r>
  <r>
    <s v="Lhotse-Hidratación"/>
    <x v="4"/>
    <x v="19"/>
    <x v="44"/>
    <s v="LHTRMU"/>
    <x v="306"/>
    <x v="293"/>
    <x v="0"/>
    <x v="3"/>
    <n v="1"/>
    <x v="194"/>
    <n v="68"/>
    <m/>
    <n v="0"/>
    <n v="3221"/>
    <n v="219028"/>
    <n v="2.8"/>
    <n v="3058.9999999999995"/>
    <n v="8394.957983193277"/>
    <n v="10915.966386554623"/>
    <s v="Shenzhen"/>
    <x v="0"/>
    <n v="30"/>
    <m/>
    <n v="100"/>
    <n v="29"/>
    <n v="0.75011120468601311"/>
    <n v="41"/>
    <n v="0.72523199554553264"/>
    <n v="47"/>
    <n v="0.72150158893159921"/>
    <n v="26"/>
    <n v="0.67802056992303705"/>
    <n v="30"/>
    <n v="0.69459328091262895"/>
    <n v="26"/>
    <n v="0.6256856402236548"/>
    <n v="10"/>
    <n v="0.73570538526440965"/>
    <n v="14"/>
    <n v="0.57725183957687587"/>
    <n v="6"/>
    <n v="0.69408170470990382"/>
    <n v="17"/>
    <n v="0.63500958791865358"/>
    <n v="17"/>
    <n v="0.64189919521479943"/>
    <n v="25"/>
    <n v="0.62520899865335766"/>
    <n v="41"/>
    <n v="0.39049982102768804"/>
    <n v="23"/>
    <n v="0.52362328349345821"/>
    <n v="48"/>
    <n v="0.54951016877405634"/>
    <n v="30"/>
    <n v="0.42605134055177113"/>
    <n v="1"/>
    <n v="10"/>
    <n v="0.62065764610051588"/>
    <n v="0.45454545454545453"/>
    <n v="33"/>
    <n v="0.30456777775927207"/>
    <n v="1.32"/>
    <n v="0"/>
    <s v=""/>
    <n v="0"/>
    <n v="33"/>
    <n v="0.40346373199962277"/>
    <n v="2.2000000000000002"/>
    <n v="9"/>
    <n v="0.41624871679216113"/>
    <n v="0.6"/>
    <m/>
    <m/>
    <m/>
    <m/>
    <m/>
    <m/>
    <m/>
    <m/>
    <m/>
    <n v="35"/>
    <n v="228"/>
    <n v="30"/>
    <n v="100"/>
    <n v="100"/>
    <n v="0"/>
    <n v="362362.5"/>
    <n v="660744"/>
    <n v="96630"/>
    <n v="0"/>
    <n v="68"/>
    <n v="219028"/>
    <n v="211637.59621495657"/>
    <n v="35"/>
    <n v="276"/>
    <n v="34.5"/>
    <n v="0"/>
    <n v="0"/>
    <n v="0"/>
    <n v="362362.5"/>
    <n v="799848"/>
    <n v="111124.5"/>
    <n v="0"/>
    <n v="68"/>
    <n v="219028"/>
    <n v="243383.23564720005"/>
    <n v="45"/>
    <n v="248"/>
    <n v="48"/>
    <n v="0"/>
    <n v="0"/>
    <n v="314994"/>
    <n v="798808"/>
    <n v="154608"/>
    <n v="0"/>
    <n v="68"/>
    <n v="219028"/>
    <n v="402957.98319327726"/>
    <n v="30"/>
    <n v="196"/>
    <n v="30"/>
    <n v="0"/>
    <n v="0"/>
    <n v="568008"/>
    <n v="96630"/>
    <x v="0"/>
    <x v="0"/>
    <n v="68"/>
    <n v="219028"/>
    <n v="251848.73949579831"/>
    <n v="22"/>
    <n v="78"/>
    <n v="22"/>
    <m/>
    <n v="0"/>
    <n v="0"/>
    <n v="251238"/>
    <n v="63756"/>
    <x v="0"/>
    <n v="0"/>
    <n v="68"/>
    <n v="219028"/>
    <n v="184689.0756302521"/>
    <n v="25"/>
    <n v="101"/>
    <n v="33"/>
    <m/>
    <n v="0"/>
    <n v="0"/>
    <n v="325321"/>
    <n v="95634"/>
    <n v="0"/>
    <n v="0"/>
    <n v="101"/>
    <n v="219028"/>
    <n v="277033.61344537814"/>
    <n v="20"/>
    <n v="68"/>
    <n v="0"/>
    <n v="0"/>
    <n v="0"/>
    <n v="0"/>
    <n v="219028"/>
    <n v="0"/>
    <n v="0"/>
    <n v="0"/>
    <n v="68"/>
    <n v="219028"/>
    <n v="0"/>
    <n v="15"/>
    <n v="101"/>
    <n v="34"/>
    <n v="0"/>
    <n v="0"/>
    <n v="0"/>
    <n v="325321"/>
    <n v="98532"/>
    <n v="0"/>
    <n v="0"/>
    <n v="101"/>
    <n v="325321"/>
    <n v="285428.57142857142"/>
    <n v="15"/>
    <n v="77"/>
    <n v="9"/>
    <n v="0"/>
    <n v="0"/>
    <n v="0"/>
    <n v="223146"/>
    <n v="26082"/>
    <n v="0"/>
    <n v="0"/>
    <n v="68"/>
    <n v="219028"/>
    <n v="75554.621848739494"/>
    <n v="25"/>
    <n v="68"/>
    <n v="25"/>
    <n v="0"/>
    <n v="0"/>
    <n v="0"/>
    <m/>
    <n v="197064"/>
    <n v="72450"/>
    <n v="0"/>
    <n v="0"/>
    <n v="68"/>
    <n v="197064"/>
    <n v="272899.15966386558"/>
    <n v="17"/>
    <n v="43"/>
    <n v="17"/>
    <m/>
    <n v="0"/>
    <n v="0"/>
    <n v="124614"/>
    <n v="49266"/>
    <n v="0"/>
    <n v="0"/>
    <n v="43"/>
    <n v="124614"/>
    <n v="185571.42857142858"/>
    <n v="30"/>
    <n v="26"/>
    <n v="26"/>
    <n v="0"/>
    <n v="0"/>
    <n v="75348"/>
    <n v="75348"/>
    <n v="0"/>
    <n v="0"/>
    <n v="26"/>
    <n v="75348"/>
    <n v="218268.90756302519"/>
    <n v="10.199999999999999"/>
    <n v="0"/>
    <n v="10.199999999999999"/>
    <n v="0"/>
    <m/>
    <n v="0"/>
    <n v="32854.199999999997"/>
    <n v="0"/>
    <n v="0"/>
    <n v="0"/>
    <n v="85628.57142857142"/>
  </r>
  <r>
    <s v="Lhotse-Hidratación"/>
    <x v="4"/>
    <x v="19"/>
    <x v="44"/>
    <s v="LHTRMU"/>
    <x v="307"/>
    <x v="294"/>
    <x v="0"/>
    <x v="3"/>
    <n v="1"/>
    <x v="195"/>
    <n v="123"/>
    <m/>
    <n v="0"/>
    <n v="3240"/>
    <n v="398520"/>
    <n v="2.8"/>
    <n v="3058.9999999999995"/>
    <n v="8394.957983193277"/>
    <n v="10915.966386554623"/>
    <s v="Shenzhen"/>
    <x v="0"/>
    <n v="30"/>
    <m/>
    <n v="100"/>
    <n v="14"/>
    <n v="0.77748947628305032"/>
    <n v="0"/>
    <n v="0.74781138366277689"/>
    <n v="17"/>
    <n v="0.72477216797650246"/>
    <n v="33"/>
    <n v="0.67484350650296399"/>
    <n v="43"/>
    <n v="0.66990940999031234"/>
    <n v="93"/>
    <n v="0.5971811740385301"/>
    <n v="11"/>
    <n v="0.58930365443836874"/>
    <n v="18"/>
    <n v="0.59208663594460142"/>
    <n v="9"/>
    <n v="0.69700746550746551"/>
    <n v="29"/>
    <n v="0.61139526594197546"/>
    <n v="39"/>
    <n v="0.65097315435809233"/>
    <n v="64"/>
    <n v="0.63582658079088561"/>
    <n v="39"/>
    <n v="0.4753627846595041"/>
    <n v="51"/>
    <n v="0.47450953939754947"/>
    <n v="72"/>
    <n v="0.42732066816505204"/>
    <n v="65"/>
    <n v="0.4646101123642114"/>
    <n v="1.8571428571428572"/>
    <n v="29"/>
    <n v="0.60607833867640415"/>
    <n v="0.46031746031746029"/>
    <n v="6"/>
    <n v="0.3972252668002858"/>
    <n v="4.6153846153846156E-2"/>
    <n v="5"/>
    <n v="0.70677924181985252"/>
    <n v="6.25E-2"/>
    <n v="25"/>
    <n v="0.41295723545530416"/>
    <n v="0.86206896551724133"/>
    <n v="7"/>
    <n v="0.47489291031138786"/>
    <n v="0.1891891891891892"/>
    <m/>
    <m/>
    <m/>
    <m/>
    <m/>
    <m/>
    <m/>
    <m/>
    <m/>
    <n v="30"/>
    <n v="142"/>
    <n v="30"/>
    <n v="100"/>
    <n v="100"/>
    <n v="0"/>
    <n v="578340"/>
    <n v="411516"/>
    <n v="97200"/>
    <n v="0"/>
    <n v="123"/>
    <n v="398520"/>
    <n v="211637.59621495657"/>
    <n v="30"/>
    <n v="205"/>
    <n v="76.5"/>
    <n v="0"/>
    <n v="0"/>
    <n v="0"/>
    <n v="691740"/>
    <n v="594090"/>
    <n v="247860"/>
    <n v="0"/>
    <n v="123"/>
    <n v="398520"/>
    <n v="539675.87034813932"/>
    <n v="50"/>
    <n v="136"/>
    <n v="72"/>
    <n v="0"/>
    <n v="0"/>
    <n v="626454"/>
    <n v="440640"/>
    <n v="233280"/>
    <n v="0"/>
    <n v="123"/>
    <n v="398520"/>
    <n v="604436.97478991596"/>
    <n v="35"/>
    <n v="169"/>
    <n v="65"/>
    <n v="100"/>
    <n v="0"/>
    <n v="489762"/>
    <n v="210600"/>
    <x v="55"/>
    <x v="0"/>
    <n v="123"/>
    <n v="398520"/>
    <n v="545672.26890756295"/>
    <n v="63"/>
    <n v="152"/>
    <n v="63"/>
    <m/>
    <n v="0"/>
    <n v="0"/>
    <n v="492480"/>
    <n v="182574"/>
    <x v="0"/>
    <n v="0"/>
    <n v="123"/>
    <n v="398520"/>
    <n v="528882.3529411765"/>
    <n v="130"/>
    <n v="129"/>
    <n v="6"/>
    <m/>
    <n v="0"/>
    <n v="0"/>
    <n v="417960"/>
    <n v="17388"/>
    <n v="0"/>
    <n v="0"/>
    <n v="129"/>
    <n v="398520"/>
    <n v="50369.747899159658"/>
    <n v="80"/>
    <n v="128"/>
    <n v="5"/>
    <n v="0"/>
    <n v="0"/>
    <n v="0"/>
    <n v="414720"/>
    <n v="14490"/>
    <n v="0"/>
    <n v="0"/>
    <n v="128"/>
    <n v="398520"/>
    <n v="41974.789915966387"/>
    <n v="29"/>
    <n v="148"/>
    <n v="25"/>
    <n v="100"/>
    <n v="100"/>
    <n v="0"/>
    <n v="479520"/>
    <n v="72450"/>
    <n v="289800"/>
    <n v="0"/>
    <n v="148"/>
    <n v="479520"/>
    <n v="209873.94957983191"/>
    <n v="37"/>
    <n v="130"/>
    <n v="7.5"/>
    <n v="0"/>
    <n v="0"/>
    <n v="0"/>
    <n v="376740"/>
    <n v="21735"/>
    <n v="0"/>
    <n v="0"/>
    <n v="123"/>
    <n v="398520"/>
    <n v="62962.184873949576"/>
    <n v="35"/>
    <n v="122.5"/>
    <n v="35"/>
    <n v="0"/>
    <n v="0"/>
    <n v="0"/>
    <m/>
    <n v="355005"/>
    <n v="101430"/>
    <n v="0"/>
    <n v="0"/>
    <n v="122.5"/>
    <n v="355005"/>
    <n v="382058.82352941181"/>
    <n v="30"/>
    <n v="87.5"/>
    <n v="30"/>
    <m/>
    <n v="0"/>
    <n v="0"/>
    <n v="253575"/>
    <n v="86940"/>
    <n v="0"/>
    <n v="0"/>
    <n v="87.5"/>
    <n v="253575"/>
    <n v="327478.99159663869"/>
    <n v="50"/>
    <n v="57.5"/>
    <n v="50"/>
    <n v="0"/>
    <n v="0"/>
    <n v="166635"/>
    <n v="144900"/>
    <n v="0"/>
    <n v="0"/>
    <n v="57.5"/>
    <n v="166635"/>
    <n v="419747.89915966382"/>
    <n v="18"/>
    <n v="7.5"/>
    <n v="18"/>
    <n v="0"/>
    <m/>
    <n v="21735"/>
    <n v="58320"/>
    <n v="0"/>
    <n v="7.5"/>
    <n v="21735"/>
    <n v="151109.24369747899"/>
  </r>
  <r>
    <s v="Lhotse-Hidratación"/>
    <x v="4"/>
    <x v="19"/>
    <x v="44"/>
    <s v="LHTRMU"/>
    <x v="308"/>
    <x v="295"/>
    <x v="0"/>
    <x v="3"/>
    <n v="1"/>
    <x v="196"/>
    <n v="182"/>
    <m/>
    <n v="0"/>
    <n v="3232"/>
    <n v="588224"/>
    <n v="2.8"/>
    <n v="3058.9999999999995"/>
    <n v="8394.957983193277"/>
    <n v="10915.966386554623"/>
    <s v="Shenzhen"/>
    <x v="0"/>
    <n v="30"/>
    <m/>
    <n v="100"/>
    <n v="24"/>
    <n v="0.76334726520467433"/>
    <n v="19"/>
    <n v="0.75384681599250603"/>
    <n v="19"/>
    <n v="0.72372977444322117"/>
    <n v="64"/>
    <n v="0.63038596007445358"/>
    <n v="20"/>
    <n v="0.64326626377047913"/>
    <n v="81"/>
    <n v="0.61874275082220587"/>
    <n v="11"/>
    <n v="0.68634391188812449"/>
    <n v="18"/>
    <n v="0.57656286710431259"/>
    <n v="9"/>
    <n v="0.69993722816465231"/>
    <n v="27"/>
    <n v="0.61353553084272672"/>
    <n v="29"/>
    <n v="0.61487163191014083"/>
    <n v="67"/>
    <n v="0.63958071162861463"/>
    <n v="35"/>
    <n v="0.45702979691518147"/>
    <n v="49"/>
    <n v="0.42730205079720285"/>
    <n v="78"/>
    <n v="0.47406373149481046"/>
    <n v="64"/>
    <n v="0.46424657286070048"/>
    <n v="1.0666666666666667"/>
    <n v="16"/>
    <n v="0.67240502454271078"/>
    <n v="0.15384615384615385"/>
    <n v="93"/>
    <n v="0.42932576141444762"/>
    <n v="0.81578947368421051"/>
    <n v="4"/>
    <n v="0.72025141007177984"/>
    <n v="5.4794520547945202E-2"/>
    <n v="15"/>
    <n v="0.51333982288104685"/>
    <n v="0.51724137931034486"/>
    <n v="5"/>
    <n v="0.50047552827646036"/>
    <n v="0.29411764705882354"/>
    <m/>
    <m/>
    <m/>
    <m/>
    <m/>
    <m/>
    <m/>
    <m/>
    <m/>
    <n v="45"/>
    <n v="165"/>
    <n v="25"/>
    <n v="100"/>
    <n v="100"/>
    <n v="0"/>
    <n v="570448"/>
    <n v="478170"/>
    <n v="80800"/>
    <n v="0"/>
    <n v="182"/>
    <n v="588224"/>
    <n v="176364.6635124638"/>
    <n v="40"/>
    <n v="224"/>
    <n v="73.5"/>
    <n v="100"/>
    <n v="0"/>
    <n v="0"/>
    <n v="696496"/>
    <n v="649152"/>
    <n v="237552"/>
    <n v="0"/>
    <n v="182"/>
    <n v="588224"/>
    <n v="518512.11072664359"/>
    <n v="50"/>
    <n v="260"/>
    <n v="78"/>
    <n v="0"/>
    <n v="0"/>
    <n v="760336"/>
    <n v="840320"/>
    <n v="252096"/>
    <n v="0"/>
    <n v="182"/>
    <n v="588224"/>
    <n v="654806.72268907563"/>
    <n v="60"/>
    <n v="292"/>
    <n v="64"/>
    <n v="100"/>
    <n v="0"/>
    <n v="846216"/>
    <n v="206848"/>
    <x v="55"/>
    <x v="0"/>
    <n v="182"/>
    <n v="588224"/>
    <n v="537277.31092436973"/>
    <n v="104"/>
    <n v="198"/>
    <n v="104"/>
    <m/>
    <n v="0"/>
    <n v="0"/>
    <n v="639936"/>
    <n v="301392"/>
    <x v="0"/>
    <n v="0"/>
    <n v="182"/>
    <n v="588224"/>
    <n v="873075.63025210076"/>
    <n v="114"/>
    <n v="275"/>
    <n v="93"/>
    <m/>
    <n v="0"/>
    <n v="0"/>
    <n v="888800"/>
    <n v="269514"/>
    <n v="0"/>
    <n v="0"/>
    <n v="275"/>
    <n v="588224"/>
    <n v="780731.09243697475"/>
    <n v="73"/>
    <n v="186"/>
    <n v="4"/>
    <n v="0"/>
    <n v="0"/>
    <n v="0"/>
    <n v="601152"/>
    <n v="11592"/>
    <n v="0"/>
    <n v="0"/>
    <n v="186"/>
    <n v="588224"/>
    <n v="33579.831932773108"/>
    <n v="29"/>
    <n v="197"/>
    <n v="15"/>
    <n v="100"/>
    <n v="100"/>
    <n v="0"/>
    <n v="636704"/>
    <n v="43470"/>
    <n v="289800"/>
    <n v="0"/>
    <n v="197"/>
    <n v="636704"/>
    <n v="125924.36974789915"/>
    <n v="17"/>
    <n v="187"/>
    <n v="7.5"/>
    <n v="0"/>
    <n v="0"/>
    <n v="0"/>
    <n v="541926"/>
    <n v="21735"/>
    <n v="0"/>
    <n v="0"/>
    <n v="182"/>
    <n v="588224"/>
    <n v="62962.184873949576"/>
    <n v="35"/>
    <n v="179.5"/>
    <n v="35"/>
    <n v="0"/>
    <n v="0"/>
    <n v="0"/>
    <m/>
    <n v="520191"/>
    <n v="101430"/>
    <n v="0"/>
    <n v="0"/>
    <n v="179.5"/>
    <n v="520191"/>
    <n v="382058.82352941181"/>
    <n v="30"/>
    <n v="144.5"/>
    <n v="30"/>
    <m/>
    <n v="0"/>
    <n v="0"/>
    <n v="418761"/>
    <n v="86940"/>
    <n v="0"/>
    <n v="0"/>
    <n v="144.5"/>
    <n v="418761"/>
    <n v="327478.99159663869"/>
    <n v="70"/>
    <n v="114.5"/>
    <n v="70"/>
    <n v="0"/>
    <n v="0"/>
    <n v="331821"/>
    <n v="202860"/>
    <n v="0"/>
    <n v="0"/>
    <n v="114.5"/>
    <n v="331821"/>
    <n v="587647.0588235294"/>
    <n v="18"/>
    <n v="44.5"/>
    <n v="18"/>
    <n v="0"/>
    <m/>
    <n v="128961"/>
    <n v="58176"/>
    <n v="0"/>
    <n v="44.5"/>
    <n v="128961"/>
    <n v="151109.24369747899"/>
  </r>
  <r>
    <s v="Lhotse-Hidratación"/>
    <x v="4"/>
    <x v="19"/>
    <x v="44"/>
    <s v="LHTRMU"/>
    <x v="309"/>
    <x v="296"/>
    <x v="0"/>
    <x v="3"/>
    <n v="1"/>
    <x v="197"/>
    <n v="29"/>
    <m/>
    <n v="0"/>
    <n v="3304"/>
    <n v="95816"/>
    <n v="2.8"/>
    <n v="3058.9999999999995"/>
    <n v="8394.957983193277"/>
    <n v="10915.966386554623"/>
    <s v="Shenzhen"/>
    <x v="0"/>
    <n v="30"/>
    <m/>
    <n v="200"/>
    <n v="1"/>
    <n v="0.77774672550255652"/>
    <n v="0"/>
    <s v=""/>
    <n v="18"/>
    <n v="0.66225192640352259"/>
    <n v="23"/>
    <n v="0.65379251417578221"/>
    <n v="39"/>
    <n v="0.65139571409626029"/>
    <n v="85"/>
    <n v="0.61201582303545787"/>
    <n v="23"/>
    <n v="0.6630652952644368"/>
    <n v="3"/>
    <n v="0.47091823056300264"/>
    <n v="4"/>
    <n v="0.69734246109363029"/>
    <n v="24"/>
    <n v="0.60719102181792672"/>
    <n v="24"/>
    <n v="0.63011251322191275"/>
    <n v="49"/>
    <n v="0.63606540617063123"/>
    <n v="8"/>
    <n v="0.57729381773985322"/>
    <n v="25"/>
    <n v="0.38074051656166097"/>
    <n v="47"/>
    <n v="0.33614344889097181"/>
    <n v="20"/>
    <n v="0.42783832053812082"/>
    <n v="0.8"/>
    <n v="8"/>
    <n v="0.60011503986956283"/>
    <n v="0.14545454545454545"/>
    <n v="206"/>
    <n v="0.40040293909379654"/>
    <n v="1.7606837606837606"/>
    <n v="2"/>
    <n v="0.70654815870092447"/>
    <n v="6.0606060606060608E-2"/>
    <n v="2"/>
    <n v="0.49347113688606492"/>
    <n v="9.5238095238095233E-2"/>
    <n v="2"/>
    <n v="0.56269653276445597"/>
    <n v="7.1428571428571425E-2"/>
    <m/>
    <m/>
    <m/>
    <m/>
    <m/>
    <m/>
    <m/>
    <m/>
    <m/>
    <n v="30"/>
    <n v="132"/>
    <n v="20"/>
    <n v="0"/>
    <n v="0"/>
    <n v="0"/>
    <n v="345268"/>
    <n v="382536"/>
    <n v="66080"/>
    <n v="0"/>
    <n v="29"/>
    <n v="95816"/>
    <n v="141091.73080997105"/>
    <n v="25"/>
    <n v="140"/>
    <n v="37.5"/>
    <n v="100"/>
    <n v="100"/>
    <n v="0"/>
    <n v="345268"/>
    <n v="405720"/>
    <n v="123900"/>
    <n v="0"/>
    <n v="29"/>
    <n v="95816"/>
    <n v="264546.9952686957"/>
    <n v="24"/>
    <n v="76"/>
    <n v="47"/>
    <n v="0"/>
    <n v="0"/>
    <n v="380758"/>
    <n v="251104"/>
    <n v="155288"/>
    <n v="0"/>
    <n v="29"/>
    <n v="95816"/>
    <n v="394563.02521008404"/>
    <n v="25"/>
    <n v="263"/>
    <n v="20"/>
    <n v="100"/>
    <n v="0"/>
    <n v="762174"/>
    <n v="66080"/>
    <x v="55"/>
    <x v="0"/>
    <n v="29"/>
    <n v="95816"/>
    <n v="167899.15966386555"/>
    <n v="55"/>
    <n v="37"/>
    <n v="55"/>
    <m/>
    <n v="0"/>
    <n v="0"/>
    <n v="122248"/>
    <n v="159390"/>
    <x v="0"/>
    <n v="0"/>
    <n v="29"/>
    <n v="95816"/>
    <n v="461722.68907563022"/>
    <n v="117"/>
    <n v="235"/>
    <n v="206"/>
    <m/>
    <n v="0"/>
    <n v="0"/>
    <n v="776440"/>
    <n v="596988"/>
    <n v="0"/>
    <n v="0"/>
    <n v="235"/>
    <n v="95816"/>
    <n v="1729361.3445378151"/>
    <n v="33"/>
    <n v="31"/>
    <n v="2"/>
    <n v="0"/>
    <n v="0"/>
    <n v="0"/>
    <n v="102424"/>
    <n v="5796"/>
    <n v="0"/>
    <n v="0"/>
    <n v="31"/>
    <n v="95816"/>
    <n v="16789.915966386554"/>
    <n v="21"/>
    <n v="31"/>
    <n v="2"/>
    <n v="0"/>
    <n v="0"/>
    <n v="0"/>
    <n v="102424"/>
    <n v="5796"/>
    <n v="0"/>
    <n v="0"/>
    <n v="31"/>
    <n v="102424"/>
    <n v="16789.915966386554"/>
    <n v="28"/>
    <n v="31"/>
    <n v="0"/>
    <n v="0"/>
    <n v="0"/>
    <n v="0"/>
    <n v="89838"/>
    <n v="0"/>
    <n v="0"/>
    <n v="0"/>
    <n v="29"/>
    <n v="95816"/>
    <n v="0"/>
    <n v="35"/>
    <n v="31"/>
    <n v="31"/>
    <n v="0"/>
    <n v="0"/>
    <n v="0"/>
    <m/>
    <n v="89838"/>
    <n v="89838"/>
    <n v="0"/>
    <n v="0"/>
    <n v="31"/>
    <n v="89838"/>
    <n v="338394.95798319328"/>
    <n v="30"/>
    <n v="0"/>
    <n v="0"/>
    <m/>
    <n v="0"/>
    <n v="0"/>
    <n v="0"/>
    <n v="0"/>
    <n v="0"/>
    <n v="0"/>
    <n v="0"/>
    <n v="0"/>
    <n v="0"/>
    <n v="50"/>
    <n v="0"/>
    <n v="0"/>
    <n v="0"/>
    <n v="0"/>
    <n v="0"/>
    <n v="0"/>
    <n v="0"/>
    <n v="0"/>
    <n v="0"/>
    <n v="0"/>
    <n v="0"/>
    <n v="18"/>
    <n v="0"/>
    <n v="18"/>
    <n v="0"/>
    <m/>
    <n v="0"/>
    <n v="59472"/>
    <n v="0"/>
    <n v="0"/>
    <n v="0"/>
    <n v="151109.24369747899"/>
  </r>
  <r>
    <s v="Lhotse-Hidratación"/>
    <x v="4"/>
    <x v="19"/>
    <x v="45"/>
    <s v="LHCAMU"/>
    <x v="310"/>
    <x v="297"/>
    <x v="0"/>
    <x v="2"/>
    <n v="0.7"/>
    <x v="198"/>
    <n v="217"/>
    <m/>
    <n v="0"/>
    <n v="2585"/>
    <n v="560945"/>
    <n v="2.5"/>
    <n v="2731.25"/>
    <n v="8394.957983193277"/>
    <n v="7554.6218487394963"/>
    <s v="Shenzhen"/>
    <x v="0"/>
    <n v="30"/>
    <m/>
    <n v="50"/>
    <n v="21"/>
    <n v="0.56362035416472167"/>
    <n v="37"/>
    <n v="0.58506699010923613"/>
    <n v="25"/>
    <n v="0.53090848531114943"/>
    <n v="3"/>
    <n v="0.54151772415847488"/>
    <n v="0"/>
    <s v=""/>
    <n v="48"/>
    <n v="0.6191376013318437"/>
    <n v="38"/>
    <n v="0.4502246661953444"/>
    <n v="19"/>
    <n v="0.61944946418595859"/>
    <n v="21"/>
    <n v="0.62303469821014534"/>
    <n v="25"/>
    <n v="0.53479344455372968"/>
    <n v="123"/>
    <n v="0.60871099086155289"/>
    <n v="37"/>
    <n v="0.5712733857791269"/>
    <n v="3"/>
    <n v="0.57364293202543493"/>
    <n v="0"/>
    <s v=""/>
    <n v="0"/>
    <s v=""/>
    <n v="8"/>
    <n v="0.53608907509863712"/>
    <n v="0.4"/>
    <n v="141"/>
    <n v="0.46406344845212605"/>
    <n v="7.05"/>
    <n v="27"/>
    <n v="0.50356117340147244"/>
    <n v="0.54"/>
    <n v="21"/>
    <n v="0.6370633149044288"/>
    <n v="0.84"/>
    <n v="15"/>
    <n v="0.4598132478812581"/>
    <n v="0.6"/>
    <n v="24"/>
    <n v="0.43598113648282544"/>
    <n v="0.96"/>
    <m/>
    <m/>
    <m/>
    <m/>
    <m/>
    <m/>
    <m/>
    <m/>
    <m/>
    <n v="20"/>
    <n v="6"/>
    <n v="10"/>
    <n v="100"/>
    <n v="100"/>
    <n v="0"/>
    <n v="25850"/>
    <n v="15525"/>
    <n v="25850"/>
    <n v="0"/>
    <n v="217"/>
    <n v="560945"/>
    <n v="70545.865404985525"/>
    <n v="35"/>
    <n v="4"/>
    <n v="0"/>
    <n v="0"/>
    <n v="0"/>
    <n v="0"/>
    <n v="20680"/>
    <n v="10350"/>
    <n v="0"/>
    <n v="0"/>
    <n v="217"/>
    <n v="560945"/>
    <n v="0"/>
    <n v="30"/>
    <n v="3"/>
    <n v="0"/>
    <n v="0"/>
    <n v="0"/>
    <n v="56905"/>
    <n v="7755"/>
    <n v="0"/>
    <n v="0"/>
    <n v="217"/>
    <n v="560945"/>
    <n v="0"/>
    <n v="20"/>
    <n v="110"/>
    <n v="8"/>
    <n v="100"/>
    <n v="0"/>
    <n v="284625"/>
    <n v="20680"/>
    <x v="56"/>
    <x v="0"/>
    <n v="217"/>
    <n v="560945"/>
    <n v="67159.663865546216"/>
    <n v="20"/>
    <n v="358"/>
    <n v="14"/>
    <m/>
    <n v="0"/>
    <n v="0"/>
    <n v="925430"/>
    <n v="36225"/>
    <x v="0"/>
    <n v="0"/>
    <n v="217"/>
    <n v="560945"/>
    <n v="117529.41176470587"/>
    <n v="50"/>
    <n v="244"/>
    <n v="27"/>
    <m/>
    <n v="0"/>
    <n v="0"/>
    <n v="630740"/>
    <n v="69862.5"/>
    <n v="0"/>
    <n v="0"/>
    <n v="244"/>
    <n v="560945"/>
    <n v="226663.86554621847"/>
    <n v="25"/>
    <n v="238"/>
    <n v="21"/>
    <n v="100"/>
    <n v="100"/>
    <n v="0"/>
    <n v="615230"/>
    <n v="54337.5"/>
    <n v="250125"/>
    <n v="0"/>
    <n v="238"/>
    <n v="560945"/>
    <n v="176294.11764705883"/>
    <n v="25"/>
    <n v="232"/>
    <n v="15"/>
    <n v="100"/>
    <n v="100"/>
    <n v="0"/>
    <n v="599720"/>
    <n v="38812.5"/>
    <n v="258750"/>
    <n v="0"/>
    <n v="232"/>
    <n v="599720"/>
    <n v="125924.36974789915"/>
    <n v="25"/>
    <n v="241"/>
    <n v="15"/>
    <n v="0"/>
    <n v="0"/>
    <n v="0"/>
    <n v="623587.5"/>
    <n v="38812.5"/>
    <n v="0"/>
    <n v="0"/>
    <n v="217"/>
    <n v="560945"/>
    <n v="125924.36974789915"/>
    <n v="50"/>
    <n v="226"/>
    <n v="35"/>
    <n v="0"/>
    <n v="0"/>
    <n v="0"/>
    <m/>
    <n v="584775"/>
    <n v="90562.5"/>
    <n v="0"/>
    <n v="0"/>
    <n v="226"/>
    <n v="584775"/>
    <n v="264411.76470588235"/>
    <n v="40"/>
    <n v="191"/>
    <n v="28"/>
    <m/>
    <n v="0"/>
    <n v="0"/>
    <n v="494212.5"/>
    <n v="72450"/>
    <n v="0"/>
    <n v="0"/>
    <n v="191"/>
    <n v="494212.5"/>
    <n v="211529.4117647059"/>
    <n v="50"/>
    <n v="163"/>
    <n v="35"/>
    <n v="0"/>
    <n v="0"/>
    <n v="421762.5"/>
    <n v="90562.5"/>
    <n v="0"/>
    <n v="0"/>
    <n v="163"/>
    <n v="421762.5"/>
    <n v="293823.5294117647"/>
    <n v="24"/>
    <n v="128"/>
    <n v="16.799999999999997"/>
    <n v="0"/>
    <m/>
    <n v="331200"/>
    <n v="43427.999999999993"/>
    <n v="0"/>
    <n v="128"/>
    <n v="331200"/>
    <n v="141035.29411764702"/>
  </r>
  <r>
    <s v="Lhotse-Hidratación"/>
    <x v="4"/>
    <x v="19"/>
    <x v="45"/>
    <s v="LHCAMU"/>
    <x v="311"/>
    <x v="298"/>
    <x v="0"/>
    <x v="2"/>
    <n v="1"/>
    <x v="199"/>
    <n v="3"/>
    <m/>
    <n v="0"/>
    <n v="2872"/>
    <n v="8616"/>
    <n v="2.5"/>
    <n v="2731.25"/>
    <n v="8394.957983193277"/>
    <n v="7554.6218487394963"/>
    <s v="Shenzhen"/>
    <x v="0"/>
    <n v="30"/>
    <m/>
    <n v="50"/>
    <n v="17"/>
    <n v="0.6209137052837812"/>
    <n v="15"/>
    <n v="0.57896437166624504"/>
    <n v="21"/>
    <n v="0.50327397320910627"/>
    <n v="8"/>
    <n v="0.54906610382664889"/>
    <n v="3"/>
    <n v="0.65627339915449057"/>
    <n v="14"/>
    <n v="1.4767752442996747"/>
    <n v="1"/>
    <n v="0.65627397260273979"/>
    <n v="3"/>
    <n v="1.5019194770465012"/>
    <n v="3"/>
    <n v="0.51549528180271231"/>
    <n v="6"/>
    <n v="0.56287061679973849"/>
    <n v="73"/>
    <n v="0.59815093953184206"/>
    <n v="15"/>
    <n v="0.55044398797619909"/>
    <n v="23"/>
    <n v="0.44455224499505991"/>
    <n v="6"/>
    <n v="0.45051352911150805"/>
    <n v="25"/>
    <n v="0.46980731831788097"/>
    <n v="11"/>
    <n v="0.50678152822025413"/>
    <n v="0.73333333333333328"/>
    <n v="16"/>
    <n v="0.58788544562735923"/>
    <n v="1.0666666666666667"/>
    <n v="17"/>
    <n v="0.4209284375565952"/>
    <n v="0.68"/>
    <n v="16"/>
    <n v="0.57079261635062539"/>
    <n v="1.4953271028037385"/>
    <n v="6"/>
    <n v="0.44532296172671604"/>
    <n v="0.47619047619047622"/>
    <n v="4"/>
    <n v="0.52661536329563874"/>
    <n v="0.30769230769230771"/>
    <m/>
    <m/>
    <m/>
    <m/>
    <m/>
    <m/>
    <m/>
    <m/>
    <m/>
    <n v="20"/>
    <n v="98"/>
    <n v="20"/>
    <n v="0"/>
    <n v="0"/>
    <n v="0"/>
    <n v="155088"/>
    <n v="253575"/>
    <n v="57440"/>
    <n v="0"/>
    <n v="3"/>
    <n v="8616"/>
    <n v="141091.73080997105"/>
    <n v="20"/>
    <n v="180"/>
    <n v="9"/>
    <n v="0"/>
    <n v="0"/>
    <n v="0"/>
    <n v="129240"/>
    <n v="465750"/>
    <n v="25848"/>
    <n v="0"/>
    <n v="3"/>
    <n v="8616"/>
    <n v="63491.278864486972"/>
    <n v="25"/>
    <n v="174"/>
    <n v="25"/>
    <n v="0"/>
    <n v="0"/>
    <n v="142204.5"/>
    <n v="499728"/>
    <n v="71800"/>
    <n v="0"/>
    <n v="3"/>
    <n v="8616"/>
    <n v="209873.94957983191"/>
    <n v="15"/>
    <n v="149"/>
    <n v="11"/>
    <n v="0"/>
    <n v="0"/>
    <n v="385537.5"/>
    <n v="31592"/>
    <x v="0"/>
    <x v="0"/>
    <n v="3"/>
    <n v="8616"/>
    <n v="92344.537815126052"/>
    <n v="15"/>
    <n v="19"/>
    <n v="15"/>
    <m/>
    <n v="0"/>
    <n v="0"/>
    <n v="54568"/>
    <n v="38812.5"/>
    <x v="0"/>
    <n v="0"/>
    <n v="3"/>
    <n v="8616"/>
    <n v="125924.36974789915"/>
    <n v="25"/>
    <n v="20"/>
    <n v="17"/>
    <m/>
    <n v="0"/>
    <n v="0"/>
    <n v="57440"/>
    <n v="43987.5"/>
    <n v="0"/>
    <n v="0"/>
    <n v="20"/>
    <n v="8616"/>
    <n v="142714.28571428571"/>
    <n v="10.7"/>
    <n v="19"/>
    <n v="16"/>
    <n v="0"/>
    <n v="0"/>
    <n v="0"/>
    <n v="54568"/>
    <n v="41400"/>
    <n v="0"/>
    <n v="0"/>
    <n v="19"/>
    <n v="8616"/>
    <n v="134319.32773109243"/>
    <n v="12.6"/>
    <n v="9"/>
    <n v="6"/>
    <n v="0"/>
    <n v="0"/>
    <n v="0"/>
    <n v="25848"/>
    <n v="15525"/>
    <n v="0"/>
    <n v="0"/>
    <n v="9"/>
    <n v="25848"/>
    <n v="50369.747899159658"/>
    <n v="13"/>
    <n v="7"/>
    <n v="4.5"/>
    <n v="0"/>
    <n v="0"/>
    <n v="0"/>
    <n v="18112.5"/>
    <n v="11643.75"/>
    <n v="0"/>
    <n v="0"/>
    <n v="3"/>
    <n v="8616"/>
    <n v="37777.310924369747"/>
    <n v="0"/>
    <n v="2.5"/>
    <n v="0"/>
    <n v="0"/>
    <n v="0"/>
    <n v="0"/>
    <m/>
    <n v="6468.75"/>
    <n v="0"/>
    <n v="0"/>
    <n v="0"/>
    <n v="2.5"/>
    <n v="6468.75"/>
    <n v="0"/>
    <n v="0"/>
    <n v="2.5"/>
    <n v="0"/>
    <m/>
    <n v="0"/>
    <n v="0"/>
    <n v="6468.75"/>
    <n v="0"/>
    <n v="0"/>
    <n v="0"/>
    <n v="2.5"/>
    <n v="6468.75"/>
    <n v="0"/>
    <n v="0"/>
    <n v="2.5"/>
    <n v="0"/>
    <n v="0"/>
    <n v="0"/>
    <n v="6468.75"/>
    <n v="0"/>
    <n v="0"/>
    <n v="0"/>
    <n v="2.5"/>
    <n v="6468.75"/>
    <n v="0"/>
    <n v="0"/>
    <n v="2.5"/>
    <n v="0"/>
    <n v="0"/>
    <m/>
    <n v="6468.75"/>
    <n v="0"/>
    <n v="0"/>
    <n v="2.5"/>
    <n v="6468.75"/>
    <n v="0"/>
  </r>
  <r>
    <s v="Lhotse-Hidratación"/>
    <x v="4"/>
    <x v="19"/>
    <x v="45"/>
    <s v="LHCAMU"/>
    <x v="312"/>
    <x v="299"/>
    <x v="0"/>
    <x v="2"/>
    <n v="1"/>
    <x v="200"/>
    <n v="154"/>
    <m/>
    <n v="0"/>
    <n v="2643"/>
    <n v="407022"/>
    <n v="2.5"/>
    <n v="2731.25"/>
    <n v="8394.957983193277"/>
    <n v="7554.6218487394963"/>
    <s v="Shenzhen"/>
    <x v="0"/>
    <n v="30"/>
    <m/>
    <n v="50"/>
    <n v="11"/>
    <n v="0.53275967768838928"/>
    <n v="15"/>
    <n v="0.60552987937755121"/>
    <n v="28"/>
    <n v="0.50213657473599094"/>
    <n v="35"/>
    <n v="0.44911377886133697"/>
    <n v="19"/>
    <n v="0.58609873760144271"/>
    <n v="38"/>
    <n v="0.63178819722979829"/>
    <n v="3"/>
    <n v="0.67715184976789977"/>
    <n v="8"/>
    <n v="0.650850684130033"/>
    <n v="4"/>
    <n v="0.55001727364329922"/>
    <n v="11"/>
    <n v="0.59955114197947568"/>
    <n v="175"/>
    <n v="0.59803823756439001"/>
    <n v="12"/>
    <n v="0.56980571612074515"/>
    <n v="2"/>
    <n v="0.57312379170644256"/>
    <n v="0"/>
    <s v=""/>
    <n v="0"/>
    <s v=""/>
    <n v="9"/>
    <n v="0.60090499258175645"/>
    <n v="0"/>
    <n v="9"/>
    <n v="0.5635321567715299"/>
    <n v="0.45"/>
    <n v="19"/>
    <n v="0.45409621640645392"/>
    <n v="0.47499999999999998"/>
    <n v="19"/>
    <n v="0.62272767675842899"/>
    <n v="0.47499999999999998"/>
    <n v="16"/>
    <n v="0.40994824204480623"/>
    <n v="0.67796610169491522"/>
    <n v="7"/>
    <n v="0.28386963130618093"/>
    <n v="0.35"/>
    <m/>
    <m/>
    <m/>
    <m/>
    <m/>
    <m/>
    <m/>
    <m/>
    <m/>
    <n v="15"/>
    <n v="6"/>
    <n v="6"/>
    <n v="0"/>
    <n v="0"/>
    <n v="0"/>
    <n v="15858"/>
    <n v="15525"/>
    <n v="15858"/>
    <n v="0"/>
    <n v="154"/>
    <n v="407022"/>
    <n v="42327.519242991315"/>
    <n v="0"/>
    <n v="5"/>
    <n v="0"/>
    <n v="0"/>
    <n v="0"/>
    <n v="0"/>
    <n v="23787"/>
    <n v="12937.5"/>
    <n v="0"/>
    <n v="0"/>
    <n v="154"/>
    <n v="407022"/>
    <n v="0"/>
    <n v="0"/>
    <n v="4"/>
    <n v="0"/>
    <n v="0"/>
    <n v="0"/>
    <n v="75537"/>
    <n v="10572"/>
    <n v="0"/>
    <n v="0"/>
    <n v="154"/>
    <n v="407022"/>
    <n v="0"/>
    <n v="0"/>
    <n v="103"/>
    <n v="9"/>
    <n v="100"/>
    <n v="0"/>
    <n v="266512.5"/>
    <n v="23787"/>
    <x v="56"/>
    <x v="0"/>
    <n v="154"/>
    <n v="407022"/>
    <n v="75554.621848739494"/>
    <n v="20"/>
    <n v="163"/>
    <n v="20"/>
    <m/>
    <n v="0"/>
    <n v="0"/>
    <n v="430809"/>
    <n v="51750"/>
    <x v="0"/>
    <n v="0"/>
    <n v="154"/>
    <n v="407022"/>
    <n v="167899.15966386555"/>
    <n v="40"/>
    <n v="173"/>
    <n v="19"/>
    <m/>
    <n v="0"/>
    <n v="0"/>
    <n v="457239"/>
    <n v="49162.5"/>
    <n v="0"/>
    <n v="0"/>
    <n v="173"/>
    <n v="407022"/>
    <n v="159504.20168067227"/>
    <n v="40"/>
    <n v="173"/>
    <n v="19"/>
    <n v="100"/>
    <n v="100"/>
    <n v="0"/>
    <n v="457239"/>
    <n v="49162.5"/>
    <n v="250125"/>
    <n v="0"/>
    <n v="173"/>
    <n v="407022"/>
    <n v="159504.20168067227"/>
    <n v="23.6"/>
    <n v="170"/>
    <n v="16"/>
    <n v="0"/>
    <n v="0"/>
    <n v="0"/>
    <n v="449310"/>
    <n v="41400"/>
    <n v="0"/>
    <n v="0"/>
    <n v="170"/>
    <n v="449310"/>
    <n v="134319.32773109243"/>
    <n v="20"/>
    <n v="161"/>
    <n v="6"/>
    <n v="0"/>
    <n v="0"/>
    <n v="0"/>
    <n v="416587.5"/>
    <n v="15525"/>
    <n v="0"/>
    <n v="0"/>
    <n v="154"/>
    <n v="407022"/>
    <n v="50369.747899159658"/>
    <n v="20"/>
    <n v="155"/>
    <n v="20"/>
    <n v="0"/>
    <n v="0"/>
    <n v="0"/>
    <m/>
    <n v="401062.5"/>
    <n v="51750"/>
    <n v="0"/>
    <n v="0"/>
    <n v="155"/>
    <n v="401062.5"/>
    <n v="151092.43697478992"/>
    <n v="40"/>
    <n v="135"/>
    <n v="40"/>
    <m/>
    <n v="0"/>
    <n v="0"/>
    <n v="349312.5"/>
    <n v="103500"/>
    <n v="0"/>
    <n v="0"/>
    <n v="135"/>
    <n v="349312.5"/>
    <n v="302184.87394957984"/>
    <n v="40"/>
    <n v="95"/>
    <n v="40"/>
    <n v="0"/>
    <n v="0"/>
    <n v="245812.5"/>
    <n v="103500"/>
    <n v="0"/>
    <n v="0"/>
    <n v="95"/>
    <n v="245812.5"/>
    <n v="335798.31932773109"/>
    <n v="24"/>
    <n v="55"/>
    <n v="24"/>
    <n v="0"/>
    <m/>
    <n v="142312.5"/>
    <n v="63432"/>
    <n v="0"/>
    <n v="55"/>
    <n v="142312.5"/>
    <n v="201478.99159663863"/>
  </r>
  <r>
    <s v="Lhotse-Hidratación"/>
    <x v="4"/>
    <x v="19"/>
    <x v="45"/>
    <s v="LHCAMU"/>
    <x v="313"/>
    <x v="300"/>
    <x v="0"/>
    <x v="2"/>
    <n v="0.8"/>
    <x v="201"/>
    <n v="227"/>
    <m/>
    <n v="0"/>
    <n v="2743"/>
    <n v="622661"/>
    <n v="2.5"/>
    <n v="2731.25"/>
    <n v="8394.957983193277"/>
    <n v="7554.6218487394963"/>
    <s v="Shenzhen"/>
    <x v="0"/>
    <n v="30"/>
    <m/>
    <n v="50"/>
    <n v="7"/>
    <n v="0.55838071957471047"/>
    <n v="15"/>
    <n v="0.61891956649546864"/>
    <n v="27"/>
    <n v="0.48799979840864066"/>
    <n v="65"/>
    <n v="0.54320779450319623"/>
    <n v="3"/>
    <n v="0.65898987492555072"/>
    <n v="14"/>
    <n v="1"/>
    <n v="2"/>
    <n v="0.62104970547355876"/>
    <n v="6"/>
    <n v="0.6569571382654894"/>
    <n v="6"/>
    <n v="0.5936324963459062"/>
    <n v="11"/>
    <n v="0.56551679389312959"/>
    <n v="78"/>
    <n v="0.60341383693481021"/>
    <n v="11"/>
    <n v="0.62970866770982925"/>
    <n v="23"/>
    <n v="0.53954742088336871"/>
    <n v="13"/>
    <n v="0.46159058363032718"/>
    <n v="7"/>
    <n v="0.35864444285495428"/>
    <n v="8"/>
    <n v="0.51658747107059266"/>
    <n v="0.22857142857142856"/>
    <n v="16"/>
    <n v="0.63018236613870005"/>
    <n v="0.8"/>
    <n v="23"/>
    <n v="0.49954461242154019"/>
    <n v="0.76666666666666672"/>
    <n v="13"/>
    <n v="0.64700747025624772"/>
    <n v="0.43333333333333335"/>
    <n v="10"/>
    <n v="0.41043918493219805"/>
    <n v="0.49019607843137258"/>
    <n v="6"/>
    <n v="0.51889725331040315"/>
    <n v="0.29850746268656714"/>
    <m/>
    <m/>
    <m/>
    <m/>
    <m/>
    <m/>
    <m/>
    <m/>
    <m/>
    <n v="20"/>
    <n v="25"/>
    <n v="18"/>
    <n v="0"/>
    <n v="0"/>
    <n v="0"/>
    <n v="122063.5"/>
    <n v="64687.5"/>
    <n v="49374"/>
    <n v="0"/>
    <n v="227"/>
    <n v="622661"/>
    <n v="126982.55772897394"/>
    <n v="20"/>
    <n v="15"/>
    <n v="19.5"/>
    <n v="0"/>
    <n v="0"/>
    <n v="0"/>
    <n v="94633.5"/>
    <n v="38812.5"/>
    <n v="53488.5"/>
    <n v="0"/>
    <n v="227"/>
    <n v="622661"/>
    <n v="137564.43753972178"/>
    <n v="30"/>
    <n v="3"/>
    <n v="7"/>
    <n v="0"/>
    <n v="0"/>
    <n v="82545"/>
    <n v="8229"/>
    <n v="19201"/>
    <n v="0"/>
    <n v="227"/>
    <n v="622661"/>
    <n v="58764.705882352937"/>
    <n v="35"/>
    <n v="173"/>
    <n v="8"/>
    <n v="100"/>
    <n v="0"/>
    <n v="447637.5"/>
    <n v="21944"/>
    <x v="56"/>
    <x v="0"/>
    <n v="227"/>
    <n v="622661"/>
    <n v="67159.663865546216"/>
    <n v="20"/>
    <n v="243"/>
    <n v="16"/>
    <m/>
    <n v="0"/>
    <n v="0"/>
    <n v="666549"/>
    <n v="41400"/>
    <x v="0"/>
    <n v="0"/>
    <n v="227"/>
    <n v="622661"/>
    <n v="134319.32773109243"/>
    <n v="30"/>
    <n v="250"/>
    <n v="23"/>
    <m/>
    <n v="0"/>
    <n v="0"/>
    <n v="685750"/>
    <n v="59512.5"/>
    <n v="0"/>
    <n v="0"/>
    <n v="250"/>
    <n v="622661"/>
    <n v="193084.03361344538"/>
    <n v="30"/>
    <n v="240"/>
    <n v="13"/>
    <n v="100"/>
    <n v="100"/>
    <n v="0"/>
    <n v="658320"/>
    <n v="33637.5"/>
    <n v="250125"/>
    <n v="0"/>
    <n v="240"/>
    <n v="622661"/>
    <n v="109134.4537815126"/>
    <n v="20.399999999999999"/>
    <n v="237"/>
    <n v="10"/>
    <n v="0"/>
    <n v="0"/>
    <n v="0"/>
    <n v="650091"/>
    <n v="25875"/>
    <n v="0"/>
    <n v="0"/>
    <n v="237"/>
    <n v="650091"/>
    <n v="83949.579831932773"/>
    <n v="20.100000000000001"/>
    <n v="233"/>
    <n v="6"/>
    <n v="0"/>
    <n v="0"/>
    <n v="0"/>
    <n v="602887.5"/>
    <n v="15525"/>
    <n v="0"/>
    <n v="0"/>
    <n v="227"/>
    <n v="622661"/>
    <n v="50369.747899159658"/>
    <n v="20"/>
    <n v="227"/>
    <n v="16"/>
    <n v="0"/>
    <n v="0"/>
    <n v="0"/>
    <m/>
    <n v="587362.5"/>
    <n v="41400"/>
    <n v="0"/>
    <n v="0"/>
    <n v="227"/>
    <n v="587362.5"/>
    <n v="120873.94957983194"/>
    <n v="35"/>
    <n v="211"/>
    <n v="28"/>
    <m/>
    <n v="0"/>
    <n v="0"/>
    <n v="545962.5"/>
    <n v="72450"/>
    <n v="0"/>
    <n v="0"/>
    <n v="211"/>
    <n v="545962.5"/>
    <n v="211529.4117647059"/>
    <n v="35"/>
    <n v="183"/>
    <n v="28"/>
    <n v="0"/>
    <n v="0"/>
    <n v="473512.5"/>
    <n v="72450"/>
    <n v="0"/>
    <n v="0"/>
    <n v="183"/>
    <n v="473512.5"/>
    <n v="235058.82352941175"/>
    <n v="21"/>
    <n v="155"/>
    <n v="16.8"/>
    <n v="0"/>
    <m/>
    <n v="401062.5"/>
    <n v="46082.400000000001"/>
    <n v="0"/>
    <n v="155"/>
    <n v="401062.5"/>
    <n v="141035.29411764705"/>
  </r>
  <r>
    <s v="Lhotse-Hidratación"/>
    <x v="4"/>
    <x v="19"/>
    <x v="45"/>
    <s v="LHMAMU"/>
    <x v="314"/>
    <x v="301"/>
    <x v="0"/>
    <x v="3"/>
    <n v="1"/>
    <x v="202"/>
    <n v="32"/>
    <m/>
    <n v="0"/>
    <n v="2748"/>
    <n v="87936"/>
    <n v="2.2999999999999998"/>
    <n v="2512.75"/>
    <n v="8394.957983193277"/>
    <n v="7554.6218487394963"/>
    <s v="Shenzhen"/>
    <x v="0"/>
    <n v="30"/>
    <m/>
    <n v="100"/>
    <n v="17"/>
    <n v="0.67417266335958437"/>
    <n v="31"/>
    <n v="0.67820623727115081"/>
    <n v="34"/>
    <n v="0.65728163787500993"/>
    <n v="85"/>
    <n v="0.65075738816054751"/>
    <n v="14"/>
    <n v="0.58825687178910246"/>
    <n v="73"/>
    <n v="0.61198135845314805"/>
    <n v="10"/>
    <n v="0.64271119759118278"/>
    <n v="-3"/>
    <n v="0.20480406386066768"/>
    <n v="8"/>
    <n v="0.58573190386097673"/>
    <n v="50"/>
    <n v="0.63874547679398652"/>
    <n v="104"/>
    <n v="0.66554015131149424"/>
    <n v="80"/>
    <n v="0.6137708483490143"/>
    <n v="24"/>
    <n v="0.65656678631742516"/>
    <n v="47"/>
    <n v="0.47462279508389743"/>
    <n v="104"/>
    <n v="0.53773611766856855"/>
    <n v="96"/>
    <n v="0.43898996803853657"/>
    <n v="1.1294117647058823"/>
    <n v="93"/>
    <n v="0.6711588142389453"/>
    <n v="2.657142857142857"/>
    <n v="6"/>
    <n v="0.62902833550591508"/>
    <n v="0.05"/>
    <n v="61"/>
    <n v="0.65954872706530832"/>
    <n v="0.5083333333333333"/>
    <n v="136"/>
    <n v="0.44439459663359449"/>
    <n v="1.7894736842105263"/>
    <n v="81"/>
    <n v="0.38900895171432881"/>
    <n v="1.4727272727272727"/>
    <m/>
    <m/>
    <m/>
    <m/>
    <m/>
    <m/>
    <m/>
    <m/>
    <m/>
    <n v="40"/>
    <n v="19"/>
    <n v="40"/>
    <n v="100"/>
    <n v="100"/>
    <n v="0"/>
    <n v="589446"/>
    <n v="45229.5"/>
    <n v="109920"/>
    <n v="0"/>
    <n v="32"/>
    <n v="87936"/>
    <n v="282183.4616199421"/>
    <n v="25"/>
    <n v="144"/>
    <n v="70.5"/>
    <n v="100"/>
    <n v="100"/>
    <n v="0"/>
    <n v="743334"/>
    <n v="342792"/>
    <n v="193734"/>
    <n v="0"/>
    <n v="32"/>
    <n v="87936"/>
    <n v="497348.35110514797"/>
    <n v="40"/>
    <n v="211"/>
    <n v="104"/>
    <n v="0"/>
    <n v="0"/>
    <n v="632917.5"/>
    <n v="579828"/>
    <n v="285792"/>
    <n v="0"/>
    <n v="32"/>
    <n v="87936"/>
    <n v="873075.63025210076"/>
    <n v="85"/>
    <n v="201"/>
    <n v="96"/>
    <n v="160"/>
    <n v="0"/>
    <n v="478480.5"/>
    <n v="263808"/>
    <x v="57"/>
    <x v="0"/>
    <n v="32"/>
    <n v="87936"/>
    <n v="805915.96638655453"/>
    <n v="35"/>
    <n v="125"/>
    <n v="35"/>
    <m/>
    <n v="0"/>
    <n v="0"/>
    <n v="343500"/>
    <n v="83317.5"/>
    <x v="0"/>
    <n v="0"/>
    <n v="32"/>
    <n v="87936"/>
    <n v="293823.5294117647"/>
    <n v="120"/>
    <n v="38"/>
    <n v="6"/>
    <m/>
    <n v="0"/>
    <n v="0"/>
    <n v="104424"/>
    <n v="14283"/>
    <n v="0"/>
    <n v="0"/>
    <n v="38"/>
    <n v="87936"/>
    <n v="50369.747899159658"/>
    <n v="120"/>
    <n v="93"/>
    <n v="61"/>
    <n v="150"/>
    <n v="150"/>
    <n v="0"/>
    <n v="255564"/>
    <n v="145210.5"/>
    <n v="345172.49999999994"/>
    <n v="0"/>
    <n v="93"/>
    <n v="87936"/>
    <n v="512092.43697478989"/>
    <n v="76"/>
    <n v="168"/>
    <n v="140"/>
    <n v="150"/>
    <n v="150"/>
    <n v="0"/>
    <n v="461664"/>
    <n v="333270"/>
    <n v="357075"/>
    <n v="0"/>
    <n v="168"/>
    <n v="461664"/>
    <n v="1175294.1176470588"/>
    <n v="55"/>
    <n v="113"/>
    <n v="88.5"/>
    <n v="0"/>
    <n v="0"/>
    <n v="0"/>
    <n v="268996.5"/>
    <n v="210674.25"/>
    <n v="0"/>
    <n v="0"/>
    <n v="32"/>
    <n v="87936"/>
    <n v="742953.78151260503"/>
    <n v="84"/>
    <n v="24.5"/>
    <n v="24.5"/>
    <n v="0"/>
    <n v="0"/>
    <n v="0"/>
    <n v="0"/>
    <n v="58322.25"/>
    <n v="58322.25"/>
    <n v="0"/>
    <n v="0"/>
    <n v="24.5"/>
    <n v="58322.25"/>
    <n v="185088.23529411765"/>
    <n v="80"/>
    <n v="0"/>
    <n v="0"/>
    <m/>
    <n v="0"/>
    <n v="0"/>
    <n v="0"/>
    <n v="0"/>
    <n v="0"/>
    <n v="0"/>
    <n v="0"/>
    <n v="0"/>
    <n v="0"/>
    <n v="100"/>
    <n v="0"/>
    <n v="100"/>
    <n v="100"/>
    <n v="100"/>
    <n v="0"/>
    <n v="238050"/>
    <n v="238050"/>
    <n v="238050"/>
    <n v="100"/>
    <n v="238050"/>
    <n v="839495.79831932765"/>
    <n v="48"/>
    <n v="0"/>
    <n v="48"/>
    <n v="0"/>
    <m/>
    <n v="0"/>
    <n v="131904"/>
    <n v="0"/>
    <n v="0"/>
    <n v="0"/>
    <n v="402957.98319327726"/>
  </r>
  <r>
    <s v="Lhotse-Hidratación"/>
    <x v="4"/>
    <x v="19"/>
    <x v="45"/>
    <s v="LHMAMU"/>
    <x v="315"/>
    <x v="302"/>
    <x v="0"/>
    <x v="3"/>
    <n v="0.8"/>
    <x v="203"/>
    <n v="259"/>
    <m/>
    <n v="0"/>
    <n v="2614"/>
    <n v="677026"/>
    <n v="2.2999999999999998"/>
    <n v="2512.75"/>
    <n v="8394.957983193277"/>
    <n v="7554.6218487394963"/>
    <s v="Shenzhen"/>
    <x v="0"/>
    <n v="30"/>
    <m/>
    <n v="100"/>
    <n v="9"/>
    <n v="0.65369765820448678"/>
    <n v="20"/>
    <n v="0.6578257672555291"/>
    <n v="13"/>
    <n v="0.66907391937587068"/>
    <n v="56"/>
    <n v="0.5955277258174666"/>
    <n v="33"/>
    <n v="0.63402171672935259"/>
    <n v="108"/>
    <n v="0.64660366576780059"/>
    <n v="12"/>
    <n v="0.61516081693901647"/>
    <n v="1"/>
    <n v="0.70021226538401204"/>
    <n v="6"/>
    <n v="0.637328171530673"/>
    <n v="22"/>
    <n v="0.62805350816467809"/>
    <n v="75"/>
    <n v="0.66616151538787538"/>
    <n v="45"/>
    <n v="0.55655857570799672"/>
    <n v="39"/>
    <n v="0.56745876979680299"/>
    <n v="18"/>
    <n v="0.54623190170360592"/>
    <n v="23"/>
    <n v="0.45436758994376181"/>
    <n v="27"/>
    <n v="0.58273131959358693"/>
    <n v="0.49090909090909091"/>
    <n v="58"/>
    <n v="0.59385286044884555"/>
    <n v="1.6571428571428573"/>
    <n v="79"/>
    <n v="0.50205877286583755"/>
    <n v="0.71818181818181814"/>
    <n v="21"/>
    <n v="0.66138928899131544"/>
    <n v="0.17499999999999999"/>
    <n v="60"/>
    <n v="0.42037220446416562"/>
    <n v="1.6759776536312851"/>
    <n v="37"/>
    <n v="0.38474615445544558"/>
    <n v="0.97883597883597895"/>
    <m/>
    <m/>
    <m/>
    <m/>
    <m/>
    <m/>
    <m/>
    <m/>
    <m/>
    <n v="20"/>
    <n v="56"/>
    <n v="20"/>
    <n v="0"/>
    <n v="0"/>
    <n v="0"/>
    <n v="182980"/>
    <n v="133308"/>
    <n v="52280"/>
    <n v="0"/>
    <n v="259"/>
    <n v="677026"/>
    <n v="141091.73080997105"/>
    <n v="50"/>
    <n v="18"/>
    <n v="27"/>
    <n v="100"/>
    <n v="100"/>
    <n v="0"/>
    <n v="201278"/>
    <n v="42849"/>
    <n v="70578"/>
    <n v="0"/>
    <n v="259"/>
    <n v="677026"/>
    <n v="190473.83659346093"/>
    <n v="25"/>
    <n v="109"/>
    <n v="23"/>
    <n v="0"/>
    <n v="0"/>
    <n v="197354"/>
    <n v="284926"/>
    <n v="60122"/>
    <n v="0"/>
    <n v="259"/>
    <n v="677026"/>
    <n v="193084.03361344538"/>
    <n v="55"/>
    <n v="185"/>
    <n v="27"/>
    <n v="120"/>
    <n v="0"/>
    <n v="440392.5"/>
    <n v="70578"/>
    <x v="58"/>
    <x v="0"/>
    <n v="259"/>
    <n v="677026"/>
    <n v="226663.86554621847"/>
    <n v="35"/>
    <n v="317"/>
    <n v="28"/>
    <m/>
    <n v="0"/>
    <n v="0"/>
    <n v="828638"/>
    <n v="66654"/>
    <x v="0"/>
    <n v="0"/>
    <n v="259"/>
    <n v="677026"/>
    <n v="235058.82352941175"/>
    <n v="110"/>
    <n v="338"/>
    <n v="79"/>
    <m/>
    <n v="0"/>
    <n v="0"/>
    <n v="883532"/>
    <n v="188059.5"/>
    <n v="0"/>
    <n v="0"/>
    <n v="338"/>
    <n v="677026"/>
    <n v="663201.68067226885"/>
    <n v="120"/>
    <n v="280"/>
    <n v="21"/>
    <n v="180"/>
    <n v="180"/>
    <n v="0"/>
    <n v="731920"/>
    <n v="49990.5"/>
    <n v="414206.99999999994"/>
    <n v="0"/>
    <n v="280"/>
    <n v="677026"/>
    <n v="176294.11764705883"/>
    <n v="35.799999999999997"/>
    <n v="319"/>
    <n v="62"/>
    <n v="150"/>
    <n v="150"/>
    <n v="0"/>
    <n v="833866"/>
    <n v="147591"/>
    <n v="357075"/>
    <n v="0"/>
    <n v="319"/>
    <n v="833866"/>
    <n v="520487.39495798317"/>
    <n v="37.799999999999997"/>
    <n v="296"/>
    <n v="36"/>
    <n v="0"/>
    <n v="0"/>
    <n v="0"/>
    <n v="704628"/>
    <n v="85698"/>
    <n v="0"/>
    <n v="0"/>
    <n v="259"/>
    <n v="677026"/>
    <n v="302218.48739495798"/>
    <n v="100"/>
    <n v="260"/>
    <n v="80"/>
    <n v="0"/>
    <n v="0"/>
    <n v="0"/>
    <m/>
    <n v="618930"/>
    <n v="190440"/>
    <n v="0"/>
    <n v="0"/>
    <n v="260"/>
    <n v="618930"/>
    <n v="604369.74789915967"/>
    <n v="80"/>
    <n v="180"/>
    <n v="64"/>
    <m/>
    <n v="0"/>
    <n v="0"/>
    <n v="428490"/>
    <n v="152352"/>
    <n v="0"/>
    <n v="0"/>
    <n v="180"/>
    <n v="428490"/>
    <n v="483495.79831932776"/>
    <n v="110"/>
    <n v="116"/>
    <n v="88"/>
    <n v="0"/>
    <n v="0"/>
    <n v="276138"/>
    <n v="209484"/>
    <n v="0"/>
    <n v="0"/>
    <n v="116"/>
    <n v="276138"/>
    <n v="738756.30252100842"/>
    <n v="48"/>
    <n v="28"/>
    <n v="38.400000000000006"/>
    <n v="0"/>
    <m/>
    <n v="66654"/>
    <n v="100377.60000000002"/>
    <n v="0"/>
    <n v="28"/>
    <n v="66654"/>
    <n v="322366.38655462186"/>
  </r>
  <r>
    <s v="Lhotse-Hidratación"/>
    <x v="4"/>
    <x v="19"/>
    <x v="45"/>
    <s v="LHMAMU"/>
    <x v="316"/>
    <x v="303"/>
    <x v="0"/>
    <x v="3"/>
    <n v="1.4"/>
    <x v="204"/>
    <n v="85"/>
    <m/>
    <n v="0"/>
    <n v="2712"/>
    <n v="230520"/>
    <n v="2.6"/>
    <n v="2840.5"/>
    <n v="8394.957983193277"/>
    <n v="7554.6218487394963"/>
    <s v="Shenzhen"/>
    <x v="0"/>
    <n v="30"/>
    <m/>
    <n v="100"/>
    <n v="10"/>
    <n v="0.654653130118523"/>
    <n v="9"/>
    <n v="0.66548046904703384"/>
    <n v="10"/>
    <n v="0.65049368947913966"/>
    <n v="22"/>
    <n v="0.64933421060210872"/>
    <n v="15"/>
    <n v="0.68599992659859332"/>
    <n v="51"/>
    <n v="0.6691708732872732"/>
    <n v="55"/>
    <n v="0.59107129099210631"/>
    <n v="9"/>
    <n v="0.53804928608791669"/>
    <n v="2"/>
    <n v="0.54910653505786255"/>
    <n v="5"/>
    <n v="0.66533229670980976"/>
    <n v="10"/>
    <n v="0.63015312131919909"/>
    <n v="34"/>
    <n v="0.6617329880093562"/>
    <n v="32"/>
    <n v="0.4408324201161456"/>
    <n v="29"/>
    <n v="0.48623065287573852"/>
    <n v="14"/>
    <n v="0.41309861272119297"/>
    <n v="36"/>
    <n v="0.43545362761707124"/>
    <n v="1.8"/>
    <n v="5"/>
    <n v="0.61905476121282577"/>
    <n v="0.33333333333333331"/>
    <n v="4"/>
    <n v="0.54105709050234918"/>
    <n v="0.08"/>
    <n v="24"/>
    <n v="0.66547917031093895"/>
    <n v="0.37854889589905366"/>
    <n v="59"/>
    <n v="0.42151028543984015"/>
    <n v="1.18"/>
    <n v="39"/>
    <n v="0.38171128854108488"/>
    <n v="0.97499999999999998"/>
    <m/>
    <m/>
    <m/>
    <m/>
    <m/>
    <m/>
    <m/>
    <m/>
    <m/>
    <n v="15"/>
    <n v="101"/>
    <n v="15"/>
    <n v="0"/>
    <n v="0"/>
    <n v="0"/>
    <n v="196620"/>
    <n v="271791"/>
    <n v="40680"/>
    <n v="0"/>
    <n v="85"/>
    <n v="230520"/>
    <n v="105818.79810747829"/>
    <n v="10"/>
    <n v="57"/>
    <n v="43.5"/>
    <n v="0"/>
    <n v="0"/>
    <n v="0"/>
    <n v="253572"/>
    <n v="153387"/>
    <n v="117972"/>
    <n v="0"/>
    <n v="85"/>
    <n v="230520"/>
    <n v="306874.51451168704"/>
    <n v="55"/>
    <n v="27"/>
    <n v="14"/>
    <n v="0"/>
    <n v="0"/>
    <n v="192111"/>
    <n v="73224"/>
    <n v="37968"/>
    <n v="0"/>
    <n v="85"/>
    <n v="230520"/>
    <n v="117529.41176470587"/>
    <n v="20"/>
    <n v="54"/>
    <n v="36"/>
    <n v="40"/>
    <n v="0"/>
    <n v="145314"/>
    <n v="97632"/>
    <x v="59"/>
    <x v="0"/>
    <n v="85"/>
    <n v="230520"/>
    <n v="302218.48739495798"/>
    <n v="15"/>
    <n v="90"/>
    <n v="21"/>
    <m/>
    <n v="0"/>
    <n v="0"/>
    <n v="244080"/>
    <n v="56511"/>
    <x v="0"/>
    <n v="0"/>
    <n v="85"/>
    <n v="230520"/>
    <n v="176294.11764705883"/>
    <n v="50"/>
    <n v="89"/>
    <n v="4"/>
    <m/>
    <n v="0"/>
    <n v="0"/>
    <n v="241368"/>
    <n v="10764"/>
    <n v="0"/>
    <n v="0"/>
    <n v="89"/>
    <n v="230520"/>
    <n v="33579.831932773108"/>
    <n v="63.4"/>
    <n v="109"/>
    <n v="24"/>
    <n v="100"/>
    <n v="100"/>
    <n v="0"/>
    <n v="295608"/>
    <n v="64584"/>
    <n v="260129.99999999997"/>
    <n v="0"/>
    <n v="109"/>
    <n v="230520"/>
    <n v="201478.99159663863"/>
    <n v="50"/>
    <n v="144"/>
    <n v="60"/>
    <n v="100"/>
    <n v="100"/>
    <n v="0"/>
    <n v="390528"/>
    <n v="161460"/>
    <n v="269100"/>
    <n v="0"/>
    <n v="144"/>
    <n v="390528"/>
    <n v="503697.47899159661"/>
    <n v="40"/>
    <n v="124"/>
    <n v="40.5"/>
    <n v="0"/>
    <n v="0"/>
    <n v="0"/>
    <n v="333684"/>
    <n v="108985.5"/>
    <n v="0"/>
    <n v="0"/>
    <n v="85"/>
    <n v="230520"/>
    <n v="339995.7983193277"/>
    <n v="60"/>
    <n v="83.5"/>
    <n v="83.5"/>
    <n v="0"/>
    <n v="0"/>
    <n v="0"/>
    <n v="0"/>
    <n v="224698.5"/>
    <n v="224698.5"/>
    <n v="0"/>
    <n v="0"/>
    <n v="83.5"/>
    <n v="224698.5"/>
    <n v="630810.92436974798"/>
    <n v="35"/>
    <n v="0"/>
    <n v="0"/>
    <m/>
    <n v="0"/>
    <n v="0"/>
    <n v="0"/>
    <n v="0"/>
    <n v="0"/>
    <n v="0"/>
    <n v="0"/>
    <n v="0"/>
    <n v="0"/>
    <n v="70"/>
    <n v="0"/>
    <n v="0"/>
    <n v="0"/>
    <n v="0"/>
    <n v="0"/>
    <n v="0"/>
    <n v="0"/>
    <n v="0"/>
    <n v="0"/>
    <n v="0"/>
    <n v="0"/>
    <n v="21"/>
    <n v="0"/>
    <n v="29.4"/>
    <n v="0"/>
    <m/>
    <n v="0"/>
    <n v="79732.800000000003"/>
    <n v="0"/>
    <n v="0"/>
    <n v="0"/>
    <n v="246811.76470588232"/>
  </r>
  <r>
    <s v="Lhotse-Hidratación"/>
    <x v="4"/>
    <x v="19"/>
    <x v="45"/>
    <s v="LHMAMU"/>
    <x v="317"/>
    <x v="304"/>
    <x v="0"/>
    <x v="3"/>
    <n v="1"/>
    <x v="205"/>
    <n v="72"/>
    <m/>
    <n v="0"/>
    <n v="2623"/>
    <n v="188856"/>
    <n v="2.2999999999999998"/>
    <n v="2512.75"/>
    <n v="8394.957983193277"/>
    <n v="7554.6218487394963"/>
    <s v="Shenzhen"/>
    <x v="0"/>
    <n v="30"/>
    <m/>
    <n v="100"/>
    <n v="37"/>
    <n v="0.66556034288631005"/>
    <n v="47"/>
    <n v="0.65868090832895099"/>
    <n v="15"/>
    <n v="0.75435162314749471"/>
    <n v="69"/>
    <n v="0.66216317121423052"/>
    <n v="27"/>
    <n v="0.62185916150881704"/>
    <n v="5"/>
    <n v="0.67857653365098269"/>
    <n v="9"/>
    <n v="0.702951074905248"/>
    <n v="1"/>
    <n v="0.5498361408882082"/>
    <n v="11"/>
    <n v="0.69298780417978811"/>
    <n v="21"/>
    <n v="0.67648541691177466"/>
    <n v="105"/>
    <n v="0.65857654976192526"/>
    <n v="37"/>
    <n v="0.69112234292687957"/>
    <n v="10"/>
    <n v="0.51337830483121205"/>
    <n v="65"/>
    <n v="0.53243635215719576"/>
    <n v="53"/>
    <n v="0.54499648584466343"/>
    <n v="65"/>
    <n v="0.4335009897243367"/>
    <n v="1.0833333333333333"/>
    <n v="116"/>
    <n v="0.68260465569222284"/>
    <n v="3.3142857142857145"/>
    <n v="18"/>
    <n v="0.5363385048414111"/>
    <n v="0.22500000000000001"/>
    <n v="24"/>
    <n v="0.68076194707962956"/>
    <n v="0.48"/>
    <n v="75"/>
    <n v="0.44417707859513034"/>
    <n v="1.6666666666666667"/>
    <n v="33"/>
    <n v="0.328749910575515"/>
    <n v="0.82499999999999996"/>
    <m/>
    <m/>
    <m/>
    <m/>
    <m/>
    <m/>
    <m/>
    <m/>
    <m/>
    <n v="40"/>
    <n v="12"/>
    <n v="20"/>
    <n v="100"/>
    <n v="100"/>
    <n v="0"/>
    <n v="447221.5"/>
    <n v="28566"/>
    <n v="52460"/>
    <n v="0"/>
    <n v="72"/>
    <n v="188856"/>
    <n v="141091.73080997105"/>
    <n v="20"/>
    <n v="128"/>
    <n v="97.5"/>
    <n v="100"/>
    <n v="100"/>
    <n v="0"/>
    <n v="565256.5"/>
    <n v="304704"/>
    <n v="255742.5"/>
    <n v="0"/>
    <n v="72"/>
    <n v="188856"/>
    <n v="687822.18769860885"/>
    <n v="35"/>
    <n v="163"/>
    <n v="53"/>
    <n v="0"/>
    <n v="0"/>
    <n v="392831.5"/>
    <n v="427549"/>
    <n v="139019"/>
    <n v="0"/>
    <n v="72"/>
    <n v="188856"/>
    <n v="444932.77310924366"/>
    <n v="60"/>
    <n v="228"/>
    <n v="65"/>
    <n v="120"/>
    <n v="0"/>
    <n v="542754"/>
    <n v="170495"/>
    <x v="58"/>
    <x v="0"/>
    <n v="72"/>
    <n v="188856"/>
    <n v="545672.26890756295"/>
    <n v="35"/>
    <n v="188"/>
    <n v="35"/>
    <m/>
    <n v="0"/>
    <n v="0"/>
    <n v="493124"/>
    <n v="83317.5"/>
    <x v="0"/>
    <n v="0"/>
    <n v="72"/>
    <n v="188856"/>
    <n v="293823.5294117647"/>
    <n v="80"/>
    <n v="90"/>
    <n v="18"/>
    <m/>
    <n v="0"/>
    <n v="0"/>
    <n v="236070"/>
    <n v="42849"/>
    <n v="0"/>
    <n v="0"/>
    <n v="90"/>
    <n v="188856"/>
    <n v="151109.24369747899"/>
    <n v="50"/>
    <n v="96"/>
    <n v="24"/>
    <n v="0"/>
    <n v="0"/>
    <n v="0"/>
    <n v="251808"/>
    <n v="57132"/>
    <n v="0"/>
    <n v="0"/>
    <n v="96"/>
    <n v="188856"/>
    <n v="201478.99159663863"/>
    <n v="45"/>
    <n v="147"/>
    <n v="77"/>
    <n v="150"/>
    <n v="150"/>
    <n v="0"/>
    <n v="385581"/>
    <n v="183298.5"/>
    <n v="357075"/>
    <n v="0"/>
    <n v="147"/>
    <n v="385581"/>
    <n v="646411.76470588229"/>
    <n v="40"/>
    <n v="105"/>
    <n v="30"/>
    <n v="0"/>
    <n v="0"/>
    <n v="0"/>
    <n v="249952.5"/>
    <n v="71415"/>
    <n v="0"/>
    <n v="0"/>
    <n v="72"/>
    <n v="188856"/>
    <n v="251848.73949579831"/>
    <n v="60"/>
    <n v="75"/>
    <n v="60"/>
    <n v="0"/>
    <n v="0"/>
    <n v="0"/>
    <n v="0"/>
    <n v="178537.5"/>
    <n v="142830"/>
    <n v="0"/>
    <n v="0"/>
    <n v="75"/>
    <n v="178537.5"/>
    <n v="453277.31092436978"/>
    <n v="16"/>
    <n v="15"/>
    <n v="15"/>
    <m/>
    <n v="0"/>
    <n v="0"/>
    <n v="35707.5"/>
    <n v="35707.5"/>
    <n v="0"/>
    <n v="0"/>
    <n v="15"/>
    <n v="35707.5"/>
    <n v="113319.32773109245"/>
    <n v="80"/>
    <n v="0"/>
    <n v="80"/>
    <n v="100"/>
    <n v="100"/>
    <n v="0"/>
    <n v="190440"/>
    <n v="238050"/>
    <n v="238050"/>
    <n v="100"/>
    <n v="238050"/>
    <n v="671596.63865546219"/>
    <n v="9.6"/>
    <n v="20"/>
    <n v="9.6"/>
    <n v="0"/>
    <m/>
    <n v="47610"/>
    <n v="25180.799999999999"/>
    <n v="0"/>
    <n v="20"/>
    <n v="47610"/>
    <n v="80591.59663865545"/>
  </r>
  <r>
    <s v="Lhotse-Hidratación"/>
    <x v="4"/>
    <x v="19"/>
    <x v="45"/>
    <s v="LHMAMU"/>
    <x v="318"/>
    <x v="305"/>
    <x v="0"/>
    <x v="2"/>
    <n v="1"/>
    <x v="206"/>
    <n v="124"/>
    <m/>
    <n v="0"/>
    <n v="2756"/>
    <n v="341744"/>
    <n v="2.2999999999999998"/>
    <n v="2512.75"/>
    <n v="8394.957983193277"/>
    <n v="7554.6218487394963"/>
    <s v="Shenzhen"/>
    <x v="0"/>
    <n v="30"/>
    <m/>
    <n v="100"/>
    <n v="2"/>
    <n v="0.58175248281130632"/>
    <n v="10"/>
    <n v="0.67425196721785507"/>
    <n v="10"/>
    <n v="0.65012397750511242"/>
    <n v="18"/>
    <n v="0.56837999299229158"/>
    <n v="35"/>
    <n v="0.63741837395584833"/>
    <n v="77"/>
    <n v="0.64947172479799675"/>
    <n v="94"/>
    <n v="0.49612067903749307"/>
    <n v="14"/>
    <n v="0.57842252472896738"/>
    <n v="13"/>
    <n v="0.56172496067229671"/>
    <n v="5"/>
    <n v="0.72831521318720449"/>
    <n v="17"/>
    <n v="0.65244752291253116"/>
    <n v="41"/>
    <n v="0.62981190137691612"/>
    <n v="47"/>
    <n v="0.50630415800181972"/>
    <n v="15"/>
    <n v="0.58008467420437082"/>
    <n v="14"/>
    <n v="0.51752294787249309"/>
    <n v="36"/>
    <n v="0.46358476356480316"/>
    <n v="1.2"/>
    <n v="89"/>
    <n v="0.66831493420120935"/>
    <n v="2.5428571428571427"/>
    <n v="22"/>
    <n v="0.40134364451233212"/>
    <n v="0.29333333333333333"/>
    <n v="26"/>
    <n v="0.65710865457501877"/>
    <n v="0.24007386888273316"/>
    <n v="66"/>
    <n v="0.41488390933255526"/>
    <n v="1.65"/>
    <n v="28"/>
    <n v="0.39753350177952862"/>
    <n v="0.8"/>
    <m/>
    <m/>
    <m/>
    <m/>
    <m/>
    <m/>
    <m/>
    <m/>
    <m/>
    <n v="20"/>
    <n v="55"/>
    <n v="35"/>
    <n v="100"/>
    <n v="100"/>
    <n v="0"/>
    <n v="197054"/>
    <n v="130927.5"/>
    <n v="96460"/>
    <n v="0"/>
    <n v="124"/>
    <n v="341744"/>
    <n v="246910.52891744935"/>
    <n v="35"/>
    <n v="110"/>
    <n v="22.5"/>
    <n v="0"/>
    <n v="0"/>
    <n v="0"/>
    <n v="199810"/>
    <n v="261855"/>
    <n v="62010"/>
    <n v="0"/>
    <n v="124"/>
    <n v="341744"/>
    <n v="158728.19716121742"/>
    <n v="30"/>
    <n v="92"/>
    <n v="14"/>
    <n v="0"/>
    <n v="0"/>
    <n v="221117.5"/>
    <n v="253552"/>
    <n v="38584"/>
    <n v="0"/>
    <n v="124"/>
    <n v="341744"/>
    <n v="117529.41176470587"/>
    <n v="30"/>
    <n v="154"/>
    <n v="36"/>
    <n v="60"/>
    <n v="0"/>
    <n v="366597"/>
    <n v="99216"/>
    <x v="60"/>
    <x v="0"/>
    <n v="124"/>
    <n v="341744"/>
    <n v="302218.48739495798"/>
    <n v="35"/>
    <n v="213"/>
    <n v="35"/>
    <m/>
    <n v="0"/>
    <n v="0"/>
    <n v="587028"/>
    <n v="83317.5"/>
    <x v="0"/>
    <n v="0"/>
    <n v="124"/>
    <n v="341744"/>
    <n v="293823.5294117647"/>
    <n v="75"/>
    <n v="146"/>
    <n v="22"/>
    <m/>
    <n v="0"/>
    <n v="0"/>
    <n v="402376"/>
    <n v="52371"/>
    <n v="0"/>
    <n v="0"/>
    <n v="146"/>
    <n v="341744"/>
    <n v="184689.0756302521"/>
    <n v="108.3"/>
    <n v="150"/>
    <n v="26"/>
    <n v="150"/>
    <n v="150"/>
    <n v="0"/>
    <n v="413400"/>
    <n v="61893"/>
    <n v="345172.49999999994"/>
    <n v="0"/>
    <n v="150"/>
    <n v="341744"/>
    <n v="218268.90756302519"/>
    <n v="40"/>
    <n v="190"/>
    <n v="68"/>
    <n v="100"/>
    <n v="100"/>
    <n v="0"/>
    <n v="523640"/>
    <n v="161874"/>
    <n v="238050"/>
    <n v="0"/>
    <n v="190"/>
    <n v="523640"/>
    <n v="570857.14285714284"/>
    <n v="35"/>
    <n v="152"/>
    <n v="34.5"/>
    <n v="0"/>
    <n v="0"/>
    <n v="0"/>
    <n v="361836"/>
    <n v="82127.25"/>
    <n v="0"/>
    <n v="0"/>
    <n v="124"/>
    <n v="341744"/>
    <n v="289626.05042016803"/>
    <n v="50"/>
    <n v="117.5"/>
    <n v="50"/>
    <n v="0"/>
    <n v="0"/>
    <n v="0"/>
    <n v="0"/>
    <n v="279708.75"/>
    <n v="119025"/>
    <n v="0"/>
    <n v="0"/>
    <n v="117.5"/>
    <n v="279708.75"/>
    <n v="377731.09243697481"/>
    <n v="40"/>
    <n v="67.5"/>
    <n v="40"/>
    <m/>
    <n v="0"/>
    <n v="0"/>
    <n v="160683.75"/>
    <n v="95220"/>
    <n v="0"/>
    <n v="0"/>
    <n v="67.5"/>
    <n v="160683.75"/>
    <n v="302184.87394957984"/>
    <n v="35"/>
    <n v="27.5"/>
    <n v="27.5"/>
    <n v="0"/>
    <n v="0"/>
    <n v="65463.75"/>
    <n v="65463.75"/>
    <n v="0"/>
    <n v="0"/>
    <n v="27.5"/>
    <n v="65463.75"/>
    <n v="230861.34453781511"/>
    <n v="24"/>
    <n v="0"/>
    <n v="24"/>
    <n v="0"/>
    <m/>
    <n v="0"/>
    <n v="66144"/>
    <n v="0"/>
    <n v="0"/>
    <n v="0"/>
    <n v="201478.99159663863"/>
  </r>
  <r>
    <s v="Lhotse-Hidratación"/>
    <x v="4"/>
    <x v="19"/>
    <x v="45"/>
    <s v="LHMAMU"/>
    <x v="319"/>
    <x v="306"/>
    <x v="0"/>
    <x v="3"/>
    <n v="1"/>
    <x v="207"/>
    <n v="173"/>
    <m/>
    <n v="0"/>
    <n v="2582"/>
    <n v="446686"/>
    <n v="2.2999999999999998"/>
    <n v="2512.75"/>
    <n v="8394.957983193277"/>
    <n v="7554.6218487394963"/>
    <s v="Shenzhen"/>
    <x v="0"/>
    <n v="30"/>
    <m/>
    <n v="100"/>
    <n v="3"/>
    <n v="0.63720531911588152"/>
    <n v="22"/>
    <n v="0.67109380721339562"/>
    <n v="21"/>
    <n v="0.64563381347421134"/>
    <n v="38"/>
    <n v="0.64344385373383406"/>
    <n v="63"/>
    <n v="0.59051447158743187"/>
    <n v="98"/>
    <n v="0.64375815586178087"/>
    <n v="36"/>
    <n v="0.56339264658659938"/>
    <n v="1"/>
    <n v="0.77187644429619751"/>
    <n v="2"/>
    <n v="0.63814651578320425"/>
    <n v="14"/>
    <n v="0.65459310879248456"/>
    <n v="84"/>
    <n v="0.65629064423827277"/>
    <n v="30"/>
    <n v="0.57360850616000469"/>
    <n v="15"/>
    <n v="0.49113543877681443"/>
    <n v="16"/>
    <n v="0.47421856287872821"/>
    <n v="13"/>
    <n v="0.55224116599000672"/>
    <n v="24"/>
    <n v="0.51996030762552292"/>
    <n v="0.68571428571428572"/>
    <n v="56"/>
    <n v="0.66172390506981926"/>
    <n v="0.88888888888888884"/>
    <n v="6"/>
    <n v="0.39857028464451655"/>
    <n v="0.06"/>
    <n v="28"/>
    <n v="0.69065443452606656"/>
    <n v="0.28000000000000003"/>
    <n v="43"/>
    <n v="0.43488666276217258"/>
    <n v="1.2285714285714286"/>
    <n v="18"/>
    <n v="0.42904837318677269"/>
    <n v="0.51428571428571423"/>
    <m/>
    <m/>
    <m/>
    <m/>
    <m/>
    <m/>
    <m/>
    <m/>
    <m/>
    <n v="25"/>
    <n v="27"/>
    <n v="30"/>
    <n v="0"/>
    <n v="0"/>
    <n v="0"/>
    <n v="172994"/>
    <n v="64273.5"/>
    <n v="77460"/>
    <n v="0"/>
    <n v="173"/>
    <n v="446686"/>
    <n v="211637.59621495657"/>
    <n v="30"/>
    <n v="24"/>
    <n v="24"/>
    <n v="100"/>
    <n v="100"/>
    <n v="0"/>
    <n v="157502"/>
    <n v="57132"/>
    <n v="61968"/>
    <n v="0"/>
    <n v="173"/>
    <n v="446686"/>
    <n v="169310.07697196526"/>
    <n v="35"/>
    <n v="114"/>
    <n v="13"/>
    <n v="0"/>
    <n v="0"/>
    <n v="245505.5"/>
    <n v="294348"/>
    <n v="33566"/>
    <n v="0"/>
    <n v="173"/>
    <n v="446686"/>
    <n v="109134.4537815126"/>
    <n v="35"/>
    <n v="94"/>
    <n v="24"/>
    <n v="150"/>
    <n v="0"/>
    <n v="223767"/>
    <n v="61968"/>
    <x v="61"/>
    <x v="0"/>
    <n v="173"/>
    <n v="446686"/>
    <n v="201478.99159663863"/>
    <n v="63"/>
    <n v="229"/>
    <n v="63"/>
    <m/>
    <n v="0"/>
    <n v="0"/>
    <n v="591278"/>
    <n v="149971.5"/>
    <x v="0"/>
    <n v="0"/>
    <n v="173"/>
    <n v="446686"/>
    <n v="528882.3529411765"/>
    <n v="100"/>
    <n v="179"/>
    <n v="6"/>
    <m/>
    <n v="150"/>
    <n v="0"/>
    <n v="462178"/>
    <n v="14283"/>
    <n v="0"/>
    <n v="0"/>
    <n v="179"/>
    <n v="446686"/>
    <n v="50369.747899159658"/>
    <n v="100"/>
    <n v="201"/>
    <n v="28"/>
    <n v="220"/>
    <n v="220"/>
    <n v="0"/>
    <n v="518982"/>
    <n v="66654"/>
    <n v="506252.99999999994"/>
    <n v="0"/>
    <n v="201"/>
    <n v="446686"/>
    <n v="235058.82352941175"/>
    <n v="35"/>
    <n v="216"/>
    <n v="44"/>
    <n v="0"/>
    <n v="0"/>
    <n v="0"/>
    <n v="557712"/>
    <n v="104742"/>
    <n v="0"/>
    <n v="0"/>
    <n v="216"/>
    <n v="557712"/>
    <n v="369378.15126050421"/>
    <n v="35"/>
    <n v="191"/>
    <n v="16.5"/>
    <n v="0"/>
    <n v="0"/>
    <n v="0"/>
    <n v="454675.5"/>
    <n v="39278.25"/>
    <n v="0"/>
    <n v="0"/>
    <n v="173"/>
    <n v="446686"/>
    <n v="138516.80672268907"/>
    <n v="50"/>
    <n v="174.5"/>
    <n v="50"/>
    <n v="0"/>
    <n v="0"/>
    <n v="0"/>
    <n v="0"/>
    <n v="415397.25"/>
    <n v="119025"/>
    <n v="0"/>
    <n v="0"/>
    <n v="174.5"/>
    <n v="415397.25"/>
    <n v="377731.09243697481"/>
    <n v="40"/>
    <n v="124.5"/>
    <n v="40"/>
    <m/>
    <n v="0"/>
    <n v="0"/>
    <n v="296372.25"/>
    <n v="95220"/>
    <n v="0"/>
    <n v="0"/>
    <n v="124.5"/>
    <n v="296372.25"/>
    <n v="302184.87394957984"/>
    <n v="80"/>
    <n v="84.5"/>
    <n v="80"/>
    <n v="0"/>
    <n v="0"/>
    <n v="201152.25"/>
    <n v="190440"/>
    <n v="0"/>
    <n v="0"/>
    <n v="84.5"/>
    <n v="201152.25"/>
    <n v="671596.63865546219"/>
    <n v="24"/>
    <n v="4.5"/>
    <n v="24"/>
    <n v="0"/>
    <m/>
    <n v="10712.25"/>
    <n v="61968"/>
    <n v="0"/>
    <n v="4.5"/>
    <n v="10712.25"/>
    <n v="201478.99159663863"/>
  </r>
  <r>
    <s v="Lhotse-Hidratación"/>
    <x v="4"/>
    <x v="19"/>
    <x v="45"/>
    <s v="LHVACAM"/>
    <x v="320"/>
    <x v="307"/>
    <x v="0"/>
    <x v="2"/>
    <n v="1"/>
    <x v="208"/>
    <n v="1"/>
    <m/>
    <n v="0"/>
    <n v="2867"/>
    <n v="2867"/>
    <n v="2.4"/>
    <n v="2622"/>
    <n v="7554.6218487394963"/>
    <n v="6714.2857142857147"/>
    <s v="Shenzhen"/>
    <x v="0"/>
    <n v="30"/>
    <m/>
    <n v="500"/>
    <n v="5"/>
    <n v="0.64583961261951239"/>
    <n v="4"/>
    <n v="0.59813398877670043"/>
    <n v="17"/>
    <n v="0.43741030968860384"/>
    <n v="12"/>
    <n v="0.43294645064526233"/>
    <n v="5"/>
    <n v="0.5096511031298101"/>
    <n v="29"/>
    <n v="0.44387351631217314"/>
    <n v="32"/>
    <n v="0.35108674964482389"/>
    <n v="16"/>
    <n v="0.46609346817558284"/>
    <n v="15"/>
    <n v="0.27747578324329752"/>
    <n v="0"/>
    <s v=""/>
    <n v="7"/>
    <n v="0.48527761086459686"/>
    <n v="2"/>
    <n v="0.62049721913236933"/>
    <n v="1"/>
    <n v="0.56461655980785663"/>
    <n v="0"/>
    <s v=""/>
    <n v="0"/>
    <s v=""/>
    <n v="0"/>
    <s v=""/>
    <n v="0"/>
    <n v="1"/>
    <n v="0.62054727474972182"/>
    <n v="0"/>
    <n v="1"/>
    <n v="0.20005392731535757"/>
    <n v="0"/>
    <n v="0"/>
    <s v=""/>
    <n v="0"/>
    <n v="0"/>
    <s v=""/>
    <n v="0"/>
    <n v="0"/>
    <s v=""/>
    <n v="0"/>
    <m/>
    <m/>
    <m/>
    <m/>
    <m/>
    <m/>
    <m/>
    <m/>
    <m/>
    <n v="0"/>
    <n v="2"/>
    <n v="0"/>
    <n v="0"/>
    <n v="0"/>
    <n v="0"/>
    <n v="0"/>
    <n v="4968"/>
    <n v="0"/>
    <n v="0"/>
    <n v="1"/>
    <n v="2867"/>
    <n v="0"/>
    <n v="0"/>
    <n v="1"/>
    <n v="0"/>
    <n v="0"/>
    <n v="0"/>
    <n v="0"/>
    <n v="0"/>
    <n v="2484"/>
    <n v="0"/>
    <n v="0"/>
    <n v="1"/>
    <n v="2867"/>
    <n v="0"/>
    <n v="0"/>
    <n v="1"/>
    <n v="0"/>
    <n v="0"/>
    <n v="0"/>
    <n v="0"/>
    <n v="2867"/>
    <n v="0"/>
    <n v="0"/>
    <n v="1"/>
    <n v="2867"/>
    <n v="0"/>
    <n v="12"/>
    <n v="3"/>
    <n v="0"/>
    <n v="0"/>
    <n v="0"/>
    <n v="7452"/>
    <n v="0"/>
    <x v="0"/>
    <x v="0"/>
    <n v="1"/>
    <n v="2867"/>
    <n v="0"/>
    <n v="0"/>
    <n v="2"/>
    <n v="0"/>
    <m/>
    <n v="0"/>
    <n v="0"/>
    <n v="5734"/>
    <n v="0"/>
    <x v="0"/>
    <n v="0"/>
    <n v="1"/>
    <n v="2867"/>
    <n v="0"/>
    <n v="0"/>
    <n v="2"/>
    <n v="1"/>
    <m/>
    <n v="0"/>
    <n v="0"/>
    <n v="5734"/>
    <n v="2484"/>
    <n v="0"/>
    <n v="0"/>
    <n v="2"/>
    <n v="2867"/>
    <n v="7554.6218487394963"/>
    <n v="0"/>
    <n v="1"/>
    <n v="0"/>
    <n v="0"/>
    <n v="0"/>
    <n v="0"/>
    <n v="2867"/>
    <n v="0"/>
    <n v="0"/>
    <n v="0"/>
    <n v="1"/>
    <n v="2867"/>
    <n v="0"/>
    <n v="0"/>
    <n v="1"/>
    <n v="0"/>
    <n v="0"/>
    <n v="0"/>
    <n v="0"/>
    <n v="2867"/>
    <n v="0"/>
    <n v="0"/>
    <n v="0"/>
    <n v="1"/>
    <n v="2867"/>
    <n v="0"/>
    <n v="0"/>
    <n v="1"/>
    <n v="0"/>
    <n v="0"/>
    <n v="0"/>
    <n v="0"/>
    <n v="2484"/>
    <n v="0"/>
    <n v="0"/>
    <n v="0"/>
    <n v="1"/>
    <n v="2867"/>
    <n v="0"/>
    <n v="0"/>
    <n v="1"/>
    <n v="0"/>
    <n v="0"/>
    <n v="0"/>
    <n v="0"/>
    <m/>
    <n v="2484"/>
    <n v="0"/>
    <n v="0"/>
    <n v="0"/>
    <n v="1"/>
    <n v="2484"/>
    <n v="0"/>
    <n v="0"/>
    <n v="1"/>
    <n v="0"/>
    <m/>
    <n v="0"/>
    <n v="0"/>
    <n v="2484"/>
    <n v="0"/>
    <n v="0"/>
    <n v="0"/>
    <n v="1"/>
    <n v="2484"/>
    <n v="0"/>
    <n v="0"/>
    <n v="1"/>
    <n v="0"/>
    <n v="0"/>
    <n v="0"/>
    <n v="2484"/>
    <n v="0"/>
    <n v="0"/>
    <n v="0"/>
    <n v="1"/>
    <n v="2484"/>
    <n v="0"/>
    <n v="0"/>
    <n v="1"/>
    <n v="0"/>
    <n v="0"/>
    <m/>
    <n v="2484"/>
    <n v="0"/>
    <n v="0"/>
    <n v="1"/>
    <n v="2484"/>
    <n v="0"/>
  </r>
  <r>
    <s v="Lhotse-Hidratación"/>
    <x v="4"/>
    <x v="19"/>
    <x v="45"/>
    <s v="LHVACAM"/>
    <x v="321"/>
    <x v="308"/>
    <x v="0"/>
    <x v="2"/>
    <n v="1"/>
    <x v="209"/>
    <n v="28"/>
    <m/>
    <n v="0"/>
    <n v="2872"/>
    <n v="80416"/>
    <n v="2.4"/>
    <n v="2622"/>
    <n v="7554.6218487394963"/>
    <n v="6714.2857142857147"/>
    <s v="Shenzhen"/>
    <x v="0"/>
    <n v="30"/>
    <m/>
    <n v="500"/>
    <n v="2"/>
    <n v="0.54704991719895912"/>
    <n v="2"/>
    <n v="0.57224754244861487"/>
    <n v="12"/>
    <n v="0.47113690771301076"/>
    <n v="4"/>
    <n v="0.59023649010165857"/>
    <n v="2"/>
    <n v="0.57774014899039394"/>
    <n v="4"/>
    <n v="0.42947953913388953"/>
    <n v="23"/>
    <n v="0.33976640978739991"/>
    <n v="8"/>
    <n v="0.45228759416420333"/>
    <n v="10"/>
    <n v="0.47293349896710229"/>
    <n v="4"/>
    <n v="0.44530564944471274"/>
    <n v="2"/>
    <n v="0.47341400806747341"/>
    <n v="4"/>
    <n v="0.52256670268473115"/>
    <n v="8"/>
    <n v="0.39428450417409466"/>
    <n v="6"/>
    <n v="0.50317685693514036"/>
    <n v="2"/>
    <n v="0.48984757677715968"/>
    <n v="1"/>
    <n v="0.19999999542818531"/>
    <n v="0.2"/>
    <n v="9"/>
    <n v="0.36704298973103117"/>
    <n v="4.5"/>
    <n v="7"/>
    <n v="0.46810999005257919"/>
    <n v="0.53846153846153844"/>
    <n v="2"/>
    <n v="0.48159575274933636"/>
    <n v="8.6956521739130432E-2"/>
    <n v="1"/>
    <n v="0.39041339993259189"/>
    <n v="0.2"/>
    <n v="0"/>
    <n v="-0.28202549087151219"/>
    <n v="0"/>
    <m/>
    <m/>
    <m/>
    <m/>
    <m/>
    <m/>
    <m/>
    <m/>
    <m/>
    <n v="3"/>
    <n v="96"/>
    <n v="3"/>
    <n v="0"/>
    <n v="0"/>
    <n v="0"/>
    <n v="40208"/>
    <n v="238464"/>
    <n v="8616"/>
    <n v="0"/>
    <n v="28"/>
    <n v="80416"/>
    <n v="19045.26516488949"/>
    <n v="3"/>
    <n v="54"/>
    <n v="9"/>
    <n v="0"/>
    <n v="0"/>
    <n v="0"/>
    <n v="34464"/>
    <n v="134136"/>
    <n v="25848"/>
    <n v="0"/>
    <n v="28"/>
    <n v="80416"/>
    <n v="57135.795494668462"/>
    <n v="12"/>
    <n v="49"/>
    <n v="2"/>
    <n v="0"/>
    <n v="0"/>
    <n v="13584"/>
    <n v="140728"/>
    <n v="5744"/>
    <n v="0"/>
    <n v="28"/>
    <n v="80416"/>
    <n v="15109.243697478993"/>
    <n v="5"/>
    <n v="46"/>
    <n v="1"/>
    <n v="0"/>
    <n v="0"/>
    <n v="114264"/>
    <n v="2872"/>
    <x v="0"/>
    <x v="0"/>
    <n v="28"/>
    <n v="80416"/>
    <n v="7554.6218487394963"/>
    <n v="2"/>
    <n v="37"/>
    <n v="2"/>
    <m/>
    <n v="0"/>
    <n v="0"/>
    <n v="106264"/>
    <n v="4968"/>
    <x v="0"/>
    <n v="0"/>
    <n v="28"/>
    <n v="80416"/>
    <n v="15109.243697478993"/>
    <n v="13"/>
    <n v="35"/>
    <n v="7"/>
    <m/>
    <n v="0"/>
    <n v="0"/>
    <n v="100520"/>
    <n v="17388"/>
    <n v="0"/>
    <n v="0"/>
    <n v="35"/>
    <n v="80416"/>
    <n v="52882.352941176476"/>
    <n v="23"/>
    <n v="30"/>
    <n v="2"/>
    <n v="0"/>
    <n v="0"/>
    <n v="0"/>
    <n v="86160"/>
    <n v="4968"/>
    <n v="0"/>
    <n v="0"/>
    <n v="30"/>
    <n v="80416"/>
    <n v="15109.243697478993"/>
    <n v="5"/>
    <n v="29"/>
    <n v="1"/>
    <n v="0"/>
    <n v="0"/>
    <n v="0"/>
    <n v="83288"/>
    <n v="2484"/>
    <n v="0"/>
    <n v="0"/>
    <n v="29"/>
    <n v="83288"/>
    <n v="7554.6218487394963"/>
    <n v="0"/>
    <n v="28"/>
    <n v="0"/>
    <n v="0"/>
    <n v="0"/>
    <n v="0"/>
    <n v="69552"/>
    <n v="0"/>
    <n v="0"/>
    <n v="0"/>
    <n v="28"/>
    <n v="80416"/>
    <n v="0"/>
    <n v="0"/>
    <n v="28"/>
    <n v="0"/>
    <n v="0"/>
    <n v="0"/>
    <n v="0"/>
    <m/>
    <n v="69552"/>
    <n v="0"/>
    <n v="0"/>
    <n v="0"/>
    <n v="28"/>
    <n v="69552"/>
    <n v="0"/>
    <n v="0"/>
    <n v="28"/>
    <n v="0"/>
    <m/>
    <n v="0"/>
    <n v="0"/>
    <n v="69552"/>
    <n v="0"/>
    <n v="0"/>
    <n v="0"/>
    <n v="28"/>
    <n v="69552"/>
    <n v="0"/>
    <n v="0"/>
    <n v="28"/>
    <n v="0"/>
    <n v="0"/>
    <n v="0"/>
    <n v="69552"/>
    <n v="0"/>
    <n v="0"/>
    <n v="0"/>
    <n v="28"/>
    <n v="69552"/>
    <n v="0"/>
    <n v="0"/>
    <n v="28"/>
    <n v="0"/>
    <n v="0"/>
    <m/>
    <n v="69552"/>
    <n v="0"/>
    <n v="0"/>
    <n v="28"/>
    <n v="69552"/>
    <n v="0"/>
  </r>
  <r>
    <s v="Lhotse-Hidratación"/>
    <x v="4"/>
    <x v="19"/>
    <x v="45"/>
    <s v="LHVACAM"/>
    <x v="322"/>
    <x v="309"/>
    <x v="0"/>
    <x v="2"/>
    <n v="1"/>
    <x v="210"/>
    <n v="3"/>
    <m/>
    <n v="0"/>
    <n v="2856"/>
    <n v="8568"/>
    <n v="2.4"/>
    <n v="2622"/>
    <n v="7554.6218487394963"/>
    <n v="6714.2857142857147"/>
    <s v="Shenzhen"/>
    <x v="0"/>
    <n v="30"/>
    <m/>
    <n v="500"/>
    <n v="5"/>
    <n v="0.67089913726389405"/>
    <n v="1"/>
    <n v="0.57246053023532917"/>
    <n v="10"/>
    <n v="0.47797873923322365"/>
    <n v="8"/>
    <n v="0.42030595244105617"/>
    <n v="8"/>
    <n v="0.52759857810545718"/>
    <n v="3"/>
    <s v=""/>
    <n v="28"/>
    <n v="0.34944069415440404"/>
    <n v="4"/>
    <s v=""/>
    <n v="8"/>
    <n v="0.35833149790338331"/>
    <n v="6"/>
    <n v="0.39878521311132054"/>
    <n v="80"/>
    <n v="0.45716717095310139"/>
    <n v="14"/>
    <n v="0.51101000024331489"/>
    <n v="0"/>
    <s v=""/>
    <n v="2"/>
    <n v="0.67906001475795552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0"/>
    <n v="2"/>
    <n v="0"/>
    <n v="0"/>
    <n v="0"/>
    <n v="0"/>
    <n v="8568"/>
    <n v="4968"/>
    <n v="0"/>
    <n v="0"/>
    <n v="3"/>
    <n v="8568"/>
    <n v="0"/>
    <n v="0"/>
    <n v="4"/>
    <n v="3"/>
    <n v="0"/>
    <n v="0"/>
    <n v="0"/>
    <n v="8568"/>
    <n v="9936"/>
    <n v="8568"/>
    <n v="0"/>
    <n v="3"/>
    <n v="8568"/>
    <n v="19045.26516488949"/>
    <n v="10"/>
    <n v="2"/>
    <n v="0"/>
    <n v="0"/>
    <n v="0"/>
    <n v="0"/>
    <n v="5712"/>
    <n v="0"/>
    <n v="0"/>
    <n v="3"/>
    <n v="8568"/>
    <n v="0"/>
    <n v="5"/>
    <n v="2"/>
    <n v="0"/>
    <n v="0"/>
    <n v="0"/>
    <n v="4968"/>
    <n v="0"/>
    <x v="0"/>
    <x v="0"/>
    <n v="3"/>
    <n v="8568"/>
    <n v="0"/>
    <n v="0"/>
    <n v="3"/>
    <n v="0"/>
    <m/>
    <n v="0"/>
    <n v="0"/>
    <n v="8568"/>
    <n v="0"/>
    <x v="0"/>
    <n v="0"/>
    <n v="3"/>
    <n v="8568"/>
    <n v="0"/>
    <n v="0"/>
    <n v="3"/>
    <n v="0"/>
    <m/>
    <n v="0"/>
    <n v="0"/>
    <n v="8568"/>
    <n v="0"/>
    <n v="0"/>
    <n v="0"/>
    <n v="3"/>
    <n v="8568"/>
    <n v="0"/>
    <n v="0"/>
    <n v="3"/>
    <n v="0"/>
    <n v="0"/>
    <n v="0"/>
    <n v="0"/>
    <n v="8568"/>
    <n v="0"/>
    <n v="0"/>
    <n v="0"/>
    <n v="3"/>
    <n v="8568"/>
    <n v="0"/>
    <n v="0"/>
    <n v="3"/>
    <n v="0"/>
    <n v="0"/>
    <n v="0"/>
    <n v="0"/>
    <n v="8568"/>
    <n v="0"/>
    <n v="0"/>
    <n v="0"/>
    <n v="3"/>
    <n v="8568"/>
    <n v="0"/>
    <n v="0"/>
    <n v="3"/>
    <n v="0"/>
    <n v="0"/>
    <n v="0"/>
    <n v="0"/>
    <n v="7452"/>
    <n v="0"/>
    <n v="0"/>
    <n v="0"/>
    <n v="3"/>
    <n v="8568"/>
    <n v="0"/>
    <n v="0"/>
    <n v="3"/>
    <n v="0"/>
    <n v="0"/>
    <n v="0"/>
    <n v="0"/>
    <m/>
    <n v="7452"/>
    <n v="0"/>
    <n v="0"/>
    <n v="0"/>
    <n v="3"/>
    <n v="7452"/>
    <n v="0"/>
    <n v="0"/>
    <n v="3"/>
    <n v="0"/>
    <m/>
    <n v="0"/>
    <n v="0"/>
    <n v="7452"/>
    <n v="0"/>
    <n v="0"/>
    <n v="0"/>
    <n v="3"/>
    <n v="7452"/>
    <n v="0"/>
    <n v="0"/>
    <n v="3"/>
    <n v="0"/>
    <n v="0"/>
    <n v="0"/>
    <n v="7452"/>
    <n v="0"/>
    <n v="0"/>
    <n v="0"/>
    <n v="3"/>
    <n v="7452"/>
    <n v="0"/>
    <n v="0"/>
    <n v="3"/>
    <n v="0"/>
    <n v="0"/>
    <m/>
    <n v="7452"/>
    <n v="0"/>
    <n v="0"/>
    <n v="3"/>
    <n v="7452"/>
    <n v="0"/>
  </r>
  <r>
    <s v="Lhotse-Hidratación"/>
    <x v="4"/>
    <x v="19"/>
    <x v="45"/>
    <s v="LHVACAM"/>
    <x v="323"/>
    <x v="310"/>
    <x v="0"/>
    <x v="2"/>
    <n v="1"/>
    <x v="211"/>
    <n v="0"/>
    <m/>
    <n v="0"/>
    <n v="2873"/>
    <n v="0"/>
    <n v="2.4"/>
    <n v="2622"/>
    <n v="4825.361344537816"/>
    <n v="6714.2857142857147"/>
    <s v="Shenzhen"/>
    <x v="0"/>
    <n v="30"/>
    <m/>
    <n v="500"/>
    <n v="0"/>
    <n v="0.52024044080814824"/>
    <n v="2"/>
    <n v="0.65605937275556614"/>
    <n v="16"/>
    <n v="0.39424085818993992"/>
    <n v="6"/>
    <n v="0.4017531318319047"/>
    <n v="7"/>
    <n v="0.54504314781094132"/>
    <n v="4"/>
    <n v="0.38866382978723402"/>
    <n v="25"/>
    <n v="0.32193307276274813"/>
    <n v="6"/>
    <n v="0.44584763741562194"/>
    <n v="21"/>
    <n v="0.31027091287350539"/>
    <n v="11"/>
    <n v="0.59564920360775286"/>
    <n v="71"/>
    <n v="0.45990262499503592"/>
    <n v="7"/>
    <n v="0.55354526484038535"/>
    <n v="1"/>
    <n v="0.45171755017752224"/>
    <n v="1"/>
    <n v="0.61972202492206085"/>
    <n v="0"/>
    <s v=""/>
    <n v="0"/>
    <s v=""/>
    <n v="0"/>
    <n v="1"/>
    <n v="0.6197530589543937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0"/>
    <n v="1"/>
    <n v="0"/>
    <n v="0"/>
    <n v="0"/>
    <n v="0"/>
    <n v="4309.5"/>
    <n v="2484"/>
    <n v="0"/>
    <n v="0"/>
    <n v="0"/>
    <n v="0"/>
    <n v="0"/>
    <n v="0"/>
    <n v="1"/>
    <n v="1.5"/>
    <n v="0"/>
    <n v="0"/>
    <n v="0"/>
    <n v="4309.5"/>
    <n v="2484"/>
    <n v="4309.5"/>
    <n v="0"/>
    <n v="0"/>
    <n v="0"/>
    <n v="6082.388249417415"/>
    <n v="16"/>
    <n v="0"/>
    <n v="0"/>
    <n v="0"/>
    <n v="0"/>
    <n v="0"/>
    <n v="0"/>
    <n v="0"/>
    <n v="0"/>
    <n v="0"/>
    <n v="0"/>
    <n v="0"/>
    <n v="5"/>
    <n v="2"/>
    <n v="0"/>
    <n v="0"/>
    <n v="0"/>
    <n v="4968"/>
    <n v="0"/>
    <x v="0"/>
    <x v="0"/>
    <n v="0"/>
    <n v="0"/>
    <n v="0"/>
    <n v="0"/>
    <n v="1"/>
    <n v="0"/>
    <m/>
    <n v="0"/>
    <n v="0"/>
    <n v="2873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Hidratación"/>
    <x v="4"/>
    <x v="19"/>
    <x v="46"/>
    <s v="LHTHCLA"/>
    <x v="324"/>
    <x v="311"/>
    <x v="0"/>
    <x v="3"/>
    <n v="1"/>
    <x v="212"/>
    <n v="167"/>
    <m/>
    <n v="0"/>
    <n v="6803"/>
    <n v="1136101"/>
    <n v="6.3"/>
    <n v="6882.7499999999991"/>
    <n v="16798.319327731093"/>
    <n v="15117.64705882353"/>
    <s v="Shenzhen"/>
    <x v="0"/>
    <n v="30"/>
    <m/>
    <n v="100"/>
    <n v="2"/>
    <n v="0.59817140820410208"/>
    <n v="0"/>
    <s v=""/>
    <n v="5"/>
    <s v=""/>
    <n v="63"/>
    <n v="0.57600608987186774"/>
    <n v="19"/>
    <n v="0.5471246159512051"/>
    <n v="110"/>
    <n v="0.53712045899552141"/>
    <n v="48"/>
    <n v="0.48257178148011487"/>
    <n v="0"/>
    <n v="0.76882248622730887"/>
    <n v="12"/>
    <n v="0.58931594574139845"/>
    <n v="59"/>
    <n v="0.502227397666414"/>
    <n v="43"/>
    <n v="0.47117880875723372"/>
    <n v="75"/>
    <n v="0.50873183789778231"/>
    <n v="30"/>
    <n v="0.38455194360862571"/>
    <n v="59"/>
    <n v="0.43662690992446213"/>
    <n v="91"/>
    <n v="0.37295443511405518"/>
    <n v="47"/>
    <n v="0.39419216439567012"/>
    <n v="0.72307692307692306"/>
    <n v="65"/>
    <n v="0.59428030675958254"/>
    <n v="1.3"/>
    <n v="52"/>
    <n v="0.37345942825254397"/>
    <n v="0.34666666666666668"/>
    <n v="59"/>
    <n v="0.60112295300581908"/>
    <n v="0.49166666666666664"/>
    <n v="187"/>
    <n v="0.28801435189178909"/>
    <n v="3.74"/>
    <n v="134"/>
    <n v="0.29063995554331484"/>
    <n v="2.7916666666666665"/>
    <m/>
    <m/>
    <m/>
    <m/>
    <m/>
    <m/>
    <m/>
    <m/>
    <m/>
    <n v="50"/>
    <n v="232"/>
    <n v="50"/>
    <n v="0"/>
    <n v="0"/>
    <n v="0"/>
    <n v="1561288.5"/>
    <n v="1512755.9999999998"/>
    <n v="340150"/>
    <n v="0"/>
    <n v="167"/>
    <n v="1136101"/>
    <n v="705811.73645928968"/>
    <n v="35"/>
    <n v="179"/>
    <n v="88.5"/>
    <n v="0"/>
    <n v="0"/>
    <n v="0"/>
    <n v="1540879.5"/>
    <n v="1167169.4999999998"/>
    <n v="602065.5"/>
    <n v="0"/>
    <n v="167"/>
    <n v="1136101"/>
    <n v="1249286.7735329426"/>
    <n v="60"/>
    <n v="147"/>
    <n v="91"/>
    <n v="0"/>
    <n v="0"/>
    <n v="1264839"/>
    <n v="1000041"/>
    <n v="619073"/>
    <n v="0"/>
    <n v="167"/>
    <n v="1136101"/>
    <n v="1528647.0588235294"/>
    <n v="65"/>
    <n v="335"/>
    <n v="47"/>
    <n v="200"/>
    <n v="0"/>
    <n v="2184367.4999999995"/>
    <n v="319741"/>
    <x v="62"/>
    <x v="0"/>
    <n v="167"/>
    <n v="1136101"/>
    <n v="789521.00840336131"/>
    <n v="50"/>
    <n v="232"/>
    <n v="50"/>
    <m/>
    <n v="0"/>
    <n v="0"/>
    <n v="1578296"/>
    <n v="326024.99999999994"/>
    <x v="0"/>
    <n v="0"/>
    <n v="167"/>
    <n v="1136101"/>
    <n v="839915.96638655465"/>
    <n v="150"/>
    <n v="219"/>
    <n v="52"/>
    <m/>
    <n v="0"/>
    <n v="0"/>
    <n v="1489857"/>
    <n v="339065.99999999994"/>
    <n v="0"/>
    <n v="0"/>
    <n v="219"/>
    <n v="1136101"/>
    <n v="873512.60504201683"/>
    <n v="120"/>
    <n v="226"/>
    <n v="59"/>
    <n v="200"/>
    <n v="200"/>
    <n v="0"/>
    <n v="1537478"/>
    <n v="384709.49999999994"/>
    <n v="1260630"/>
    <n v="0"/>
    <n v="226"/>
    <n v="1136101"/>
    <n v="991100.84033613442"/>
    <n v="50"/>
    <n v="354"/>
    <n v="193"/>
    <n v="200"/>
    <n v="200"/>
    <n v="0"/>
    <n v="2408262"/>
    <n v="1258456.4999999998"/>
    <n v="1304099.9999999998"/>
    <n v="0"/>
    <n v="354"/>
    <n v="2408262"/>
    <n v="3242075.630252101"/>
    <n v="48"/>
    <n v="301"/>
    <n v="141"/>
    <n v="0"/>
    <n v="0"/>
    <n v="0"/>
    <n v="1962670.4999999998"/>
    <n v="919390.49999999988"/>
    <n v="0"/>
    <n v="0"/>
    <n v="167"/>
    <n v="1136101"/>
    <n v="2368563.0252100839"/>
    <n v="100"/>
    <n v="160"/>
    <n v="100"/>
    <n v="0"/>
    <n v="0"/>
    <n v="0"/>
    <m/>
    <n v="1043279.9999999999"/>
    <n v="652049.99999999988"/>
    <n v="0"/>
    <n v="0"/>
    <n v="160"/>
    <n v="1043279.9999999999"/>
    <n v="1511764.705882353"/>
    <n v="80"/>
    <n v="60"/>
    <n v="60"/>
    <m/>
    <n v="0"/>
    <n v="0"/>
    <n v="391229.99999999994"/>
    <n v="391229.99999999994"/>
    <n v="0"/>
    <n v="0"/>
    <n v="60"/>
    <n v="391229.99999999994"/>
    <n v="907058.82352941181"/>
    <n v="100"/>
    <n v="0"/>
    <n v="0"/>
    <n v="0"/>
    <n v="0"/>
    <n v="0"/>
    <n v="0"/>
    <n v="0"/>
    <n v="0"/>
    <n v="0"/>
    <n v="0"/>
    <n v="0"/>
    <n v="48"/>
    <n v="0"/>
    <n v="48"/>
    <n v="0"/>
    <m/>
    <n v="0"/>
    <n v="326544"/>
    <n v="0"/>
    <n v="0"/>
    <n v="0"/>
    <n v="806319.32773109246"/>
  </r>
  <r>
    <s v="Lhotse-Hidratación"/>
    <x v="4"/>
    <x v="19"/>
    <x v="46"/>
    <s v="LHTHCLA"/>
    <x v="325"/>
    <x v="312"/>
    <x v="0"/>
    <x v="3"/>
    <n v="1"/>
    <x v="213"/>
    <n v="145"/>
    <m/>
    <n v="0"/>
    <n v="6905"/>
    <n v="1001225"/>
    <n v="6.3"/>
    <n v="6882.7499999999991"/>
    <n v="16798.319327731093"/>
    <n v="15117.64705882353"/>
    <s v="Shenzhen"/>
    <x v="0"/>
    <n v="30"/>
    <m/>
    <n v="100"/>
    <n v="1"/>
    <n v="0.58049600440892801"/>
    <n v="0"/>
    <n v="0.56851085539368507"/>
    <n v="1"/>
    <n v="0.54175353882788724"/>
    <n v="28"/>
    <n v="0.57419451990805037"/>
    <n v="34"/>
    <n v="0.54261649992477801"/>
    <n v="107"/>
    <n v="0.56493445169307199"/>
    <n v="31"/>
    <n v="0.48538701823391961"/>
    <n v="4"/>
    <n v="0.60780754535166437"/>
    <n v="5"/>
    <n v="0.61309802339744801"/>
    <n v="30"/>
    <n v="0.51356654680724556"/>
    <n v="16"/>
    <n v="0.54660043715510298"/>
    <n v="32"/>
    <n v="0.52746905625150586"/>
    <n v="60"/>
    <n v="0.26617075552141806"/>
    <n v="20"/>
    <n v="0.41412064589969066"/>
    <n v="15"/>
    <n v="0.4179195760793491"/>
    <n v="27"/>
    <n v="0.45981936869621703"/>
    <n v="0.77142857142857146"/>
    <n v="31"/>
    <n v="0.5560964670459656"/>
    <n v="0.88571428571428568"/>
    <n v="55"/>
    <n v="0.41681080364033368"/>
    <n v="0.5"/>
    <n v="23"/>
    <n v="0.60564275783342358"/>
    <n v="0.20909090909090908"/>
    <n v="69"/>
    <n v="0.27710256878827466"/>
    <n v="2.2999999999999998"/>
    <n v="65"/>
    <n v="0.2702208716064109"/>
    <n v="1.911764705882353"/>
    <m/>
    <m/>
    <m/>
    <m/>
    <m/>
    <m/>
    <m/>
    <m/>
    <m/>
    <n v="20"/>
    <n v="223"/>
    <n v="20"/>
    <n v="0"/>
    <n v="0"/>
    <n v="0"/>
    <n v="448825"/>
    <n v="1454071.4999999998"/>
    <n v="138100"/>
    <n v="0"/>
    <n v="145"/>
    <n v="1001225"/>
    <n v="282324.69458371587"/>
    <n v="60"/>
    <n v="154"/>
    <n v="30"/>
    <n v="0"/>
    <n v="0"/>
    <n v="0"/>
    <n v="497160"/>
    <n v="1004156.9999999999"/>
    <n v="207150"/>
    <n v="0"/>
    <n v="145"/>
    <n v="1001225"/>
    <n v="423487.04187557381"/>
    <n v="28"/>
    <n v="141"/>
    <n v="15"/>
    <n v="0"/>
    <n v="0"/>
    <n v="518227.5"/>
    <n v="973605"/>
    <n v="103575"/>
    <n v="0"/>
    <n v="145"/>
    <n v="1001225"/>
    <n v="251974.78991596639"/>
    <n v="35"/>
    <n v="111"/>
    <n v="27"/>
    <n v="0"/>
    <n v="0"/>
    <n v="723775.49999999988"/>
    <n v="186435"/>
    <x v="0"/>
    <x v="0"/>
    <n v="145"/>
    <n v="1001225"/>
    <n v="453554.62184873951"/>
    <n v="35"/>
    <n v="176"/>
    <n v="35"/>
    <m/>
    <n v="0"/>
    <n v="0"/>
    <n v="1215280"/>
    <n v="228217.49999999997"/>
    <x v="0"/>
    <n v="0"/>
    <n v="145"/>
    <n v="1001225"/>
    <n v="587941.17647058819"/>
    <n v="110"/>
    <n v="200"/>
    <n v="55"/>
    <m/>
    <n v="0"/>
    <n v="0"/>
    <n v="1381000"/>
    <n v="358627.49999999994"/>
    <n v="0"/>
    <n v="0"/>
    <n v="200"/>
    <n v="1001225"/>
    <n v="923907.56302521005"/>
    <n v="110"/>
    <n v="168"/>
    <n v="23"/>
    <n v="200"/>
    <n v="200"/>
    <n v="0"/>
    <n v="1160040"/>
    <n v="149971.49999999997"/>
    <n v="1260630"/>
    <n v="0"/>
    <n v="168"/>
    <n v="1001225"/>
    <n v="386361.34453781514"/>
    <n v="30"/>
    <n v="214"/>
    <n v="71"/>
    <n v="100"/>
    <n v="100"/>
    <n v="0"/>
    <n v="1477670"/>
    <n v="462955.49999999994"/>
    <n v="652049.99999999988"/>
    <n v="0"/>
    <n v="214"/>
    <n v="1477670"/>
    <n v="1192680.6722689075"/>
    <n v="34"/>
    <n v="210"/>
    <n v="69"/>
    <n v="0"/>
    <n v="0"/>
    <n v="0"/>
    <n v="1369304.9999999998"/>
    <n v="449914.49999999994"/>
    <n v="0"/>
    <n v="0"/>
    <n v="145"/>
    <n v="1001225"/>
    <n v="1159084.0336134455"/>
    <n v="60"/>
    <n v="141"/>
    <n v="60"/>
    <n v="0"/>
    <n v="0"/>
    <n v="0"/>
    <n v="0"/>
    <n v="919390.49999999988"/>
    <n v="391229.99999999994"/>
    <n v="0"/>
    <n v="0"/>
    <n v="141"/>
    <n v="919390.49999999988"/>
    <n v="907058.82352941181"/>
    <n v="50"/>
    <n v="81"/>
    <n v="50"/>
    <m/>
    <n v="0"/>
    <n v="0"/>
    <n v="528160.49999999988"/>
    <n v="326024.99999999994"/>
    <n v="0"/>
    <n v="0"/>
    <n v="81"/>
    <n v="528160.49999999988"/>
    <n v="755882.3529411765"/>
    <n v="80"/>
    <n v="31"/>
    <n v="31"/>
    <n v="0"/>
    <n v="0"/>
    <n v="202135.49999999997"/>
    <n v="202135.49999999997"/>
    <n v="0"/>
    <n v="0"/>
    <n v="31"/>
    <n v="202135.49999999997"/>
    <n v="520747.89915966388"/>
    <n v="30"/>
    <n v="0"/>
    <n v="30"/>
    <n v="0"/>
    <m/>
    <n v="0"/>
    <n v="207150"/>
    <n v="0"/>
    <n v="0"/>
    <n v="0"/>
    <n v="503949.57983193279"/>
  </r>
  <r>
    <s v="Lhotse-Hidratación"/>
    <x v="4"/>
    <x v="19"/>
    <x v="46"/>
    <s v="LHTHCLA"/>
    <x v="326"/>
    <x v="313"/>
    <x v="0"/>
    <x v="3"/>
    <n v="1"/>
    <x v="214"/>
    <n v="186"/>
    <m/>
    <n v="0"/>
    <n v="7154"/>
    <n v="1330644"/>
    <n v="6.3"/>
    <n v="6882.7499999999991"/>
    <n v="16798.319327731093"/>
    <n v="15117.64705882353"/>
    <s v="Shenzhen"/>
    <x v="0"/>
    <n v="30"/>
    <m/>
    <n v="100"/>
    <n v="42"/>
    <n v="0.56379974060378601"/>
    <n v="35"/>
    <n v="0.5353558600720133"/>
    <n v="22"/>
    <n v="0.56887799032950981"/>
    <n v="60"/>
    <n v="0.57255811823607528"/>
    <n v="27"/>
    <n v="0.52855175755617922"/>
    <n v="33"/>
    <n v="0.529971150428589"/>
    <n v="53"/>
    <n v="0.49040877544469574"/>
    <n v="9"/>
    <n v="0.5439614783793032"/>
    <n v="6"/>
    <n v="0.63207007398357729"/>
    <n v="24"/>
    <n v="0.56717222094044173"/>
    <n v="17"/>
    <n v="0.5850917870510578"/>
    <n v="64"/>
    <n v="0.39541132772391752"/>
    <n v="32"/>
    <n v="0.28673846706018824"/>
    <n v="29"/>
    <n v="0.36324303366023591"/>
    <n v="36"/>
    <n v="0.37257412030248843"/>
    <n v="40"/>
    <n v="0.48584078126924729"/>
    <n v="0.66666666666666663"/>
    <n v="51"/>
    <n v="0.56522588220752734"/>
    <n v="1.7"/>
    <n v="21"/>
    <n v="0.37781496673047121"/>
    <n v="0.35"/>
    <n v="33"/>
    <n v="0.56254885045046865"/>
    <n v="0.33"/>
    <n v="76"/>
    <n v="0.25828825914898212"/>
    <n v="1.52"/>
    <n v="56"/>
    <n v="0.27417803274352709"/>
    <n v="1.2444444444444445"/>
    <m/>
    <m/>
    <m/>
    <m/>
    <m/>
    <m/>
    <m/>
    <m/>
    <m/>
    <n v="50"/>
    <n v="344"/>
    <n v="50"/>
    <n v="0"/>
    <n v="0"/>
    <n v="0"/>
    <n v="926443"/>
    <n v="2243051.9999999995"/>
    <n v="357700"/>
    <n v="0"/>
    <n v="186"/>
    <n v="1330644"/>
    <n v="705811.73645928968"/>
    <n v="25"/>
    <n v="321"/>
    <n v="43.5"/>
    <n v="0"/>
    <n v="0"/>
    <n v="0"/>
    <n v="854903"/>
    <n v="2093080.4999999998"/>
    <n v="311199"/>
    <n v="0"/>
    <n v="186"/>
    <n v="1330644"/>
    <n v="614056.21071958204"/>
    <n v="50"/>
    <n v="309"/>
    <n v="36"/>
    <n v="0"/>
    <n v="0"/>
    <n v="739319"/>
    <n v="2210586"/>
    <n v="257544"/>
    <n v="0"/>
    <n v="186"/>
    <n v="1330644"/>
    <n v="604739.49579831935"/>
    <n v="60"/>
    <n v="254"/>
    <n v="40"/>
    <n v="0"/>
    <n v="0"/>
    <n v="1656206.9999999998"/>
    <n v="286160"/>
    <x v="0"/>
    <x v="0"/>
    <n v="186"/>
    <n v="1330644"/>
    <n v="671932.77310924372"/>
    <n v="30"/>
    <n v="237"/>
    <n v="30"/>
    <m/>
    <n v="0"/>
    <n v="0"/>
    <n v="1695498"/>
    <n v="195614.99999999997"/>
    <x v="0"/>
    <n v="0"/>
    <n v="186"/>
    <n v="1330644"/>
    <n v="503949.57983193279"/>
    <n v="60"/>
    <n v="207"/>
    <n v="21"/>
    <m/>
    <n v="0"/>
    <n v="0"/>
    <n v="1480878"/>
    <n v="136930.49999999997"/>
    <n v="0"/>
    <n v="0"/>
    <n v="207"/>
    <n v="1330644"/>
    <n v="352764.70588235295"/>
    <n v="100"/>
    <n v="219"/>
    <n v="33"/>
    <n v="0"/>
    <n v="0"/>
    <n v="0"/>
    <n v="1566726"/>
    <n v="215176.49999999997"/>
    <n v="0"/>
    <n v="0"/>
    <n v="219"/>
    <n v="1330644"/>
    <n v="554344.53781512612"/>
    <n v="50"/>
    <n v="262"/>
    <n v="78"/>
    <n v="100"/>
    <n v="100"/>
    <n v="0"/>
    <n v="1874348"/>
    <n v="508598.99999999994"/>
    <n v="652049.99999999988"/>
    <n v="0"/>
    <n v="262"/>
    <n v="1874348"/>
    <n v="1310268.9075630251"/>
    <n v="45"/>
    <n v="242"/>
    <n v="52.5"/>
    <n v="0"/>
    <n v="0"/>
    <n v="0"/>
    <n v="1577960.9999999998"/>
    <n v="342326.24999999994"/>
    <n v="0"/>
    <n v="0"/>
    <n v="186"/>
    <n v="1330644"/>
    <n v="881911.76470588241"/>
    <n v="60"/>
    <n v="189.5"/>
    <n v="60"/>
    <n v="0"/>
    <n v="0"/>
    <n v="0"/>
    <m/>
    <n v="1235634.7499999998"/>
    <n v="391229.99999999994"/>
    <n v="0"/>
    <n v="0"/>
    <n v="189.5"/>
    <n v="1235634.7499999998"/>
    <n v="907058.82352941181"/>
    <n v="50"/>
    <n v="129.5"/>
    <n v="50"/>
    <m/>
    <n v="0"/>
    <n v="0"/>
    <n v="844404.74999999988"/>
    <n v="326024.99999999994"/>
    <n v="0"/>
    <n v="0"/>
    <n v="129.5"/>
    <n v="844404.74999999988"/>
    <n v="755882.3529411765"/>
    <n v="70"/>
    <n v="79.5"/>
    <n v="70"/>
    <n v="0"/>
    <n v="0"/>
    <n v="518379.74999999994"/>
    <n v="456434.99999999994"/>
    <n v="0"/>
    <n v="0"/>
    <n v="79.5"/>
    <n v="518379.74999999994"/>
    <n v="1175882.3529411764"/>
    <n v="30"/>
    <n v="9.5"/>
    <n v="30"/>
    <n v="0"/>
    <m/>
    <n v="61944.749999999993"/>
    <n v="214620"/>
    <n v="0"/>
    <n v="9.5"/>
    <n v="61944.749999999993"/>
    <n v="503949.57983193279"/>
  </r>
  <r>
    <s v="Lhotse-Hidratación"/>
    <x v="4"/>
    <x v="19"/>
    <x v="46"/>
    <s v="LHTHCLA"/>
    <x v="327"/>
    <x v="314"/>
    <x v="0"/>
    <x v="3"/>
    <n v="0.6"/>
    <x v="215"/>
    <n v="294"/>
    <m/>
    <n v="0"/>
    <n v="7346"/>
    <n v="2159724"/>
    <n v="6.3"/>
    <n v="6882.7499999999991"/>
    <n v="16798.319327731093"/>
    <n v="15117.64705882353"/>
    <s v="Shenzhen"/>
    <x v="0"/>
    <n v="30"/>
    <m/>
    <n v="100"/>
    <n v="1"/>
    <n v="0.56615073223002743"/>
    <n v="0"/>
    <s v=""/>
    <n v="6"/>
    <n v="0.54339396745601265"/>
    <n v="35"/>
    <n v="0.58068264651569634"/>
    <n v="54"/>
    <n v="0.52974887448317887"/>
    <n v="76"/>
    <n v="0.53706982765153"/>
    <n v="37"/>
    <n v="0.48091996084986727"/>
    <n v="1"/>
    <n v="0.37237186064147743"/>
    <n v="4"/>
    <n v="0.57396027724584386"/>
    <n v="16"/>
    <n v="0.49018042698904257"/>
    <n v="8"/>
    <n v="0.55995283306875088"/>
    <n v="59"/>
    <n v="0.40031308598826759"/>
    <n v="17"/>
    <n v="0.30848648615537144"/>
    <n v="21"/>
    <n v="0.33645437378892701"/>
    <n v="10"/>
    <n v="0.35907942111897234"/>
    <n v="12"/>
    <n v="0.45802570350040694"/>
    <n v="0.2"/>
    <n v="19"/>
    <n v="0.55901866861453309"/>
    <n v="0.35185185185185186"/>
    <n v="8"/>
    <n v="0.39973830069920685"/>
    <n v="0.1"/>
    <n v="14"/>
    <n v="0.52851925427872859"/>
    <n v="0.14000000000000001"/>
    <n v="28"/>
    <n v="0.33822171321619116"/>
    <n v="0.62222222222222223"/>
    <n v="15"/>
    <n v="0.25293309752597998"/>
    <n v="0.5"/>
    <m/>
    <m/>
    <m/>
    <m/>
    <m/>
    <m/>
    <m/>
    <m/>
    <m/>
    <n v="45"/>
    <n v="316"/>
    <n v="45"/>
    <n v="0"/>
    <n v="0"/>
    <n v="0"/>
    <n v="635429"/>
    <n v="2060477.9999999998"/>
    <n v="330570"/>
    <n v="0"/>
    <n v="294"/>
    <n v="2159724"/>
    <n v="635230.56281336071"/>
    <n v="35"/>
    <n v="305"/>
    <n v="31.5"/>
    <n v="0"/>
    <n v="0"/>
    <n v="0"/>
    <n v="393011"/>
    <n v="1988752.4999999998"/>
    <n v="231399"/>
    <n v="0"/>
    <n v="294"/>
    <n v="2159724"/>
    <n v="444661.39396935247"/>
    <n v="35"/>
    <n v="297"/>
    <n v="10"/>
    <n v="0"/>
    <n v="0"/>
    <n v="372876.19999999995"/>
    <n v="2181762"/>
    <n v="73460"/>
    <n v="0"/>
    <n v="294"/>
    <n v="2159724"/>
    <n v="167983.19327731093"/>
    <n v="60"/>
    <n v="275"/>
    <n v="12"/>
    <n v="100"/>
    <n v="0"/>
    <n v="1793137.4999999998"/>
    <n v="88152"/>
    <x v="63"/>
    <x v="0"/>
    <n v="294"/>
    <n v="2159724"/>
    <n v="201579.83193277312"/>
    <n v="54"/>
    <n v="313"/>
    <n v="32.4"/>
    <m/>
    <n v="0"/>
    <n v="0"/>
    <n v="2299298"/>
    <n v="211264.19999999995"/>
    <x v="0"/>
    <n v="0"/>
    <n v="294"/>
    <n v="2159724"/>
    <n v="544265.54621848743"/>
    <n v="80"/>
    <n v="302"/>
    <n v="8"/>
    <m/>
    <n v="0"/>
    <n v="0"/>
    <n v="2218492"/>
    <n v="52163.999999999993"/>
    <n v="0"/>
    <n v="0"/>
    <n v="302"/>
    <n v="2159724"/>
    <n v="134386.55462184874"/>
    <n v="100"/>
    <n v="308"/>
    <n v="14"/>
    <n v="200"/>
    <n v="200"/>
    <n v="0"/>
    <n v="2262568"/>
    <n v="91286.999999999985"/>
    <n v="1260630"/>
    <n v="0"/>
    <n v="308"/>
    <n v="2159724"/>
    <n v="235176.4705882353"/>
    <n v="45"/>
    <n v="322"/>
    <n v="28"/>
    <n v="0"/>
    <n v="0"/>
    <n v="0"/>
    <n v="2365412"/>
    <n v="182573.99999999997"/>
    <n v="0"/>
    <n v="0"/>
    <n v="322"/>
    <n v="2365412"/>
    <n v="470352.9411764706"/>
    <n v="30"/>
    <n v="309"/>
    <n v="16.5"/>
    <n v="0"/>
    <n v="0"/>
    <n v="0"/>
    <n v="2014834.4999999998"/>
    <n v="107588.24999999999"/>
    <n v="0"/>
    <n v="0"/>
    <n v="294"/>
    <n v="2159724"/>
    <n v="277172.26890756306"/>
    <n v="60"/>
    <n v="292.5"/>
    <n v="36"/>
    <n v="0"/>
    <n v="0"/>
    <n v="0"/>
    <m/>
    <n v="1907246.2499999998"/>
    <n v="234737.99999999997"/>
    <n v="0"/>
    <n v="0"/>
    <n v="292.5"/>
    <n v="1907246.2499999998"/>
    <n v="544235.29411764711"/>
    <n v="50"/>
    <n v="256.5"/>
    <n v="30"/>
    <m/>
    <n v="0"/>
    <n v="0"/>
    <n v="1672508.2499999998"/>
    <n v="195614.99999999997"/>
    <n v="0"/>
    <n v="0"/>
    <n v="256.5"/>
    <n v="1672508.2499999998"/>
    <n v="453529.4117647059"/>
    <n v="70"/>
    <n v="226.5"/>
    <n v="42"/>
    <n v="0"/>
    <n v="0"/>
    <n v="1476893.2499999998"/>
    <n v="273860.99999999994"/>
    <n v="0"/>
    <n v="0"/>
    <n v="226.5"/>
    <n v="1476893.2499999998"/>
    <n v="705529.4117647059"/>
    <n v="30"/>
    <n v="184.5"/>
    <n v="18"/>
    <n v="0"/>
    <m/>
    <n v="1203032.2499999998"/>
    <n v="132228"/>
    <n v="0"/>
    <n v="184.5"/>
    <n v="1203032.2499999998"/>
    <n v="302369.74789915967"/>
  </r>
  <r>
    <s v="Lhotse-Smartwatch"/>
    <x v="4"/>
    <x v="20"/>
    <x v="47"/>
    <s v="LHSWFLO"/>
    <x v="328"/>
    <x v="315"/>
    <x v="0"/>
    <x v="2"/>
    <n v="1"/>
    <x v="216"/>
    <n v="17"/>
    <m/>
    <n v="0"/>
    <n v="13582"/>
    <n v="230894"/>
    <n v="12.65"/>
    <n v="13820.124999999998"/>
    <n v="21000"/>
    <n v="18478.991596638658"/>
    <s v="Shenzhen"/>
    <x v="1"/>
    <n v="45"/>
    <m/>
    <n v="100"/>
    <n v="11"/>
    <n v="0.56853255948691861"/>
    <n v="20"/>
    <n v="0.53321210405639852"/>
    <n v="29"/>
    <n v="0.47450833310477797"/>
    <n v="23"/>
    <n v="0.5468454226303181"/>
    <n v="13"/>
    <n v="0.43021321019404257"/>
    <n v="15"/>
    <n v="0.39561788760054878"/>
    <n v="8"/>
    <n v="0.42135152174020957"/>
    <n v="9"/>
    <n v="0.48091043248201865"/>
    <n v="7"/>
    <n v="0.53103315662653094"/>
    <n v="37"/>
    <n v="0.47029985785062173"/>
    <n v="31"/>
    <n v="0.43709528911641521"/>
    <n v="49"/>
    <n v="0.43680639144336264"/>
    <n v="27"/>
    <n v="0.26621718603257744"/>
    <n v="32"/>
    <n v="0.24113739478191551"/>
    <n v="28"/>
    <n v="0.31866683144210145"/>
    <n v="21"/>
    <n v="0.50945249844554041"/>
    <n v="1.05"/>
    <n v="12"/>
    <n v="0.37334449122285512"/>
    <n v="0.8"/>
    <n v="24"/>
    <n v="0.19481356595171032"/>
    <n v="1.2"/>
    <n v="2"/>
    <n v="-0.58699577769049494"/>
    <n v="0.1"/>
    <n v="1"/>
    <n v="8.746445897188361E-2"/>
    <n v="0.05"/>
    <n v="1"/>
    <n v="0.16816635791033716"/>
    <n v="6.6666666666666666E-2"/>
    <m/>
    <m/>
    <m/>
    <m/>
    <m/>
    <m/>
    <m/>
    <m/>
    <m/>
    <n v="20"/>
    <n v="58"/>
    <n v="30"/>
    <n v="100"/>
    <n v="50"/>
    <n v="0"/>
    <n v="1439692"/>
    <n v="759379.49999999988"/>
    <n v="407460"/>
    <n v="0"/>
    <n v="17"/>
    <n v="230894"/>
    <n v="529411.76470588241"/>
    <n v="20"/>
    <n v="238"/>
    <n v="48"/>
    <n v="0"/>
    <n v="0"/>
    <n v="0"/>
    <n v="1317454"/>
    <n v="3116074.4999999995"/>
    <n v="651936"/>
    <n v="0"/>
    <n v="17"/>
    <n v="230894"/>
    <n v="847058.82352941181"/>
    <n v="39"/>
    <n v="202"/>
    <n v="28"/>
    <n v="0"/>
    <n v="0"/>
    <n v="861909.25"/>
    <n v="2743564"/>
    <n v="380296"/>
    <n v="0"/>
    <n v="17"/>
    <n v="230894"/>
    <n v="588000"/>
    <n v="20"/>
    <n v="176"/>
    <n v="21"/>
    <n v="0"/>
    <n v="0"/>
    <n v="2304323.9999999995"/>
    <n v="285222"/>
    <x v="0"/>
    <x v="0"/>
    <n v="17"/>
    <n v="230894"/>
    <n v="441000"/>
    <n v="15"/>
    <n v="29"/>
    <n v="15"/>
    <m/>
    <n v="0"/>
    <n v="0"/>
    <n v="393878"/>
    <n v="196391.24999999997"/>
    <x v="0"/>
    <n v="0"/>
    <n v="17"/>
    <n v="230894"/>
    <n v="315000"/>
    <n v="20"/>
    <n v="41"/>
    <n v="24"/>
    <m/>
    <n v="0"/>
    <n v="0"/>
    <n v="556862"/>
    <n v="314225.99999999994"/>
    <n v="0"/>
    <n v="0"/>
    <n v="41"/>
    <n v="230894"/>
    <n v="504000"/>
    <n v="20"/>
    <n v="19"/>
    <n v="2"/>
    <n v="0"/>
    <n v="0"/>
    <n v="0"/>
    <n v="258058"/>
    <n v="26185.499999999996"/>
    <n v="0"/>
    <n v="0"/>
    <n v="19"/>
    <n v="230894"/>
    <n v="42000"/>
    <n v="20"/>
    <n v="18"/>
    <n v="1"/>
    <n v="0"/>
    <n v="0"/>
    <n v="0"/>
    <n v="244476"/>
    <n v="13092.749999999998"/>
    <n v="0"/>
    <n v="0"/>
    <n v="18"/>
    <n v="244476"/>
    <n v="21000"/>
    <n v="15"/>
    <n v="18"/>
    <n v="1.5"/>
    <n v="0"/>
    <n v="0"/>
    <n v="0"/>
    <n v="235669.49999999997"/>
    <n v="19639.124999999996"/>
    <n v="0"/>
    <n v="0"/>
    <n v="17"/>
    <n v="230894"/>
    <n v="31500"/>
    <n v="42.1"/>
    <n v="16.5"/>
    <n v="16.5"/>
    <n v="0"/>
    <n v="0"/>
    <n v="0"/>
    <m/>
    <n v="216030.37499999997"/>
    <n v="216030.37499999997"/>
    <n v="0"/>
    <n v="0"/>
    <n v="16.5"/>
    <n v="216030.37499999997"/>
    <n v="304903.36134453787"/>
    <n v="28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.8"/>
    <n v="0"/>
    <n v="16.8"/>
    <n v="0"/>
    <m/>
    <n v="0"/>
    <n v="228177.6"/>
    <n v="0"/>
    <n v="0"/>
    <n v="0"/>
    <n v="352800"/>
  </r>
  <r>
    <s v="Lhotse-Smartwatch"/>
    <x v="4"/>
    <x v="20"/>
    <x v="47"/>
    <s v="LHSWFLO"/>
    <x v="329"/>
    <x v="315"/>
    <x v="0"/>
    <x v="2"/>
    <n v="1.8"/>
    <x v="217"/>
    <n v="50"/>
    <m/>
    <n v="0"/>
    <n v="13074"/>
    <n v="653700"/>
    <n v="12.65"/>
    <n v="13820.124999999998"/>
    <n v="21000"/>
    <n v="18478.991596638658"/>
    <s v="Shenzhen"/>
    <x v="1"/>
    <n v="45"/>
    <m/>
    <n v="100"/>
    <n v="28"/>
    <n v="0.60970732820989237"/>
    <n v="18"/>
    <n v="0.57538971600685118"/>
    <n v="28"/>
    <n v="0.52522270976513408"/>
    <n v="3"/>
    <n v="0.49750508000521954"/>
    <n v="0"/>
    <s v=""/>
    <n v="6"/>
    <n v="0.48040766921014083"/>
    <n v="15"/>
    <n v="0.464132492920935"/>
    <n v="5"/>
    <n v="0.50736715093208951"/>
    <n v="5"/>
    <n v="0.42353237908629826"/>
    <n v="38"/>
    <n v="0.4245840792189477"/>
    <n v="20"/>
    <n v="0.37035407820613397"/>
    <n v="44"/>
    <n v="0.45323724532944359"/>
    <n v="27"/>
    <n v="0.2837801098001374"/>
    <n v="21"/>
    <n v="0.34327156973540907"/>
    <n v="20"/>
    <n v="0.22930070624190529"/>
    <n v="16"/>
    <n v="0.42113137991134109"/>
    <n v="2.6666666666666665"/>
    <n v="10"/>
    <n v="0.44928812131423757"/>
    <n v="0.5"/>
    <n v="5"/>
    <n v="9.6882337066522731E-2"/>
    <n v="0.25"/>
    <n v="7"/>
    <n v="0.50212492342577097"/>
    <n v="0.25925925925925924"/>
    <n v="8"/>
    <n v="0.27260628915430068"/>
    <n v="0.43956043956043955"/>
    <n v="9"/>
    <n v="0.26513954732905148"/>
    <n v="0.5521472392638036"/>
    <m/>
    <m/>
    <m/>
    <m/>
    <m/>
    <m/>
    <m/>
    <m/>
    <m/>
    <n v="24.666666666666668"/>
    <n v="66"/>
    <n v="20"/>
    <n v="100"/>
    <n v="50"/>
    <n v="0"/>
    <n v="934791"/>
    <n v="864121.49999999988"/>
    <n v="261480"/>
    <n v="0"/>
    <n v="50"/>
    <n v="653700"/>
    <n v="352941.17647058825"/>
    <n v="20"/>
    <n v="46"/>
    <n v="31.5"/>
    <n v="0"/>
    <n v="0"/>
    <n v="0"/>
    <n v="882495"/>
    <n v="602266.49999999988"/>
    <n v="411831"/>
    <n v="0"/>
    <n v="50"/>
    <n v="653700"/>
    <n v="555882.3529411765"/>
    <n v="32"/>
    <n v="25"/>
    <n v="20"/>
    <n v="0"/>
    <n v="0"/>
    <n v="942003"/>
    <n v="326850"/>
    <n v="261480"/>
    <n v="0"/>
    <n v="50"/>
    <n v="653700"/>
    <n v="420000"/>
    <n v="6"/>
    <n v="37"/>
    <n v="16"/>
    <n v="0"/>
    <n v="0"/>
    <n v="484431.74999999994"/>
    <n v="209184"/>
    <x v="0"/>
    <x v="0"/>
    <n v="50"/>
    <n v="653700"/>
    <n v="336000"/>
    <n v="20"/>
    <n v="60"/>
    <n v="36"/>
    <m/>
    <n v="0"/>
    <n v="0"/>
    <n v="784440"/>
    <n v="471338.99999999994"/>
    <x v="0"/>
    <n v="0"/>
    <n v="50"/>
    <n v="653700"/>
    <n v="756000"/>
    <n v="20"/>
    <n v="55"/>
    <n v="5"/>
    <m/>
    <n v="0"/>
    <n v="0"/>
    <n v="719070"/>
    <n v="65463.749999999993"/>
    <n v="0"/>
    <n v="0"/>
    <n v="55"/>
    <n v="653700"/>
    <n v="105000"/>
    <n v="27"/>
    <n v="57"/>
    <n v="7"/>
    <n v="0"/>
    <n v="0"/>
    <n v="0"/>
    <n v="745218"/>
    <n v="91649.249999999985"/>
    <n v="0"/>
    <n v="0"/>
    <n v="57"/>
    <n v="653700"/>
    <n v="147000"/>
    <n v="18.2"/>
    <n v="58"/>
    <n v="8"/>
    <n v="0"/>
    <n v="0"/>
    <n v="0"/>
    <n v="758292"/>
    <n v="104741.99999999999"/>
    <n v="0"/>
    <n v="0"/>
    <n v="58"/>
    <n v="758292"/>
    <n v="168000"/>
    <n v="16.3"/>
    <n v="59"/>
    <n v="9"/>
    <n v="0"/>
    <n v="0"/>
    <n v="0"/>
    <n v="772472.24999999988"/>
    <n v="117834.74999999999"/>
    <n v="0"/>
    <n v="0"/>
    <n v="50"/>
    <n v="653700"/>
    <n v="189000"/>
    <n v="0"/>
    <n v="50"/>
    <n v="0"/>
    <n v="0"/>
    <n v="0"/>
    <n v="0"/>
    <m/>
    <n v="654637.49999999988"/>
    <n v="0"/>
    <n v="0"/>
    <n v="0"/>
    <n v="50"/>
    <n v="654637.49999999988"/>
    <n v="0"/>
    <n v="0"/>
    <n v="50"/>
    <n v="0"/>
    <m/>
    <n v="0"/>
    <n v="0"/>
    <n v="654637.49999999988"/>
    <n v="0"/>
    <n v="0"/>
    <n v="0"/>
    <n v="50"/>
    <n v="654637.49999999988"/>
    <n v="0"/>
    <n v="0"/>
    <n v="50"/>
    <n v="0"/>
    <n v="0"/>
    <n v="0"/>
    <n v="654637.49999999988"/>
    <n v="0"/>
    <n v="0"/>
    <n v="0"/>
    <n v="50"/>
    <n v="654637.49999999988"/>
    <n v="0"/>
    <n v="0"/>
    <n v="50"/>
    <n v="0"/>
    <n v="0"/>
    <m/>
    <n v="654637.49999999988"/>
    <n v="0"/>
    <n v="0"/>
    <n v="50"/>
    <n v="654637.49999999988"/>
    <n v="0"/>
  </r>
  <r>
    <s v="Lhotse-Smartwatch"/>
    <x v="4"/>
    <x v="20"/>
    <x v="48"/>
    <n v="1639085706913"/>
    <x v="330"/>
    <x v="316"/>
    <x v="0"/>
    <x v="2"/>
    <n v="1"/>
    <x v="31"/>
    <n v="2"/>
    <m/>
    <n v="0"/>
    <n v="21290"/>
    <n v="42580"/>
    <n v="20.95"/>
    <n v="22887.875"/>
    <n v="50411.764705882357"/>
    <n v="27722.689075630253"/>
    <s v="Shenzhen"/>
    <x v="1"/>
    <n v="45"/>
    <m/>
    <n v="100"/>
    <n v="0"/>
    <n v="0.43442271930290632"/>
    <n v="1"/>
    <s v=""/>
    <n v="4"/>
    <n v="0.55285203206497002"/>
    <n v="0"/>
    <s v=""/>
    <n v="0"/>
    <s v=""/>
    <n v="0"/>
    <s v=""/>
    <n v="5"/>
    <n v="0.5600987684932639"/>
    <n v="3"/>
    <n v="0.56809502556195723"/>
    <n v="3"/>
    <n v="0.53076598683437171"/>
    <n v="3"/>
    <n v="0.57769062921526615"/>
    <n v="3"/>
    <n v="0.54907631372715138"/>
    <n v="2"/>
    <n v="0.57769062921526626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0"/>
    <n v="2"/>
    <n v="0"/>
    <n v="0"/>
    <n v="0"/>
    <n v="0"/>
    <n v="0"/>
    <n v="43366.5"/>
    <n v="0"/>
    <n v="0"/>
    <n v="2"/>
    <n v="42580"/>
    <n v="0"/>
    <n v="0"/>
    <n v="2"/>
    <n v="0"/>
    <n v="0"/>
    <n v="0"/>
    <n v="0"/>
    <n v="0"/>
    <n v="43366.5"/>
    <n v="0"/>
    <n v="0"/>
    <n v="2"/>
    <n v="42580"/>
    <n v="0"/>
    <n v="0"/>
    <n v="2"/>
    <n v="0"/>
    <n v="0"/>
    <n v="0"/>
    <n v="0"/>
    <n v="42580"/>
    <n v="0"/>
    <n v="0"/>
    <n v="2"/>
    <n v="42580"/>
    <n v="0"/>
    <n v="0"/>
    <n v="2"/>
    <n v="0"/>
    <n v="0"/>
    <n v="0"/>
    <n v="43366.5"/>
    <n v="0"/>
    <x v="0"/>
    <x v="0"/>
    <n v="2"/>
    <n v="42580"/>
    <n v="0"/>
    <n v="0"/>
    <n v="2"/>
    <n v="0"/>
    <m/>
    <n v="0"/>
    <n v="0"/>
    <n v="42580"/>
    <n v="0"/>
    <x v="0"/>
    <n v="0"/>
    <n v="2"/>
    <n v="42580"/>
    <n v="0"/>
    <n v="0"/>
    <n v="2"/>
    <n v="0"/>
    <m/>
    <n v="0"/>
    <n v="0"/>
    <n v="42580"/>
    <n v="0"/>
    <n v="0"/>
    <n v="0"/>
    <n v="2"/>
    <n v="42580"/>
    <n v="0"/>
    <n v="0"/>
    <n v="2"/>
    <n v="0"/>
    <n v="0"/>
    <n v="0"/>
    <n v="0"/>
    <n v="42580"/>
    <n v="0"/>
    <n v="0"/>
    <n v="0"/>
    <n v="2"/>
    <n v="42580"/>
    <n v="0"/>
    <n v="0"/>
    <n v="2"/>
    <n v="0"/>
    <n v="0"/>
    <n v="0"/>
    <n v="0"/>
    <n v="42580"/>
    <n v="0"/>
    <n v="0"/>
    <n v="0"/>
    <n v="2"/>
    <n v="42580"/>
    <n v="0"/>
    <n v="0"/>
    <n v="2"/>
    <n v="0"/>
    <n v="0"/>
    <n v="0"/>
    <n v="0"/>
    <n v="43366.5"/>
    <n v="0"/>
    <n v="0"/>
    <n v="0"/>
    <n v="2"/>
    <n v="42580"/>
    <n v="0"/>
    <n v="0"/>
    <n v="2"/>
    <n v="0"/>
    <n v="0"/>
    <n v="0"/>
    <n v="0"/>
    <m/>
    <n v="43366.5"/>
    <n v="0"/>
    <n v="0"/>
    <n v="0"/>
    <n v="2"/>
    <n v="43366.5"/>
    <n v="0"/>
    <n v="0"/>
    <n v="2"/>
    <n v="0"/>
    <m/>
    <n v="0"/>
    <n v="0"/>
    <n v="43366.5"/>
    <n v="0"/>
    <n v="0"/>
    <n v="0"/>
    <n v="2"/>
    <n v="43366.5"/>
    <n v="0"/>
    <n v="0"/>
    <n v="2"/>
    <n v="0"/>
    <n v="0"/>
    <n v="0"/>
    <n v="43366.5"/>
    <n v="0"/>
    <n v="0"/>
    <n v="0"/>
    <n v="2"/>
    <n v="43366.5"/>
    <n v="0"/>
    <n v="0"/>
    <n v="2"/>
    <n v="0"/>
    <n v="0"/>
    <m/>
    <n v="43366.5"/>
    <n v="0"/>
    <n v="0"/>
    <n v="2"/>
    <n v="43366.5"/>
    <n v="0"/>
  </r>
  <r>
    <s v="Lhotse-Smartwatch"/>
    <x v="4"/>
    <x v="20"/>
    <x v="48"/>
    <n v="1639085745522"/>
    <x v="331"/>
    <x v="317"/>
    <x v="0"/>
    <x v="2"/>
    <n v="1"/>
    <x v="31"/>
    <n v="43"/>
    <m/>
    <n v="0"/>
    <n v="32149"/>
    <n v="1382407"/>
    <n v="31.75"/>
    <n v="34686.875"/>
    <n v="87445.903361344535"/>
    <n v="74329.017857142855"/>
    <s v="Shenzhen"/>
    <x v="1"/>
    <n v="45"/>
    <m/>
    <n v="100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1"/>
    <n v="1"/>
    <n v="0.57487041150957363"/>
    <n v="2"/>
    <n v="0.58858858532215752"/>
    <n v="0"/>
    <s v=""/>
    <n v="0"/>
    <s v=""/>
    <n v="0"/>
    <s v=""/>
    <n v="1"/>
    <n v="0.68116273676274008"/>
    <n v="0"/>
    <n v="0"/>
    <s v=""/>
    <n v="0"/>
    <n v="0"/>
    <s v=""/>
    <n v="0"/>
    <n v="0"/>
    <s v=""/>
    <n v="0"/>
    <n v="1"/>
    <n v="5.9371359819422445E-2"/>
    <n v="1"/>
    <n v="0"/>
    <s v=""/>
    <n v="0"/>
    <m/>
    <m/>
    <m/>
    <m/>
    <m/>
    <m/>
    <m/>
    <m/>
    <m/>
    <n v="0"/>
    <n v="31"/>
    <n v="0"/>
    <n v="0"/>
    <n v="0"/>
    <n v="0"/>
    <n v="0"/>
    <n v="1018698.75"/>
    <n v="0"/>
    <n v="0"/>
    <n v="43"/>
    <n v="1382407"/>
    <n v="0"/>
    <n v="0"/>
    <n v="44"/>
    <n v="0"/>
    <n v="0"/>
    <n v="0"/>
    <n v="0"/>
    <n v="32149"/>
    <n v="1445895"/>
    <n v="0"/>
    <n v="0"/>
    <n v="43"/>
    <n v="1382407"/>
    <n v="0"/>
    <n v="0"/>
    <n v="44"/>
    <n v="0"/>
    <n v="0"/>
    <n v="0"/>
    <n v="65010.25"/>
    <n v="1414556"/>
    <n v="0"/>
    <n v="0"/>
    <n v="43"/>
    <n v="1382407"/>
    <n v="0"/>
    <n v="0"/>
    <n v="44"/>
    <n v="1"/>
    <n v="0"/>
    <n v="0"/>
    <n v="1445895"/>
    <n v="32149"/>
    <x v="0"/>
    <x v="0"/>
    <n v="43"/>
    <n v="1382407"/>
    <n v="87445.903361344535"/>
    <n v="1"/>
    <n v="43"/>
    <n v="1"/>
    <m/>
    <n v="0"/>
    <n v="0"/>
    <n v="1382407"/>
    <n v="32861.25"/>
    <x v="0"/>
    <n v="0"/>
    <n v="43"/>
    <n v="1382407"/>
    <n v="87445.903361344535"/>
    <n v="1"/>
    <n v="43"/>
    <n v="0"/>
    <m/>
    <n v="0"/>
    <n v="0"/>
    <n v="1382407"/>
    <n v="0"/>
    <n v="0"/>
    <n v="0"/>
    <n v="43"/>
    <n v="1382407"/>
    <n v="0"/>
    <n v="1"/>
    <n v="43"/>
    <n v="0"/>
    <n v="0"/>
    <n v="0"/>
    <n v="0"/>
    <n v="1382407"/>
    <n v="0"/>
    <n v="0"/>
    <n v="0"/>
    <n v="43"/>
    <n v="1382407"/>
    <n v="0"/>
    <n v="1"/>
    <n v="44"/>
    <n v="1"/>
    <n v="0"/>
    <n v="0"/>
    <n v="0"/>
    <n v="1414556"/>
    <n v="32861.25"/>
    <n v="0"/>
    <n v="0"/>
    <n v="44"/>
    <n v="1414556"/>
    <n v="87445.903361344535"/>
    <n v="1"/>
    <n v="43"/>
    <n v="0"/>
    <n v="0"/>
    <n v="0"/>
    <n v="0"/>
    <n v="1413033.75"/>
    <n v="0"/>
    <n v="0"/>
    <n v="0"/>
    <n v="43"/>
    <n v="1382407"/>
    <n v="0"/>
    <n v="0"/>
    <n v="43"/>
    <n v="0"/>
    <n v="0"/>
    <n v="0"/>
    <n v="0"/>
    <m/>
    <n v="1413033.75"/>
    <n v="0"/>
    <n v="0"/>
    <n v="0"/>
    <n v="43"/>
    <n v="1413033.75"/>
    <n v="0"/>
    <n v="0"/>
    <n v="43"/>
    <n v="0"/>
    <m/>
    <n v="0"/>
    <n v="0"/>
    <n v="1413033.75"/>
    <n v="0"/>
    <n v="0"/>
    <n v="0"/>
    <n v="43"/>
    <n v="1413033.75"/>
    <n v="0"/>
    <n v="0"/>
    <n v="43"/>
    <n v="0"/>
    <n v="0"/>
    <n v="0"/>
    <n v="1413033.75"/>
    <n v="0"/>
    <n v="0"/>
    <n v="0"/>
    <n v="43"/>
    <n v="1413033.75"/>
    <n v="0"/>
    <n v="0"/>
    <n v="43"/>
    <n v="0"/>
    <n v="0"/>
    <m/>
    <n v="1413033.75"/>
    <n v="0"/>
    <n v="0"/>
    <n v="43"/>
    <n v="1413033.75"/>
    <n v="0"/>
  </r>
  <r>
    <s v="Lhotse-Smartwatch"/>
    <x v="4"/>
    <x v="20"/>
    <x v="48"/>
    <n v="1639085755244"/>
    <x v="332"/>
    <x v="318"/>
    <x v="0"/>
    <x v="2"/>
    <n v="1"/>
    <x v="31"/>
    <n v="23"/>
    <m/>
    <n v="0"/>
    <n v="32051"/>
    <n v="737173"/>
    <n v="31.75"/>
    <n v="34686.875"/>
    <n v="87445.903361344535"/>
    <n v="74329.017857142855"/>
    <s v="Shenzhen"/>
    <x v="1"/>
    <n v="45"/>
    <m/>
    <n v="1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57487041150957363"/>
    <n v="2"/>
    <n v="0.60267027000223139"/>
    <n v="1"/>
    <n v="0.60267027588814071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0"/>
    <n v="23"/>
    <n v="0"/>
    <n v="0"/>
    <n v="0"/>
    <n v="0"/>
    <n v="0"/>
    <n v="755808.75"/>
    <n v="0"/>
    <n v="0"/>
    <n v="23"/>
    <n v="737173"/>
    <n v="0"/>
    <n v="0"/>
    <n v="20"/>
    <n v="0"/>
    <n v="0"/>
    <n v="0"/>
    <n v="0"/>
    <n v="0"/>
    <n v="657225"/>
    <n v="0"/>
    <n v="0"/>
    <n v="23"/>
    <n v="737173"/>
    <n v="0"/>
    <n v="0"/>
    <n v="20"/>
    <n v="0"/>
    <n v="0"/>
    <n v="0"/>
    <n v="65722.5"/>
    <n v="641020"/>
    <n v="0"/>
    <n v="0"/>
    <n v="23"/>
    <n v="737173"/>
    <n v="0"/>
    <n v="0"/>
    <n v="20"/>
    <n v="0"/>
    <n v="0"/>
    <n v="0"/>
    <n v="657225"/>
    <n v="0"/>
    <x v="0"/>
    <x v="0"/>
    <n v="23"/>
    <n v="737173"/>
    <n v="0"/>
    <n v="2"/>
    <n v="23"/>
    <n v="2"/>
    <m/>
    <n v="0"/>
    <n v="0"/>
    <n v="737173"/>
    <n v="65722.5"/>
    <x v="0"/>
    <n v="0"/>
    <n v="23"/>
    <n v="737173"/>
    <n v="174891.80672268907"/>
    <n v="2"/>
    <n v="23"/>
    <n v="0"/>
    <m/>
    <n v="0"/>
    <n v="0"/>
    <n v="737173"/>
    <n v="0"/>
    <n v="0"/>
    <n v="0"/>
    <n v="23"/>
    <n v="737173"/>
    <n v="0"/>
    <n v="2"/>
    <n v="23"/>
    <n v="0"/>
    <n v="0"/>
    <n v="0"/>
    <n v="0"/>
    <n v="737173"/>
    <n v="0"/>
    <n v="0"/>
    <n v="0"/>
    <n v="23"/>
    <n v="737173"/>
    <n v="0"/>
    <n v="2"/>
    <n v="23"/>
    <n v="0"/>
    <n v="0"/>
    <n v="0"/>
    <n v="0"/>
    <n v="737173"/>
    <n v="0"/>
    <n v="0"/>
    <n v="0"/>
    <n v="23"/>
    <n v="737173"/>
    <n v="0"/>
    <n v="2"/>
    <n v="23"/>
    <n v="0"/>
    <n v="0"/>
    <n v="0"/>
    <n v="0"/>
    <n v="755808.75"/>
    <n v="0"/>
    <n v="0"/>
    <n v="0"/>
    <n v="23"/>
    <n v="737173"/>
    <n v="0"/>
    <n v="0"/>
    <n v="23"/>
    <n v="0"/>
    <n v="0"/>
    <n v="0"/>
    <n v="0"/>
    <m/>
    <n v="755808.75"/>
    <n v="0"/>
    <n v="0"/>
    <n v="0"/>
    <n v="23"/>
    <n v="755808.75"/>
    <n v="0"/>
    <n v="0"/>
    <n v="23"/>
    <n v="0"/>
    <m/>
    <n v="0"/>
    <n v="0"/>
    <n v="755808.75"/>
    <n v="0"/>
    <n v="0"/>
    <n v="0"/>
    <n v="23"/>
    <n v="755808.75"/>
    <n v="0"/>
    <n v="0"/>
    <n v="23"/>
    <n v="0"/>
    <n v="0"/>
    <n v="0"/>
    <n v="755808.75"/>
    <n v="0"/>
    <n v="0"/>
    <n v="0"/>
    <n v="23"/>
    <n v="755808.75"/>
    <n v="0"/>
    <n v="0"/>
    <n v="23"/>
    <n v="0"/>
    <n v="0"/>
    <m/>
    <n v="755808.75"/>
    <n v="0"/>
    <n v="0"/>
    <n v="23"/>
    <n v="755808.75"/>
    <n v="0"/>
  </r>
  <r>
    <s v="Lhotse-Smartwatch"/>
    <x v="4"/>
    <x v="20"/>
    <x v="48"/>
    <n v="1639085763857"/>
    <x v="333"/>
    <x v="319"/>
    <x v="0"/>
    <x v="2"/>
    <n v="1"/>
    <x v="31"/>
    <n v="2"/>
    <m/>
    <n v="0"/>
    <n v="30769"/>
    <n v="61538"/>
    <n v="31.75"/>
    <n v="34686.875"/>
    <n v="87445.903361344535"/>
    <n v="74329.017857142855"/>
    <s v="Shenzhen"/>
    <x v="1"/>
    <n v="45"/>
    <m/>
    <n v="1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0"/>
    <n v="15"/>
    <n v="0"/>
    <n v="0"/>
    <n v="0"/>
    <n v="0"/>
    <n v="0"/>
    <n v="492918.75"/>
    <n v="0"/>
    <n v="0"/>
    <n v="2"/>
    <n v="61538"/>
    <n v="0"/>
    <n v="0"/>
    <n v="2"/>
    <n v="0"/>
    <n v="0"/>
    <n v="0"/>
    <n v="0"/>
    <n v="0"/>
    <n v="65722.5"/>
    <n v="0"/>
    <n v="0"/>
    <n v="2"/>
    <n v="61538"/>
    <n v="0"/>
    <n v="0"/>
    <n v="2"/>
    <n v="0"/>
    <n v="0"/>
    <n v="0"/>
    <n v="32861.25"/>
    <n v="61538"/>
    <n v="0"/>
    <n v="0"/>
    <n v="2"/>
    <n v="61538"/>
    <n v="0"/>
    <n v="0"/>
    <n v="2"/>
    <n v="0"/>
    <n v="0"/>
    <n v="0"/>
    <n v="65722.5"/>
    <n v="0"/>
    <x v="0"/>
    <x v="0"/>
    <n v="2"/>
    <n v="61538"/>
    <n v="0"/>
    <n v="1"/>
    <n v="2"/>
    <n v="1"/>
    <m/>
    <n v="0"/>
    <n v="0"/>
    <n v="61538"/>
    <n v="32861.25"/>
    <x v="0"/>
    <n v="0"/>
    <n v="2"/>
    <n v="61538"/>
    <n v="87445.903361344535"/>
    <n v="0"/>
    <n v="2"/>
    <n v="0"/>
    <m/>
    <n v="0"/>
    <n v="0"/>
    <n v="61538"/>
    <n v="0"/>
    <n v="0"/>
    <n v="0"/>
    <n v="2"/>
    <n v="61538"/>
    <n v="0"/>
    <n v="0"/>
    <n v="2"/>
    <n v="0"/>
    <n v="0"/>
    <n v="0"/>
    <n v="0"/>
    <n v="61538"/>
    <n v="0"/>
    <n v="0"/>
    <n v="0"/>
    <n v="2"/>
    <n v="61538"/>
    <n v="0"/>
    <n v="0"/>
    <n v="2"/>
    <n v="0"/>
    <n v="0"/>
    <n v="0"/>
    <n v="0"/>
    <n v="61538"/>
    <n v="0"/>
    <n v="0"/>
    <n v="0"/>
    <n v="2"/>
    <n v="61538"/>
    <n v="0"/>
    <n v="0"/>
    <n v="2"/>
    <n v="0"/>
    <n v="0"/>
    <n v="0"/>
    <n v="0"/>
    <n v="65722.5"/>
    <n v="0"/>
    <n v="0"/>
    <n v="0"/>
    <n v="2"/>
    <n v="61538"/>
    <n v="0"/>
    <n v="0"/>
    <n v="2"/>
    <n v="0"/>
    <n v="0"/>
    <n v="0"/>
    <n v="0"/>
    <m/>
    <n v="65722.5"/>
    <n v="0"/>
    <n v="0"/>
    <n v="0"/>
    <n v="2"/>
    <n v="65722.5"/>
    <n v="0"/>
    <n v="0"/>
    <n v="2"/>
    <n v="0"/>
    <m/>
    <n v="0"/>
    <n v="0"/>
    <n v="65722.5"/>
    <n v="0"/>
    <n v="0"/>
    <n v="0"/>
    <n v="2"/>
    <n v="65722.5"/>
    <n v="0"/>
    <n v="0"/>
    <n v="2"/>
    <n v="0"/>
    <n v="0"/>
    <n v="0"/>
    <n v="65722.5"/>
    <n v="0"/>
    <n v="0"/>
    <n v="0"/>
    <n v="2"/>
    <n v="65722.5"/>
    <n v="0"/>
    <n v="0"/>
    <n v="2"/>
    <n v="0"/>
    <n v="0"/>
    <m/>
    <n v="65722.5"/>
    <n v="0"/>
    <n v="0"/>
    <n v="2"/>
    <n v="65722.5"/>
    <n v="0"/>
  </r>
  <r>
    <s v="Lhotse-Smartwatch"/>
    <x v="4"/>
    <x v="20"/>
    <x v="48"/>
    <n v="1652824924113"/>
    <x v="334"/>
    <x v="320"/>
    <x v="0"/>
    <x v="2"/>
    <n v="1"/>
    <x v="31"/>
    <n v="4"/>
    <m/>
    <n v="0"/>
    <n v="20635"/>
    <n v="82540"/>
    <n v="20.6"/>
    <n v="22505.5"/>
    <n v="42008.403361344543"/>
    <n v="25201.680672268907"/>
    <s v="Shenzhen"/>
    <x v="1"/>
    <n v="45"/>
    <m/>
    <n v="100"/>
    <n v="0"/>
    <s v=""/>
    <n v="0"/>
    <s v=""/>
    <n v="0"/>
    <s v=""/>
    <n v="0"/>
    <s v=""/>
    <n v="0"/>
    <s v=""/>
    <n v="0"/>
    <s v=""/>
    <n v="0"/>
    <s v=""/>
    <n v="1"/>
    <n v="0.52770593486072648"/>
    <n v="0"/>
    <s v=""/>
    <n v="3"/>
    <n v="0.55914713611211997"/>
    <n v="2"/>
    <n v="0.53651016753190817"/>
    <n v="2"/>
    <n v="0.39881779458326688"/>
    <n v="0"/>
    <s v=""/>
    <n v="1"/>
    <n v="0.56144267015284932"/>
    <n v="0"/>
    <s v=""/>
    <n v="0"/>
    <s v=""/>
    <n v="0"/>
    <n v="0"/>
    <s v=""/>
    <n v="0"/>
    <n v="0"/>
    <s v=""/>
    <n v="0"/>
    <n v="0"/>
    <s v=""/>
    <n v="0"/>
    <n v="1"/>
    <n v="-7.163040002218192E-2"/>
    <n v="0"/>
    <n v="1"/>
    <n v="-6.1823596852817672E-2"/>
    <n v="0"/>
    <m/>
    <m/>
    <m/>
    <m/>
    <m/>
    <m/>
    <m/>
    <m/>
    <m/>
    <n v="0"/>
    <n v="7"/>
    <n v="0"/>
    <n v="0"/>
    <n v="0"/>
    <n v="0"/>
    <n v="30952.5"/>
    <n v="149247"/>
    <n v="0"/>
    <n v="0"/>
    <n v="4"/>
    <n v="82540"/>
    <n v="0"/>
    <n v="0"/>
    <n v="5"/>
    <n v="1.5"/>
    <n v="0"/>
    <n v="0"/>
    <n v="0"/>
    <n v="30952.5"/>
    <n v="106605"/>
    <n v="30952.5"/>
    <n v="0"/>
    <n v="4"/>
    <n v="82540"/>
    <n v="52951.768942871277"/>
    <n v="0"/>
    <n v="4"/>
    <n v="0"/>
    <n v="0"/>
    <n v="0"/>
    <n v="42642"/>
    <n v="82540"/>
    <n v="0"/>
    <n v="0"/>
    <n v="4"/>
    <n v="82540"/>
    <n v="0"/>
    <n v="0"/>
    <n v="3"/>
    <n v="0"/>
    <n v="0"/>
    <n v="0"/>
    <n v="63963"/>
    <n v="0"/>
    <x v="0"/>
    <x v="0"/>
    <n v="4"/>
    <n v="82540"/>
    <n v="0"/>
    <n v="2"/>
    <n v="4"/>
    <n v="2"/>
    <m/>
    <n v="0"/>
    <n v="0"/>
    <n v="82540"/>
    <n v="42642"/>
    <x v="0"/>
    <n v="0"/>
    <n v="4"/>
    <n v="82540"/>
    <n v="84016.806722689085"/>
    <n v="0"/>
    <n v="4"/>
    <n v="0"/>
    <m/>
    <n v="0"/>
    <n v="0"/>
    <n v="82540"/>
    <n v="0"/>
    <n v="0"/>
    <n v="0"/>
    <n v="4"/>
    <n v="82540"/>
    <n v="0"/>
    <n v="0"/>
    <n v="4"/>
    <n v="0"/>
    <n v="0"/>
    <n v="0"/>
    <n v="0"/>
    <n v="82540"/>
    <n v="0"/>
    <n v="0"/>
    <n v="0"/>
    <n v="4"/>
    <n v="82540"/>
    <n v="0"/>
    <n v="0"/>
    <n v="5"/>
    <n v="1"/>
    <n v="0"/>
    <n v="0"/>
    <n v="0"/>
    <n v="103175"/>
    <n v="21321"/>
    <n v="0"/>
    <n v="0"/>
    <n v="5"/>
    <n v="103175"/>
    <n v="42008.403361344543"/>
    <n v="0"/>
    <n v="5"/>
    <n v="1.5"/>
    <n v="0"/>
    <n v="0"/>
    <n v="0"/>
    <n v="106605"/>
    <n v="31981.5"/>
    <n v="0"/>
    <n v="0"/>
    <n v="4"/>
    <n v="82540"/>
    <n v="63012.605042016818"/>
    <n v="0"/>
    <n v="3.5"/>
    <n v="0"/>
    <n v="0"/>
    <n v="0"/>
    <n v="0"/>
    <m/>
    <n v="74623.5"/>
    <n v="0"/>
    <n v="0"/>
    <n v="0"/>
    <n v="3.5"/>
    <n v="74623.5"/>
    <n v="0"/>
    <n v="0"/>
    <n v="3.5"/>
    <n v="0"/>
    <m/>
    <n v="0"/>
    <n v="0"/>
    <n v="74623.5"/>
    <n v="0"/>
    <n v="0"/>
    <n v="0"/>
    <n v="3.5"/>
    <n v="74623.5"/>
    <n v="0"/>
    <n v="0"/>
    <n v="3.5"/>
    <n v="0"/>
    <n v="0"/>
    <n v="0"/>
    <n v="74623.5"/>
    <n v="0"/>
    <n v="0"/>
    <n v="0"/>
    <n v="3.5"/>
    <n v="74623.5"/>
    <n v="0"/>
    <n v="0"/>
    <n v="3.5"/>
    <n v="0"/>
    <n v="0"/>
    <m/>
    <n v="74623.5"/>
    <n v="0"/>
    <n v="0"/>
    <n v="3.5"/>
    <n v="74623.5"/>
    <n v="0"/>
  </r>
  <r>
    <s v="Lhotse-Smartwatch"/>
    <x v="4"/>
    <x v="20"/>
    <x v="48"/>
    <n v="1652824942453"/>
    <x v="335"/>
    <x v="321"/>
    <x v="0"/>
    <x v="2"/>
    <n v="1"/>
    <x v="31"/>
    <n v="13"/>
    <m/>
    <n v="0"/>
    <n v="20256"/>
    <n v="263328"/>
    <n v="20.6"/>
    <n v="22505.5"/>
    <n v="42008.403361344543"/>
    <n v="25201.680672268907"/>
    <s v="Shenzhen"/>
    <x v="1"/>
    <n v="45"/>
    <m/>
    <n v="100"/>
    <n v="3"/>
    <n v="0.49983984419201938"/>
    <n v="1"/>
    <n v="0.32573815785093707"/>
    <n v="0"/>
    <n v="-6.6078947368421057E-2"/>
    <n v="3"/>
    <n v="0.56496542145731021"/>
    <n v="0"/>
    <s v=""/>
    <n v="0"/>
    <s v=""/>
    <n v="0"/>
    <s v=""/>
    <n v="0"/>
    <s v=""/>
    <n v="1"/>
    <n v="0.37380591708659228"/>
    <n v="4"/>
    <n v="0.3916104163955107"/>
    <n v="2"/>
    <n v="0.45516078273149074"/>
    <n v="6"/>
    <n v="0.49136893701222389"/>
    <n v="0"/>
    <s v=""/>
    <n v="2"/>
    <n v="0.51934726237583018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0"/>
    <n v="8"/>
    <n v="0"/>
    <n v="0"/>
    <n v="0"/>
    <n v="0"/>
    <n v="60768"/>
    <n v="170568"/>
    <n v="0"/>
    <n v="0"/>
    <n v="13"/>
    <n v="263328"/>
    <n v="0"/>
    <n v="0"/>
    <n v="10"/>
    <n v="3"/>
    <n v="0"/>
    <n v="0"/>
    <n v="0"/>
    <n v="60768"/>
    <n v="213210"/>
    <n v="60768"/>
    <n v="0"/>
    <n v="13"/>
    <n v="263328"/>
    <n v="105903.53788574255"/>
    <n v="0"/>
    <n v="8"/>
    <n v="0"/>
    <n v="0"/>
    <n v="0"/>
    <n v="63963"/>
    <n v="162048"/>
    <n v="0"/>
    <n v="0"/>
    <n v="13"/>
    <n v="263328"/>
    <n v="0"/>
    <n v="0"/>
    <n v="8"/>
    <n v="0"/>
    <n v="0"/>
    <n v="0"/>
    <n v="170568"/>
    <n v="0"/>
    <x v="0"/>
    <x v="0"/>
    <n v="13"/>
    <n v="263328"/>
    <n v="0"/>
    <n v="3"/>
    <n v="13"/>
    <n v="3"/>
    <m/>
    <n v="0"/>
    <n v="0"/>
    <n v="263328"/>
    <n v="63963"/>
    <x v="0"/>
    <n v="0"/>
    <n v="13"/>
    <n v="263328"/>
    <n v="126025.21008403364"/>
    <n v="2"/>
    <n v="13"/>
    <n v="0"/>
    <m/>
    <n v="0"/>
    <n v="0"/>
    <n v="263328"/>
    <n v="0"/>
    <n v="0"/>
    <n v="0"/>
    <n v="13"/>
    <n v="263328"/>
    <n v="0"/>
    <n v="0"/>
    <n v="13"/>
    <n v="0"/>
    <n v="0"/>
    <n v="0"/>
    <n v="0"/>
    <n v="263328"/>
    <n v="0"/>
    <n v="0"/>
    <n v="0"/>
    <n v="13"/>
    <n v="263328"/>
    <n v="0"/>
    <n v="0"/>
    <n v="13"/>
    <n v="0"/>
    <n v="0"/>
    <n v="0"/>
    <n v="0"/>
    <n v="263328"/>
    <n v="0"/>
    <n v="0"/>
    <n v="0"/>
    <n v="13"/>
    <n v="263328"/>
    <n v="0"/>
    <n v="0"/>
    <n v="13"/>
    <n v="0"/>
    <n v="0"/>
    <n v="0"/>
    <n v="0"/>
    <n v="277173"/>
    <n v="0"/>
    <n v="0"/>
    <n v="0"/>
    <n v="13"/>
    <n v="263328"/>
    <n v="0"/>
    <n v="0"/>
    <n v="13"/>
    <n v="0"/>
    <n v="0"/>
    <n v="0"/>
    <n v="0"/>
    <m/>
    <n v="277173"/>
    <n v="0"/>
    <n v="0"/>
    <n v="0"/>
    <n v="13"/>
    <n v="277173"/>
    <n v="0"/>
    <n v="0"/>
    <n v="13"/>
    <n v="0"/>
    <m/>
    <n v="0"/>
    <n v="0"/>
    <n v="277173"/>
    <n v="0"/>
    <n v="0"/>
    <n v="0"/>
    <n v="13"/>
    <n v="277173"/>
    <n v="0"/>
    <n v="0"/>
    <n v="13"/>
    <n v="0"/>
    <n v="0"/>
    <n v="0"/>
    <n v="277173"/>
    <n v="0"/>
    <n v="0"/>
    <n v="0"/>
    <n v="13"/>
    <n v="277173"/>
    <n v="0"/>
    <n v="0"/>
    <n v="13"/>
    <n v="0"/>
    <n v="0"/>
    <m/>
    <n v="277173"/>
    <n v="0"/>
    <n v="0"/>
    <n v="13"/>
    <n v="277173"/>
    <n v="0"/>
  </r>
  <r>
    <s v="Lhotse-Smartwatch"/>
    <x v="4"/>
    <x v="20"/>
    <x v="48"/>
    <n v="1652824957424"/>
    <x v="336"/>
    <x v="322"/>
    <x v="0"/>
    <x v="2"/>
    <n v="1"/>
    <x v="31"/>
    <n v="6"/>
    <m/>
    <n v="0"/>
    <n v="20647"/>
    <n v="123882"/>
    <n v="20.6"/>
    <n v="22505.5"/>
    <n v="42008.403361344543"/>
    <n v="25201.680672268907"/>
    <s v="Shenzhen"/>
    <x v="1"/>
    <n v="45"/>
    <m/>
    <n v="100"/>
    <n v="0"/>
    <n v="0.53193307791707278"/>
    <n v="0"/>
    <s v=""/>
    <n v="2"/>
    <n v="1.4299198334200935"/>
    <n v="3"/>
    <n v="0.49850865900755381"/>
    <n v="0"/>
    <s v=""/>
    <n v="1"/>
    <s v=""/>
    <n v="1"/>
    <s v=""/>
    <n v="0"/>
    <n v="0.42183360869199965"/>
    <n v="1"/>
    <n v="0.52743356755395843"/>
    <n v="2"/>
    <n v="0.41318194091148086"/>
    <n v="2"/>
    <n v="0.44463990316723823"/>
    <n v="6"/>
    <n v="0.48535217580018497"/>
    <n v="0"/>
    <s v=""/>
    <n v="1"/>
    <n v="2.2625175189797214E-2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0"/>
    <n v="4"/>
    <n v="0"/>
    <n v="0"/>
    <n v="0"/>
    <n v="0"/>
    <n v="30970.5"/>
    <n v="85284"/>
    <n v="0"/>
    <n v="0"/>
    <n v="6"/>
    <n v="123882"/>
    <n v="0"/>
    <n v="0"/>
    <n v="5"/>
    <n v="1.5"/>
    <n v="0"/>
    <n v="0"/>
    <n v="0"/>
    <n v="30970.5"/>
    <n v="106605"/>
    <n v="30970.5"/>
    <n v="0"/>
    <n v="6"/>
    <n v="123882"/>
    <n v="52951.768942871277"/>
    <n v="0"/>
    <n v="4"/>
    <n v="0"/>
    <n v="0"/>
    <n v="0"/>
    <n v="21321"/>
    <n v="82588"/>
    <n v="0"/>
    <n v="0"/>
    <n v="6"/>
    <n v="123882"/>
    <n v="0"/>
    <n v="0"/>
    <n v="4"/>
    <n v="0"/>
    <n v="0"/>
    <n v="0"/>
    <n v="85284"/>
    <n v="0"/>
    <x v="0"/>
    <x v="0"/>
    <n v="6"/>
    <n v="123882"/>
    <n v="0"/>
    <n v="1"/>
    <n v="6"/>
    <n v="1"/>
    <m/>
    <n v="0"/>
    <n v="0"/>
    <n v="123882"/>
    <n v="21321"/>
    <x v="0"/>
    <n v="0"/>
    <n v="6"/>
    <n v="123882"/>
    <n v="42008.403361344543"/>
    <n v="0"/>
    <n v="6"/>
    <n v="0"/>
    <m/>
    <n v="0"/>
    <n v="0"/>
    <n v="123882"/>
    <n v="0"/>
    <n v="0"/>
    <n v="0"/>
    <n v="6"/>
    <n v="123882"/>
    <n v="0"/>
    <n v="0"/>
    <n v="6"/>
    <n v="0"/>
    <n v="0"/>
    <n v="0"/>
    <n v="0"/>
    <n v="123882"/>
    <n v="0"/>
    <n v="0"/>
    <n v="0"/>
    <n v="6"/>
    <n v="123882"/>
    <n v="0"/>
    <n v="0"/>
    <n v="6"/>
    <n v="0"/>
    <n v="0"/>
    <n v="0"/>
    <n v="0"/>
    <n v="123882"/>
    <n v="0"/>
    <n v="0"/>
    <n v="0"/>
    <n v="6"/>
    <n v="123882"/>
    <n v="0"/>
    <n v="0"/>
    <n v="6"/>
    <n v="0"/>
    <n v="0"/>
    <n v="0"/>
    <n v="0"/>
    <n v="127926"/>
    <n v="0"/>
    <n v="0"/>
    <n v="0"/>
    <n v="6"/>
    <n v="123882"/>
    <n v="0"/>
    <n v="0"/>
    <n v="6"/>
    <n v="0"/>
    <n v="0"/>
    <n v="0"/>
    <n v="0"/>
    <m/>
    <n v="127926"/>
    <n v="0"/>
    <n v="0"/>
    <n v="0"/>
    <n v="6"/>
    <n v="127926"/>
    <n v="0"/>
    <n v="0"/>
    <n v="6"/>
    <n v="0"/>
    <m/>
    <n v="0"/>
    <n v="0"/>
    <n v="127926"/>
    <n v="0"/>
    <n v="0"/>
    <n v="0"/>
    <n v="6"/>
    <n v="127926"/>
    <n v="0"/>
    <n v="0"/>
    <n v="6"/>
    <n v="0"/>
    <n v="0"/>
    <n v="0"/>
    <n v="127926"/>
    <n v="0"/>
    <n v="0"/>
    <n v="0"/>
    <n v="6"/>
    <n v="127926"/>
    <n v="0"/>
    <n v="0"/>
    <n v="6"/>
    <n v="0"/>
    <n v="0"/>
    <m/>
    <n v="127926"/>
    <n v="0"/>
    <n v="0"/>
    <n v="6"/>
    <n v="127926"/>
    <n v="0"/>
  </r>
  <r>
    <s v="Lhotse-Smartwatch"/>
    <x v="4"/>
    <x v="20"/>
    <x v="48"/>
    <s v="LHSWMOVON7"/>
    <x v="337"/>
    <x v="323"/>
    <x v="0"/>
    <x v="2"/>
    <n v="1"/>
    <x v="31"/>
    <n v="21"/>
    <m/>
    <n v="0"/>
    <n v="22124"/>
    <n v="464604"/>
    <n v="21"/>
    <n v="22942.5"/>
    <n v="42008.403361344543"/>
    <n v="42008.403361344543"/>
    <s v="Shenzhen"/>
    <x v="0"/>
    <n v="30"/>
    <m/>
    <n v="100"/>
    <n v="18"/>
    <n v="0.55520297979106592"/>
    <n v="27"/>
    <n v="0.55158696910431371"/>
    <n v="12"/>
    <n v="0.54176952730097327"/>
    <n v="14"/>
    <n v="0.52713335943424111"/>
    <n v="7"/>
    <n v="0.51603390033998564"/>
    <n v="23"/>
    <n v="0.44678541878184824"/>
    <n v="9"/>
    <n v="0.45832362656537717"/>
    <n v="14"/>
    <n v="0.50003241690500155"/>
    <n v="11"/>
    <n v="0.47048229073397779"/>
    <n v="24"/>
    <n v="0.38529585391881427"/>
    <n v="14"/>
    <n v="0.43292889752691766"/>
    <n v="40"/>
    <n v="0.45377023569824276"/>
    <n v="21"/>
    <n v="0.38918800219336913"/>
    <n v="15"/>
    <n v="0.17052589519469438"/>
    <n v="7"/>
    <n v="0.26833516675531099"/>
    <n v="0"/>
    <s v=""/>
    <n v="0"/>
    <n v="0"/>
    <s v=""/>
    <n v="0"/>
    <n v="-3"/>
    <n v="0.3923390832012556"/>
    <n v="0"/>
    <n v="0"/>
    <s v=""/>
    <n v="0"/>
    <n v="0"/>
    <s v=""/>
    <n v="0"/>
    <n v="0"/>
    <s v=""/>
    <n v="0"/>
    <m/>
    <m/>
    <m/>
    <m/>
    <m/>
    <m/>
    <m/>
    <m/>
    <m/>
    <n v="19"/>
    <n v="71"/>
    <n v="21"/>
    <n v="0"/>
    <n v="0"/>
    <n v="0"/>
    <n v="1117262"/>
    <n v="1543185"/>
    <n v="464604"/>
    <n v="0"/>
    <n v="21"/>
    <n v="464604"/>
    <n v="741324.76520019781"/>
    <n v="20"/>
    <n v="36"/>
    <n v="22.5"/>
    <n v="0"/>
    <n v="0"/>
    <n v="0"/>
    <n v="652658"/>
    <n v="782460"/>
    <n v="497790"/>
    <n v="0"/>
    <n v="21"/>
    <n v="464604"/>
    <n v="794276.53414306906"/>
    <n v="20"/>
    <n v="18"/>
    <n v="7"/>
    <n v="0"/>
    <n v="0"/>
    <n v="154868"/>
    <n v="398232"/>
    <n v="154868"/>
    <n v="0"/>
    <n v="21"/>
    <n v="464604"/>
    <n v="294058.82352941181"/>
    <n v="12"/>
    <n v="9"/>
    <n v="0"/>
    <n v="0"/>
    <n v="0"/>
    <n v="195615"/>
    <n v="0"/>
    <x v="0"/>
    <x v="0"/>
    <n v="21"/>
    <n v="464604"/>
    <n v="0"/>
    <n v="0"/>
    <n v="21"/>
    <n v="0"/>
    <m/>
    <n v="0"/>
    <n v="0"/>
    <n v="464604"/>
    <n v="0"/>
    <x v="0"/>
    <n v="0"/>
    <n v="21"/>
    <n v="464604"/>
    <n v="0"/>
    <n v="0"/>
    <n v="18"/>
    <n v="-3"/>
    <m/>
    <n v="0"/>
    <n v="0"/>
    <n v="398232"/>
    <n v="-65205"/>
    <n v="0"/>
    <n v="0"/>
    <n v="18"/>
    <n v="464604"/>
    <n v="-126025.21008403364"/>
    <n v="0"/>
    <n v="21"/>
    <n v="0"/>
    <n v="0"/>
    <n v="0"/>
    <n v="0"/>
    <n v="464604"/>
    <n v="0"/>
    <n v="0"/>
    <n v="0"/>
    <n v="21"/>
    <n v="464604"/>
    <n v="0"/>
    <n v="0"/>
    <n v="21"/>
    <n v="0"/>
    <n v="0"/>
    <n v="0"/>
    <n v="0"/>
    <n v="464604"/>
    <n v="0"/>
    <n v="0"/>
    <n v="0"/>
    <n v="21"/>
    <n v="464604"/>
    <n v="0"/>
    <n v="0"/>
    <n v="21"/>
    <n v="0"/>
    <n v="0"/>
    <n v="0"/>
    <n v="0"/>
    <n v="456435"/>
    <n v="0"/>
    <n v="0"/>
    <n v="0"/>
    <n v="21"/>
    <n v="464604"/>
    <n v="0"/>
    <n v="0"/>
    <n v="21"/>
    <n v="0"/>
    <n v="0"/>
    <n v="0"/>
    <n v="0"/>
    <m/>
    <n v="456435"/>
    <n v="0"/>
    <n v="0"/>
    <n v="0"/>
    <n v="21"/>
    <n v="456435"/>
    <n v="0"/>
    <n v="0"/>
    <n v="21"/>
    <n v="0"/>
    <m/>
    <n v="0"/>
    <n v="0"/>
    <n v="456435"/>
    <n v="0"/>
    <n v="0"/>
    <n v="0"/>
    <n v="21"/>
    <n v="456435"/>
    <n v="0"/>
    <n v="0"/>
    <n v="21"/>
    <n v="0"/>
    <n v="0"/>
    <n v="0"/>
    <n v="456435"/>
    <n v="0"/>
    <n v="0"/>
    <n v="0"/>
    <n v="21"/>
    <n v="456435"/>
    <n v="0"/>
    <n v="0"/>
    <n v="21"/>
    <n v="0"/>
    <n v="0"/>
    <m/>
    <n v="456435"/>
    <n v="0"/>
    <n v="0"/>
    <n v="21"/>
    <n v="456435"/>
    <n v="0"/>
  </r>
  <r>
    <s v="Lhotse-Smartwatch"/>
    <x v="4"/>
    <x v="20"/>
    <x v="48"/>
    <s v="LHSWRHYX10"/>
    <x v="338"/>
    <x v="324"/>
    <x v="0"/>
    <x v="2"/>
    <n v="1"/>
    <x v="218"/>
    <n v="3"/>
    <m/>
    <n v="0"/>
    <n v="22305"/>
    <n v="66915"/>
    <n v="19.5"/>
    <n v="21303.75"/>
    <n v="37806.722689075636"/>
    <n v="27722.689075630253"/>
    <s v="Shenzhen"/>
    <x v="1"/>
    <n v="30"/>
    <m/>
    <n v="100"/>
    <n v="19"/>
    <n v="0.48452238158872135"/>
    <n v="16"/>
    <n v="0.45936064537641147"/>
    <n v="10"/>
    <n v="0.48020652263863256"/>
    <n v="2"/>
    <n v="0.51511968651179763"/>
    <n v="1"/>
    <n v="0.51512201440288063"/>
    <n v="3"/>
    <n v="0.47065186159823935"/>
    <n v="5"/>
    <n v="0.35935054629799185"/>
    <n v="2"/>
    <n v="0.43215548812472071"/>
    <n v="2"/>
    <n v="0.33371887448223325"/>
    <n v="105"/>
    <n v="0.21116488727760607"/>
    <n v="4"/>
    <n v="0.35832533820472806"/>
    <n v="9"/>
    <n v="0.3563848951909333"/>
    <n v="0"/>
    <s v=""/>
    <n v="7"/>
    <n v="0.29988825704258493"/>
    <n v="13"/>
    <n v="0.23892320826906679"/>
    <n v="8"/>
    <n v="0.2910002884887628"/>
    <n v="0"/>
    <n v="18"/>
    <n v="0.25391436267811829"/>
    <n v="18"/>
    <n v="17"/>
    <n v="0.10974909120628817"/>
    <n v="5.666666666666667"/>
    <n v="4"/>
    <n v="0.21335146108707248"/>
    <n v="0.8"/>
    <n v="0"/>
    <s v=""/>
    <n v="0"/>
    <n v="0"/>
    <s v=""/>
    <n v="0"/>
    <m/>
    <m/>
    <m/>
    <m/>
    <m/>
    <m/>
    <m/>
    <m/>
    <m/>
    <n v="0"/>
    <n v="2"/>
    <n v="0"/>
    <n v="0"/>
    <n v="0"/>
    <n v="0"/>
    <n v="524167.5"/>
    <n v="40365"/>
    <n v="0"/>
    <n v="0"/>
    <n v="3"/>
    <n v="66915"/>
    <n v="0"/>
    <n v="0"/>
    <n v="74"/>
    <n v="10.5"/>
    <n v="0"/>
    <n v="0"/>
    <n v="0"/>
    <n v="702607.5"/>
    <n v="1493505"/>
    <n v="234202.5"/>
    <n v="0"/>
    <n v="3"/>
    <n v="66915"/>
    <n v="333588.72960949095"/>
    <n v="0"/>
    <n v="65"/>
    <n v="13"/>
    <n v="0"/>
    <n v="0"/>
    <n v="488587.5"/>
    <n v="1449825"/>
    <n v="289965"/>
    <n v="0"/>
    <n v="3"/>
    <n v="66915"/>
    <n v="491487.39495798328"/>
    <n v="0"/>
    <n v="53"/>
    <n v="8"/>
    <n v="0"/>
    <n v="0"/>
    <n v="1069672.5"/>
    <n v="178440"/>
    <x v="0"/>
    <x v="0"/>
    <n v="3"/>
    <n v="66915"/>
    <n v="302453.78151260508"/>
    <n v="1"/>
    <n v="21"/>
    <n v="1"/>
    <m/>
    <n v="0"/>
    <n v="0"/>
    <n v="468405"/>
    <n v="20182.5"/>
    <x v="0"/>
    <n v="0"/>
    <n v="3"/>
    <n v="66915"/>
    <n v="37806.722689075636"/>
    <n v="3"/>
    <n v="20"/>
    <n v="17"/>
    <m/>
    <n v="0"/>
    <n v="0"/>
    <n v="446100"/>
    <n v="343102.5"/>
    <n v="0"/>
    <n v="0"/>
    <n v="20"/>
    <n v="66915"/>
    <n v="642714.2857142858"/>
    <n v="5"/>
    <n v="7"/>
    <n v="4"/>
    <n v="0"/>
    <n v="0"/>
    <n v="0"/>
    <n v="156135"/>
    <n v="80730"/>
    <n v="0"/>
    <n v="0"/>
    <n v="7"/>
    <n v="66915"/>
    <n v="151226.89075630254"/>
    <n v="2"/>
    <n v="3"/>
    <n v="0"/>
    <n v="0"/>
    <n v="0"/>
    <n v="0"/>
    <n v="66915"/>
    <n v="0"/>
    <n v="0"/>
    <n v="0"/>
    <n v="3"/>
    <n v="66915"/>
    <n v="0"/>
    <n v="47"/>
    <n v="3"/>
    <n v="0"/>
    <n v="0"/>
    <n v="0"/>
    <n v="0"/>
    <n v="60547.5"/>
    <n v="0"/>
    <n v="0"/>
    <n v="0"/>
    <n v="3"/>
    <n v="66915"/>
    <n v="0"/>
    <n v="0"/>
    <n v="3"/>
    <n v="0"/>
    <n v="0"/>
    <n v="0"/>
    <n v="0"/>
    <m/>
    <n v="60547.5"/>
    <n v="0"/>
    <n v="0"/>
    <n v="0"/>
    <n v="3"/>
    <n v="60547.5"/>
    <n v="0"/>
    <n v="0"/>
    <n v="3"/>
    <n v="0"/>
    <m/>
    <n v="0"/>
    <n v="0"/>
    <n v="60547.5"/>
    <n v="0"/>
    <n v="0"/>
    <n v="0"/>
    <n v="3"/>
    <n v="60547.5"/>
    <n v="0"/>
    <n v="0"/>
    <n v="3"/>
    <n v="0"/>
    <n v="0"/>
    <n v="0"/>
    <n v="60547.5"/>
    <n v="0"/>
    <n v="0"/>
    <n v="0"/>
    <n v="3"/>
    <n v="60547.5"/>
    <n v="0"/>
    <n v="0"/>
    <n v="3"/>
    <n v="0"/>
    <n v="0"/>
    <m/>
    <n v="60547.5"/>
    <n v="0"/>
    <n v="0"/>
    <n v="3"/>
    <n v="60547.5"/>
    <n v="0"/>
  </r>
  <r>
    <s v="Lhotse-Smartwatch"/>
    <x v="4"/>
    <x v="20"/>
    <x v="48"/>
    <s v="LHSWRHYX10"/>
    <x v="339"/>
    <x v="324"/>
    <x v="0"/>
    <x v="2"/>
    <n v="1"/>
    <x v="219"/>
    <n v="3"/>
    <m/>
    <n v="0"/>
    <n v="21770"/>
    <n v="65310"/>
    <n v="19.5"/>
    <n v="21303.75"/>
    <n v="37806.722689075636"/>
    <n v="27722.689075630253"/>
    <s v="Shenzhen"/>
    <x v="1"/>
    <n v="30"/>
    <m/>
    <n v="100"/>
    <n v="16"/>
    <n v="0.46452809898752712"/>
    <n v="20"/>
    <n v="0.48362718826901419"/>
    <n v="9"/>
    <n v="0.40227587564280815"/>
    <n v="2"/>
    <n v="0.55873962534115451"/>
    <n v="2"/>
    <n v="0.55873962534115451"/>
    <n v="2"/>
    <n v="0.4792913112477683"/>
    <n v="8"/>
    <n v="0.4031240629019307"/>
    <n v="2"/>
    <n v="0.46249081717540158"/>
    <n v="2"/>
    <n v="0.41190410843812142"/>
    <n v="42"/>
    <n v="0.24304769142533375"/>
    <n v="11"/>
    <n v="0.35733323492706759"/>
    <n v="41"/>
    <n v="0.37347972937799212"/>
    <n v="7"/>
    <n v="0.29972581197862186"/>
    <n v="21"/>
    <n v="0.28571392504239057"/>
    <n v="37"/>
    <n v="0.2408126834847856"/>
    <n v="24"/>
    <n v="0.23150496707190557"/>
    <n v="2.4"/>
    <n v="0"/>
    <s v=""/>
    <n v="0"/>
    <n v="1"/>
    <n v="0.35220905226306576"/>
    <n v="0.33333333333333331"/>
    <n v="0"/>
    <s v=""/>
    <n v="0"/>
    <n v="0"/>
    <s v=""/>
    <n v="0"/>
    <n v="0"/>
    <s v=""/>
    <n v="0"/>
    <m/>
    <m/>
    <m/>
    <m/>
    <m/>
    <m/>
    <m/>
    <m/>
    <m/>
    <n v="15"/>
    <n v="98"/>
    <n v="10"/>
    <n v="0"/>
    <n v="0"/>
    <n v="0"/>
    <n v="1708945"/>
    <n v="1977885"/>
    <n v="217700"/>
    <n v="0"/>
    <n v="3"/>
    <n v="65310"/>
    <n v="317703.55200903898"/>
    <n v="10"/>
    <n v="89"/>
    <n v="31.5"/>
    <n v="0"/>
    <n v="0"/>
    <n v="0"/>
    <n v="2013725"/>
    <n v="1796242.5"/>
    <n v="685755"/>
    <n v="0"/>
    <n v="3"/>
    <n v="65310"/>
    <n v="1000766.1888284727"/>
    <n v="15"/>
    <n v="70"/>
    <n v="37"/>
    <n v="0"/>
    <n v="0"/>
    <n v="1388517.5"/>
    <n v="1523900"/>
    <n v="805490"/>
    <n v="0"/>
    <n v="3"/>
    <n v="65310"/>
    <n v="1398848.7394957985"/>
    <n v="10"/>
    <n v="31"/>
    <n v="24"/>
    <n v="0"/>
    <n v="0"/>
    <n v="625657.5"/>
    <n v="522480"/>
    <x v="0"/>
    <x v="0"/>
    <n v="3"/>
    <n v="65310"/>
    <n v="907361.34453781531"/>
    <n v="3"/>
    <n v="3"/>
    <n v="3"/>
    <m/>
    <n v="0"/>
    <n v="0"/>
    <n v="65310"/>
    <n v="60547.5"/>
    <x v="0"/>
    <n v="0"/>
    <n v="3"/>
    <n v="65310"/>
    <n v="113420.16806722691"/>
    <n v="3"/>
    <n v="4"/>
    <n v="1"/>
    <m/>
    <n v="0"/>
    <n v="0"/>
    <n v="87080"/>
    <n v="20182.5"/>
    <n v="0"/>
    <n v="0"/>
    <n v="4"/>
    <n v="65310"/>
    <n v="37806.722689075636"/>
    <n v="12"/>
    <n v="3"/>
    <n v="0"/>
    <n v="0"/>
    <n v="0"/>
    <n v="0"/>
    <n v="65310"/>
    <n v="0"/>
    <n v="0"/>
    <n v="0"/>
    <n v="3"/>
    <n v="65310"/>
    <n v="0"/>
    <n v="3"/>
    <n v="3"/>
    <n v="0"/>
    <n v="0"/>
    <n v="0"/>
    <n v="0"/>
    <n v="65310"/>
    <n v="0"/>
    <n v="0"/>
    <n v="0"/>
    <n v="3"/>
    <n v="65310"/>
    <n v="0"/>
    <n v="14"/>
    <n v="3"/>
    <n v="0"/>
    <n v="0"/>
    <n v="0"/>
    <n v="0"/>
    <n v="60547.5"/>
    <n v="0"/>
    <n v="0"/>
    <n v="0"/>
    <n v="3"/>
    <n v="65310"/>
    <n v="0"/>
    <n v="0"/>
    <n v="3"/>
    <n v="0"/>
    <n v="0"/>
    <n v="0"/>
    <n v="0"/>
    <m/>
    <n v="60547.5"/>
    <n v="0"/>
    <n v="0"/>
    <n v="0"/>
    <n v="3"/>
    <n v="60547.5"/>
    <n v="0"/>
    <n v="0"/>
    <n v="3"/>
    <n v="0"/>
    <m/>
    <n v="0"/>
    <n v="0"/>
    <n v="60547.5"/>
    <n v="0"/>
    <n v="0"/>
    <n v="0"/>
    <n v="3"/>
    <n v="60547.5"/>
    <n v="0"/>
    <n v="0"/>
    <n v="3"/>
    <n v="0"/>
    <n v="0"/>
    <n v="0"/>
    <n v="60547.5"/>
    <n v="0"/>
    <n v="0"/>
    <n v="0"/>
    <n v="3"/>
    <n v="60547.5"/>
    <n v="0"/>
    <n v="0"/>
    <n v="3"/>
    <n v="0"/>
    <n v="0"/>
    <m/>
    <n v="60547.5"/>
    <n v="0"/>
    <n v="0"/>
    <n v="3"/>
    <n v="60547.5"/>
    <n v="0"/>
  </r>
  <r>
    <s v="Lhotse-Smartwatch"/>
    <x v="4"/>
    <x v="20"/>
    <x v="48"/>
    <s v="LHSWSHAR-BK"/>
    <x v="340"/>
    <x v="325"/>
    <x v="0"/>
    <x v="4"/>
    <n v="1"/>
    <x v="31"/>
    <n v="97"/>
    <m/>
    <n v="0"/>
    <n v="22828"/>
    <n v="2214316"/>
    <n v="23.5"/>
    <n v="23511.75"/>
    <n v="59273.319327731093"/>
    <n v="50382.321428571428"/>
    <s v="Shenzhen"/>
    <x v="1"/>
    <n v="45"/>
    <m/>
    <n v="1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n v="2"/>
    <s v=""/>
    <n v="0.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97"/>
    <n v="2214316"/>
    <n v="0"/>
    <n v="0"/>
    <n v="0"/>
    <n v="0"/>
    <n v="0"/>
    <n v="0"/>
    <n v="0"/>
    <n v="0"/>
    <x v="0"/>
    <x v="0"/>
    <n v="97"/>
    <n v="2214316"/>
    <n v="0"/>
    <n v="0"/>
    <n v="97"/>
    <n v="0"/>
    <m/>
    <m/>
    <n v="0"/>
    <n v="2214316"/>
    <n v="0"/>
    <x v="0"/>
    <n v="0"/>
    <n v="97"/>
    <n v="2214316"/>
    <n v="0"/>
    <n v="0"/>
    <n v="97"/>
    <n v="0"/>
    <m/>
    <n v="0"/>
    <n v="0"/>
    <n v="2214316"/>
    <n v="0"/>
    <n v="0"/>
    <n v="0"/>
    <n v="97"/>
    <n v="2214316"/>
    <n v="0"/>
    <n v="0"/>
    <n v="97"/>
    <n v="0"/>
    <n v="0"/>
    <n v="0"/>
    <n v="0"/>
    <n v="2214316"/>
    <n v="0"/>
    <n v="0"/>
    <n v="0"/>
    <n v="97"/>
    <n v="2214316"/>
    <n v="0"/>
    <n v="0"/>
    <n v="97"/>
    <n v="0"/>
    <n v="100"/>
    <n v="100"/>
    <n v="0"/>
    <n v="2214316"/>
    <n v="0"/>
    <n v="2432249.9999999995"/>
    <n v="0"/>
    <n v="97"/>
    <n v="2214316"/>
    <n v="0"/>
    <n v="20"/>
    <n v="99"/>
    <n v="3"/>
    <n v="0"/>
    <n v="0"/>
    <n v="0"/>
    <n v="2407927.4999999995"/>
    <n v="72967.499999999985"/>
    <n v="0"/>
    <n v="0"/>
    <n v="97"/>
    <n v="2214316"/>
    <n v="177819.95798319328"/>
    <n v="40"/>
    <n v="96"/>
    <n v="40"/>
    <n v="0"/>
    <n v="0"/>
    <n v="0"/>
    <m/>
    <n v="2334959.9999999995"/>
    <n v="972899.99999999988"/>
    <n v="0"/>
    <n v="0"/>
    <n v="96"/>
    <n v="2334959.9999999995"/>
    <n v="2015292.857142857"/>
    <n v="40"/>
    <n v="56"/>
    <n v="40"/>
    <m/>
    <n v="0"/>
    <n v="0"/>
    <n v="1362059.9999999998"/>
    <n v="972899.99999999988"/>
    <n v="0"/>
    <n v="0"/>
    <n v="56"/>
    <n v="1362059.9999999998"/>
    <n v="2015292.857142857"/>
    <n v="120"/>
    <n v="16"/>
    <n v="120"/>
    <n v="150"/>
    <n v="150"/>
    <n v="389159.99999999994"/>
    <n v="2918699.9999999995"/>
    <n v="3648374.9999999995"/>
    <n v="3648374.9999999995"/>
    <n v="166"/>
    <n v="4037534.9999999995"/>
    <n v="7112798.3193277307"/>
    <n v="24"/>
    <n v="46"/>
    <n v="24"/>
    <n v="0"/>
    <m/>
    <n v="1118834.9999999998"/>
    <n v="547872"/>
    <n v="0"/>
    <n v="46"/>
    <n v="1118834.9999999998"/>
    <n v="1422559.6638655462"/>
  </r>
  <r>
    <s v="Lhotse-Smartwatch"/>
    <x v="4"/>
    <x v="20"/>
    <x v="48"/>
    <s v="LHSWSHAR-CR"/>
    <x v="341"/>
    <x v="326"/>
    <x v="0"/>
    <x v="4"/>
    <n v="1"/>
    <x v="31"/>
    <n v="98"/>
    <m/>
    <n v="0"/>
    <n v="22828"/>
    <n v="2237144"/>
    <n v="23.5"/>
    <n v="23511.75"/>
    <n v="59273.319327731093"/>
    <n v="50382.321428571428"/>
    <s v="Shenzhen"/>
    <x v="1"/>
    <n v="45"/>
    <m/>
    <n v="1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n v="1"/>
    <s v=""/>
    <n v="6.6666666666666666E-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98"/>
    <n v="2237144"/>
    <n v="0"/>
    <n v="0"/>
    <n v="0"/>
    <n v="0"/>
    <n v="0"/>
    <n v="0"/>
    <n v="0"/>
    <n v="0"/>
    <x v="0"/>
    <x v="0"/>
    <n v="98"/>
    <n v="2237144"/>
    <n v="0"/>
    <n v="0"/>
    <n v="98"/>
    <n v="0"/>
    <m/>
    <m/>
    <n v="0"/>
    <n v="2237144"/>
    <n v="0"/>
    <x v="0"/>
    <n v="0"/>
    <n v="98"/>
    <n v="2237144"/>
    <n v="0"/>
    <n v="0"/>
    <n v="98"/>
    <n v="0"/>
    <m/>
    <n v="0"/>
    <n v="0"/>
    <n v="2237144"/>
    <n v="0"/>
    <n v="0"/>
    <n v="0"/>
    <n v="98"/>
    <n v="2237144"/>
    <n v="0"/>
    <n v="0"/>
    <n v="98"/>
    <n v="0"/>
    <n v="0"/>
    <n v="0"/>
    <n v="0"/>
    <n v="2237144"/>
    <n v="0"/>
    <n v="0"/>
    <n v="0"/>
    <n v="98"/>
    <n v="2237144"/>
    <n v="0"/>
    <n v="0"/>
    <n v="98"/>
    <n v="0"/>
    <n v="100"/>
    <n v="100"/>
    <n v="0"/>
    <n v="2237144"/>
    <n v="0"/>
    <n v="2432249.9999999995"/>
    <n v="0"/>
    <n v="98"/>
    <n v="2237144"/>
    <n v="0"/>
    <n v="15"/>
    <n v="99"/>
    <n v="0"/>
    <n v="0"/>
    <n v="0"/>
    <n v="0"/>
    <n v="2407927.4999999995"/>
    <n v="0"/>
    <n v="0"/>
    <n v="0"/>
    <n v="98"/>
    <n v="2237144"/>
    <n v="0"/>
    <n v="25"/>
    <n v="99"/>
    <n v="25"/>
    <n v="0"/>
    <n v="0"/>
    <n v="0"/>
    <m/>
    <n v="2407927.4999999995"/>
    <n v="608062.49999999988"/>
    <n v="0"/>
    <n v="0"/>
    <n v="99"/>
    <n v="2407927.4999999995"/>
    <n v="1259558.0357142857"/>
    <n v="25"/>
    <n v="74"/>
    <n v="25"/>
    <m/>
    <n v="0"/>
    <n v="0"/>
    <n v="1799864.9999999998"/>
    <n v="608062.49999999988"/>
    <n v="0"/>
    <n v="0"/>
    <n v="74"/>
    <n v="1799864.9999999998"/>
    <n v="1259558.0357142857"/>
    <n v="60"/>
    <n v="49"/>
    <n v="49"/>
    <n v="0"/>
    <n v="0"/>
    <n v="1191802.4999999998"/>
    <n v="1191802.4999999998"/>
    <n v="0"/>
    <n v="0"/>
    <n v="49"/>
    <n v="1191802.4999999998"/>
    <n v="2904392.6470588236"/>
    <n v="15"/>
    <n v="0"/>
    <n v="15"/>
    <n v="0"/>
    <m/>
    <n v="0"/>
    <n v="342420"/>
    <n v="0"/>
    <n v="0"/>
    <n v="0"/>
    <n v="889099.78991596634"/>
  </r>
  <r>
    <s v="Lhotse-Smartwatch"/>
    <x v="4"/>
    <x v="20"/>
    <x v="48"/>
    <s v="LHSWSHAR-PK"/>
    <x v="342"/>
    <x v="327"/>
    <x v="0"/>
    <x v="4"/>
    <n v="1"/>
    <x v="31"/>
    <n v="98"/>
    <m/>
    <n v="0"/>
    <n v="22828"/>
    <n v="2237144"/>
    <n v="23.5"/>
    <n v="23511.75"/>
    <n v="59273.319327731093"/>
    <n v="50382.321428571428"/>
    <s v="Shenzhen"/>
    <x v="1"/>
    <n v="45"/>
    <m/>
    <n v="1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n v="1"/>
    <s v=""/>
    <n v="0.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98"/>
    <n v="2237144"/>
    <n v="0"/>
    <n v="0"/>
    <n v="0"/>
    <n v="0"/>
    <n v="0"/>
    <n v="0"/>
    <n v="0"/>
    <n v="0"/>
    <x v="0"/>
    <x v="0"/>
    <n v="98"/>
    <n v="2237144"/>
    <n v="0"/>
    <n v="0"/>
    <n v="98"/>
    <n v="0"/>
    <m/>
    <m/>
    <n v="0"/>
    <n v="2237144"/>
    <n v="0"/>
    <x v="0"/>
    <n v="0"/>
    <n v="98"/>
    <n v="2237144"/>
    <n v="0"/>
    <n v="0"/>
    <n v="98"/>
    <n v="0"/>
    <m/>
    <n v="0"/>
    <n v="0"/>
    <n v="2237144"/>
    <n v="0"/>
    <n v="0"/>
    <n v="0"/>
    <n v="98"/>
    <n v="2237144"/>
    <n v="0"/>
    <n v="0"/>
    <n v="98"/>
    <n v="0"/>
    <n v="0"/>
    <n v="0"/>
    <n v="0"/>
    <n v="2237144"/>
    <n v="0"/>
    <n v="0"/>
    <n v="0"/>
    <n v="98"/>
    <n v="2237144"/>
    <n v="0"/>
    <n v="0"/>
    <n v="98"/>
    <n v="0"/>
    <n v="100"/>
    <n v="100"/>
    <n v="0"/>
    <n v="2237144"/>
    <n v="0"/>
    <n v="2432249.9999999995"/>
    <n v="0"/>
    <n v="98"/>
    <n v="2237144"/>
    <n v="0"/>
    <n v="20"/>
    <n v="99"/>
    <n v="1.5"/>
    <n v="0"/>
    <n v="0"/>
    <n v="0"/>
    <n v="2407927.4999999995"/>
    <n v="36483.749999999993"/>
    <n v="0"/>
    <n v="0"/>
    <n v="98"/>
    <n v="2237144"/>
    <n v="88909.978991596639"/>
    <n v="35"/>
    <n v="97.5"/>
    <n v="35"/>
    <n v="0"/>
    <n v="0"/>
    <n v="0"/>
    <m/>
    <n v="2371443.7499999995"/>
    <n v="851287.49999999988"/>
    <n v="0"/>
    <n v="0"/>
    <n v="97.5"/>
    <n v="2371443.7499999995"/>
    <n v="1763381.25"/>
    <n v="35"/>
    <n v="62.5"/>
    <n v="35"/>
    <m/>
    <n v="0"/>
    <n v="0"/>
    <n v="1520156.2499999998"/>
    <n v="851287.49999999988"/>
    <n v="0"/>
    <n v="0"/>
    <n v="62.5"/>
    <n v="1520156.2499999998"/>
    <n v="1763381.25"/>
    <n v="100"/>
    <n v="27.5"/>
    <n v="100"/>
    <n v="100"/>
    <n v="100"/>
    <n v="668868.74999999988"/>
    <n v="2432249.9999999995"/>
    <n v="2432249.9999999995"/>
    <n v="2432249.9999999995"/>
    <n v="127.5"/>
    <n v="3101118.7499999995"/>
    <n v="5927331.9327731095"/>
    <n v="21"/>
    <n v="27.5"/>
    <n v="21"/>
    <n v="0"/>
    <m/>
    <n v="668868.74999999988"/>
    <n v="479388"/>
    <n v="0"/>
    <n v="27.5"/>
    <n v="668868.74999999988"/>
    <n v="1244739.705882353"/>
  </r>
  <r>
    <s v="Lhotse-Smartwatch"/>
    <x v="4"/>
    <x v="20"/>
    <x v="48"/>
    <s v="LHSWVIBBK"/>
    <x v="343"/>
    <x v="328"/>
    <x v="0"/>
    <x v="1"/>
    <n v="1"/>
    <x v="220"/>
    <n v="276"/>
    <m/>
    <n v="0"/>
    <n v="28533"/>
    <n v="7875108"/>
    <n v="29.65"/>
    <n v="32392.624999999996"/>
    <n v="67218.487394957992"/>
    <n v="67218.487394957992"/>
    <s v="Shenzhen"/>
    <x v="1"/>
    <n v="45"/>
    <m/>
    <n v="100"/>
    <n v="5"/>
    <n v="0.59628835672735991"/>
    <n v="19"/>
    <n v="0.5182875457206999"/>
    <n v="14"/>
    <n v="0.53712654500960699"/>
    <n v="35"/>
    <n v="0.62674349993248801"/>
    <n v="11"/>
    <n v="0.59762352413252651"/>
    <n v="19"/>
    <n v="0.51873676135743552"/>
    <n v="34"/>
    <n v="0.50670687530420977"/>
    <n v="22"/>
    <n v="0.47191949205508527"/>
    <n v="12"/>
    <n v="0.49702809574627066"/>
    <n v="41"/>
    <n v="0.38688852632672449"/>
    <n v="44"/>
    <n v="0.45139172959560125"/>
    <n v="128"/>
    <n v="0.48786551882173873"/>
    <n v="50"/>
    <n v="0.37787566214064305"/>
    <n v="42"/>
    <n v="0.44915594976582335"/>
    <n v="20"/>
    <n v="0.41736053748016311"/>
    <n v="1"/>
    <n v="0.40882835484301339"/>
    <n v="0.04"/>
    <n v="0"/>
    <s v=""/>
    <n v="0"/>
    <n v="0"/>
    <s v=""/>
    <n v="0"/>
    <n v="7"/>
    <n v="0.49629576811695642"/>
    <n v="0.14000000000000001"/>
    <n v="13"/>
    <n v="0.49988851283732699"/>
    <n v="0.29545454545454547"/>
    <n v="7"/>
    <n v="0.46067829794730236"/>
    <n v="0.2"/>
    <m/>
    <m/>
    <m/>
    <m/>
    <m/>
    <m/>
    <m/>
    <m/>
    <m/>
    <n v="25"/>
    <n v="100"/>
    <n v="35"/>
    <n v="0"/>
    <n v="100"/>
    <n v="0"/>
    <n v="3366894"/>
    <n v="3068774.9999999995"/>
    <n v="998655"/>
    <n v="0"/>
    <n v="276"/>
    <n v="7875108"/>
    <n v="1977014.3351458234"/>
    <n v="25"/>
    <n v="71"/>
    <n v="63"/>
    <n v="0"/>
    <n v="0"/>
    <n v="0"/>
    <n v="2396772"/>
    <n v="2178830.2499999995"/>
    <n v="1797579"/>
    <n v="0"/>
    <n v="276"/>
    <n v="7875108"/>
    <n v="3558625.8032624824"/>
    <n v="50"/>
    <n v="32"/>
    <n v="20"/>
    <n v="0"/>
    <n v="0"/>
    <n v="1673264.2499999998"/>
    <n v="913056"/>
    <n v="570660"/>
    <n v="0"/>
    <n v="276"/>
    <n v="7875108"/>
    <n v="1344369.7478991598"/>
    <n v="25"/>
    <n v="1"/>
    <n v="1"/>
    <n v="0"/>
    <n v="0"/>
    <n v="30687.749999999996"/>
    <n v="28533"/>
    <x v="0"/>
    <x v="0"/>
    <n v="276"/>
    <n v="7875108"/>
    <n v="67218.487394957992"/>
    <n v="35"/>
    <n v="276"/>
    <n v="35"/>
    <m/>
    <n v="0"/>
    <n v="0"/>
    <n v="7875108"/>
    <n v="1074071.2499999998"/>
    <x v="0"/>
    <n v="0"/>
    <n v="276"/>
    <n v="7875108"/>
    <n v="2352647.0588235296"/>
    <n v="60"/>
    <n v="276"/>
    <n v="0"/>
    <m/>
    <n v="0"/>
    <n v="0"/>
    <n v="7875108"/>
    <n v="0"/>
    <n v="0"/>
    <n v="0"/>
    <n v="276"/>
    <n v="7875108"/>
    <n v="0"/>
    <n v="50"/>
    <n v="283"/>
    <n v="7"/>
    <n v="100"/>
    <n v="100"/>
    <n v="0"/>
    <n v="8074839"/>
    <n v="214814.24999999997"/>
    <n v="2966482.4999999995"/>
    <n v="0"/>
    <n v="283"/>
    <n v="7875108"/>
    <n v="470529.41176470596"/>
    <n v="44"/>
    <n v="289"/>
    <n v="13"/>
    <n v="100"/>
    <n v="100"/>
    <n v="0"/>
    <n v="8246037"/>
    <n v="398940.74999999994"/>
    <n v="3068774.9999999995"/>
    <n v="0"/>
    <n v="289"/>
    <n v="8246037"/>
    <n v="873840.33613445389"/>
    <n v="35"/>
    <n v="283"/>
    <n v="7.5"/>
    <n v="100"/>
    <n v="100"/>
    <n v="0"/>
    <n v="8684633.2499999981"/>
    <n v="230158.12499999997"/>
    <n v="3068774.9999999995"/>
    <n v="0"/>
    <n v="276"/>
    <n v="7875108"/>
    <n v="504138.65546218492"/>
    <n v="60"/>
    <n v="275.5"/>
    <n v="60"/>
    <n v="0"/>
    <n v="0"/>
    <n v="0"/>
    <n v="0"/>
    <n v="8454475.1249999981"/>
    <n v="1841264.9999999998"/>
    <n v="0"/>
    <n v="0"/>
    <n v="275.5"/>
    <n v="8454475.1249999981"/>
    <n v="4033109.2436974794"/>
    <n v="50"/>
    <n v="215.5"/>
    <n v="50"/>
    <m/>
    <n v="0"/>
    <n v="0"/>
    <n v="6613210.1249999991"/>
    <n v="1534387.4999999998"/>
    <n v="0"/>
    <n v="0"/>
    <n v="215.5"/>
    <n v="6613210.1249999991"/>
    <n v="3360924.3697478995"/>
    <n v="61"/>
    <n v="165.5"/>
    <n v="61"/>
    <n v="0"/>
    <n v="0"/>
    <n v="5078822.6249999991"/>
    <n v="1871952.7499999998"/>
    <n v="0"/>
    <n v="0"/>
    <n v="165.5"/>
    <n v="5078822.6249999991"/>
    <n v="4100327.7310924376"/>
    <n v="30"/>
    <n v="104.5"/>
    <n v="30"/>
    <n v="0"/>
    <m/>
    <n v="3206869.8749999995"/>
    <n v="855990"/>
    <n v="0"/>
    <n v="104.5"/>
    <n v="3206869.8749999995"/>
    <n v="2016554.6218487397"/>
  </r>
  <r>
    <s v="Lhotse-Smartwatch"/>
    <x v="4"/>
    <x v="20"/>
    <x v="48"/>
    <s v="LHSWVIBCR"/>
    <x v="344"/>
    <x v="329"/>
    <x v="0"/>
    <x v="1"/>
    <n v="1"/>
    <x v="221"/>
    <n v="174"/>
    <m/>
    <n v="0"/>
    <n v="28279"/>
    <n v="4920546"/>
    <n v="29.65"/>
    <n v="32392.624999999996"/>
    <n v="67218.487394957992"/>
    <n v="67218.487394957992"/>
    <s v="Shenzhen"/>
    <x v="1"/>
    <n v="45"/>
    <m/>
    <n v="100"/>
    <n v="3"/>
    <n v="0.59406784153077619"/>
    <n v="12"/>
    <n v="0.56684669031477719"/>
    <n v="16"/>
    <n v="0.49409914533858151"/>
    <n v="14"/>
    <n v="0.58581796426583688"/>
    <n v="18"/>
    <n v="0.61154046250147831"/>
    <n v="34"/>
    <n v="0.46995701928840194"/>
    <n v="33"/>
    <n v="0.52388459788150754"/>
    <n v="25"/>
    <n v="0.56114327737351688"/>
    <n v="16"/>
    <n v="0.5640170350472532"/>
    <n v="28"/>
    <n v="0.46389108371308685"/>
    <n v="26"/>
    <n v="0.47267427995371231"/>
    <n v="69"/>
    <n v="0.45157415458543304"/>
    <n v="44"/>
    <n v="0.35649123692393736"/>
    <n v="27"/>
    <n v="0.45074997164794378"/>
    <n v="34"/>
    <n v="0.40435427372970595"/>
    <n v="1"/>
    <n v="0.41296386113945138"/>
    <n v="6.6666666666666666E-2"/>
    <n v="1"/>
    <n v="0.5704680585073133"/>
    <n v="2.8571428571428571E-2"/>
    <n v="0"/>
    <s v=""/>
    <n v="0"/>
    <n v="11"/>
    <n v="0.49975670017816609"/>
    <n v="0.31428571428571428"/>
    <n v="13"/>
    <n v="0.41187554349859296"/>
    <n v="0.37142857142857144"/>
    <n v="6"/>
    <n v="0.42042450009319027"/>
    <n v="0.23076923076923078"/>
    <m/>
    <m/>
    <m/>
    <m/>
    <m/>
    <m/>
    <m/>
    <m/>
    <m/>
    <n v="15"/>
    <n v="98"/>
    <n v="18"/>
    <n v="0"/>
    <n v="199"/>
    <n v="0"/>
    <n v="2615807.5"/>
    <n v="3007399.4999999995"/>
    <n v="509022"/>
    <n v="0"/>
    <n v="174"/>
    <n v="4920546"/>
    <n v="1016750.2295035664"/>
    <n v="15"/>
    <n v="68"/>
    <n v="40.5"/>
    <n v="0"/>
    <n v="0"/>
    <n v="0"/>
    <n v="2135064.5"/>
    <n v="2086766.9999999998"/>
    <n v="1145299.5"/>
    <n v="0"/>
    <n v="174"/>
    <n v="4920546"/>
    <n v="2287688.0163830244"/>
    <n v="30"/>
    <n v="29"/>
    <n v="34"/>
    <n v="0"/>
    <n v="0"/>
    <n v="2063836.2499999998"/>
    <n v="820091"/>
    <n v="961486"/>
    <n v="0"/>
    <n v="174"/>
    <n v="4920546"/>
    <n v="2285428.5714285718"/>
    <n v="15"/>
    <n v="1"/>
    <n v="1"/>
    <n v="0"/>
    <n v="0"/>
    <n v="30687.749999999996"/>
    <n v="28279"/>
    <x v="0"/>
    <x v="0"/>
    <n v="174"/>
    <n v="4920546"/>
    <n v="67218.487394957992"/>
    <n v="35"/>
    <n v="175"/>
    <n v="35"/>
    <m/>
    <n v="0"/>
    <n v="0"/>
    <n v="4948825"/>
    <n v="1074071.2499999998"/>
    <x v="0"/>
    <n v="0"/>
    <n v="174"/>
    <n v="4920546"/>
    <n v="2352647.0588235296"/>
    <n v="50"/>
    <n v="174"/>
    <n v="0"/>
    <m/>
    <n v="0"/>
    <n v="0"/>
    <n v="4920546"/>
    <n v="0"/>
    <n v="0"/>
    <n v="0"/>
    <n v="174"/>
    <n v="4920546"/>
    <n v="0"/>
    <n v="35"/>
    <n v="185"/>
    <n v="11"/>
    <n v="100"/>
    <n v="100"/>
    <n v="0"/>
    <n v="5231615"/>
    <n v="337565.24999999994"/>
    <n v="2966482.4999999995"/>
    <n v="0"/>
    <n v="185"/>
    <n v="4920546"/>
    <n v="739403.36134453793"/>
    <n v="35"/>
    <n v="187"/>
    <n v="13"/>
    <n v="100"/>
    <n v="100"/>
    <n v="0"/>
    <n v="5288173"/>
    <n v="398940.74999999994"/>
    <n v="3068774.9999999995"/>
    <n v="0"/>
    <n v="187"/>
    <n v="5288173"/>
    <n v="873840.33613445389"/>
    <n v="26"/>
    <n v="180"/>
    <n v="3"/>
    <n v="0"/>
    <n v="0"/>
    <n v="0"/>
    <n v="5523794.9999999991"/>
    <n v="92063.249999999985"/>
    <n v="0"/>
    <n v="0"/>
    <n v="174"/>
    <n v="4920546"/>
    <n v="201655.46218487399"/>
    <n v="50"/>
    <n v="177"/>
    <n v="50"/>
    <n v="0"/>
    <n v="0"/>
    <n v="0"/>
    <m/>
    <n v="5431731.7499999991"/>
    <n v="1534387.4999999998"/>
    <n v="0"/>
    <n v="0"/>
    <n v="177"/>
    <n v="5431731.7499999991"/>
    <n v="3360924.3697478995"/>
    <n v="40"/>
    <n v="127"/>
    <n v="40"/>
    <m/>
    <n v="0"/>
    <n v="0"/>
    <n v="3897344.2499999995"/>
    <n v="1227509.9999999998"/>
    <n v="0"/>
    <n v="0"/>
    <n v="127"/>
    <n v="3897344.2499999995"/>
    <n v="2688739.4957983196"/>
    <n v="15"/>
    <n v="87"/>
    <n v="15"/>
    <n v="0"/>
    <n v="0"/>
    <n v="2669834.2499999995"/>
    <n v="460316.24999999994"/>
    <n v="0"/>
    <n v="0"/>
    <n v="87"/>
    <n v="2669834.2499999995"/>
    <n v="1008277.3109243698"/>
    <n v="24"/>
    <n v="72"/>
    <n v="24"/>
    <n v="0"/>
    <m/>
    <n v="2209517.9999999995"/>
    <n v="678696"/>
    <n v="0"/>
    <n v="72"/>
    <n v="2209517.9999999995"/>
    <n v="1613243.6974789919"/>
  </r>
  <r>
    <s v="Lhotse-Vestuario"/>
    <x v="4"/>
    <x v="21"/>
    <x v="49"/>
    <s v="LTS26-WLG03"/>
    <x v="345"/>
    <x v="330"/>
    <x v="0"/>
    <x v="5"/>
    <n v="1"/>
    <x v="222"/>
    <n v="10"/>
    <m/>
    <n v="0"/>
    <n v="9466"/>
    <n v="94660"/>
    <n v="8.6"/>
    <n v="9395.5"/>
    <n v="16798.319327731093"/>
    <n v="15117.64705882353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28884102975057596"/>
    <n v="0"/>
    <s v=""/>
    <n v="0"/>
    <s v=""/>
    <n v="1"/>
    <n v="0.25849913767151833"/>
    <n v="0"/>
    <s v=""/>
    <n v="0"/>
    <n v="2"/>
    <n v="0.29561173123221712"/>
    <n v="0.66666666666666663"/>
    <n v="4"/>
    <n v="8.1595564705162965E-2"/>
    <n v="0.66666666666666663"/>
    <n v="2"/>
    <n v="0.14121411962032554"/>
    <n v="0.2857142857142857"/>
    <n v="1"/>
    <n v="-0.12789187029164378"/>
    <n v="0.14285714285714285"/>
    <n v="0"/>
    <s v=""/>
    <n v="0"/>
    <m/>
    <m/>
    <m/>
    <m/>
    <m/>
    <m/>
    <m/>
    <m/>
    <m/>
    <n v="5"/>
    <n v="13"/>
    <n v="5"/>
    <n v="0"/>
    <n v="0"/>
    <n v="0"/>
    <n v="56796"/>
    <n v="115713"/>
    <n v="47330"/>
    <n v="0"/>
    <n v="10"/>
    <n v="94660"/>
    <n v="70581.173645928968"/>
    <n v="3"/>
    <n v="23"/>
    <n v="0"/>
    <n v="0"/>
    <n v="0"/>
    <n v="0"/>
    <n v="9466"/>
    <n v="204723"/>
    <n v="0"/>
    <n v="0"/>
    <n v="10"/>
    <n v="94660"/>
    <n v="0"/>
    <n v="3"/>
    <n v="24"/>
    <n v="1"/>
    <n v="0"/>
    <n v="0"/>
    <n v="36169"/>
    <n v="227184"/>
    <n v="9466"/>
    <n v="0"/>
    <n v="10"/>
    <n v="94660"/>
    <n v="16798.319327731093"/>
    <n v="3"/>
    <n v="23"/>
    <n v="0"/>
    <n v="0"/>
    <n v="0"/>
    <n v="204723"/>
    <n v="0"/>
    <x v="0"/>
    <x v="0"/>
    <n v="10"/>
    <n v="94660"/>
    <n v="0"/>
    <n v="3"/>
    <n v="12"/>
    <n v="3"/>
    <m/>
    <n v="0"/>
    <n v="0"/>
    <n v="113592"/>
    <n v="26703"/>
    <x v="0"/>
    <n v="0"/>
    <n v="10"/>
    <n v="94660"/>
    <n v="50394.957983193279"/>
    <n v="6"/>
    <n v="14"/>
    <n v="4"/>
    <m/>
    <n v="0"/>
    <n v="0"/>
    <n v="132524"/>
    <n v="35604"/>
    <n v="0"/>
    <n v="0"/>
    <n v="14"/>
    <n v="94660"/>
    <n v="67193.277310924372"/>
    <n v="7"/>
    <n v="12"/>
    <n v="2"/>
    <n v="0"/>
    <n v="0"/>
    <n v="0"/>
    <n v="113592"/>
    <n v="17802"/>
    <n v="0"/>
    <n v="0"/>
    <n v="12"/>
    <n v="94660"/>
    <n v="33596.638655462186"/>
    <n v="7"/>
    <n v="11"/>
    <n v="1"/>
    <n v="0"/>
    <n v="0"/>
    <n v="0"/>
    <n v="104126"/>
    <n v="8901"/>
    <n v="0"/>
    <n v="0"/>
    <n v="11"/>
    <n v="104126"/>
    <n v="16798.319327731093"/>
    <n v="7"/>
    <n v="10"/>
    <n v="0"/>
    <n v="0"/>
    <n v="0"/>
    <n v="0"/>
    <n v="89010"/>
    <n v="0"/>
    <n v="0"/>
    <n v="0"/>
    <n v="10"/>
    <n v="94660"/>
    <n v="0"/>
    <n v="0"/>
    <n v="10"/>
    <n v="0"/>
    <n v="0"/>
    <n v="0"/>
    <n v="0"/>
    <m/>
    <n v="89010"/>
    <n v="0"/>
    <n v="0"/>
    <n v="0"/>
    <n v="10"/>
    <n v="89010"/>
    <n v="0"/>
    <n v="0"/>
    <n v="10"/>
    <n v="0"/>
    <m/>
    <n v="0"/>
    <n v="0"/>
    <n v="89010"/>
    <n v="0"/>
    <n v="0"/>
    <n v="0"/>
    <n v="10"/>
    <n v="89010"/>
    <n v="0"/>
    <n v="0"/>
    <n v="10"/>
    <n v="0"/>
    <n v="0"/>
    <n v="0"/>
    <n v="89010"/>
    <n v="0"/>
    <n v="0"/>
    <n v="0"/>
    <n v="10"/>
    <n v="89010"/>
    <n v="0"/>
    <n v="0"/>
    <n v="10"/>
    <n v="0"/>
    <n v="0"/>
    <m/>
    <n v="89010"/>
    <n v="0"/>
    <n v="0"/>
    <n v="10"/>
    <n v="89010"/>
    <n v="0"/>
  </r>
  <r>
    <s v="Lhotse-Vestuario"/>
    <x v="4"/>
    <x v="21"/>
    <x v="49"/>
    <s v="LTS26-WLG03"/>
    <x v="346"/>
    <x v="330"/>
    <x v="0"/>
    <x v="2"/>
    <n v="1"/>
    <x v="223"/>
    <n v="23"/>
    <m/>
    <n v="0"/>
    <n v="9466"/>
    <n v="217718"/>
    <n v="8.6"/>
    <n v="9395.5"/>
    <n v="16798.319327731093"/>
    <n v="15117.64705882353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1"/>
    <n v="-1.9051854487236502E-3"/>
    <n v="0.125"/>
    <n v="0"/>
    <s v=""/>
    <n v="0"/>
    <n v="0"/>
    <s v=""/>
    <n v="0"/>
    <m/>
    <m/>
    <m/>
    <m/>
    <m/>
    <m/>
    <m/>
    <m/>
    <m/>
    <n v="5"/>
    <n v="24"/>
    <n v="5"/>
    <n v="0"/>
    <n v="0"/>
    <n v="0"/>
    <n v="47330"/>
    <n v="213624"/>
    <n v="47330"/>
    <n v="0"/>
    <n v="23"/>
    <n v="217718"/>
    <n v="70581.173645928968"/>
    <n v="3"/>
    <n v="23"/>
    <n v="0"/>
    <n v="0"/>
    <n v="0"/>
    <n v="0"/>
    <n v="0"/>
    <n v="204723"/>
    <n v="0"/>
    <n v="0"/>
    <n v="23"/>
    <n v="217718"/>
    <n v="0"/>
    <n v="3"/>
    <n v="24"/>
    <n v="0"/>
    <n v="0"/>
    <n v="0"/>
    <n v="26703"/>
    <n v="227184"/>
    <n v="0"/>
    <n v="0"/>
    <n v="23"/>
    <n v="217718"/>
    <n v="0"/>
    <n v="3"/>
    <n v="24"/>
    <n v="0"/>
    <n v="0"/>
    <n v="0"/>
    <n v="213624"/>
    <n v="0"/>
    <x v="0"/>
    <x v="0"/>
    <n v="23"/>
    <n v="217718"/>
    <n v="0"/>
    <n v="3"/>
    <n v="23"/>
    <n v="3"/>
    <m/>
    <n v="0"/>
    <n v="0"/>
    <n v="217718"/>
    <n v="26703"/>
    <x v="0"/>
    <n v="0"/>
    <n v="23"/>
    <n v="217718"/>
    <n v="50394.957983193279"/>
    <n v="6"/>
    <n v="23"/>
    <n v="0"/>
    <m/>
    <n v="0"/>
    <n v="0"/>
    <n v="217718"/>
    <n v="0"/>
    <n v="0"/>
    <n v="0"/>
    <n v="23"/>
    <n v="217718"/>
    <n v="0"/>
    <n v="8"/>
    <n v="24"/>
    <n v="1"/>
    <n v="0"/>
    <n v="0"/>
    <n v="0"/>
    <n v="227184"/>
    <n v="8901"/>
    <n v="0"/>
    <n v="0"/>
    <n v="24"/>
    <n v="217718"/>
    <n v="16798.319327731093"/>
    <n v="8"/>
    <n v="23"/>
    <n v="0"/>
    <n v="0"/>
    <n v="0"/>
    <n v="0"/>
    <n v="217718"/>
    <n v="0"/>
    <n v="0"/>
    <n v="0"/>
    <n v="23"/>
    <n v="217718"/>
    <n v="0"/>
    <n v="8"/>
    <n v="23"/>
    <n v="0"/>
    <n v="0"/>
    <n v="0"/>
    <n v="0"/>
    <n v="204723"/>
    <n v="0"/>
    <n v="0"/>
    <n v="0"/>
    <n v="23"/>
    <n v="217718"/>
    <n v="0"/>
    <n v="0"/>
    <n v="23"/>
    <n v="0"/>
    <n v="0"/>
    <n v="0"/>
    <n v="0"/>
    <m/>
    <n v="204723"/>
    <n v="0"/>
    <n v="0"/>
    <n v="0"/>
    <n v="23"/>
    <n v="204723"/>
    <n v="0"/>
    <n v="0"/>
    <n v="23"/>
    <n v="0"/>
    <m/>
    <n v="0"/>
    <n v="0"/>
    <n v="204723"/>
    <n v="0"/>
    <n v="0"/>
    <n v="0"/>
    <n v="23"/>
    <n v="204723"/>
    <n v="0"/>
    <n v="0"/>
    <n v="23"/>
    <n v="0"/>
    <n v="0"/>
    <n v="0"/>
    <n v="204723"/>
    <n v="0"/>
    <n v="0"/>
    <n v="0"/>
    <n v="23"/>
    <n v="204723"/>
    <n v="0"/>
    <n v="0"/>
    <n v="23"/>
    <n v="0"/>
    <n v="0"/>
    <m/>
    <n v="204723"/>
    <n v="0"/>
    <n v="0"/>
    <n v="23"/>
    <n v="204723"/>
    <n v="0"/>
  </r>
  <r>
    <s v="Lhotse-Vestuario"/>
    <x v="4"/>
    <x v="21"/>
    <x v="49"/>
    <s v="LTS26-WLG03"/>
    <x v="347"/>
    <x v="330"/>
    <x v="0"/>
    <x v="5"/>
    <n v="1"/>
    <x v="224"/>
    <n v="3"/>
    <m/>
    <n v="0"/>
    <n v="9203"/>
    <n v="27609"/>
    <n v="8.6"/>
    <n v="9395.5"/>
    <n v="16798.319327731093"/>
    <n v="15117.64705882353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"/>
    <n v="10"/>
    <n v="0.26139054085506302"/>
    <n v="0"/>
    <s v=""/>
    <n v="0"/>
    <s v=""/>
    <n v="0"/>
    <s v=""/>
    <n v="1"/>
    <n v="0.20001738868169167"/>
    <n v="0.33333333333333331"/>
    <n v="1"/>
    <n v="0.21736868434217108"/>
    <n v="0.33333333333333331"/>
    <n v="4"/>
    <n v="0.25579136935100238"/>
    <n v="0.66666666666666663"/>
    <n v="2"/>
    <n v="0.16503583409576089"/>
    <n v="0.33333333333333331"/>
    <n v="6"/>
    <n v="1.2228708590142699E-3"/>
    <n v="1"/>
    <n v="2"/>
    <n v="-6.2901352045223916E-2"/>
    <n v="0.33333333333333331"/>
    <m/>
    <m/>
    <m/>
    <m/>
    <m/>
    <m/>
    <m/>
    <m/>
    <m/>
    <n v="5"/>
    <n v="19"/>
    <n v="5"/>
    <n v="0"/>
    <n v="0"/>
    <n v="0"/>
    <n v="46015"/>
    <n v="169119"/>
    <n v="46015"/>
    <n v="0"/>
    <n v="3"/>
    <n v="27609"/>
    <n v="70581.173645928968"/>
    <n v="3"/>
    <n v="17"/>
    <n v="0"/>
    <n v="0"/>
    <n v="0"/>
    <n v="0"/>
    <n v="9203"/>
    <n v="151317"/>
    <n v="0"/>
    <n v="0"/>
    <n v="3"/>
    <n v="27609"/>
    <n v="0"/>
    <n v="3"/>
    <n v="19"/>
    <n v="0"/>
    <n v="0"/>
    <n v="0"/>
    <n v="35906"/>
    <n v="174857"/>
    <n v="0"/>
    <n v="0"/>
    <n v="3"/>
    <n v="27609"/>
    <n v="0"/>
    <n v="3"/>
    <n v="19"/>
    <n v="1"/>
    <n v="0"/>
    <n v="0"/>
    <n v="169119"/>
    <n v="9203"/>
    <x v="0"/>
    <x v="0"/>
    <n v="3"/>
    <n v="27609"/>
    <n v="16798.319327731093"/>
    <n v="3"/>
    <n v="4"/>
    <n v="3"/>
    <m/>
    <n v="0"/>
    <n v="0"/>
    <n v="36812"/>
    <n v="26703"/>
    <x v="0"/>
    <n v="0"/>
    <n v="3"/>
    <n v="27609"/>
    <n v="50394.957983193279"/>
    <n v="6"/>
    <n v="7"/>
    <n v="4"/>
    <m/>
    <n v="0"/>
    <n v="0"/>
    <n v="64421"/>
    <n v="35604"/>
    <n v="0"/>
    <n v="0"/>
    <n v="7"/>
    <n v="27609"/>
    <n v="67193.277310924372"/>
    <n v="6"/>
    <n v="5"/>
    <n v="2"/>
    <n v="0"/>
    <n v="0"/>
    <n v="0"/>
    <n v="46015"/>
    <n v="17802"/>
    <n v="0"/>
    <n v="0"/>
    <n v="5"/>
    <n v="27609"/>
    <n v="33596.638655462186"/>
    <n v="6"/>
    <n v="9"/>
    <n v="6"/>
    <n v="0"/>
    <n v="0"/>
    <n v="0"/>
    <n v="82827"/>
    <n v="53406"/>
    <n v="0"/>
    <n v="0"/>
    <n v="9"/>
    <n v="82827"/>
    <n v="100789.91596638656"/>
    <n v="6"/>
    <n v="5"/>
    <n v="1.5"/>
    <n v="0"/>
    <n v="0"/>
    <n v="0"/>
    <n v="44505"/>
    <n v="13351.5"/>
    <n v="0"/>
    <n v="0"/>
    <n v="3"/>
    <n v="27609"/>
    <n v="25197.478991596639"/>
    <n v="0"/>
    <n v="3.5"/>
    <n v="0"/>
    <n v="0"/>
    <n v="0"/>
    <n v="0"/>
    <m/>
    <n v="31153.5"/>
    <n v="0"/>
    <n v="0"/>
    <n v="0"/>
    <n v="3.5"/>
    <n v="31153.5"/>
    <n v="0"/>
    <n v="0"/>
    <n v="3.5"/>
    <n v="0"/>
    <m/>
    <n v="0"/>
    <n v="0"/>
    <n v="31153.5"/>
    <n v="0"/>
    <n v="0"/>
    <n v="0"/>
    <n v="3.5"/>
    <n v="31153.5"/>
    <n v="0"/>
    <n v="0"/>
    <n v="3.5"/>
    <n v="0"/>
    <n v="0"/>
    <n v="0"/>
    <n v="31153.5"/>
    <n v="0"/>
    <n v="0"/>
    <n v="0"/>
    <n v="3.5"/>
    <n v="31153.5"/>
    <n v="0"/>
    <n v="0"/>
    <n v="3.5"/>
    <n v="0"/>
    <n v="0"/>
    <m/>
    <n v="31153.5"/>
    <n v="0"/>
    <n v="0"/>
    <n v="3.5"/>
    <n v="31153.5"/>
    <n v="0"/>
  </r>
  <r>
    <s v="Lhotse-Vestuario"/>
    <x v="4"/>
    <x v="21"/>
    <x v="49"/>
    <s v="LTS26-WLG03"/>
    <x v="348"/>
    <x v="330"/>
    <x v="0"/>
    <x v="5"/>
    <n v="1"/>
    <x v="225"/>
    <n v="24"/>
    <m/>
    <n v="0"/>
    <n v="9203"/>
    <n v="220872"/>
    <n v="8.6"/>
    <n v="9395.5"/>
    <n v="16798.319327731093"/>
    <n v="15117.64705882353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7"/>
    <n v="0.43069866911751709"/>
    <n v="0"/>
    <s v=""/>
    <n v="1"/>
    <n v="0"/>
    <n v="0"/>
    <s v=""/>
    <n v="0"/>
    <s v=""/>
    <n v="0"/>
    <n v="1"/>
    <n v="0.21736868434217108"/>
    <n v="0.33333333333333331"/>
    <n v="1"/>
    <n v="0.21716011436740529"/>
    <n v="0.16666666666666666"/>
    <n v="1"/>
    <n v="0.26943695797198131"/>
    <n v="0.1111111111111111"/>
    <n v="2"/>
    <n v="-0.62489434552991197"/>
    <n v="0.22222222222222221"/>
    <n v="1"/>
    <n v="2.7258172114742866E-3"/>
    <n v="0.1111111111111111"/>
    <m/>
    <m/>
    <m/>
    <m/>
    <m/>
    <m/>
    <m/>
    <m/>
    <m/>
    <n v="5"/>
    <n v="28"/>
    <n v="5"/>
    <n v="0"/>
    <n v="0"/>
    <n v="0"/>
    <n v="59819.5"/>
    <n v="249228"/>
    <n v="46015"/>
    <n v="0"/>
    <n v="24"/>
    <n v="220872"/>
    <n v="70581.173645928968"/>
    <n v="3"/>
    <n v="26"/>
    <n v="1.5"/>
    <n v="0"/>
    <n v="0"/>
    <n v="0"/>
    <n v="13804.5"/>
    <n v="231426"/>
    <n v="13804.5"/>
    <n v="0"/>
    <n v="24"/>
    <n v="220872"/>
    <n v="21174.352093778689"/>
    <n v="3"/>
    <n v="27"/>
    <n v="0"/>
    <n v="0"/>
    <n v="0"/>
    <n v="26703"/>
    <n v="248481"/>
    <n v="0"/>
    <n v="0"/>
    <n v="24"/>
    <n v="220872"/>
    <n v="0"/>
    <n v="3"/>
    <n v="27"/>
    <n v="0"/>
    <n v="0"/>
    <n v="0"/>
    <n v="240327"/>
    <n v="0"/>
    <x v="0"/>
    <x v="0"/>
    <n v="24"/>
    <n v="220872"/>
    <n v="0"/>
    <n v="3"/>
    <n v="25"/>
    <n v="3"/>
    <m/>
    <n v="0"/>
    <n v="0"/>
    <n v="230075"/>
    <n v="26703"/>
    <x v="0"/>
    <n v="0"/>
    <n v="24"/>
    <n v="220872"/>
    <n v="50394.957983193279"/>
    <n v="6"/>
    <n v="25"/>
    <n v="1"/>
    <m/>
    <n v="0"/>
    <n v="0"/>
    <n v="230075"/>
    <n v="8901"/>
    <n v="0"/>
    <n v="0"/>
    <n v="25"/>
    <n v="220872"/>
    <n v="16798.319327731093"/>
    <n v="9"/>
    <n v="25"/>
    <n v="1"/>
    <n v="0"/>
    <n v="0"/>
    <n v="0"/>
    <n v="230075"/>
    <n v="8901"/>
    <n v="0"/>
    <n v="0"/>
    <n v="25"/>
    <n v="220872"/>
    <n v="16798.319327731093"/>
    <n v="9"/>
    <n v="26"/>
    <n v="2"/>
    <n v="0"/>
    <n v="0"/>
    <n v="0"/>
    <n v="239278"/>
    <n v="17802"/>
    <n v="0"/>
    <n v="0"/>
    <n v="26"/>
    <n v="239278"/>
    <n v="33596.638655462186"/>
    <n v="9"/>
    <n v="25"/>
    <n v="1.5"/>
    <n v="0"/>
    <n v="0"/>
    <n v="0"/>
    <n v="222525"/>
    <n v="13351.5"/>
    <n v="0"/>
    <n v="0"/>
    <n v="24"/>
    <n v="220872"/>
    <n v="25197.478991596639"/>
    <n v="0"/>
    <n v="23.5"/>
    <n v="0"/>
    <n v="0"/>
    <n v="0"/>
    <n v="0"/>
    <m/>
    <n v="209173.5"/>
    <n v="0"/>
    <n v="0"/>
    <n v="0"/>
    <n v="23.5"/>
    <n v="209173.5"/>
    <n v="0"/>
    <n v="0"/>
    <n v="23.5"/>
    <n v="0"/>
    <m/>
    <n v="0"/>
    <n v="0"/>
    <n v="209173.5"/>
    <n v="0"/>
    <n v="0"/>
    <n v="0"/>
    <n v="23.5"/>
    <n v="209173.5"/>
    <n v="0"/>
    <n v="0"/>
    <n v="23.5"/>
    <n v="0"/>
    <n v="0"/>
    <n v="0"/>
    <n v="209173.5"/>
    <n v="0"/>
    <n v="0"/>
    <n v="0"/>
    <n v="23.5"/>
    <n v="209173.5"/>
    <n v="0"/>
    <n v="0"/>
    <n v="23.5"/>
    <n v="0"/>
    <n v="0"/>
    <m/>
    <n v="209173.5"/>
    <n v="0"/>
    <n v="0"/>
    <n v="23.5"/>
    <n v="209173.5"/>
    <n v="0"/>
  </r>
  <r>
    <s v="Lhotse-Vestuario"/>
    <x v="4"/>
    <x v="21"/>
    <x v="49"/>
    <s v="LTS26-WLG03"/>
    <x v="349"/>
    <x v="330"/>
    <x v="0"/>
    <x v="5"/>
    <n v="1"/>
    <x v="226"/>
    <n v="8"/>
    <m/>
    <n v="0"/>
    <n v="9203"/>
    <n v="73624"/>
    <n v="8.6"/>
    <n v="9395.5"/>
    <n v="16798.319327731093"/>
    <n v="15117.64705882353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43373123307900568"/>
    <n v="5"/>
    <n v="0.16321149299872703"/>
    <n v="0"/>
    <s v=""/>
    <n v="0"/>
    <s v=""/>
    <n v="3"/>
    <n v="0.14287044856599454"/>
    <n v="0"/>
    <s v=""/>
    <n v="0"/>
    <n v="-2"/>
    <n v="0.20001738868169167"/>
    <n v="-1"/>
    <n v="0"/>
    <s v=""/>
    <n v="0"/>
    <n v="1"/>
    <n v="0.26943695797198131"/>
    <n v="0.25"/>
    <n v="0"/>
    <s v=""/>
    <n v="0"/>
    <n v="0"/>
    <s v=""/>
    <n v="0"/>
    <m/>
    <m/>
    <m/>
    <m/>
    <m/>
    <m/>
    <m/>
    <m/>
    <m/>
    <n v="3"/>
    <n v="12"/>
    <n v="3"/>
    <n v="0"/>
    <n v="0"/>
    <n v="0"/>
    <n v="55218"/>
    <n v="106812"/>
    <n v="27609"/>
    <n v="0"/>
    <n v="8"/>
    <n v="73624"/>
    <n v="42348.704187557378"/>
    <n v="2"/>
    <n v="13"/>
    <n v="0"/>
    <n v="0"/>
    <n v="0"/>
    <n v="0"/>
    <n v="27609"/>
    <n v="115713"/>
    <n v="0"/>
    <n v="0"/>
    <n v="8"/>
    <n v="73624"/>
    <n v="0"/>
    <n v="2"/>
    <n v="15"/>
    <n v="3"/>
    <n v="0"/>
    <n v="0"/>
    <n v="45411"/>
    <n v="138045"/>
    <n v="27609"/>
    <n v="0"/>
    <n v="8"/>
    <n v="73624"/>
    <n v="50394.957983193279"/>
    <n v="2"/>
    <n v="14"/>
    <n v="0"/>
    <n v="0"/>
    <n v="0"/>
    <n v="124614"/>
    <n v="0"/>
    <x v="0"/>
    <x v="0"/>
    <n v="8"/>
    <n v="73624"/>
    <n v="0"/>
    <n v="2"/>
    <n v="6"/>
    <n v="2"/>
    <m/>
    <n v="0"/>
    <n v="0"/>
    <n v="55218"/>
    <n v="17802"/>
    <x v="0"/>
    <n v="0"/>
    <n v="8"/>
    <n v="73624"/>
    <n v="33596.638655462186"/>
    <n v="5"/>
    <n v="8"/>
    <n v="0"/>
    <m/>
    <n v="0"/>
    <n v="0"/>
    <n v="73624"/>
    <n v="0"/>
    <n v="0"/>
    <n v="0"/>
    <n v="8"/>
    <n v="73624"/>
    <n v="0"/>
    <n v="4"/>
    <n v="9"/>
    <n v="1"/>
    <n v="0"/>
    <n v="0"/>
    <n v="0"/>
    <n v="82827"/>
    <n v="8901"/>
    <n v="0"/>
    <n v="0"/>
    <n v="9"/>
    <n v="73624"/>
    <n v="16798.319327731093"/>
    <n v="4"/>
    <n v="8"/>
    <n v="0"/>
    <n v="0"/>
    <n v="0"/>
    <n v="0"/>
    <n v="73624"/>
    <n v="0"/>
    <n v="0"/>
    <n v="0"/>
    <n v="8"/>
    <n v="73624"/>
    <n v="0"/>
    <n v="4"/>
    <n v="8"/>
    <n v="0"/>
    <n v="0"/>
    <n v="0"/>
    <n v="0"/>
    <n v="71208"/>
    <n v="0"/>
    <n v="0"/>
    <n v="0"/>
    <n v="8"/>
    <n v="73624"/>
    <n v="0"/>
    <n v="0"/>
    <n v="8"/>
    <n v="0"/>
    <n v="0"/>
    <n v="0"/>
    <n v="0"/>
    <m/>
    <n v="71208"/>
    <n v="0"/>
    <n v="0"/>
    <n v="0"/>
    <n v="8"/>
    <n v="71208"/>
    <n v="0"/>
    <n v="0"/>
    <n v="8"/>
    <n v="0"/>
    <m/>
    <n v="0"/>
    <n v="0"/>
    <n v="71208"/>
    <n v="0"/>
    <n v="0"/>
    <n v="0"/>
    <n v="8"/>
    <n v="71208"/>
    <n v="0"/>
    <n v="0"/>
    <n v="8"/>
    <n v="0"/>
    <n v="0"/>
    <n v="0"/>
    <n v="71208"/>
    <n v="0"/>
    <n v="0"/>
    <n v="0"/>
    <n v="8"/>
    <n v="71208"/>
    <n v="0"/>
    <n v="0"/>
    <n v="8"/>
    <n v="0"/>
    <n v="0"/>
    <m/>
    <n v="71208"/>
    <n v="0"/>
    <n v="0"/>
    <n v="8"/>
    <n v="71208"/>
    <n v="0"/>
  </r>
  <r>
    <s v="Lhotse-Vestuario"/>
    <x v="4"/>
    <x v="21"/>
    <x v="49"/>
    <s v="LTS26-WLG03"/>
    <x v="350"/>
    <x v="330"/>
    <x v="0"/>
    <x v="5"/>
    <n v="1"/>
    <x v="227"/>
    <n v="16"/>
    <m/>
    <n v="0"/>
    <n v="9203"/>
    <n v="147248"/>
    <n v="8.6"/>
    <n v="9395.5"/>
    <n v="16798.319327731093"/>
    <n v="15117.64705882353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50945240041220996"/>
    <n v="0"/>
    <s v=""/>
    <n v="0"/>
    <s v=""/>
    <n v="0"/>
    <s v=""/>
    <n v="1"/>
    <n v="0"/>
    <n v="0.5"/>
    <n v="0"/>
    <s v=""/>
    <n v="0"/>
    <n v="0"/>
    <s v=""/>
    <n v="0"/>
    <n v="1"/>
    <n v="0.26943695797198131"/>
    <n v="0.14285714285714285"/>
    <n v="0"/>
    <s v=""/>
    <n v="0"/>
    <n v="3"/>
    <n v="1.250249166110739E-2"/>
    <n v="0.42857142857142855"/>
    <m/>
    <m/>
    <m/>
    <m/>
    <m/>
    <m/>
    <m/>
    <m/>
    <m/>
    <n v="3"/>
    <n v="18"/>
    <n v="3"/>
    <n v="0"/>
    <n v="0"/>
    <n v="0"/>
    <n v="27609"/>
    <n v="160218"/>
    <n v="27609"/>
    <n v="0"/>
    <n v="16"/>
    <n v="147248"/>
    <n v="42348.704187557378"/>
    <n v="2"/>
    <n v="19"/>
    <n v="0"/>
    <n v="0"/>
    <n v="0"/>
    <n v="0"/>
    <n v="9203"/>
    <n v="169119"/>
    <n v="0"/>
    <n v="0"/>
    <n v="16"/>
    <n v="147248"/>
    <n v="0"/>
    <n v="2"/>
    <n v="21"/>
    <n v="0"/>
    <n v="0"/>
    <n v="0"/>
    <n v="27005"/>
    <n v="193263"/>
    <n v="0"/>
    <n v="0"/>
    <n v="16"/>
    <n v="147248"/>
    <n v="0"/>
    <n v="2"/>
    <n v="21"/>
    <n v="1"/>
    <n v="0"/>
    <n v="0"/>
    <n v="186921"/>
    <n v="9203"/>
    <x v="0"/>
    <x v="0"/>
    <n v="16"/>
    <n v="147248"/>
    <n v="16798.319327731093"/>
    <n v="2"/>
    <n v="16"/>
    <n v="2"/>
    <m/>
    <n v="0"/>
    <n v="0"/>
    <n v="147248"/>
    <n v="17802"/>
    <x v="0"/>
    <n v="0"/>
    <n v="16"/>
    <n v="147248"/>
    <n v="33596.638655462186"/>
    <n v="5"/>
    <n v="16"/>
    <n v="0"/>
    <m/>
    <n v="0"/>
    <n v="0"/>
    <n v="147248"/>
    <n v="0"/>
    <n v="0"/>
    <n v="0"/>
    <n v="16"/>
    <n v="147248"/>
    <n v="0"/>
    <n v="7"/>
    <n v="17"/>
    <n v="1"/>
    <n v="0"/>
    <n v="0"/>
    <n v="0"/>
    <n v="156451"/>
    <n v="8901"/>
    <n v="0"/>
    <n v="0"/>
    <n v="17"/>
    <n v="147248"/>
    <n v="16798.319327731093"/>
    <n v="7"/>
    <n v="16"/>
    <n v="0"/>
    <n v="0"/>
    <n v="0"/>
    <n v="0"/>
    <n v="147248"/>
    <n v="0"/>
    <n v="0"/>
    <n v="0"/>
    <n v="16"/>
    <n v="147248"/>
    <n v="0"/>
    <n v="7"/>
    <n v="19"/>
    <n v="3"/>
    <n v="0"/>
    <n v="0"/>
    <n v="0"/>
    <n v="169119"/>
    <n v="26703"/>
    <n v="0"/>
    <n v="0"/>
    <n v="16"/>
    <n v="147248"/>
    <n v="50394.957983193279"/>
    <n v="0"/>
    <n v="16"/>
    <n v="0"/>
    <n v="0"/>
    <n v="0"/>
    <n v="0"/>
    <m/>
    <n v="142416"/>
    <n v="0"/>
    <n v="0"/>
    <n v="0"/>
    <n v="16"/>
    <n v="142416"/>
    <n v="0"/>
    <n v="0"/>
    <n v="16"/>
    <n v="0"/>
    <m/>
    <n v="0"/>
    <n v="0"/>
    <n v="142416"/>
    <n v="0"/>
    <n v="0"/>
    <n v="0"/>
    <n v="16"/>
    <n v="142416"/>
    <n v="0"/>
    <n v="0"/>
    <n v="16"/>
    <n v="0"/>
    <n v="0"/>
    <n v="0"/>
    <n v="142416"/>
    <n v="0"/>
    <n v="0"/>
    <n v="0"/>
    <n v="16"/>
    <n v="142416"/>
    <n v="0"/>
    <n v="0"/>
    <n v="16"/>
    <n v="0"/>
    <n v="0"/>
    <m/>
    <n v="142416"/>
    <n v="0"/>
    <n v="0"/>
    <n v="16"/>
    <n v="142416"/>
    <n v="0"/>
  </r>
  <r>
    <s v="Lhotse-Vestuario"/>
    <x v="4"/>
    <x v="21"/>
    <x v="49"/>
    <s v="LTS26-WLG03"/>
    <x v="351"/>
    <x v="330"/>
    <x v="0"/>
    <x v="5"/>
    <n v="1"/>
    <x v="228"/>
    <n v="2"/>
    <m/>
    <n v="0"/>
    <n v="9296"/>
    <n v="18592"/>
    <n v="8.6"/>
    <n v="9395.5"/>
    <n v="16798.319327731093"/>
    <n v="15117.64705882353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10411293606624135"/>
    <n v="1"/>
    <n v="0.55733333333333335"/>
    <n v="2"/>
    <n v="0.30257605558940015"/>
    <n v="0"/>
    <s v=""/>
    <n v="2"/>
    <n v="0.17549950320593666"/>
    <n v="1"/>
    <n v="0"/>
    <s v=""/>
    <n v="0"/>
    <n v="1"/>
    <n v="0"/>
    <n v="0.16666666666666666"/>
    <n v="0"/>
    <s v=""/>
    <n v="0"/>
    <n v="0"/>
    <s v=""/>
    <n v="0"/>
    <n v="1"/>
    <n v="4.6595763842561663E-3"/>
    <n v="0.5"/>
    <m/>
    <m/>
    <m/>
    <m/>
    <m/>
    <m/>
    <m/>
    <m/>
    <m/>
    <n v="2"/>
    <n v="12"/>
    <n v="2"/>
    <n v="0"/>
    <n v="0"/>
    <n v="0"/>
    <n v="46480"/>
    <n v="106812"/>
    <n v="18592"/>
    <n v="0"/>
    <n v="2"/>
    <n v="18592"/>
    <n v="28232.469458371586"/>
    <n v="2"/>
    <n v="7"/>
    <n v="3"/>
    <n v="0"/>
    <n v="0"/>
    <n v="0"/>
    <n v="46480"/>
    <n v="62307"/>
    <n v="27888"/>
    <n v="0"/>
    <n v="2"/>
    <n v="18592"/>
    <n v="42348.704187557378"/>
    <n v="2"/>
    <n v="6"/>
    <n v="0"/>
    <n v="0"/>
    <n v="0"/>
    <n v="36394"/>
    <n v="55776"/>
    <n v="0"/>
    <n v="0"/>
    <n v="2"/>
    <n v="18592"/>
    <n v="0"/>
    <n v="2"/>
    <n v="6"/>
    <n v="2"/>
    <n v="0"/>
    <n v="0"/>
    <n v="53406"/>
    <n v="18592"/>
    <x v="0"/>
    <x v="0"/>
    <n v="2"/>
    <n v="18592"/>
    <n v="33596.638655462186"/>
    <n v="2"/>
    <n v="2"/>
    <n v="2"/>
    <m/>
    <n v="0"/>
    <n v="0"/>
    <n v="18592"/>
    <n v="17802"/>
    <x v="0"/>
    <n v="0"/>
    <n v="2"/>
    <n v="18592"/>
    <n v="33596.638655462186"/>
    <n v="6"/>
    <n v="3"/>
    <n v="1"/>
    <m/>
    <n v="0"/>
    <n v="0"/>
    <n v="27888"/>
    <n v="8901"/>
    <n v="0"/>
    <n v="0"/>
    <n v="3"/>
    <n v="18592"/>
    <n v="16798.319327731093"/>
    <n v="2"/>
    <n v="2"/>
    <n v="0"/>
    <n v="0"/>
    <n v="0"/>
    <n v="0"/>
    <n v="18592"/>
    <n v="0"/>
    <n v="0"/>
    <n v="0"/>
    <n v="2"/>
    <n v="18592"/>
    <n v="0"/>
    <n v="2"/>
    <n v="2"/>
    <n v="0"/>
    <n v="0"/>
    <n v="0"/>
    <n v="0"/>
    <n v="18592"/>
    <n v="0"/>
    <n v="0"/>
    <n v="0"/>
    <n v="2"/>
    <n v="18592"/>
    <n v="0"/>
    <n v="2"/>
    <n v="3"/>
    <n v="0"/>
    <n v="0"/>
    <n v="0"/>
    <n v="0"/>
    <n v="26703"/>
    <n v="0"/>
    <n v="0"/>
    <n v="0"/>
    <n v="2"/>
    <n v="18592"/>
    <n v="0"/>
    <n v="0"/>
    <n v="3"/>
    <n v="0"/>
    <n v="0"/>
    <n v="0"/>
    <n v="0"/>
    <m/>
    <n v="26703"/>
    <n v="0"/>
    <n v="0"/>
    <n v="0"/>
    <n v="3"/>
    <n v="26703"/>
    <n v="0"/>
    <n v="0"/>
    <n v="3"/>
    <n v="0"/>
    <m/>
    <n v="0"/>
    <n v="0"/>
    <n v="26703"/>
    <n v="0"/>
    <n v="0"/>
    <n v="0"/>
    <n v="3"/>
    <n v="26703"/>
    <n v="0"/>
    <n v="0"/>
    <n v="3"/>
    <n v="0"/>
    <n v="0"/>
    <n v="0"/>
    <n v="26703"/>
    <n v="0"/>
    <n v="0"/>
    <n v="0"/>
    <n v="3"/>
    <n v="26703"/>
    <n v="0"/>
    <n v="0"/>
    <n v="3"/>
    <n v="0"/>
    <n v="0"/>
    <m/>
    <n v="26703"/>
    <n v="0"/>
    <n v="0"/>
    <n v="3"/>
    <n v="26703"/>
    <n v="0"/>
  </r>
  <r>
    <s v="Lhotse-Vestuario"/>
    <x v="4"/>
    <x v="21"/>
    <x v="49"/>
    <s v="LTS26-WLG03"/>
    <x v="352"/>
    <x v="330"/>
    <x v="0"/>
    <x v="5"/>
    <n v="1"/>
    <x v="31"/>
    <n v="11"/>
    <m/>
    <n v="0"/>
    <n v="9296"/>
    <n v="102256"/>
    <n v="8.6"/>
    <n v="9395.5"/>
    <n v="16798.319327731093"/>
    <n v="15117.64705882353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38510385138791858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2"/>
    <n v="14"/>
    <n v="2"/>
    <n v="0"/>
    <n v="0"/>
    <n v="0"/>
    <n v="27888"/>
    <n v="124614"/>
    <n v="18592"/>
    <n v="0"/>
    <n v="11"/>
    <n v="102256"/>
    <n v="28232.469458371586"/>
    <n v="2"/>
    <n v="12"/>
    <n v="0"/>
    <n v="0"/>
    <n v="0"/>
    <n v="0"/>
    <n v="9296"/>
    <n v="106812"/>
    <n v="0"/>
    <n v="0"/>
    <n v="11"/>
    <n v="102256"/>
    <n v="0"/>
    <n v="2"/>
    <n v="12"/>
    <n v="1"/>
    <n v="0"/>
    <n v="0"/>
    <n v="27098"/>
    <n v="111552"/>
    <n v="9296"/>
    <n v="0"/>
    <n v="11"/>
    <n v="102256"/>
    <n v="16798.319327731093"/>
    <n v="2"/>
    <n v="11"/>
    <n v="0"/>
    <n v="0"/>
    <n v="0"/>
    <n v="97911"/>
    <n v="0"/>
    <x v="0"/>
    <x v="0"/>
    <n v="11"/>
    <n v="102256"/>
    <n v="0"/>
    <n v="2"/>
    <n v="11"/>
    <n v="2"/>
    <m/>
    <n v="0"/>
    <n v="0"/>
    <n v="102256"/>
    <n v="17802"/>
    <x v="0"/>
    <n v="0"/>
    <n v="11"/>
    <n v="102256"/>
    <n v="33596.638655462186"/>
    <n v="6"/>
    <n v="11"/>
    <n v="0"/>
    <m/>
    <n v="0"/>
    <n v="0"/>
    <n v="102256"/>
    <n v="0"/>
    <n v="0"/>
    <n v="0"/>
    <n v="11"/>
    <n v="102256"/>
    <n v="0"/>
    <n v="4"/>
    <n v="11"/>
    <n v="0"/>
    <n v="0"/>
    <n v="0"/>
    <n v="0"/>
    <n v="102256"/>
    <n v="0"/>
    <n v="0"/>
    <n v="0"/>
    <n v="11"/>
    <n v="102256"/>
    <n v="0"/>
    <n v="4"/>
    <n v="11"/>
    <n v="0"/>
    <n v="0"/>
    <n v="0"/>
    <n v="0"/>
    <n v="102256"/>
    <n v="0"/>
    <n v="0"/>
    <n v="0"/>
    <n v="11"/>
    <n v="102256"/>
    <n v="0"/>
    <n v="4"/>
    <n v="11"/>
    <n v="0"/>
    <n v="0"/>
    <n v="0"/>
    <n v="0"/>
    <n v="97911"/>
    <n v="0"/>
    <n v="0"/>
    <n v="0"/>
    <n v="11"/>
    <n v="102256"/>
    <n v="0"/>
    <n v="0"/>
    <n v="11"/>
    <n v="0"/>
    <n v="0"/>
    <n v="0"/>
    <n v="0"/>
    <m/>
    <n v="97911"/>
    <n v="0"/>
    <n v="0"/>
    <n v="0"/>
    <n v="11"/>
    <n v="97911"/>
    <n v="0"/>
    <n v="0"/>
    <n v="11"/>
    <n v="0"/>
    <m/>
    <n v="0"/>
    <n v="0"/>
    <n v="97911"/>
    <n v="0"/>
    <n v="0"/>
    <n v="0"/>
    <n v="11"/>
    <n v="97911"/>
    <n v="0"/>
    <n v="0"/>
    <n v="11"/>
    <n v="0"/>
    <n v="0"/>
    <n v="0"/>
    <n v="97911"/>
    <n v="0"/>
    <n v="0"/>
    <n v="0"/>
    <n v="11"/>
    <n v="97911"/>
    <n v="0"/>
    <n v="0"/>
    <n v="11"/>
    <n v="0"/>
    <n v="0"/>
    <m/>
    <n v="97911"/>
    <n v="0"/>
    <n v="0"/>
    <n v="11"/>
    <n v="97911"/>
    <n v="0"/>
  </r>
  <r>
    <s v="Lhotse-Vestuario"/>
    <x v="4"/>
    <x v="21"/>
    <x v="49"/>
    <s v="LTS26-WSB01"/>
    <x v="353"/>
    <x v="331"/>
    <x v="0"/>
    <x v="5"/>
    <n v="1"/>
    <x v="229"/>
    <n v="10"/>
    <m/>
    <n v="0"/>
    <n v="6646"/>
    <n v="66460"/>
    <n v="5.9"/>
    <n v="6445.7499999999991"/>
    <n v="12596.638655462186"/>
    <n v="10915.966386554623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2"/>
    <n v="0.36128371551665939"/>
    <n v="0"/>
    <s v=""/>
    <n v="0"/>
    <s v=""/>
    <n v="2"/>
    <n v="0.22760072567603734"/>
    <n v="0.66666666666666663"/>
    <n v="1"/>
    <n v="0.41386702245941737"/>
    <n v="0.33333333333333331"/>
    <n v="1"/>
    <n v="-5.753453453453454E-2"/>
    <n v="0.16666666666666666"/>
    <n v="1"/>
    <n v="0.20845845845845848"/>
    <n v="0.16666666666666666"/>
    <n v="4"/>
    <n v="-7.5994894818340371E-3"/>
    <n v="0.66666666666666663"/>
    <n v="2"/>
    <n v="-0.22881445765793182"/>
    <n v="0.33333333333333331"/>
    <m/>
    <m/>
    <m/>
    <m/>
    <m/>
    <m/>
    <m/>
    <m/>
    <m/>
    <n v="5"/>
    <n v="24"/>
    <n v="5"/>
    <n v="0"/>
    <n v="0"/>
    <n v="0"/>
    <n v="33230"/>
    <n v="146555.99999999997"/>
    <n v="33230"/>
    <n v="0"/>
    <n v="10"/>
    <n v="66460"/>
    <n v="52927.053174210872"/>
    <n v="3"/>
    <n v="21"/>
    <n v="0"/>
    <n v="0"/>
    <n v="0"/>
    <n v="0"/>
    <n v="13292"/>
    <n v="128236.49999999999"/>
    <n v="0"/>
    <n v="0"/>
    <n v="10"/>
    <n v="66460"/>
    <n v="0"/>
    <n v="3"/>
    <n v="22"/>
    <n v="0"/>
    <n v="0"/>
    <n v="0"/>
    <n v="31611.499999999996"/>
    <n v="146212"/>
    <n v="0"/>
    <n v="0"/>
    <n v="10"/>
    <n v="66460"/>
    <n v="0"/>
    <n v="3"/>
    <n v="21"/>
    <n v="2"/>
    <n v="0"/>
    <n v="0"/>
    <n v="128236.49999999999"/>
    <n v="13292"/>
    <x v="0"/>
    <x v="0"/>
    <n v="10"/>
    <n v="66460"/>
    <n v="25193.277310924372"/>
    <n v="3"/>
    <n v="11"/>
    <n v="3"/>
    <m/>
    <n v="0"/>
    <n v="0"/>
    <n v="73106"/>
    <n v="18319.499999999996"/>
    <x v="0"/>
    <n v="0"/>
    <n v="10"/>
    <n v="66460"/>
    <n v="37789.915966386558"/>
    <n v="6"/>
    <n v="11"/>
    <n v="1"/>
    <m/>
    <n v="0"/>
    <n v="0"/>
    <n v="73106"/>
    <n v="6106.4999999999991"/>
    <n v="0"/>
    <n v="0"/>
    <n v="11"/>
    <n v="66460"/>
    <n v="12596.638655462186"/>
    <n v="6"/>
    <n v="11"/>
    <n v="1"/>
    <n v="0"/>
    <n v="0"/>
    <n v="0"/>
    <n v="73106"/>
    <n v="6106.4999999999991"/>
    <n v="0"/>
    <n v="0"/>
    <n v="11"/>
    <n v="66460"/>
    <n v="12596.638655462186"/>
    <n v="6"/>
    <n v="14"/>
    <n v="4"/>
    <n v="0"/>
    <n v="0"/>
    <n v="0"/>
    <n v="93044"/>
    <n v="24425.999999999996"/>
    <n v="0"/>
    <n v="0"/>
    <n v="14"/>
    <n v="93044"/>
    <n v="50386.554621848743"/>
    <n v="6"/>
    <n v="12"/>
    <n v="1.5"/>
    <n v="0"/>
    <n v="0"/>
    <n v="0"/>
    <n v="73277.999999999985"/>
    <n v="9159.7499999999982"/>
    <n v="0"/>
    <n v="0"/>
    <n v="10"/>
    <n v="66460"/>
    <n v="18894.957983193279"/>
    <n v="0"/>
    <n v="10.5"/>
    <n v="0"/>
    <n v="0"/>
    <n v="0"/>
    <n v="0"/>
    <m/>
    <n v="64118.249999999993"/>
    <n v="0"/>
    <n v="0"/>
    <n v="0"/>
    <n v="10.5"/>
    <n v="64118.249999999993"/>
    <n v="0"/>
    <n v="0"/>
    <n v="10.5"/>
    <n v="0"/>
    <m/>
    <n v="0"/>
    <n v="0"/>
    <n v="64118.249999999993"/>
    <n v="0"/>
    <n v="0"/>
    <n v="0"/>
    <n v="10.5"/>
    <n v="64118.249999999993"/>
    <n v="0"/>
    <n v="0"/>
    <n v="10.5"/>
    <n v="0"/>
    <n v="0"/>
    <n v="0"/>
    <n v="64118.249999999993"/>
    <n v="0"/>
    <n v="0"/>
    <n v="0"/>
    <n v="10.5"/>
    <n v="64118.249999999993"/>
    <n v="0"/>
    <n v="0"/>
    <n v="10.5"/>
    <n v="0"/>
    <n v="0"/>
    <m/>
    <n v="64118.249999999993"/>
    <n v="0"/>
    <n v="0"/>
    <n v="10.5"/>
    <n v="64118.249999999993"/>
    <n v="0"/>
  </r>
  <r>
    <s v="Lhotse-Vestuario"/>
    <x v="4"/>
    <x v="21"/>
    <x v="49"/>
    <s v="LTS26-WSB01"/>
    <x v="354"/>
    <x v="331"/>
    <x v="0"/>
    <x v="5"/>
    <n v="1"/>
    <x v="31"/>
    <n v="27"/>
    <m/>
    <n v="0"/>
    <n v="6487"/>
    <n v="175149"/>
    <n v="5.9"/>
    <n v="6445.7499999999991"/>
    <n v="12596.638655462186"/>
    <n v="10915.966386554623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54563283602997825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5"/>
    <n v="24"/>
    <n v="5"/>
    <n v="0"/>
    <n v="0"/>
    <n v="0"/>
    <n v="32435"/>
    <n v="146555.99999999997"/>
    <n v="32435"/>
    <n v="0"/>
    <n v="27"/>
    <n v="175149"/>
    <n v="52927.053174210872"/>
    <n v="3"/>
    <n v="25"/>
    <n v="0"/>
    <n v="0"/>
    <n v="0"/>
    <n v="0"/>
    <n v="0"/>
    <n v="152662.49999999997"/>
    <n v="0"/>
    <n v="0"/>
    <n v="27"/>
    <n v="175149"/>
    <n v="0"/>
    <n v="3"/>
    <n v="26"/>
    <n v="0"/>
    <n v="0"/>
    <n v="0"/>
    <n v="18319.499999999996"/>
    <n v="168662"/>
    <n v="0"/>
    <n v="0"/>
    <n v="27"/>
    <n v="175149"/>
    <n v="0"/>
    <n v="3"/>
    <n v="26"/>
    <n v="0"/>
    <n v="0"/>
    <n v="0"/>
    <n v="158768.99999999997"/>
    <n v="0"/>
    <x v="0"/>
    <x v="0"/>
    <n v="27"/>
    <n v="175149"/>
    <n v="0"/>
    <n v="3"/>
    <n v="27"/>
    <n v="3"/>
    <m/>
    <n v="0"/>
    <n v="0"/>
    <n v="175149"/>
    <n v="18319.499999999996"/>
    <x v="0"/>
    <n v="0"/>
    <n v="27"/>
    <n v="175149"/>
    <n v="37789.915966386558"/>
    <n v="6"/>
    <n v="27"/>
    <n v="0"/>
    <m/>
    <n v="0"/>
    <n v="0"/>
    <n v="175149"/>
    <n v="0"/>
    <n v="0"/>
    <n v="0"/>
    <n v="27"/>
    <n v="175149"/>
    <n v="0"/>
    <n v="9"/>
    <n v="27"/>
    <n v="0"/>
    <n v="0"/>
    <n v="0"/>
    <n v="0"/>
    <n v="175149"/>
    <n v="0"/>
    <n v="0"/>
    <n v="0"/>
    <n v="27"/>
    <n v="175149"/>
    <n v="0"/>
    <n v="9"/>
    <n v="27"/>
    <n v="0"/>
    <n v="0"/>
    <n v="0"/>
    <n v="0"/>
    <n v="175149"/>
    <n v="0"/>
    <n v="0"/>
    <n v="0"/>
    <n v="27"/>
    <n v="175149"/>
    <n v="0"/>
    <n v="9"/>
    <n v="27"/>
    <n v="0"/>
    <n v="0"/>
    <n v="0"/>
    <n v="0"/>
    <n v="164875.49999999997"/>
    <n v="0"/>
    <n v="0"/>
    <n v="0"/>
    <n v="27"/>
    <n v="175149"/>
    <n v="0"/>
    <n v="0"/>
    <n v="27"/>
    <n v="0"/>
    <n v="0"/>
    <n v="0"/>
    <n v="0"/>
    <m/>
    <n v="164875.49999999997"/>
    <n v="0"/>
    <n v="0"/>
    <n v="0"/>
    <n v="27"/>
    <n v="164875.49999999997"/>
    <n v="0"/>
    <n v="0"/>
    <n v="27"/>
    <n v="0"/>
    <m/>
    <n v="0"/>
    <n v="0"/>
    <n v="164875.49999999997"/>
    <n v="0"/>
    <n v="0"/>
    <n v="0"/>
    <n v="27"/>
    <n v="164875.49999999997"/>
    <n v="0"/>
    <n v="0"/>
    <n v="27"/>
    <n v="0"/>
    <n v="0"/>
    <n v="0"/>
    <n v="164875.49999999997"/>
    <n v="0"/>
    <n v="0"/>
    <n v="0"/>
    <n v="27"/>
    <n v="164875.49999999997"/>
    <n v="0"/>
    <n v="0"/>
    <n v="27"/>
    <n v="0"/>
    <n v="0"/>
    <m/>
    <n v="164875.49999999997"/>
    <n v="0"/>
    <n v="0"/>
    <n v="27"/>
    <n v="164875.49999999997"/>
    <n v="0"/>
  </r>
  <r>
    <s v="Lhotse-Vestuario"/>
    <x v="4"/>
    <x v="21"/>
    <x v="49"/>
    <s v="LTS26-WSB01"/>
    <x v="355"/>
    <x v="331"/>
    <x v="0"/>
    <x v="5"/>
    <n v="1"/>
    <x v="230"/>
    <n v="16"/>
    <m/>
    <n v="0"/>
    <n v="6314"/>
    <n v="101024"/>
    <n v="5.9"/>
    <n v="6445.7499999999991"/>
    <n v="12596.638655462186"/>
    <n v="10915.966386554623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7.6945567954778027E-2"/>
    <n v="4"/>
    <n v="0.2514966510580286"/>
    <n v="1"/>
    <n v="0"/>
    <n v="0"/>
    <s v=""/>
    <n v="1"/>
    <n v="0.2000506794797389"/>
    <n v="0"/>
    <s v=""/>
    <n v="0"/>
    <n v="1"/>
    <n v="0.28397598398932622"/>
    <n v="0.33333333333333331"/>
    <n v="2"/>
    <n v="0.11590290290290291"/>
    <n v="0.33333333333333331"/>
    <n v="-1"/>
    <n v="0.2478868868868869"/>
    <n v="-0.1111111111111111"/>
    <n v="5"/>
    <n v="-3.4024028565438937E-2"/>
    <n v="0.55555555555555558"/>
    <n v="4"/>
    <n v="-6.398441629246189E-2"/>
    <n v="0.44444444444444442"/>
    <m/>
    <m/>
    <m/>
    <m/>
    <m/>
    <m/>
    <m/>
    <m/>
    <m/>
    <n v="5"/>
    <n v="28"/>
    <n v="5"/>
    <n v="0"/>
    <n v="0"/>
    <n v="0"/>
    <n v="37884"/>
    <n v="170981.99999999997"/>
    <n v="31570"/>
    <n v="0"/>
    <n v="16"/>
    <n v="101024"/>
    <n v="52927.053174210872"/>
    <n v="3"/>
    <n v="26"/>
    <n v="0"/>
    <n v="0"/>
    <n v="0"/>
    <n v="0"/>
    <n v="6314"/>
    <n v="158768.99999999997"/>
    <n v="0"/>
    <n v="0"/>
    <n v="16"/>
    <n v="101024"/>
    <n v="0"/>
    <n v="3"/>
    <n v="28"/>
    <n v="1"/>
    <n v="0"/>
    <n v="0"/>
    <n v="24633.499999999996"/>
    <n v="176792"/>
    <n v="6314"/>
    <n v="0"/>
    <n v="16"/>
    <n v="101024"/>
    <n v="12596.638655462186"/>
    <n v="3"/>
    <n v="28"/>
    <n v="0"/>
    <n v="0"/>
    <n v="0"/>
    <n v="170981.99999999997"/>
    <n v="0"/>
    <x v="0"/>
    <x v="0"/>
    <n v="16"/>
    <n v="101024"/>
    <n v="0"/>
    <n v="3"/>
    <n v="17"/>
    <n v="3"/>
    <m/>
    <n v="0"/>
    <n v="0"/>
    <n v="107338"/>
    <n v="18319.499999999996"/>
    <x v="0"/>
    <n v="0"/>
    <n v="16"/>
    <n v="101024"/>
    <n v="37789.915966386558"/>
    <n v="6"/>
    <n v="18"/>
    <n v="2"/>
    <m/>
    <n v="0"/>
    <n v="0"/>
    <n v="113652"/>
    <n v="12212.999999999998"/>
    <n v="0"/>
    <n v="0"/>
    <n v="18"/>
    <n v="101024"/>
    <n v="25193.277310924372"/>
    <n v="9"/>
    <n v="15"/>
    <n v="-1"/>
    <n v="0"/>
    <n v="0"/>
    <n v="0"/>
    <n v="94710"/>
    <n v="-6106.4999999999991"/>
    <n v="0"/>
    <n v="0"/>
    <n v="15"/>
    <n v="101024"/>
    <n v="-12596.638655462186"/>
    <n v="9"/>
    <n v="21"/>
    <n v="5"/>
    <n v="0"/>
    <n v="0"/>
    <n v="0"/>
    <n v="132594"/>
    <n v="30532.499999999996"/>
    <n v="0"/>
    <n v="0"/>
    <n v="21"/>
    <n v="132594"/>
    <n v="62983.193277310929"/>
    <n v="9"/>
    <n v="20"/>
    <n v="7.5"/>
    <n v="0"/>
    <n v="0"/>
    <n v="0"/>
    <n v="122129.99999999999"/>
    <n v="45798.749999999993"/>
    <n v="0"/>
    <n v="0"/>
    <n v="16"/>
    <n v="101024"/>
    <n v="94474.789915966394"/>
    <n v="0"/>
    <n v="12.5"/>
    <n v="0"/>
    <n v="0"/>
    <n v="0"/>
    <n v="0"/>
    <m/>
    <n v="76331.249999999985"/>
    <n v="0"/>
    <n v="0"/>
    <n v="0"/>
    <n v="12.5"/>
    <n v="76331.249999999985"/>
    <n v="0"/>
    <n v="0"/>
    <n v="12.5"/>
    <n v="0"/>
    <m/>
    <n v="0"/>
    <n v="0"/>
    <n v="76331.249999999985"/>
    <n v="0"/>
    <n v="0"/>
    <n v="0"/>
    <n v="12.5"/>
    <n v="76331.249999999985"/>
    <n v="0"/>
    <n v="0"/>
    <n v="12.5"/>
    <n v="0"/>
    <n v="0"/>
    <n v="0"/>
    <n v="76331.249999999985"/>
    <n v="0"/>
    <n v="0"/>
    <n v="0"/>
    <n v="12.5"/>
    <n v="76331.249999999985"/>
    <n v="0"/>
    <n v="0"/>
    <n v="12.5"/>
    <n v="0"/>
    <n v="0"/>
    <m/>
    <n v="76331.249999999985"/>
    <n v="0"/>
    <n v="0"/>
    <n v="12.5"/>
    <n v="76331.249999999985"/>
    <n v="0"/>
  </r>
  <r>
    <s v="Lhotse-Vestuario"/>
    <x v="4"/>
    <x v="21"/>
    <x v="49"/>
    <s v="LTS26-WSB01"/>
    <x v="356"/>
    <x v="331"/>
    <x v="0"/>
    <x v="5"/>
    <n v="1"/>
    <x v="231"/>
    <n v="24"/>
    <m/>
    <n v="0"/>
    <n v="6314"/>
    <n v="151536"/>
    <n v="5.9"/>
    <n v="6445.7499999999991"/>
    <n v="12596.638655462186"/>
    <n v="10915.966386554623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"/>
    <n v="4"/>
    <n v="0.33522846915140031"/>
    <n v="0"/>
    <s v=""/>
    <n v="0"/>
    <s v=""/>
    <n v="0"/>
    <s v=""/>
    <n v="0"/>
    <s v=""/>
    <n v="0"/>
    <n v="0"/>
    <s v=""/>
    <n v="0"/>
    <n v="1"/>
    <n v="0.35727482678983835"/>
    <n v="0.16666666666666666"/>
    <n v="0"/>
    <s v=""/>
    <n v="0"/>
    <n v="2"/>
    <n v="-3.2678644712162822E-2"/>
    <n v="0.2"/>
    <n v="3"/>
    <n v="-0.31187069443344678"/>
    <n v="0.3"/>
    <m/>
    <m/>
    <m/>
    <m/>
    <m/>
    <m/>
    <m/>
    <m/>
    <m/>
    <n v="5"/>
    <n v="29"/>
    <n v="5"/>
    <n v="0"/>
    <n v="0"/>
    <n v="0"/>
    <n v="31570"/>
    <n v="177088.49999999997"/>
    <n v="31570"/>
    <n v="0"/>
    <n v="24"/>
    <n v="151536"/>
    <n v="52927.053174210872"/>
    <n v="3"/>
    <n v="30"/>
    <n v="0"/>
    <n v="0"/>
    <n v="0"/>
    <n v="0"/>
    <n v="0"/>
    <n v="183194.99999999997"/>
    <n v="0"/>
    <n v="0"/>
    <n v="24"/>
    <n v="151536"/>
    <n v="0"/>
    <n v="3"/>
    <n v="31"/>
    <n v="0"/>
    <n v="0"/>
    <n v="0"/>
    <n v="18319.499999999996"/>
    <n v="195734"/>
    <n v="0"/>
    <n v="0"/>
    <n v="24"/>
    <n v="151536"/>
    <n v="0"/>
    <n v="3"/>
    <n v="31"/>
    <n v="0"/>
    <n v="0"/>
    <n v="0"/>
    <n v="189301.49999999997"/>
    <n v="0"/>
    <x v="0"/>
    <x v="0"/>
    <n v="24"/>
    <n v="151536"/>
    <n v="0"/>
    <n v="3"/>
    <n v="24"/>
    <n v="3"/>
    <m/>
    <n v="0"/>
    <n v="0"/>
    <n v="151536"/>
    <n v="18319.499999999996"/>
    <x v="0"/>
    <n v="0"/>
    <n v="24"/>
    <n v="151536"/>
    <n v="37789.915966386558"/>
    <n v="6"/>
    <n v="25"/>
    <n v="1"/>
    <m/>
    <n v="0"/>
    <n v="0"/>
    <n v="157850"/>
    <n v="6106.4999999999991"/>
    <n v="0"/>
    <n v="0"/>
    <n v="25"/>
    <n v="151536"/>
    <n v="12596.638655462186"/>
    <n v="10"/>
    <n v="24"/>
    <n v="0"/>
    <n v="0"/>
    <n v="0"/>
    <n v="0"/>
    <n v="151536"/>
    <n v="0"/>
    <n v="0"/>
    <n v="0"/>
    <n v="24"/>
    <n v="151536"/>
    <n v="0"/>
    <n v="10"/>
    <n v="26"/>
    <n v="2"/>
    <n v="0"/>
    <n v="0"/>
    <n v="0"/>
    <n v="164164"/>
    <n v="12212.999999999998"/>
    <n v="0"/>
    <n v="0"/>
    <n v="26"/>
    <n v="164164"/>
    <n v="25193.277310924372"/>
    <n v="10"/>
    <n v="27"/>
    <n v="4.5"/>
    <n v="0"/>
    <n v="0"/>
    <n v="0"/>
    <n v="164875.49999999997"/>
    <n v="27479.249999999996"/>
    <n v="0"/>
    <n v="0"/>
    <n v="24"/>
    <n v="151536"/>
    <n v="56684.873949579836"/>
    <n v="0"/>
    <n v="22.5"/>
    <n v="0"/>
    <n v="0"/>
    <n v="0"/>
    <n v="0"/>
    <m/>
    <n v="137396.24999999997"/>
    <n v="0"/>
    <n v="0"/>
    <n v="0"/>
    <n v="22.5"/>
    <n v="137396.24999999997"/>
    <n v="0"/>
    <n v="0"/>
    <n v="22.5"/>
    <n v="0"/>
    <m/>
    <n v="0"/>
    <n v="0"/>
    <n v="137396.24999999997"/>
    <n v="0"/>
    <n v="0"/>
    <n v="0"/>
    <n v="22.5"/>
    <n v="137396.24999999997"/>
    <n v="0"/>
    <n v="0"/>
    <n v="22.5"/>
    <n v="0"/>
    <n v="0"/>
    <n v="0"/>
    <n v="137396.24999999997"/>
    <n v="0"/>
    <n v="0"/>
    <n v="0"/>
    <n v="22.5"/>
    <n v="137396.24999999997"/>
    <n v="0"/>
    <n v="0"/>
    <n v="22.5"/>
    <n v="0"/>
    <n v="0"/>
    <m/>
    <n v="137396.24999999997"/>
    <n v="0"/>
    <n v="0"/>
    <n v="22.5"/>
    <n v="137396.24999999997"/>
    <n v="0"/>
  </r>
  <r>
    <s v="Lhotse-Vestuario"/>
    <x v="4"/>
    <x v="21"/>
    <x v="49"/>
    <s v="LTS26-WSB01"/>
    <x v="357"/>
    <x v="331"/>
    <x v="0"/>
    <x v="5"/>
    <n v="1"/>
    <x v="232"/>
    <n v="7"/>
    <m/>
    <n v="0"/>
    <n v="6314"/>
    <n v="44198"/>
    <n v="5.9"/>
    <n v="6445.7499999999991"/>
    <n v="12596.638655462186"/>
    <n v="10915.966386554623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62412191927610428"/>
    <n v="4"/>
    <n v="0.47023534840793724"/>
    <n v="0"/>
    <s v=""/>
    <n v="1"/>
    <n v="0.2000506794797389"/>
    <n v="1"/>
    <n v="0"/>
    <n v="0"/>
    <s v=""/>
    <n v="0"/>
    <n v="0"/>
    <s v=""/>
    <n v="0"/>
    <n v="1"/>
    <n v="0.42158429561200922"/>
    <n v="0.2"/>
    <n v="2"/>
    <n v="0.2478868868868869"/>
    <n v="0.33333333333333331"/>
    <n v="5"/>
    <n v="1.4646658194814416E-2"/>
    <n v="0.83333333333333337"/>
    <n v="2"/>
    <n v="-0.25942042042042046"/>
    <n v="0.33333333333333331"/>
    <m/>
    <m/>
    <m/>
    <m/>
    <m/>
    <m/>
    <m/>
    <m/>
    <m/>
    <n v="3"/>
    <n v="17"/>
    <n v="3"/>
    <n v="0"/>
    <n v="0"/>
    <n v="0"/>
    <n v="34727"/>
    <n v="103810.49999999999"/>
    <n v="18942"/>
    <n v="0"/>
    <n v="7"/>
    <n v="44198"/>
    <n v="31756.231904526521"/>
    <n v="2"/>
    <n v="16"/>
    <n v="1.5"/>
    <n v="0"/>
    <n v="0"/>
    <n v="0"/>
    <n v="15785"/>
    <n v="97703.999999999985"/>
    <n v="9471"/>
    <n v="0"/>
    <n v="7"/>
    <n v="44198"/>
    <n v="15878.115952263261"/>
    <n v="2"/>
    <n v="17"/>
    <n v="1"/>
    <n v="0"/>
    <n v="0"/>
    <n v="18527"/>
    <n v="107338"/>
    <n v="6314"/>
    <n v="0"/>
    <n v="7"/>
    <n v="44198"/>
    <n v="12596.638655462186"/>
    <n v="2"/>
    <n v="16"/>
    <n v="0"/>
    <n v="0"/>
    <n v="0"/>
    <n v="97703.999999999985"/>
    <n v="0"/>
    <x v="0"/>
    <x v="0"/>
    <n v="7"/>
    <n v="44198"/>
    <n v="0"/>
    <n v="2"/>
    <n v="7"/>
    <n v="2"/>
    <m/>
    <n v="0"/>
    <n v="0"/>
    <n v="44198"/>
    <n v="12212.999999999998"/>
    <x v="0"/>
    <n v="0"/>
    <n v="7"/>
    <n v="44198"/>
    <n v="25193.277310924372"/>
    <n v="5"/>
    <n v="8"/>
    <n v="1"/>
    <m/>
    <n v="0"/>
    <n v="0"/>
    <n v="50512"/>
    <n v="6106.4999999999991"/>
    <n v="0"/>
    <n v="0"/>
    <n v="8"/>
    <n v="44198"/>
    <n v="12596.638655462186"/>
    <n v="6"/>
    <n v="9"/>
    <n v="2"/>
    <n v="0"/>
    <n v="0"/>
    <n v="0"/>
    <n v="56826"/>
    <n v="12212.999999999998"/>
    <n v="0"/>
    <n v="0"/>
    <n v="9"/>
    <n v="44198"/>
    <n v="25193.277310924372"/>
    <n v="6"/>
    <n v="12"/>
    <n v="5"/>
    <n v="0"/>
    <n v="0"/>
    <n v="0"/>
    <n v="75768"/>
    <n v="30532.499999999996"/>
    <n v="0"/>
    <n v="0"/>
    <n v="12"/>
    <n v="75768"/>
    <n v="62983.193277310929"/>
    <n v="6"/>
    <n v="9"/>
    <n v="3"/>
    <n v="0"/>
    <n v="0"/>
    <n v="0"/>
    <n v="54958.499999999993"/>
    <n v="18319.499999999996"/>
    <n v="0"/>
    <n v="0"/>
    <n v="7"/>
    <n v="44198"/>
    <n v="37789.915966386558"/>
    <n v="0"/>
    <n v="6"/>
    <n v="0"/>
    <n v="0"/>
    <n v="0"/>
    <n v="0"/>
    <m/>
    <n v="36638.999999999993"/>
    <n v="0"/>
    <n v="0"/>
    <n v="0"/>
    <n v="6"/>
    <n v="36638.999999999993"/>
    <n v="0"/>
    <n v="0"/>
    <n v="6"/>
    <n v="0"/>
    <m/>
    <n v="0"/>
    <n v="0"/>
    <n v="36638.999999999993"/>
    <n v="0"/>
    <n v="0"/>
    <n v="0"/>
    <n v="6"/>
    <n v="36638.999999999993"/>
    <n v="0"/>
    <n v="0"/>
    <n v="6"/>
    <n v="0"/>
    <n v="0"/>
    <n v="0"/>
    <n v="36638.999999999993"/>
    <n v="0"/>
    <n v="0"/>
    <n v="0"/>
    <n v="6"/>
    <n v="36638.999999999993"/>
    <n v="0"/>
    <n v="0"/>
    <n v="6"/>
    <n v="0"/>
    <n v="0"/>
    <m/>
    <n v="36638.999999999993"/>
    <n v="0"/>
    <n v="0"/>
    <n v="6"/>
    <n v="36638.999999999993"/>
    <n v="0"/>
  </r>
  <r>
    <s v="Lhotse-Vestuario"/>
    <x v="4"/>
    <x v="21"/>
    <x v="49"/>
    <s v="LTS26-WSB01"/>
    <x v="358"/>
    <x v="331"/>
    <x v="0"/>
    <x v="5"/>
    <n v="1"/>
    <x v="233"/>
    <n v="18"/>
    <m/>
    <n v="0"/>
    <n v="6314"/>
    <n v="113652"/>
    <n v="5.9"/>
    <n v="6445.7499999999991"/>
    <n v="12596.638655462186"/>
    <n v="10915.966386554623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1"/>
    <n v="0.43050419410119961"/>
    <n v="0"/>
    <s v=""/>
    <n v="0"/>
    <s v=""/>
    <n v="0"/>
    <s v=""/>
    <n v="0"/>
    <s v=""/>
    <n v="0"/>
    <n v="0"/>
    <s v=""/>
    <n v="0"/>
    <n v="0"/>
    <s v=""/>
    <n v="0"/>
    <n v="1"/>
    <n v="0.2478868868868869"/>
    <n v="0.125"/>
    <n v="3"/>
    <n v="3.6279640419081459E-2"/>
    <n v="0.375"/>
    <n v="0"/>
    <s v=""/>
    <n v="0"/>
    <m/>
    <m/>
    <m/>
    <m/>
    <m/>
    <m/>
    <m/>
    <m/>
    <m/>
    <n v="3"/>
    <n v="20"/>
    <n v="3"/>
    <n v="0"/>
    <n v="0"/>
    <n v="0"/>
    <n v="18942"/>
    <n v="122129.99999999999"/>
    <n v="18942"/>
    <n v="0"/>
    <n v="18"/>
    <n v="113652"/>
    <n v="31756.231904526521"/>
    <n v="2"/>
    <n v="22"/>
    <n v="0"/>
    <n v="0"/>
    <n v="0"/>
    <n v="0"/>
    <n v="0"/>
    <n v="134342.99999999997"/>
    <n v="0"/>
    <n v="0"/>
    <n v="18"/>
    <n v="113652"/>
    <n v="0"/>
    <n v="2"/>
    <n v="23"/>
    <n v="0"/>
    <n v="0"/>
    <n v="0"/>
    <n v="12212.999999999998"/>
    <n v="145222"/>
    <n v="0"/>
    <n v="0"/>
    <n v="18"/>
    <n v="113652"/>
    <n v="0"/>
    <n v="2"/>
    <n v="23"/>
    <n v="0"/>
    <n v="0"/>
    <n v="0"/>
    <n v="140449.49999999997"/>
    <n v="0"/>
    <x v="0"/>
    <x v="0"/>
    <n v="18"/>
    <n v="113652"/>
    <n v="0"/>
    <n v="2"/>
    <n v="18"/>
    <n v="2"/>
    <m/>
    <n v="0"/>
    <n v="0"/>
    <n v="113652"/>
    <n v="12212.999999999998"/>
    <x v="0"/>
    <n v="0"/>
    <n v="18"/>
    <n v="113652"/>
    <n v="25193.277310924372"/>
    <n v="5"/>
    <n v="18"/>
    <n v="0"/>
    <m/>
    <n v="0"/>
    <n v="0"/>
    <n v="113652"/>
    <n v="0"/>
    <n v="0"/>
    <n v="0"/>
    <n v="18"/>
    <n v="113652"/>
    <n v="0"/>
    <n v="8"/>
    <n v="19"/>
    <n v="1"/>
    <n v="0"/>
    <n v="0"/>
    <n v="0"/>
    <n v="119966"/>
    <n v="6106.4999999999991"/>
    <n v="0"/>
    <n v="0"/>
    <n v="19"/>
    <n v="113652"/>
    <n v="12596.638655462186"/>
    <n v="8"/>
    <n v="21"/>
    <n v="3"/>
    <n v="0"/>
    <n v="0"/>
    <n v="0"/>
    <n v="132594"/>
    <n v="18319.499999999996"/>
    <n v="0"/>
    <n v="0"/>
    <n v="21"/>
    <n v="132594"/>
    <n v="37789.915966386558"/>
    <n v="8"/>
    <n v="18"/>
    <n v="0"/>
    <n v="0"/>
    <n v="0"/>
    <n v="0"/>
    <n v="109916.99999999999"/>
    <n v="0"/>
    <n v="0"/>
    <n v="0"/>
    <n v="18"/>
    <n v="113652"/>
    <n v="0"/>
    <n v="0"/>
    <n v="18"/>
    <n v="0"/>
    <n v="0"/>
    <n v="0"/>
    <n v="0"/>
    <m/>
    <n v="109916.99999999999"/>
    <n v="0"/>
    <n v="0"/>
    <n v="0"/>
    <n v="18"/>
    <n v="109916.99999999999"/>
    <n v="0"/>
    <n v="0"/>
    <n v="18"/>
    <n v="0"/>
    <m/>
    <n v="0"/>
    <n v="0"/>
    <n v="109916.99999999999"/>
    <n v="0"/>
    <n v="0"/>
    <n v="0"/>
    <n v="18"/>
    <n v="109916.99999999999"/>
    <n v="0"/>
    <n v="0"/>
    <n v="18"/>
    <n v="0"/>
    <n v="0"/>
    <n v="0"/>
    <n v="109916.99999999999"/>
    <n v="0"/>
    <n v="0"/>
    <n v="0"/>
    <n v="18"/>
    <n v="109916.99999999999"/>
    <n v="0"/>
    <n v="0"/>
    <n v="18"/>
    <n v="0"/>
    <n v="0"/>
    <m/>
    <n v="109916.99999999999"/>
    <n v="0"/>
    <n v="0"/>
    <n v="18"/>
    <n v="109916.99999999999"/>
    <n v="0"/>
  </r>
  <r>
    <s v="Lhotse-Vestuario"/>
    <x v="4"/>
    <x v="21"/>
    <x v="49"/>
    <s v="LTS26-WSB01"/>
    <x v="359"/>
    <x v="331"/>
    <x v="0"/>
    <x v="5"/>
    <n v="1"/>
    <x v="234"/>
    <n v="9"/>
    <m/>
    <n v="0"/>
    <n v="6378"/>
    <n v="57402"/>
    <n v="5.9"/>
    <n v="6445.7499999999991"/>
    <n v="12596.638655462186"/>
    <n v="10915.966386554623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9368898385688781"/>
    <n v="0.5"/>
    <n v="0"/>
    <s v=""/>
    <n v="0"/>
    <n v="1"/>
    <n v="0.17414857582755966"/>
    <n v="0.16666666666666666"/>
    <n v="1"/>
    <n v="0.24026326326326328"/>
    <n v="0.2"/>
    <n v="1"/>
    <n v="2.1262762762762764E-2"/>
    <n v="0.2"/>
    <n v="1"/>
    <n v="-5.983683683683684E-2"/>
    <n v="0.2"/>
    <m/>
    <m/>
    <m/>
    <m/>
    <m/>
    <m/>
    <m/>
    <m/>
    <m/>
    <n v="2"/>
    <n v="14"/>
    <n v="2"/>
    <n v="0"/>
    <n v="0"/>
    <n v="0"/>
    <n v="12756"/>
    <n v="85490.999999999985"/>
    <n v="12756"/>
    <n v="0"/>
    <n v="9"/>
    <n v="57402"/>
    <n v="21170.821269684347"/>
    <n v="2"/>
    <n v="13"/>
    <n v="0"/>
    <n v="0"/>
    <n v="0"/>
    <n v="0"/>
    <n v="6378"/>
    <n v="79384.499999999985"/>
    <n v="0"/>
    <n v="0"/>
    <n v="9"/>
    <n v="57402"/>
    <n v="0"/>
    <n v="2"/>
    <n v="14"/>
    <n v="0"/>
    <n v="0"/>
    <n v="0"/>
    <n v="18591"/>
    <n v="89292"/>
    <n v="0"/>
    <n v="0"/>
    <n v="9"/>
    <n v="57402"/>
    <n v="0"/>
    <n v="2"/>
    <n v="14"/>
    <n v="1"/>
    <n v="0"/>
    <n v="0"/>
    <n v="85490.999999999985"/>
    <n v="6378"/>
    <x v="0"/>
    <x v="0"/>
    <n v="9"/>
    <n v="57402"/>
    <n v="12596.638655462186"/>
    <n v="2"/>
    <n v="9"/>
    <n v="2"/>
    <m/>
    <n v="0"/>
    <n v="0"/>
    <n v="57402"/>
    <n v="12212.999999999998"/>
    <x v="0"/>
    <n v="0"/>
    <n v="9"/>
    <n v="57402"/>
    <n v="25193.277310924372"/>
    <n v="6"/>
    <n v="10"/>
    <n v="1"/>
    <m/>
    <n v="0"/>
    <n v="0"/>
    <n v="63780"/>
    <n v="6106.4999999999991"/>
    <n v="0"/>
    <n v="0"/>
    <n v="10"/>
    <n v="57402"/>
    <n v="12596.638655462186"/>
    <n v="5"/>
    <n v="10"/>
    <n v="1"/>
    <n v="0"/>
    <n v="0"/>
    <n v="0"/>
    <n v="63780"/>
    <n v="6106.4999999999991"/>
    <n v="0"/>
    <n v="0"/>
    <n v="10"/>
    <n v="57402"/>
    <n v="12596.638655462186"/>
    <n v="5"/>
    <n v="10"/>
    <n v="1"/>
    <n v="0"/>
    <n v="0"/>
    <n v="0"/>
    <n v="63780"/>
    <n v="6106.4999999999991"/>
    <n v="0"/>
    <n v="0"/>
    <n v="10"/>
    <n v="63780"/>
    <n v="12596.638655462186"/>
    <n v="5"/>
    <n v="10"/>
    <n v="1.5"/>
    <n v="0"/>
    <n v="0"/>
    <n v="0"/>
    <n v="61064.999999999993"/>
    <n v="9159.7499999999982"/>
    <n v="0"/>
    <n v="0"/>
    <n v="9"/>
    <n v="57402"/>
    <n v="18894.957983193279"/>
    <n v="0"/>
    <n v="8.5"/>
    <n v="0"/>
    <n v="0"/>
    <n v="0"/>
    <n v="0"/>
    <m/>
    <n v="51905.249999999993"/>
    <n v="0"/>
    <n v="0"/>
    <n v="0"/>
    <n v="8.5"/>
    <n v="51905.249999999993"/>
    <n v="0"/>
    <n v="0"/>
    <n v="8.5"/>
    <n v="0"/>
    <m/>
    <n v="0"/>
    <n v="0"/>
    <n v="51905.249999999993"/>
    <n v="0"/>
    <n v="0"/>
    <n v="0"/>
    <n v="8.5"/>
    <n v="51905.249999999993"/>
    <n v="0"/>
    <n v="0"/>
    <n v="8.5"/>
    <n v="0"/>
    <n v="0"/>
    <n v="0"/>
    <n v="51905.249999999993"/>
    <n v="0"/>
    <n v="0"/>
    <n v="0"/>
    <n v="8.5"/>
    <n v="51905.249999999993"/>
    <n v="0"/>
    <n v="0"/>
    <n v="8.5"/>
    <n v="0"/>
    <n v="0"/>
    <m/>
    <n v="51905.249999999993"/>
    <n v="0"/>
    <n v="0"/>
    <n v="8.5"/>
    <n v="51905.249999999993"/>
    <n v="0"/>
  </r>
  <r>
    <s v="Lhotse-Vestuario"/>
    <x v="4"/>
    <x v="21"/>
    <x v="49"/>
    <s v="LTS26-WSB01"/>
    <x v="360"/>
    <x v="331"/>
    <x v="0"/>
    <x v="5"/>
    <n v="1"/>
    <x v="235"/>
    <n v="6"/>
    <m/>
    <n v="0"/>
    <n v="6374"/>
    <n v="38244"/>
    <n v="5.9"/>
    <n v="6445.7499999999991"/>
    <n v="12596.638655462186"/>
    <n v="10915.966386554623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3050419410119961"/>
    <n v="0"/>
    <s v=""/>
    <n v="0"/>
    <s v=""/>
    <n v="0"/>
    <s v=""/>
    <n v="0"/>
    <s v=""/>
    <n v="0"/>
    <n v="0"/>
    <s v=""/>
    <n v="0"/>
    <n v="1"/>
    <n v="0.13915396458814472"/>
    <n v="0.16666666666666666"/>
    <n v="1"/>
    <n v="0.24073973973973975"/>
    <n v="0.25"/>
    <n v="2"/>
    <n v="2.4151401401401401E-2"/>
    <n v="0.5"/>
    <n v="2"/>
    <n v="9.0689689689689684E-2"/>
    <n v="0.5"/>
    <m/>
    <m/>
    <m/>
    <m/>
    <m/>
    <m/>
    <m/>
    <m/>
    <m/>
    <n v="2"/>
    <n v="13"/>
    <n v="2"/>
    <n v="0"/>
    <n v="0"/>
    <n v="0"/>
    <n v="12748"/>
    <n v="79384.499999999985"/>
    <n v="12748"/>
    <n v="0"/>
    <n v="6"/>
    <n v="38244"/>
    <n v="21170.821269684347"/>
    <n v="2"/>
    <n v="12"/>
    <n v="0"/>
    <n v="0"/>
    <n v="0"/>
    <n v="0"/>
    <n v="0"/>
    <n v="73277.999999999985"/>
    <n v="0"/>
    <n v="0"/>
    <n v="6"/>
    <n v="38244"/>
    <n v="0"/>
    <n v="2"/>
    <n v="12"/>
    <n v="0"/>
    <n v="0"/>
    <n v="0"/>
    <n v="12212.999999999998"/>
    <n v="76488"/>
    <n v="0"/>
    <n v="0"/>
    <n v="6"/>
    <n v="38244"/>
    <n v="0"/>
    <n v="2"/>
    <n v="12"/>
    <n v="0"/>
    <n v="0"/>
    <n v="0"/>
    <n v="73277.999999999985"/>
    <n v="0"/>
    <x v="0"/>
    <x v="0"/>
    <n v="6"/>
    <n v="38244"/>
    <n v="0"/>
    <n v="2"/>
    <n v="6"/>
    <n v="2"/>
    <m/>
    <n v="0"/>
    <n v="0"/>
    <n v="38244"/>
    <n v="12212.999999999998"/>
    <x v="0"/>
    <n v="0"/>
    <n v="6"/>
    <n v="38244"/>
    <n v="25193.277310924372"/>
    <n v="6"/>
    <n v="7"/>
    <n v="1"/>
    <m/>
    <n v="0"/>
    <n v="0"/>
    <n v="44618"/>
    <n v="6106.4999999999991"/>
    <n v="0"/>
    <n v="0"/>
    <n v="7"/>
    <n v="38244"/>
    <n v="12596.638655462186"/>
    <n v="4"/>
    <n v="7"/>
    <n v="1"/>
    <n v="0"/>
    <n v="0"/>
    <n v="0"/>
    <n v="44618"/>
    <n v="6106.4999999999991"/>
    <n v="0"/>
    <n v="0"/>
    <n v="7"/>
    <n v="38244"/>
    <n v="12596.638655462186"/>
    <n v="4"/>
    <n v="8"/>
    <n v="2"/>
    <n v="0"/>
    <n v="0"/>
    <n v="0"/>
    <n v="50992"/>
    <n v="12212.999999999998"/>
    <n v="0"/>
    <n v="0"/>
    <n v="8"/>
    <n v="50992"/>
    <n v="25193.277310924372"/>
    <n v="4"/>
    <n v="8"/>
    <n v="1.5"/>
    <n v="0"/>
    <n v="0"/>
    <n v="0"/>
    <n v="48851.999999999993"/>
    <n v="9159.7499999999982"/>
    <n v="0"/>
    <n v="0"/>
    <n v="6"/>
    <n v="38244"/>
    <n v="18894.957983193279"/>
    <n v="0"/>
    <n v="6.5"/>
    <n v="0"/>
    <n v="0"/>
    <n v="0"/>
    <n v="0"/>
    <m/>
    <n v="39692.249999999993"/>
    <n v="0"/>
    <n v="0"/>
    <n v="0"/>
    <n v="6.5"/>
    <n v="39692.249999999993"/>
    <n v="0"/>
    <n v="0"/>
    <n v="6.5"/>
    <n v="0"/>
    <m/>
    <n v="0"/>
    <n v="0"/>
    <n v="39692.249999999993"/>
    <n v="0"/>
    <n v="0"/>
    <n v="0"/>
    <n v="6.5"/>
    <n v="39692.249999999993"/>
    <n v="0"/>
    <n v="0"/>
    <n v="6.5"/>
    <n v="0"/>
    <n v="0"/>
    <n v="0"/>
    <n v="39692.249999999993"/>
    <n v="0"/>
    <n v="0"/>
    <n v="0"/>
    <n v="6.5"/>
    <n v="39692.249999999993"/>
    <n v="0"/>
    <n v="0"/>
    <n v="6.5"/>
    <n v="0"/>
    <n v="0"/>
    <m/>
    <n v="39692.249999999993"/>
    <n v="0"/>
    <n v="0"/>
    <n v="6.5"/>
    <n v="39692.249999999993"/>
    <n v="0"/>
  </r>
  <r>
    <s v="Lhotse-Vestuario"/>
    <x v="4"/>
    <x v="21"/>
    <x v="49"/>
    <s v="LTS27-WBS02"/>
    <x v="361"/>
    <x v="332"/>
    <x v="0"/>
    <x v="4"/>
    <n v="1"/>
    <x v="31"/>
    <n v="0"/>
    <m/>
    <n v="0"/>
    <n v="5428"/>
    <n v="0"/>
    <n v="5.9"/>
    <n v="5428"/>
    <n v="13684.033613445379"/>
    <n v="11631.428571428572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7"/>
    <n v="17"/>
    <n v="0"/>
    <n v="0"/>
    <n v="0"/>
    <n v="0"/>
    <n v="103810.49999999999"/>
    <n v="0"/>
    <n v="0"/>
    <n v="0"/>
    <n v="0"/>
    <n v="4"/>
    <n v="0"/>
    <n v="0"/>
    <m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2.4"/>
    <n v="0"/>
    <n v="2.4"/>
    <n v="0"/>
    <m/>
    <n v="0"/>
    <n v="13027.199999999999"/>
    <n v="0"/>
    <n v="0"/>
    <n v="0"/>
    <n v="32841.680672268907"/>
  </r>
  <r>
    <s v="Lhotse-Vestuario"/>
    <x v="4"/>
    <x v="21"/>
    <x v="49"/>
    <s v="LTS27-WBS02"/>
    <x v="362"/>
    <x v="333"/>
    <x v="0"/>
    <x v="4"/>
    <n v="1"/>
    <x v="31"/>
    <n v="0"/>
    <m/>
    <n v="0"/>
    <n v="5428"/>
    <n v="0"/>
    <n v="5.9"/>
    <n v="5428"/>
    <n v="13684.033613445379"/>
    <n v="11631.428571428572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33"/>
    <n v="33"/>
    <n v="0"/>
    <n v="0"/>
    <n v="0"/>
    <n v="0"/>
    <n v="201514.49999999997"/>
    <n v="0"/>
    <n v="0"/>
    <n v="0"/>
    <n v="0"/>
    <n v="7"/>
    <n v="0"/>
    <n v="0"/>
    <m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4.2"/>
    <n v="0"/>
    <n v="4.2"/>
    <n v="0"/>
    <m/>
    <n v="0"/>
    <n v="22797.600000000002"/>
    <n v="0"/>
    <n v="0"/>
    <n v="0"/>
    <n v="57472.941176470595"/>
  </r>
  <r>
    <m/>
    <x v="4"/>
    <x v="21"/>
    <x v="49"/>
    <s v="LTS27-WBS02"/>
    <x v="363"/>
    <x v="334"/>
    <x v="0"/>
    <x v="4"/>
    <n v="1"/>
    <x v="31"/>
    <n v="0"/>
    <m/>
    <n v="0"/>
    <n v="5428"/>
    <n v="0"/>
    <n v="5.9"/>
    <n v="5428"/>
    <n v="13684.033613445379"/>
    <n v="11631.428571428572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28"/>
    <n v="28"/>
    <n v="0"/>
    <n v="0"/>
    <n v="0"/>
    <n v="0"/>
    <n v="170981.99999999997"/>
    <n v="0"/>
    <n v="0"/>
    <n v="0"/>
    <n v="0"/>
    <n v="6"/>
    <n v="0"/>
    <n v="0"/>
    <m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3.5999999999999996"/>
    <n v="0"/>
    <n v="3.5999999999999996"/>
    <n v="0"/>
    <m/>
    <n v="0"/>
    <n v="19540.8"/>
    <n v="0"/>
    <n v="0"/>
    <n v="0"/>
    <n v="49262.521008403361"/>
  </r>
  <r>
    <m/>
    <x v="4"/>
    <x v="21"/>
    <x v="49"/>
    <s v="LTS27-WBS02"/>
    <x v="364"/>
    <x v="335"/>
    <x v="0"/>
    <x v="4"/>
    <n v="1"/>
    <x v="31"/>
    <n v="0"/>
    <m/>
    <n v="0"/>
    <n v="5428"/>
    <n v="0"/>
    <n v="5.9"/>
    <n v="5428"/>
    <n v="13684.033613445379"/>
    <n v="11631.428571428572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8"/>
    <n v="8"/>
    <n v="0"/>
    <n v="0"/>
    <n v="0"/>
    <n v="0"/>
    <n v="48851.999999999993"/>
    <n v="0"/>
    <n v="0"/>
    <n v="0"/>
    <n v="0"/>
    <n v="2"/>
    <n v="0"/>
    <n v="0"/>
    <m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1.2"/>
    <n v="0"/>
    <n v="1.2"/>
    <n v="0"/>
    <m/>
    <n v="0"/>
    <n v="6513.5999999999995"/>
    <n v="0"/>
    <n v="0"/>
    <n v="0"/>
    <n v="16420.840336134454"/>
  </r>
  <r>
    <m/>
    <x v="4"/>
    <x v="21"/>
    <x v="49"/>
    <s v="LTS27-WBS02"/>
    <x v="365"/>
    <x v="336"/>
    <x v="0"/>
    <x v="4"/>
    <n v="1"/>
    <x v="31"/>
    <n v="0"/>
    <m/>
    <n v="0"/>
    <n v="5428"/>
    <n v="0"/>
    <n v="5.9"/>
    <n v="5428"/>
    <n v="13684.033613445379"/>
    <n v="11631.428571428572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4"/>
    <n v="14"/>
    <n v="0"/>
    <n v="0"/>
    <n v="0"/>
    <n v="0"/>
    <n v="85490.999999999985"/>
    <n v="0"/>
    <n v="0"/>
    <n v="0"/>
    <n v="0"/>
    <n v="3"/>
    <n v="0"/>
    <n v="0"/>
    <m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1.7999999999999998"/>
    <n v="0"/>
    <n v="1.7999999999999998"/>
    <n v="0"/>
    <m/>
    <n v="0"/>
    <n v="9770.4"/>
    <n v="0"/>
    <n v="0"/>
    <n v="0"/>
    <n v="24631.26050420168"/>
  </r>
  <r>
    <m/>
    <x v="4"/>
    <x v="21"/>
    <x v="49"/>
    <s v="LTS27-WFL02"/>
    <x v="366"/>
    <x v="337"/>
    <x v="0"/>
    <x v="4"/>
    <n v="1"/>
    <x v="31"/>
    <n v="0"/>
    <m/>
    <n v="0"/>
    <n v="7912"/>
    <n v="0"/>
    <n v="8.6"/>
    <n v="7912"/>
    <n v="19946.218487394959"/>
    <n v="16954.285714285714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7"/>
    <n v="17"/>
    <n v="0"/>
    <n v="0"/>
    <n v="0"/>
    <n v="0"/>
    <n v="151317"/>
    <n v="0"/>
    <n v="0"/>
    <n v="0"/>
    <n v="0"/>
    <n v="4"/>
    <n v="0"/>
    <n v="0"/>
    <m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2.4"/>
    <n v="0"/>
    <n v="2.4"/>
    <n v="0"/>
    <m/>
    <n v="0"/>
    <n v="18988.8"/>
    <n v="0"/>
    <n v="0"/>
    <n v="0"/>
    <n v="47870.924369747903"/>
  </r>
  <r>
    <m/>
    <x v="4"/>
    <x v="21"/>
    <x v="49"/>
    <s v="LTS27-WFL02"/>
    <x v="367"/>
    <x v="338"/>
    <x v="0"/>
    <x v="4"/>
    <n v="1"/>
    <x v="31"/>
    <n v="0"/>
    <m/>
    <n v="0"/>
    <n v="7912"/>
    <n v="0"/>
    <n v="8.6"/>
    <n v="7912"/>
    <n v="19946.218487394959"/>
    <n v="16954.285714285714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33"/>
    <n v="33"/>
    <n v="0"/>
    <n v="0"/>
    <n v="0"/>
    <n v="0"/>
    <n v="293733"/>
    <n v="0"/>
    <n v="0"/>
    <n v="0"/>
    <n v="0"/>
    <n v="7"/>
    <n v="0"/>
    <n v="0"/>
    <m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4.2"/>
    <n v="0"/>
    <n v="4.2"/>
    <n v="0"/>
    <m/>
    <n v="0"/>
    <n v="33230.400000000001"/>
    <n v="0"/>
    <n v="0"/>
    <n v="0"/>
    <n v="83774.117647058825"/>
  </r>
  <r>
    <m/>
    <x v="4"/>
    <x v="21"/>
    <x v="49"/>
    <s v="LTS27-WFL02"/>
    <x v="368"/>
    <x v="339"/>
    <x v="0"/>
    <x v="4"/>
    <n v="1"/>
    <x v="31"/>
    <n v="0"/>
    <m/>
    <n v="0"/>
    <n v="7912"/>
    <n v="0"/>
    <n v="8.6"/>
    <n v="7912"/>
    <n v="19946.218487394959"/>
    <n v="16954.285714285714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28"/>
    <n v="28"/>
    <n v="0"/>
    <n v="0"/>
    <n v="0"/>
    <n v="0"/>
    <n v="249228"/>
    <n v="0"/>
    <n v="0"/>
    <n v="0"/>
    <n v="0"/>
    <n v="6"/>
    <n v="0"/>
    <n v="0"/>
    <m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3.5999999999999996"/>
    <n v="0"/>
    <n v="3.5999999999999996"/>
    <n v="0"/>
    <m/>
    <n v="0"/>
    <n v="28483.199999999997"/>
    <n v="0"/>
    <n v="0"/>
    <n v="0"/>
    <n v="71806.386554621844"/>
  </r>
  <r>
    <m/>
    <x v="4"/>
    <x v="21"/>
    <x v="49"/>
    <s v="LTS27-WFL02"/>
    <x v="369"/>
    <x v="340"/>
    <x v="0"/>
    <x v="4"/>
    <n v="1"/>
    <x v="31"/>
    <n v="0"/>
    <m/>
    <n v="0"/>
    <n v="7912"/>
    <n v="0"/>
    <n v="8.6"/>
    <n v="7912"/>
    <n v="19946.218487394959"/>
    <n v="16954.285714285714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8"/>
    <n v="8"/>
    <n v="0"/>
    <n v="0"/>
    <n v="0"/>
    <n v="0"/>
    <n v="71208"/>
    <n v="0"/>
    <n v="0"/>
    <n v="0"/>
    <n v="0"/>
    <n v="2"/>
    <n v="0"/>
    <n v="0"/>
    <m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1.2"/>
    <n v="0"/>
    <n v="1.2"/>
    <n v="0"/>
    <m/>
    <n v="0"/>
    <n v="9494.4"/>
    <n v="0"/>
    <n v="0"/>
    <n v="0"/>
    <n v="23935.462184873952"/>
  </r>
  <r>
    <m/>
    <x v="4"/>
    <x v="21"/>
    <x v="49"/>
    <s v="LTS27-WFL02"/>
    <x v="370"/>
    <x v="341"/>
    <x v="0"/>
    <x v="4"/>
    <n v="1"/>
    <x v="31"/>
    <n v="0"/>
    <m/>
    <n v="0"/>
    <n v="7912"/>
    <n v="0"/>
    <n v="8.6"/>
    <n v="7912"/>
    <n v="19946.218487394959"/>
    <n v="16954.285714285714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4"/>
    <n v="14"/>
    <n v="0"/>
    <n v="0"/>
    <n v="0"/>
    <n v="0"/>
    <n v="124614"/>
    <n v="0"/>
    <n v="0"/>
    <n v="0"/>
    <n v="0"/>
    <n v="3"/>
    <n v="0"/>
    <n v="0"/>
    <m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1.7999999999999998"/>
    <n v="0"/>
    <n v="1.7999999999999998"/>
    <n v="0"/>
    <m/>
    <n v="0"/>
    <n v="14241.599999999999"/>
    <n v="0"/>
    <n v="0"/>
    <n v="0"/>
    <n v="35903.193277310922"/>
  </r>
  <r>
    <m/>
    <x v="4"/>
    <x v="21"/>
    <x v="49"/>
    <s v="LTS27-WSB02"/>
    <x v="371"/>
    <x v="342"/>
    <x v="0"/>
    <x v="4"/>
    <n v="1"/>
    <x v="31"/>
    <n v="0"/>
    <m/>
    <n v="0"/>
    <n v="5244"/>
    <n v="0"/>
    <n v="5.7"/>
    <n v="5244"/>
    <n v="13220.168067226892"/>
    <n v="11237.142857142859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7"/>
    <n v="17"/>
    <n v="0"/>
    <n v="0"/>
    <n v="0"/>
    <n v="0"/>
    <n v="100291.49999999999"/>
    <n v="0"/>
    <n v="0"/>
    <n v="0"/>
    <n v="0"/>
    <n v="4"/>
    <n v="0"/>
    <n v="0"/>
    <m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2.4"/>
    <n v="0"/>
    <n v="2.4"/>
    <n v="0"/>
    <m/>
    <n v="0"/>
    <n v="12585.6"/>
    <n v="0"/>
    <n v="0"/>
    <n v="0"/>
    <n v="31728.403361344539"/>
  </r>
  <r>
    <m/>
    <x v="4"/>
    <x v="21"/>
    <x v="49"/>
    <s v="LTS27-WSB02"/>
    <x v="372"/>
    <x v="343"/>
    <x v="0"/>
    <x v="4"/>
    <n v="1"/>
    <x v="31"/>
    <n v="0"/>
    <m/>
    <n v="0"/>
    <n v="5244"/>
    <n v="0"/>
    <n v="5.7"/>
    <n v="5244"/>
    <n v="13220.168067226892"/>
    <n v="11237.142857142859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33"/>
    <n v="33"/>
    <n v="0"/>
    <n v="0"/>
    <n v="0"/>
    <n v="0"/>
    <n v="194683.49999999997"/>
    <n v="0"/>
    <n v="0"/>
    <n v="0"/>
    <n v="0"/>
    <n v="7"/>
    <n v="0"/>
    <n v="0"/>
    <m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4.2"/>
    <n v="0"/>
    <n v="4.2"/>
    <n v="0"/>
    <m/>
    <n v="0"/>
    <n v="22024.799999999999"/>
    <n v="0"/>
    <n v="0"/>
    <n v="0"/>
    <n v="55524.705882352951"/>
  </r>
  <r>
    <m/>
    <x v="4"/>
    <x v="21"/>
    <x v="49"/>
    <s v="LTS27-WSB02"/>
    <x v="373"/>
    <x v="344"/>
    <x v="0"/>
    <x v="4"/>
    <n v="1"/>
    <x v="31"/>
    <n v="0"/>
    <m/>
    <n v="0"/>
    <n v="5244"/>
    <n v="0"/>
    <n v="5.7"/>
    <n v="5244"/>
    <n v="13220.168067226892"/>
    <n v="11237.142857142859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28"/>
    <n v="28"/>
    <n v="0"/>
    <n v="0"/>
    <n v="0"/>
    <n v="0"/>
    <n v="165185.99999999997"/>
    <n v="0"/>
    <n v="0"/>
    <n v="0"/>
    <n v="0"/>
    <n v="6"/>
    <n v="0"/>
    <n v="0"/>
    <m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3.5999999999999996"/>
    <n v="0"/>
    <n v="3.5999999999999996"/>
    <n v="0"/>
    <m/>
    <n v="0"/>
    <n v="18878.399999999998"/>
    <n v="0"/>
    <n v="0"/>
    <n v="0"/>
    <n v="47592.60504201681"/>
  </r>
  <r>
    <m/>
    <x v="4"/>
    <x v="21"/>
    <x v="49"/>
    <s v="LTS27-WSB02"/>
    <x v="374"/>
    <x v="345"/>
    <x v="0"/>
    <x v="4"/>
    <n v="1"/>
    <x v="31"/>
    <n v="0"/>
    <m/>
    <n v="0"/>
    <n v="5244"/>
    <n v="0"/>
    <n v="5.7"/>
    <n v="5244"/>
    <n v="13220.168067226892"/>
    <n v="11237.142857142859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8"/>
    <n v="8"/>
    <n v="0"/>
    <n v="0"/>
    <n v="0"/>
    <n v="0"/>
    <n v="47195.999999999993"/>
    <n v="0"/>
    <n v="0"/>
    <n v="0"/>
    <n v="0"/>
    <n v="2"/>
    <n v="0"/>
    <n v="0"/>
    <m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1.2"/>
    <n v="0"/>
    <n v="1.2"/>
    <n v="0"/>
    <m/>
    <n v="0"/>
    <n v="6292.8"/>
    <n v="0"/>
    <n v="0"/>
    <n v="0"/>
    <n v="15864.20168067227"/>
  </r>
  <r>
    <m/>
    <x v="4"/>
    <x v="21"/>
    <x v="49"/>
    <s v="LTS27-WSB02"/>
    <x v="375"/>
    <x v="346"/>
    <x v="0"/>
    <x v="4"/>
    <n v="1"/>
    <x v="31"/>
    <n v="0"/>
    <m/>
    <n v="0"/>
    <n v="5244"/>
    <n v="0"/>
    <n v="5.7"/>
    <n v="5244"/>
    <n v="13220.168067226892"/>
    <n v="11237.142857142859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4"/>
    <n v="14"/>
    <n v="0"/>
    <n v="0"/>
    <n v="0"/>
    <n v="0"/>
    <n v="82592.999999999985"/>
    <n v="0"/>
    <n v="0"/>
    <n v="0"/>
    <n v="0"/>
    <n v="3"/>
    <n v="0"/>
    <n v="0"/>
    <m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1.7999999999999998"/>
    <n v="0"/>
    <n v="1.7999999999999998"/>
    <n v="0"/>
    <m/>
    <n v="0"/>
    <n v="9439.1999999999989"/>
    <n v="0"/>
    <n v="0"/>
    <n v="0"/>
    <n v="23796.302521008405"/>
  </r>
  <r>
    <m/>
    <x v="4"/>
    <x v="21"/>
    <x v="50"/>
    <s v="LTS26-MWS06"/>
    <x v="376"/>
    <x v="347"/>
    <x v="0"/>
    <x v="5"/>
    <n v="1"/>
    <x v="31"/>
    <n v="5"/>
    <m/>
    <n v="0"/>
    <n v="12521"/>
    <n v="62605"/>
    <n v="11.7"/>
    <n v="12782.249999999998"/>
    <n v="22680.672268907565"/>
    <n v="21000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5"/>
    <n v="-1.3918018161792924E-2"/>
    <n v="1"/>
    <n v="0.22013018974490342"/>
    <n v="0"/>
    <s v=""/>
    <n v="0"/>
    <s v=""/>
    <n v="0"/>
    <n v="0"/>
    <s v=""/>
    <n v="0"/>
    <n v="0"/>
    <s v=""/>
    <n v="0"/>
    <n v="0"/>
    <s v=""/>
    <n v="0"/>
    <n v="2"/>
    <n v="-0.12369941763828955"/>
    <n v="0.66666666666666663"/>
    <n v="2"/>
    <n v="-4.4735921830804846E-2"/>
    <n v="0.66666666666666663"/>
    <m/>
    <m/>
    <m/>
    <m/>
    <m/>
    <m/>
    <m/>
    <m/>
    <m/>
    <n v="5"/>
    <n v="15"/>
    <n v="5"/>
    <n v="0"/>
    <n v="0"/>
    <n v="0"/>
    <n v="81386.5"/>
    <n v="181642.49999999997"/>
    <n v="62605"/>
    <n v="0"/>
    <n v="5"/>
    <n v="62605"/>
    <n v="95296.942306334313"/>
    <n v="3"/>
    <n v="10"/>
    <n v="1.5"/>
    <n v="0"/>
    <n v="0"/>
    <n v="0"/>
    <n v="18781.5"/>
    <n v="121094.99999999999"/>
    <n v="18781.5"/>
    <n v="0"/>
    <n v="5"/>
    <n v="62605"/>
    <n v="28589.082691900294"/>
    <n v="2"/>
    <n v="9"/>
    <n v="0"/>
    <n v="0"/>
    <n v="0"/>
    <n v="12109.499999999998"/>
    <n v="112689"/>
    <n v="0"/>
    <n v="0"/>
    <n v="5"/>
    <n v="62605"/>
    <n v="0"/>
    <n v="1"/>
    <n v="9"/>
    <n v="0"/>
    <n v="0"/>
    <n v="0"/>
    <n v="108985.49999999999"/>
    <n v="0"/>
    <x v="0"/>
    <x v="0"/>
    <n v="5"/>
    <n v="62605"/>
    <n v="0"/>
    <n v="1"/>
    <n v="5"/>
    <n v="1"/>
    <m/>
    <n v="0"/>
    <n v="0"/>
    <n v="62605"/>
    <n v="12109.499999999998"/>
    <x v="0"/>
    <n v="0"/>
    <n v="5"/>
    <n v="62605"/>
    <n v="22680.672268907565"/>
    <n v="1"/>
    <n v="5"/>
    <n v="0"/>
    <m/>
    <n v="0"/>
    <n v="0"/>
    <n v="62605"/>
    <n v="0"/>
    <n v="0"/>
    <n v="0"/>
    <n v="5"/>
    <n v="62605"/>
    <n v="0"/>
    <n v="3"/>
    <n v="5"/>
    <n v="0"/>
    <n v="0"/>
    <n v="0"/>
    <n v="0"/>
    <n v="62605"/>
    <n v="0"/>
    <n v="0"/>
    <n v="0"/>
    <n v="5"/>
    <n v="62605"/>
    <n v="0"/>
    <n v="3"/>
    <n v="7"/>
    <n v="2"/>
    <n v="0"/>
    <n v="0"/>
    <n v="0"/>
    <n v="87647"/>
    <n v="24218.999999999996"/>
    <n v="0"/>
    <n v="0"/>
    <n v="7"/>
    <n v="87647"/>
    <n v="45361.34453781513"/>
    <n v="3"/>
    <n v="7"/>
    <n v="3"/>
    <n v="0"/>
    <n v="0"/>
    <n v="0"/>
    <n v="84766.499999999985"/>
    <n v="36328.499999999993"/>
    <n v="0"/>
    <n v="0"/>
    <n v="5"/>
    <n v="62605"/>
    <n v="68042.016806722691"/>
    <n v="0"/>
    <n v="4"/>
    <n v="0"/>
    <n v="0"/>
    <n v="0"/>
    <n v="0"/>
    <m/>
    <n v="48437.999999999993"/>
    <n v="0"/>
    <n v="0"/>
    <n v="0"/>
    <n v="4"/>
    <n v="48437.999999999993"/>
    <n v="0"/>
    <n v="0"/>
    <n v="4"/>
    <n v="0"/>
    <m/>
    <n v="0"/>
    <n v="0"/>
    <n v="48437.999999999993"/>
    <n v="0"/>
    <n v="0"/>
    <n v="0"/>
    <n v="4"/>
    <n v="48437.999999999993"/>
    <n v="0"/>
    <n v="0"/>
    <n v="4"/>
    <n v="0"/>
    <n v="0"/>
    <n v="0"/>
    <n v="48437.999999999993"/>
    <n v="0"/>
    <n v="0"/>
    <n v="0"/>
    <n v="4"/>
    <n v="48437.999999999993"/>
    <n v="0"/>
    <n v="0"/>
    <n v="4"/>
    <n v="0"/>
    <n v="0"/>
    <m/>
    <n v="48437.999999999993"/>
    <n v="0"/>
    <n v="0"/>
    <n v="4"/>
    <n v="48437.999999999993"/>
    <n v="0"/>
  </r>
  <r>
    <m/>
    <x v="4"/>
    <x v="21"/>
    <x v="50"/>
    <s v="LTS26-MWS06"/>
    <x v="377"/>
    <x v="347"/>
    <x v="0"/>
    <x v="2"/>
    <n v="1"/>
    <x v="31"/>
    <n v="14"/>
    <m/>
    <n v="0"/>
    <n v="12521"/>
    <n v="175294"/>
    <n v="11.7"/>
    <n v="12782.249999999998"/>
    <n v="22680.672268907565"/>
    <n v="21000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2"/>
    <s v=""/>
    <n v="0.4"/>
    <n v="0"/>
    <s v=""/>
    <n v="0"/>
    <m/>
    <m/>
    <m/>
    <m/>
    <m/>
    <m/>
    <m/>
    <m/>
    <m/>
    <n v="5"/>
    <n v="17"/>
    <n v="5"/>
    <n v="0"/>
    <n v="0"/>
    <n v="0"/>
    <n v="62605"/>
    <n v="205861.49999999997"/>
    <n v="62605"/>
    <n v="0"/>
    <n v="14"/>
    <n v="175294"/>
    <n v="95296.942306334313"/>
    <n v="2"/>
    <n v="16"/>
    <n v="0"/>
    <n v="0"/>
    <n v="0"/>
    <n v="0"/>
    <n v="0"/>
    <n v="193751.99999999997"/>
    <n v="0"/>
    <n v="0"/>
    <n v="14"/>
    <n v="175294"/>
    <n v="0"/>
    <n v="2"/>
    <n v="16"/>
    <n v="0"/>
    <n v="0"/>
    <n v="0"/>
    <n v="8476.6499999999978"/>
    <n v="200336"/>
    <n v="0"/>
    <n v="0"/>
    <n v="14"/>
    <n v="175294"/>
    <n v="0"/>
    <n v="0.65"/>
    <n v="16"/>
    <n v="0"/>
    <n v="0"/>
    <n v="0"/>
    <n v="193751.99999999997"/>
    <n v="0"/>
    <x v="0"/>
    <x v="0"/>
    <n v="14"/>
    <n v="175294"/>
    <n v="0"/>
    <n v="0.7"/>
    <n v="14"/>
    <n v="0.7"/>
    <m/>
    <n v="0"/>
    <n v="0"/>
    <n v="175294"/>
    <n v="8476.6499999999978"/>
    <x v="0"/>
    <n v="0"/>
    <n v="14"/>
    <n v="175294"/>
    <n v="15876.470588235294"/>
    <n v="1"/>
    <n v="14"/>
    <n v="0"/>
    <m/>
    <n v="0"/>
    <n v="0"/>
    <n v="175294"/>
    <n v="0"/>
    <n v="0"/>
    <n v="0"/>
    <n v="14"/>
    <n v="175294"/>
    <n v="0"/>
    <n v="5"/>
    <n v="14"/>
    <n v="0"/>
    <n v="0"/>
    <n v="0"/>
    <n v="0"/>
    <n v="175294"/>
    <n v="0"/>
    <n v="0"/>
    <n v="0"/>
    <n v="14"/>
    <n v="175294"/>
    <n v="0"/>
    <n v="5"/>
    <n v="16"/>
    <n v="2"/>
    <n v="0"/>
    <n v="0"/>
    <n v="0"/>
    <n v="200336"/>
    <n v="24218.999999999996"/>
    <n v="0"/>
    <n v="0"/>
    <n v="16"/>
    <n v="200336"/>
    <n v="45361.34453781513"/>
    <n v="5"/>
    <n v="14"/>
    <n v="0"/>
    <n v="0"/>
    <n v="0"/>
    <n v="0"/>
    <n v="169532.99999999997"/>
    <n v="0"/>
    <n v="0"/>
    <n v="0"/>
    <n v="14"/>
    <n v="175294"/>
    <n v="0"/>
    <n v="0"/>
    <n v="14"/>
    <n v="0"/>
    <n v="0"/>
    <n v="0"/>
    <n v="0"/>
    <m/>
    <n v="169532.99999999997"/>
    <n v="0"/>
    <n v="0"/>
    <n v="0"/>
    <n v="14"/>
    <n v="169532.99999999997"/>
    <n v="0"/>
    <n v="0"/>
    <n v="14"/>
    <n v="0"/>
    <m/>
    <n v="0"/>
    <n v="0"/>
    <n v="169532.99999999997"/>
    <n v="0"/>
    <n v="0"/>
    <n v="0"/>
    <n v="14"/>
    <n v="169532.99999999997"/>
    <n v="0"/>
    <n v="0"/>
    <n v="14"/>
    <n v="0"/>
    <n v="0"/>
    <n v="0"/>
    <n v="169532.99999999997"/>
    <n v="0"/>
    <n v="0"/>
    <n v="0"/>
    <n v="14"/>
    <n v="169532.99999999997"/>
    <n v="0"/>
    <n v="0"/>
    <n v="14"/>
    <n v="0"/>
    <n v="0"/>
    <m/>
    <n v="169532.99999999997"/>
    <n v="0"/>
    <n v="0"/>
    <n v="14"/>
    <n v="169532.99999999997"/>
    <n v="0"/>
  </r>
  <r>
    <m/>
    <x v="4"/>
    <x v="21"/>
    <x v="50"/>
    <s v="LTS26-MWS06"/>
    <x v="378"/>
    <x v="347"/>
    <x v="0"/>
    <x v="5"/>
    <n v="1"/>
    <x v="31"/>
    <n v="13"/>
    <m/>
    <n v="0"/>
    <n v="12521"/>
    <n v="162773"/>
    <n v="11.7"/>
    <n v="12782.249999999998"/>
    <n v="22680.672268907565"/>
    <n v="21000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"/>
    <n v="2"/>
    <n v="0.4226495135334532"/>
    <n v="6"/>
    <n v="-1.3918018161792924E-2"/>
    <n v="1"/>
    <n v="0.14456444314672176"/>
    <n v="0"/>
    <s v=""/>
    <n v="0"/>
    <s v=""/>
    <n v="0"/>
    <n v="0"/>
    <s v=""/>
    <n v="0"/>
    <n v="0"/>
    <s v=""/>
    <n v="0"/>
    <n v="0"/>
    <s v=""/>
    <n v="0"/>
    <n v="4"/>
    <n v="9.8834830620822572E-2"/>
    <n v="0.5714285714285714"/>
    <n v="2"/>
    <n v="-4.7627032737211999E-2"/>
    <n v="0.2857142857142857"/>
    <m/>
    <m/>
    <m/>
    <m/>
    <m/>
    <m/>
    <m/>
    <m/>
    <m/>
    <n v="15"/>
    <n v="27"/>
    <n v="15"/>
    <n v="0"/>
    <n v="0"/>
    <n v="0"/>
    <n v="206596.5"/>
    <n v="326956.49999999994"/>
    <n v="187815"/>
    <n v="0"/>
    <n v="13"/>
    <n v="162773"/>
    <n v="285890.82691900292"/>
    <n v="5"/>
    <n v="21"/>
    <n v="1.5"/>
    <n v="0"/>
    <n v="0"/>
    <n v="0"/>
    <n v="18781.5"/>
    <n v="254299.49999999997"/>
    <n v="18781.5"/>
    <n v="0"/>
    <n v="13"/>
    <n v="162773"/>
    <n v="28589.082691900294"/>
    <n v="4"/>
    <n v="20"/>
    <n v="0"/>
    <n v="0"/>
    <n v="0"/>
    <n v="24218.999999999996"/>
    <n v="250420"/>
    <n v="0"/>
    <n v="0"/>
    <n v="13"/>
    <n v="162773"/>
    <n v="0"/>
    <n v="2"/>
    <n v="20"/>
    <n v="0"/>
    <n v="0"/>
    <n v="0"/>
    <n v="242189.99999999997"/>
    <n v="0"/>
    <x v="0"/>
    <x v="0"/>
    <n v="13"/>
    <n v="162773"/>
    <n v="0"/>
    <n v="2"/>
    <n v="13"/>
    <n v="2"/>
    <m/>
    <n v="0"/>
    <n v="0"/>
    <n v="162773"/>
    <n v="24218.999999999996"/>
    <x v="0"/>
    <n v="0"/>
    <n v="13"/>
    <n v="162773"/>
    <n v="45361.34453781513"/>
    <n v="1"/>
    <n v="13"/>
    <n v="0"/>
    <m/>
    <n v="0"/>
    <n v="0"/>
    <n v="162773"/>
    <n v="0"/>
    <n v="0"/>
    <n v="0"/>
    <n v="13"/>
    <n v="162773"/>
    <n v="0"/>
    <n v="7"/>
    <n v="13"/>
    <n v="0"/>
    <n v="0"/>
    <n v="0"/>
    <n v="0"/>
    <n v="162773"/>
    <n v="0"/>
    <n v="0"/>
    <n v="0"/>
    <n v="13"/>
    <n v="162773"/>
    <n v="0"/>
    <n v="7"/>
    <n v="17"/>
    <n v="4"/>
    <n v="0"/>
    <n v="0"/>
    <n v="0"/>
    <n v="212857"/>
    <n v="48437.999999999993"/>
    <n v="0"/>
    <n v="0"/>
    <n v="17"/>
    <n v="212857"/>
    <n v="90722.68907563026"/>
    <n v="7"/>
    <n v="15"/>
    <n v="3"/>
    <n v="0"/>
    <n v="0"/>
    <n v="0"/>
    <n v="181642.49999999997"/>
    <n v="36328.499999999993"/>
    <n v="0"/>
    <n v="0"/>
    <n v="13"/>
    <n v="162773"/>
    <n v="68042.016806722691"/>
    <n v="0"/>
    <n v="12"/>
    <n v="0"/>
    <n v="0"/>
    <n v="0"/>
    <n v="0"/>
    <m/>
    <n v="145313.99999999997"/>
    <n v="0"/>
    <n v="0"/>
    <n v="0"/>
    <n v="12"/>
    <n v="145313.99999999997"/>
    <n v="0"/>
    <n v="0"/>
    <n v="12"/>
    <n v="0"/>
    <m/>
    <n v="0"/>
    <n v="0"/>
    <n v="145313.99999999997"/>
    <n v="0"/>
    <n v="0"/>
    <n v="0"/>
    <n v="12"/>
    <n v="145313.99999999997"/>
    <n v="0"/>
    <n v="0"/>
    <n v="12"/>
    <n v="0"/>
    <n v="0"/>
    <n v="0"/>
    <n v="145313.99999999997"/>
    <n v="0"/>
    <n v="0"/>
    <n v="0"/>
    <n v="12"/>
    <n v="145313.99999999997"/>
    <n v="0"/>
    <n v="0"/>
    <n v="12"/>
    <n v="0"/>
    <n v="0"/>
    <m/>
    <n v="145313.99999999997"/>
    <n v="0"/>
    <n v="0"/>
    <n v="12"/>
    <n v="145313.99999999997"/>
    <n v="0"/>
  </r>
  <r>
    <m/>
    <x v="4"/>
    <x v="21"/>
    <x v="50"/>
    <s v="LTS26-MWS06"/>
    <x v="379"/>
    <x v="347"/>
    <x v="0"/>
    <x v="5"/>
    <n v="1"/>
    <x v="31"/>
    <n v="25"/>
    <m/>
    <n v="0"/>
    <n v="12521"/>
    <n v="313025"/>
    <n v="11.7"/>
    <n v="12782.249999999998"/>
    <n v="22680.672268907565"/>
    <n v="21000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7.9744232218057626E-2"/>
    <n v="0"/>
    <s v=""/>
    <n v="0"/>
    <s v=""/>
    <n v="0"/>
    <n v="0"/>
    <s v=""/>
    <n v="0"/>
    <n v="0"/>
    <s v=""/>
    <n v="0"/>
    <n v="0"/>
    <s v=""/>
    <n v="0"/>
    <n v="2"/>
    <n v="-0.12369941763828955"/>
    <n v="0.22222222222222221"/>
    <n v="1"/>
    <n v="-5.2404976177871938E-2"/>
    <n v="0.1111111111111111"/>
    <m/>
    <m/>
    <m/>
    <m/>
    <m/>
    <m/>
    <m/>
    <m/>
    <m/>
    <n v="15"/>
    <n v="30"/>
    <n v="15"/>
    <n v="0"/>
    <n v="0"/>
    <n v="0"/>
    <n v="206596.5"/>
    <n v="363284.99999999994"/>
    <n v="187815"/>
    <n v="0"/>
    <n v="25"/>
    <n v="313025"/>
    <n v="285890.82691900292"/>
    <n v="4"/>
    <n v="29"/>
    <n v="1.5"/>
    <n v="0"/>
    <n v="0"/>
    <n v="0"/>
    <n v="18781.5"/>
    <n v="351175.49999999994"/>
    <n v="18781.5"/>
    <n v="0"/>
    <n v="25"/>
    <n v="313025"/>
    <n v="28589.082691900294"/>
    <n v="3"/>
    <n v="27"/>
    <n v="0"/>
    <n v="0"/>
    <n v="0"/>
    <n v="16953.299999999996"/>
    <n v="338067"/>
    <n v="0"/>
    <n v="0"/>
    <n v="25"/>
    <n v="313025"/>
    <n v="0"/>
    <n v="1.35"/>
    <n v="27"/>
    <n v="0"/>
    <n v="0"/>
    <n v="0"/>
    <n v="326956.49999999994"/>
    <n v="0"/>
    <x v="0"/>
    <x v="0"/>
    <n v="25"/>
    <n v="313025"/>
    <n v="0"/>
    <n v="1.4"/>
    <n v="25"/>
    <n v="1.4"/>
    <m/>
    <n v="0"/>
    <n v="0"/>
    <n v="313025"/>
    <n v="16953.299999999996"/>
    <x v="0"/>
    <n v="0"/>
    <n v="25"/>
    <n v="313025"/>
    <n v="31752.941176470587"/>
    <n v="1"/>
    <n v="25"/>
    <n v="0"/>
    <m/>
    <n v="0"/>
    <n v="0"/>
    <n v="313025"/>
    <n v="0"/>
    <n v="0"/>
    <n v="0"/>
    <n v="25"/>
    <n v="313025"/>
    <n v="0"/>
    <n v="9"/>
    <n v="25"/>
    <n v="0"/>
    <n v="0"/>
    <n v="0"/>
    <n v="0"/>
    <n v="313025"/>
    <n v="0"/>
    <n v="0"/>
    <n v="0"/>
    <n v="25"/>
    <n v="313025"/>
    <n v="0"/>
    <n v="9"/>
    <n v="27"/>
    <n v="2"/>
    <n v="0"/>
    <n v="0"/>
    <n v="0"/>
    <n v="338067"/>
    <n v="24218.999999999996"/>
    <n v="0"/>
    <n v="0"/>
    <n v="27"/>
    <n v="338067"/>
    <n v="45361.34453781513"/>
    <n v="9"/>
    <n v="26"/>
    <n v="1.5"/>
    <n v="0"/>
    <n v="0"/>
    <n v="0"/>
    <n v="314846.99999999994"/>
    <n v="18164.249999999996"/>
    <n v="0"/>
    <n v="0"/>
    <n v="25"/>
    <n v="313025"/>
    <n v="34021.008403361346"/>
    <n v="0"/>
    <n v="24.5"/>
    <n v="0"/>
    <n v="0"/>
    <n v="0"/>
    <n v="0"/>
    <m/>
    <n v="296682.74999999994"/>
    <n v="0"/>
    <n v="0"/>
    <n v="0"/>
    <n v="24.5"/>
    <n v="296682.74999999994"/>
    <n v="0"/>
    <n v="0"/>
    <n v="24.5"/>
    <n v="0"/>
    <m/>
    <n v="0"/>
    <n v="0"/>
    <n v="296682.74999999994"/>
    <n v="0"/>
    <n v="0"/>
    <n v="0"/>
    <n v="24.5"/>
    <n v="296682.74999999994"/>
    <n v="0"/>
    <n v="0"/>
    <n v="24.5"/>
    <n v="0"/>
    <n v="0"/>
    <n v="0"/>
    <n v="296682.74999999994"/>
    <n v="0"/>
    <n v="0"/>
    <n v="0"/>
    <n v="24.5"/>
    <n v="296682.74999999994"/>
    <n v="0"/>
    <n v="0"/>
    <n v="24.5"/>
    <n v="0"/>
    <n v="0"/>
    <m/>
    <n v="296682.74999999994"/>
    <n v="0"/>
    <n v="0"/>
    <n v="24.5"/>
    <n v="296682.74999999994"/>
    <n v="0"/>
  </r>
  <r>
    <m/>
    <x v="4"/>
    <x v="21"/>
    <x v="50"/>
    <s v="LTS26-MWS06"/>
    <x v="380"/>
    <x v="347"/>
    <x v="0"/>
    <x v="5"/>
    <n v="1"/>
    <x v="236"/>
    <n v="4"/>
    <m/>
    <n v="0"/>
    <n v="12521"/>
    <n v="50084"/>
    <n v="11.7"/>
    <n v="12782.249999999998"/>
    <n v="22680.672268907565"/>
    <n v="21000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46097550475698479"/>
    <n v="14"/>
    <n v="3.3869198009198853E-2"/>
    <n v="1"/>
    <n v="0.29504796963690777"/>
    <n v="1"/>
    <n v="0.46646972157336086"/>
    <n v="0"/>
    <s v=""/>
    <n v="0"/>
    <n v="0"/>
    <s v=""/>
    <n v="0"/>
    <n v="1"/>
    <n v="0.13771428571428571"/>
    <n v="1"/>
    <n v="1"/>
    <n v="0.17178599221789884"/>
    <n v="0.25"/>
    <n v="2"/>
    <n v="-0.12369941763828955"/>
    <n v="0.5"/>
    <n v="2"/>
    <n v="7.9460529699151433E-2"/>
    <n v="0.5"/>
    <m/>
    <m/>
    <m/>
    <m/>
    <m/>
    <m/>
    <m/>
    <m/>
    <m/>
    <n v="15"/>
    <n v="26"/>
    <n v="15"/>
    <n v="0"/>
    <n v="0"/>
    <n v="0"/>
    <n v="219117.5"/>
    <n v="314846.99999999994"/>
    <n v="187815"/>
    <n v="0"/>
    <n v="4"/>
    <n v="50084"/>
    <n v="285890.82691900292"/>
    <n v="5"/>
    <n v="10"/>
    <n v="1.5"/>
    <n v="0"/>
    <n v="0"/>
    <n v="0"/>
    <n v="31302.5"/>
    <n v="121094.99999999999"/>
    <n v="18781.5"/>
    <n v="0"/>
    <n v="4"/>
    <n v="50084"/>
    <n v="28589.082691900294"/>
    <n v="4"/>
    <n v="9"/>
    <n v="1"/>
    <n v="0"/>
    <n v="0"/>
    <n v="36740"/>
    <n v="112689"/>
    <n v="12521"/>
    <n v="0"/>
    <n v="4"/>
    <n v="50084"/>
    <n v="22680.672268907565"/>
    <n v="2"/>
    <n v="10"/>
    <n v="0"/>
    <n v="0"/>
    <n v="0"/>
    <n v="121094.99999999999"/>
    <n v="0"/>
    <x v="0"/>
    <x v="0"/>
    <n v="4"/>
    <n v="50084"/>
    <n v="0"/>
    <n v="2"/>
    <n v="4"/>
    <n v="2"/>
    <m/>
    <n v="0"/>
    <n v="0"/>
    <n v="50084"/>
    <n v="24218.999999999996"/>
    <x v="0"/>
    <n v="0"/>
    <n v="4"/>
    <n v="50084"/>
    <n v="45361.34453781513"/>
    <n v="1"/>
    <n v="5"/>
    <n v="1"/>
    <m/>
    <n v="0"/>
    <n v="0"/>
    <n v="62605"/>
    <n v="12109.499999999998"/>
    <n v="0"/>
    <n v="0"/>
    <n v="5"/>
    <n v="50084"/>
    <n v="22680.672268907565"/>
    <n v="4"/>
    <n v="5"/>
    <n v="1"/>
    <n v="0"/>
    <n v="0"/>
    <n v="0"/>
    <n v="62605"/>
    <n v="12109.499999999998"/>
    <n v="0"/>
    <n v="0"/>
    <n v="5"/>
    <n v="50084"/>
    <n v="22680.672268907565"/>
    <n v="4"/>
    <n v="6"/>
    <n v="2"/>
    <n v="0"/>
    <n v="0"/>
    <n v="0"/>
    <n v="75126"/>
    <n v="24218.999999999996"/>
    <n v="0"/>
    <n v="0"/>
    <n v="6"/>
    <n v="75126"/>
    <n v="45361.34453781513"/>
    <n v="4"/>
    <n v="6"/>
    <n v="1.5"/>
    <n v="0"/>
    <n v="0"/>
    <n v="0"/>
    <n v="72656.999999999985"/>
    <n v="18164.249999999996"/>
    <n v="0"/>
    <n v="0"/>
    <n v="4"/>
    <n v="50084"/>
    <n v="34021.008403361346"/>
    <n v="0"/>
    <n v="4.5"/>
    <n v="0"/>
    <n v="0"/>
    <n v="0"/>
    <n v="0"/>
    <m/>
    <n v="54492.749999999993"/>
    <n v="0"/>
    <n v="0"/>
    <n v="0"/>
    <n v="4.5"/>
    <n v="54492.749999999993"/>
    <n v="0"/>
    <n v="0"/>
    <n v="4.5"/>
    <n v="0"/>
    <m/>
    <n v="0"/>
    <n v="0"/>
    <n v="54492.749999999993"/>
    <n v="0"/>
    <n v="0"/>
    <n v="0"/>
    <n v="4.5"/>
    <n v="54492.749999999993"/>
    <n v="0"/>
    <n v="0"/>
    <n v="4.5"/>
    <n v="0"/>
    <n v="0"/>
    <n v="0"/>
    <n v="54492.749999999993"/>
    <n v="0"/>
    <n v="0"/>
    <n v="0"/>
    <n v="4.5"/>
    <n v="54492.749999999993"/>
    <n v="0"/>
    <n v="0"/>
    <n v="4.5"/>
    <n v="0"/>
    <n v="0"/>
    <m/>
    <n v="54492.749999999993"/>
    <n v="0"/>
    <n v="0"/>
    <n v="4.5"/>
    <n v="54492.749999999993"/>
    <n v="0"/>
  </r>
  <r>
    <m/>
    <x v="4"/>
    <x v="21"/>
    <x v="50"/>
    <s v="LTS26-MWS06"/>
    <x v="381"/>
    <x v="347"/>
    <x v="0"/>
    <x v="5"/>
    <n v="1"/>
    <x v="31"/>
    <n v="13"/>
    <m/>
    <n v="0"/>
    <n v="12521"/>
    <n v="162773"/>
    <n v="11.7"/>
    <n v="12782.249999999998"/>
    <n v="22680.672268907565"/>
    <n v="21000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62740663591727419"/>
    <n v="1"/>
    <n v="0.40860570564897036"/>
    <n v="5"/>
    <n v="-7.7696295988696235E-2"/>
    <n v="1"/>
    <n v="7.9744232218057626E-2"/>
    <n v="1"/>
    <n v="0.4479520199608078"/>
    <n v="0"/>
    <s v=""/>
    <n v="0"/>
    <n v="0"/>
    <s v=""/>
    <n v="0"/>
    <n v="0"/>
    <s v=""/>
    <n v="0"/>
    <n v="0"/>
    <s v=""/>
    <n v="0"/>
    <n v="5"/>
    <n v="-9.2856261015020203E-3"/>
    <n v="0.83333333333333337"/>
    <n v="2"/>
    <n v="-5.5179418254764287E-2"/>
    <n v="0.33333333333333331"/>
    <m/>
    <m/>
    <m/>
    <m/>
    <m/>
    <m/>
    <m/>
    <m/>
    <m/>
    <n v="15"/>
    <n v="27"/>
    <n v="15"/>
    <n v="0"/>
    <n v="0"/>
    <n v="0"/>
    <n v="219117.5"/>
    <n v="326956.49999999994"/>
    <n v="187815"/>
    <n v="0"/>
    <n v="13"/>
    <n v="162773"/>
    <n v="285890.82691900292"/>
    <n v="4"/>
    <n v="21"/>
    <n v="1.5"/>
    <n v="0"/>
    <n v="0"/>
    <n v="0"/>
    <n v="31302.5"/>
    <n v="254299.49999999997"/>
    <n v="18781.5"/>
    <n v="0"/>
    <n v="13"/>
    <n v="162773"/>
    <n v="28589.082691900294"/>
    <n v="3"/>
    <n v="20"/>
    <n v="1"/>
    <n v="0"/>
    <n v="0"/>
    <n v="29474.299999999996"/>
    <n v="250420"/>
    <n v="12521"/>
    <n v="0"/>
    <n v="13"/>
    <n v="162773"/>
    <n v="22680.672268907565"/>
    <n v="1.4"/>
    <n v="19"/>
    <n v="0"/>
    <n v="0"/>
    <n v="0"/>
    <n v="230080.49999999997"/>
    <n v="0"/>
    <x v="0"/>
    <x v="0"/>
    <n v="13"/>
    <n v="162773"/>
    <n v="0"/>
    <n v="1.4"/>
    <n v="13"/>
    <n v="1.4"/>
    <m/>
    <n v="0"/>
    <n v="0"/>
    <n v="162773"/>
    <n v="16953.299999999996"/>
    <x v="0"/>
    <n v="0"/>
    <n v="13"/>
    <n v="162773"/>
    <n v="31752.941176470587"/>
    <n v="1"/>
    <n v="13"/>
    <n v="0"/>
    <m/>
    <n v="0"/>
    <n v="0"/>
    <n v="162773"/>
    <n v="0"/>
    <n v="0"/>
    <n v="0"/>
    <n v="13"/>
    <n v="162773"/>
    <n v="0"/>
    <n v="6"/>
    <n v="13"/>
    <n v="0"/>
    <n v="0"/>
    <n v="0"/>
    <n v="0"/>
    <n v="162773"/>
    <n v="0"/>
    <n v="0"/>
    <n v="0"/>
    <n v="13"/>
    <n v="162773"/>
    <n v="0"/>
    <n v="6"/>
    <n v="18"/>
    <n v="5"/>
    <n v="0"/>
    <n v="0"/>
    <n v="0"/>
    <n v="225378"/>
    <n v="60547.499999999993"/>
    <n v="0"/>
    <n v="0"/>
    <n v="18"/>
    <n v="225378"/>
    <n v="113403.36134453783"/>
    <n v="6"/>
    <n v="15"/>
    <n v="1.5"/>
    <n v="0"/>
    <n v="0"/>
    <n v="0"/>
    <n v="181642.49999999997"/>
    <n v="18164.249999999996"/>
    <n v="0"/>
    <n v="0"/>
    <n v="13"/>
    <n v="162773"/>
    <n v="34021.008403361346"/>
    <n v="0"/>
    <n v="13.5"/>
    <n v="0"/>
    <n v="0"/>
    <n v="0"/>
    <n v="0"/>
    <m/>
    <n v="163478.24999999997"/>
    <n v="0"/>
    <n v="0"/>
    <n v="0"/>
    <n v="13.5"/>
    <n v="163478.24999999997"/>
    <n v="0"/>
    <n v="0"/>
    <n v="13.5"/>
    <n v="0"/>
    <m/>
    <n v="0"/>
    <n v="0"/>
    <n v="163478.24999999997"/>
    <n v="0"/>
    <n v="0"/>
    <n v="0"/>
    <n v="13.5"/>
    <n v="163478.24999999997"/>
    <n v="0"/>
    <n v="0"/>
    <n v="13.5"/>
    <n v="0"/>
    <n v="0"/>
    <n v="0"/>
    <n v="163478.24999999997"/>
    <n v="0"/>
    <n v="0"/>
    <n v="0"/>
    <n v="13.5"/>
    <n v="163478.24999999997"/>
    <n v="0"/>
    <n v="0"/>
    <n v="13.5"/>
    <n v="0"/>
    <n v="0"/>
    <m/>
    <n v="163478.24999999997"/>
    <n v="0"/>
    <n v="0"/>
    <n v="13.5"/>
    <n v="163478.24999999997"/>
    <n v="0"/>
  </r>
  <r>
    <m/>
    <x v="4"/>
    <x v="21"/>
    <x v="50"/>
    <s v="LTS26-MWS06"/>
    <x v="382"/>
    <x v="347"/>
    <x v="0"/>
    <x v="5"/>
    <n v="1"/>
    <x v="31"/>
    <n v="1"/>
    <m/>
    <n v="0"/>
    <n v="12521"/>
    <n v="12521"/>
    <n v="11.7"/>
    <n v="12782.249999999998"/>
    <n v="22680.672268907565"/>
    <n v="21000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45709578112127652"/>
    <n v="0"/>
    <s v=""/>
    <n v="6"/>
    <n v="8.6398467786783825E-2"/>
    <n v="2"/>
    <n v="0.30989059246544276"/>
    <n v="0"/>
    <s v=""/>
    <n v="1"/>
    <n v="0.4479520199608078"/>
    <n v="1"/>
    <n v="0"/>
    <s v=""/>
    <n v="0"/>
    <n v="0"/>
    <s v=""/>
    <n v="0"/>
    <n v="0"/>
    <s v=""/>
    <n v="0"/>
    <n v="2"/>
    <n v="-0.12369941763828955"/>
    <n v="2"/>
    <n v="1"/>
    <n v="6.8560583207642023E-2"/>
    <n v="1"/>
    <m/>
    <m/>
    <m/>
    <m/>
    <m/>
    <m/>
    <m/>
    <m/>
    <m/>
    <n v="5"/>
    <n v="13"/>
    <n v="5"/>
    <n v="0"/>
    <n v="0"/>
    <n v="0"/>
    <n v="100168"/>
    <n v="157423.49999999997"/>
    <n v="62605"/>
    <n v="0"/>
    <n v="1"/>
    <n v="12521"/>
    <n v="95296.942306334313"/>
    <n v="3"/>
    <n v="6"/>
    <n v="3"/>
    <n v="0"/>
    <n v="0"/>
    <n v="0"/>
    <n v="50084"/>
    <n v="72656.999999999985"/>
    <n v="37563"/>
    <n v="0"/>
    <n v="1"/>
    <n v="12521"/>
    <n v="57178.165383800588"/>
    <n v="2"/>
    <n v="4"/>
    <n v="0"/>
    <n v="0"/>
    <n v="0"/>
    <n v="24630.5"/>
    <n v="50084"/>
    <n v="0"/>
    <n v="0"/>
    <n v="1"/>
    <n v="12521"/>
    <n v="0"/>
    <n v="1"/>
    <n v="4"/>
    <n v="1"/>
    <n v="0"/>
    <n v="0"/>
    <n v="48437.999999999993"/>
    <n v="12521"/>
    <x v="0"/>
    <x v="0"/>
    <n v="1"/>
    <n v="12521"/>
    <n v="22680.672268907565"/>
    <n v="1"/>
    <n v="1"/>
    <n v="1"/>
    <m/>
    <n v="0"/>
    <n v="0"/>
    <n v="12521"/>
    <n v="12109.499999999998"/>
    <x v="0"/>
    <n v="0"/>
    <n v="1"/>
    <n v="12521"/>
    <n v="22680.672268907565"/>
    <n v="1"/>
    <n v="1"/>
    <n v="0"/>
    <m/>
    <n v="0"/>
    <n v="0"/>
    <n v="12521"/>
    <n v="0"/>
    <n v="0"/>
    <n v="0"/>
    <n v="1"/>
    <n v="12521"/>
    <n v="0"/>
    <n v="1"/>
    <n v="1"/>
    <n v="0"/>
    <n v="0"/>
    <n v="0"/>
    <n v="0"/>
    <n v="12521"/>
    <n v="0"/>
    <n v="0"/>
    <n v="0"/>
    <n v="1"/>
    <n v="12521"/>
    <n v="0"/>
    <n v="1"/>
    <n v="3"/>
    <n v="2"/>
    <n v="0"/>
    <n v="0"/>
    <n v="0"/>
    <n v="37563"/>
    <n v="24218.999999999996"/>
    <n v="0"/>
    <n v="0"/>
    <n v="3"/>
    <n v="37563"/>
    <n v="45361.34453781513"/>
    <n v="1"/>
    <n v="2"/>
    <n v="0"/>
    <n v="0"/>
    <n v="0"/>
    <n v="0"/>
    <n v="24218.999999999996"/>
    <n v="0"/>
    <n v="0"/>
    <n v="0"/>
    <n v="1"/>
    <n v="12521"/>
    <n v="0"/>
    <n v="0"/>
    <n v="2"/>
    <n v="0"/>
    <n v="0"/>
    <n v="0"/>
    <n v="0"/>
    <m/>
    <n v="24218.999999999996"/>
    <n v="0"/>
    <n v="0"/>
    <n v="0"/>
    <n v="2"/>
    <n v="24218.999999999996"/>
    <n v="0"/>
    <n v="0"/>
    <n v="2"/>
    <n v="0"/>
    <m/>
    <n v="0"/>
    <n v="0"/>
    <n v="24218.999999999996"/>
    <n v="0"/>
    <n v="0"/>
    <n v="0"/>
    <n v="2"/>
    <n v="24218.999999999996"/>
    <n v="0"/>
    <n v="0"/>
    <n v="2"/>
    <n v="0"/>
    <n v="0"/>
    <n v="0"/>
    <n v="24218.999999999996"/>
    <n v="0"/>
    <n v="0"/>
    <n v="0"/>
    <n v="2"/>
    <n v="24218.999999999996"/>
    <n v="0"/>
    <n v="0"/>
    <n v="2"/>
    <n v="0"/>
    <n v="0"/>
    <m/>
    <n v="24218.999999999996"/>
    <n v="0"/>
    <n v="0"/>
    <n v="2"/>
    <n v="24218.999999999996"/>
    <n v="0"/>
  </r>
  <r>
    <m/>
    <x v="4"/>
    <x v="21"/>
    <x v="50"/>
    <s v="LTS26-MWS06"/>
    <x v="383"/>
    <x v="347"/>
    <x v="0"/>
    <x v="5"/>
    <n v="1"/>
    <x v="237"/>
    <n v="7"/>
    <m/>
    <n v="0"/>
    <n v="12521"/>
    <n v="87647"/>
    <n v="11.7"/>
    <n v="12782.249999999998"/>
    <n v="22680.672268907565"/>
    <n v="21000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5"/>
    <n v="0.14812415102314769"/>
    <n v="1"/>
    <n v="0.14456444314672176"/>
    <n v="0"/>
    <s v=""/>
    <n v="1"/>
    <n v="0.4479520199608078"/>
    <n v="1.4285714285714286"/>
    <n v="0"/>
    <s v=""/>
    <n v="0"/>
    <n v="1"/>
    <n v="0.25460880440220107"/>
    <n v="1"/>
    <n v="0"/>
    <s v=""/>
    <n v="0"/>
    <n v="2"/>
    <n v="-0.12369941763828955"/>
    <n v="0.5"/>
    <n v="1"/>
    <n v="2.1892666333166583E-2"/>
    <n v="0.25"/>
    <m/>
    <m/>
    <m/>
    <m/>
    <m/>
    <m/>
    <m/>
    <m/>
    <m/>
    <n v="5"/>
    <n v="15"/>
    <n v="5"/>
    <n v="0"/>
    <n v="0"/>
    <n v="0"/>
    <n v="81386.5"/>
    <n v="181642.49999999997"/>
    <n v="62605"/>
    <n v="0"/>
    <n v="7"/>
    <n v="87647"/>
    <n v="95296.942306334313"/>
    <n v="1.536"/>
    <n v="10"/>
    <n v="1.5"/>
    <n v="0"/>
    <n v="0"/>
    <n v="0"/>
    <n v="31302.5"/>
    <n v="121094.99999999999"/>
    <n v="18781.5"/>
    <n v="0"/>
    <n v="7"/>
    <n v="87647"/>
    <n v="28589.082691900294"/>
    <n v="2"/>
    <n v="9"/>
    <n v="0"/>
    <n v="0"/>
    <n v="0"/>
    <n v="20997.649999999998"/>
    <n v="112689"/>
    <n v="0"/>
    <n v="0"/>
    <n v="7"/>
    <n v="87647"/>
    <n v="0"/>
    <n v="0.7"/>
    <n v="9"/>
    <n v="1"/>
    <n v="0"/>
    <n v="0"/>
    <n v="108985.49999999999"/>
    <n v="12521"/>
    <x v="0"/>
    <x v="0"/>
    <n v="7"/>
    <n v="87647"/>
    <n v="22680.672268907565"/>
    <n v="0.7"/>
    <n v="7"/>
    <n v="0.7"/>
    <m/>
    <n v="0"/>
    <n v="0"/>
    <n v="87647"/>
    <n v="8476.6499999999978"/>
    <x v="0"/>
    <n v="0"/>
    <n v="7"/>
    <n v="87647"/>
    <n v="15876.470588235294"/>
    <n v="1"/>
    <n v="8"/>
    <n v="1"/>
    <m/>
    <n v="0"/>
    <n v="0"/>
    <n v="100168"/>
    <n v="12109.499999999998"/>
    <n v="0"/>
    <n v="0"/>
    <n v="8"/>
    <n v="87647"/>
    <n v="22680.672268907565"/>
    <n v="4"/>
    <n v="7"/>
    <n v="0"/>
    <n v="0"/>
    <n v="0"/>
    <n v="0"/>
    <n v="87647"/>
    <n v="0"/>
    <n v="0"/>
    <n v="0"/>
    <n v="7"/>
    <n v="87647"/>
    <n v="0"/>
    <n v="4"/>
    <n v="9"/>
    <n v="2"/>
    <n v="0"/>
    <n v="0"/>
    <n v="0"/>
    <n v="112689"/>
    <n v="24218.999999999996"/>
    <n v="0"/>
    <n v="0"/>
    <n v="9"/>
    <n v="112689"/>
    <n v="45361.34453781513"/>
    <n v="4"/>
    <n v="8"/>
    <n v="1.5"/>
    <n v="0"/>
    <n v="0"/>
    <n v="0"/>
    <n v="96875.999999999985"/>
    <n v="18164.249999999996"/>
    <n v="0"/>
    <n v="0"/>
    <n v="7"/>
    <n v="87647"/>
    <n v="34021.008403361346"/>
    <n v="0"/>
    <n v="6.5"/>
    <n v="0"/>
    <n v="0"/>
    <n v="0"/>
    <n v="0"/>
    <m/>
    <n v="78711.749999999985"/>
    <n v="0"/>
    <n v="0"/>
    <n v="0"/>
    <n v="6.5"/>
    <n v="78711.749999999985"/>
    <n v="0"/>
    <n v="0"/>
    <n v="6.5"/>
    <n v="0"/>
    <m/>
    <n v="0"/>
    <n v="0"/>
    <n v="78711.749999999985"/>
    <n v="0"/>
    <n v="0"/>
    <n v="0"/>
    <n v="6.5"/>
    <n v="78711.749999999985"/>
    <n v="0"/>
    <n v="0"/>
    <n v="6.5"/>
    <n v="0"/>
    <n v="0"/>
    <n v="0"/>
    <n v="78711.749999999985"/>
    <n v="0"/>
    <n v="0"/>
    <n v="0"/>
    <n v="6.5"/>
    <n v="78711.749999999985"/>
    <n v="0"/>
    <n v="0"/>
    <n v="6.5"/>
    <n v="0"/>
    <n v="0"/>
    <m/>
    <n v="78711.749999999985"/>
    <n v="0"/>
    <n v="0"/>
    <n v="6.5"/>
    <n v="78711.749999999985"/>
    <n v="0"/>
  </r>
  <r>
    <m/>
    <x v="4"/>
    <x v="21"/>
    <x v="50"/>
    <s v="LTS26-WLG02"/>
    <x v="384"/>
    <x v="348"/>
    <x v="0"/>
    <x v="5"/>
    <n v="1"/>
    <x v="238"/>
    <n v="19"/>
    <m/>
    <n v="0"/>
    <n v="6274"/>
    <n v="119206"/>
    <n v="5.7"/>
    <n v="6227.2499999999991"/>
    <n v="12596.638655462186"/>
    <n v="10915.966386554623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5605519366813756"/>
    <n v="0"/>
    <s v=""/>
    <n v="1"/>
    <n v="0.50194491798152463"/>
    <n v="0"/>
    <s v=""/>
    <n v="0"/>
    <s v=""/>
    <n v="0"/>
    <n v="0"/>
    <s v=""/>
    <n v="0"/>
    <n v="1"/>
    <s v=""/>
    <n v="0.16666666666666666"/>
    <n v="0"/>
    <s v=""/>
    <n v="0"/>
    <n v="0"/>
    <s v=""/>
    <n v="0"/>
    <n v="0"/>
    <s v=""/>
    <n v="0"/>
    <m/>
    <m/>
    <m/>
    <m/>
    <m/>
    <m/>
    <m/>
    <m/>
    <m/>
    <n v="5"/>
    <n v="14"/>
    <n v="5"/>
    <n v="0"/>
    <n v="0"/>
    <n v="0"/>
    <n v="40781"/>
    <n v="82592.999999999985"/>
    <n v="31370"/>
    <n v="0"/>
    <n v="19"/>
    <n v="119206"/>
    <n v="52927.053174210872"/>
    <n v="3"/>
    <n v="20"/>
    <n v="1.5"/>
    <n v="0"/>
    <n v="0"/>
    <n v="0"/>
    <n v="9411"/>
    <n v="117989.99999999999"/>
    <n v="9411"/>
    <n v="0"/>
    <n v="19"/>
    <n v="119206"/>
    <n v="15878.115952263261"/>
    <n v="3"/>
    <n v="20"/>
    <n v="0"/>
    <n v="0"/>
    <n v="0"/>
    <n v="17698.499999999996"/>
    <n v="125480"/>
    <n v="0"/>
    <n v="0"/>
    <n v="19"/>
    <n v="119206"/>
    <n v="0"/>
    <n v="3"/>
    <n v="20"/>
    <n v="0"/>
    <n v="0"/>
    <n v="0"/>
    <n v="117989.99999999999"/>
    <n v="0"/>
    <x v="0"/>
    <x v="0"/>
    <n v="19"/>
    <n v="119206"/>
    <n v="0"/>
    <n v="3"/>
    <n v="19"/>
    <n v="3"/>
    <m/>
    <n v="0"/>
    <n v="0"/>
    <n v="119206"/>
    <n v="17698.499999999996"/>
    <x v="0"/>
    <n v="0"/>
    <n v="19"/>
    <n v="119206"/>
    <n v="37789.915966386558"/>
    <n v="6"/>
    <n v="20"/>
    <n v="1"/>
    <m/>
    <n v="0"/>
    <n v="0"/>
    <n v="125480"/>
    <n v="5899.4999999999991"/>
    <n v="0"/>
    <n v="0"/>
    <n v="20"/>
    <n v="119206"/>
    <n v="12596.638655462186"/>
    <n v="7"/>
    <n v="19"/>
    <n v="0"/>
    <n v="0"/>
    <n v="0"/>
    <n v="0"/>
    <n v="119206"/>
    <n v="0"/>
    <n v="0"/>
    <n v="0"/>
    <n v="19"/>
    <n v="119206"/>
    <n v="0"/>
    <n v="7"/>
    <n v="19"/>
    <n v="0"/>
    <n v="0"/>
    <n v="0"/>
    <n v="0"/>
    <n v="119206"/>
    <n v="0"/>
    <n v="0"/>
    <n v="0"/>
    <n v="19"/>
    <n v="119206"/>
    <n v="0"/>
    <n v="7"/>
    <n v="19"/>
    <n v="0"/>
    <n v="0"/>
    <n v="0"/>
    <n v="0"/>
    <n v="112090.49999999999"/>
    <n v="0"/>
    <n v="0"/>
    <n v="0"/>
    <n v="19"/>
    <n v="119206"/>
    <n v="0"/>
    <n v="0"/>
    <n v="19"/>
    <n v="0"/>
    <n v="0"/>
    <n v="0"/>
    <n v="0"/>
    <m/>
    <n v="112090.49999999999"/>
    <n v="0"/>
    <n v="0"/>
    <n v="0"/>
    <n v="19"/>
    <n v="112090.49999999999"/>
    <n v="0"/>
    <n v="0"/>
    <n v="19"/>
    <n v="0"/>
    <m/>
    <n v="0"/>
    <n v="0"/>
    <n v="112090.49999999999"/>
    <n v="0"/>
    <n v="0"/>
    <n v="0"/>
    <n v="19"/>
    <n v="112090.49999999999"/>
    <n v="0"/>
    <n v="0"/>
    <n v="19"/>
    <n v="0"/>
    <n v="0"/>
    <n v="0"/>
    <n v="112090.49999999999"/>
    <n v="0"/>
    <n v="0"/>
    <n v="0"/>
    <n v="19"/>
    <n v="112090.49999999999"/>
    <n v="0"/>
    <n v="0"/>
    <n v="19"/>
    <n v="0"/>
    <n v="0"/>
    <m/>
    <n v="112090.49999999999"/>
    <n v="0"/>
    <n v="0"/>
    <n v="19"/>
    <n v="112090.49999999999"/>
    <n v="0"/>
  </r>
  <r>
    <m/>
    <x v="4"/>
    <x v="21"/>
    <x v="50"/>
    <s v="LTS26-WLG02"/>
    <x v="385"/>
    <x v="348"/>
    <x v="0"/>
    <x v="2"/>
    <n v="1"/>
    <x v="31"/>
    <n v="23"/>
    <m/>
    <n v="0"/>
    <n v="6434"/>
    <n v="147982"/>
    <n v="5.7"/>
    <n v="6227.2499999999991"/>
    <n v="12596.638655462186"/>
    <n v="10915.966386554623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2"/>
    <s v=""/>
    <n v="0.25"/>
    <m/>
    <m/>
    <m/>
    <m/>
    <m/>
    <m/>
    <m/>
    <m/>
    <m/>
    <n v="5"/>
    <n v="25"/>
    <n v="5"/>
    <n v="0"/>
    <n v="0"/>
    <n v="0"/>
    <n v="32170"/>
    <n v="147487.49999999997"/>
    <n v="32170"/>
    <n v="0"/>
    <n v="23"/>
    <n v="147982"/>
    <n v="52927.053174210872"/>
    <n v="3"/>
    <n v="24"/>
    <n v="0"/>
    <n v="0"/>
    <n v="0"/>
    <n v="0"/>
    <n v="0"/>
    <n v="141587.99999999997"/>
    <n v="0"/>
    <n v="0"/>
    <n v="23"/>
    <n v="147982"/>
    <n v="0"/>
    <n v="3"/>
    <n v="25"/>
    <n v="0"/>
    <n v="0"/>
    <n v="0"/>
    <n v="17698.499999999996"/>
    <n v="160850"/>
    <n v="0"/>
    <n v="0"/>
    <n v="23"/>
    <n v="147982"/>
    <n v="0"/>
    <n v="3"/>
    <n v="25"/>
    <n v="0"/>
    <n v="0"/>
    <n v="0"/>
    <n v="147487.49999999997"/>
    <n v="0"/>
    <x v="0"/>
    <x v="0"/>
    <n v="23"/>
    <n v="147982"/>
    <n v="0"/>
    <n v="3"/>
    <n v="23"/>
    <n v="3"/>
    <m/>
    <n v="0"/>
    <n v="0"/>
    <n v="147982"/>
    <n v="17698.499999999996"/>
    <x v="0"/>
    <n v="0"/>
    <n v="23"/>
    <n v="147982"/>
    <n v="37789.915966386558"/>
    <n v="6"/>
    <n v="23"/>
    <n v="0"/>
    <m/>
    <n v="0"/>
    <n v="0"/>
    <n v="147982"/>
    <n v="0"/>
    <n v="0"/>
    <n v="0"/>
    <n v="23"/>
    <n v="147982"/>
    <n v="0"/>
    <n v="8"/>
    <n v="23"/>
    <n v="0"/>
    <n v="0"/>
    <n v="0"/>
    <n v="0"/>
    <n v="147982"/>
    <n v="0"/>
    <n v="0"/>
    <n v="0"/>
    <n v="23"/>
    <n v="147982"/>
    <n v="0"/>
    <n v="8"/>
    <n v="23"/>
    <n v="0"/>
    <n v="0"/>
    <n v="0"/>
    <n v="0"/>
    <n v="147982"/>
    <n v="0"/>
    <n v="0"/>
    <n v="0"/>
    <n v="23"/>
    <n v="147982"/>
    <n v="0"/>
    <n v="8"/>
    <n v="25"/>
    <n v="3"/>
    <n v="0"/>
    <n v="0"/>
    <n v="0"/>
    <n v="147487.49999999997"/>
    <n v="17698.499999999996"/>
    <n v="0"/>
    <n v="0"/>
    <n v="23"/>
    <n v="147982"/>
    <n v="37789.915966386558"/>
    <n v="0"/>
    <n v="22"/>
    <n v="0"/>
    <n v="0"/>
    <n v="0"/>
    <n v="0"/>
    <m/>
    <n v="129788.99999999999"/>
    <n v="0"/>
    <n v="0"/>
    <n v="0"/>
    <n v="22"/>
    <n v="129788.99999999999"/>
    <n v="0"/>
    <n v="0"/>
    <n v="22"/>
    <n v="0"/>
    <m/>
    <n v="0"/>
    <n v="0"/>
    <n v="129788.99999999999"/>
    <n v="0"/>
    <n v="0"/>
    <n v="0"/>
    <n v="22"/>
    <n v="129788.99999999999"/>
    <n v="0"/>
    <n v="0"/>
    <n v="22"/>
    <n v="0"/>
    <n v="0"/>
    <n v="0"/>
    <n v="129788.99999999999"/>
    <n v="0"/>
    <n v="0"/>
    <n v="0"/>
    <n v="22"/>
    <n v="129788.99999999999"/>
    <n v="0"/>
    <n v="0"/>
    <n v="22"/>
    <n v="0"/>
    <n v="0"/>
    <m/>
    <n v="129788.99999999999"/>
    <n v="0"/>
    <n v="0"/>
    <n v="22"/>
    <n v="129788.99999999999"/>
    <n v="0"/>
  </r>
  <r>
    <m/>
    <x v="4"/>
    <x v="21"/>
    <x v="50"/>
    <s v="LTS26-WLG02"/>
    <x v="386"/>
    <x v="348"/>
    <x v="0"/>
    <x v="5"/>
    <n v="1"/>
    <x v="239"/>
    <n v="32"/>
    <m/>
    <n v="0"/>
    <n v="6100"/>
    <n v="195200"/>
    <n v="5.7"/>
    <n v="6227.2499999999991"/>
    <n v="12596.638655462186"/>
    <n v="10915.966386554623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1111111111111111"/>
    <n v="1"/>
    <n v="0.49736322225651325"/>
    <n v="0"/>
    <s v=""/>
    <n v="1"/>
    <n v="0"/>
    <n v="1"/>
    <n v="0.28641139887428174"/>
    <n v="0.33333333333333331"/>
    <n v="1"/>
    <n v="0.51577251501000665"/>
    <n v="0.33333333333333331"/>
    <n v="0"/>
    <s v=""/>
    <n v="0"/>
    <n v="0"/>
    <s v=""/>
    <n v="0"/>
    <n v="0"/>
    <s v=""/>
    <n v="0"/>
    <n v="1"/>
    <n v="-5.1746746746746751E-2"/>
    <n v="9.0909090909090912E-2"/>
    <m/>
    <m/>
    <m/>
    <m/>
    <m/>
    <m/>
    <m/>
    <m/>
    <m/>
    <n v="5"/>
    <n v="34"/>
    <n v="5"/>
    <n v="0"/>
    <n v="0"/>
    <n v="0"/>
    <n v="36600"/>
    <n v="200582.99999999997"/>
    <n v="30500"/>
    <n v="0"/>
    <n v="32"/>
    <n v="195200"/>
    <n v="52927.053174210872"/>
    <n v="3"/>
    <n v="34"/>
    <n v="0"/>
    <n v="0"/>
    <n v="0"/>
    <n v="0"/>
    <n v="12200"/>
    <n v="200582.99999999997"/>
    <n v="0"/>
    <n v="0"/>
    <n v="32"/>
    <n v="195200"/>
    <n v="0"/>
    <n v="3"/>
    <n v="34"/>
    <n v="1"/>
    <n v="0"/>
    <n v="0"/>
    <n v="29898.499999999996"/>
    <n v="207400"/>
    <n v="6100"/>
    <n v="0"/>
    <n v="32"/>
    <n v="195200"/>
    <n v="12596.638655462186"/>
    <n v="3"/>
    <n v="35"/>
    <n v="1"/>
    <n v="0"/>
    <n v="0"/>
    <n v="206482.49999999997"/>
    <n v="6100"/>
    <x v="0"/>
    <x v="0"/>
    <n v="32"/>
    <n v="195200"/>
    <n v="12596.638655462186"/>
    <n v="3"/>
    <n v="33"/>
    <n v="3"/>
    <m/>
    <n v="0"/>
    <n v="0"/>
    <n v="201300"/>
    <n v="17698.499999999996"/>
    <x v="0"/>
    <n v="0"/>
    <n v="32"/>
    <n v="195200"/>
    <n v="37789.915966386558"/>
    <n v="6"/>
    <n v="32"/>
    <n v="0"/>
    <m/>
    <n v="0"/>
    <n v="0"/>
    <n v="195200"/>
    <n v="0"/>
    <n v="0"/>
    <n v="0"/>
    <n v="32"/>
    <n v="195200"/>
    <n v="0"/>
    <n v="11"/>
    <n v="32"/>
    <n v="0"/>
    <n v="0"/>
    <n v="0"/>
    <n v="0"/>
    <n v="195200"/>
    <n v="0"/>
    <n v="0"/>
    <n v="0"/>
    <n v="32"/>
    <n v="195200"/>
    <n v="0"/>
    <n v="11"/>
    <n v="32"/>
    <n v="0"/>
    <n v="0"/>
    <n v="0"/>
    <n v="0"/>
    <n v="195200"/>
    <n v="0"/>
    <n v="0"/>
    <n v="0"/>
    <n v="32"/>
    <n v="195200"/>
    <n v="0"/>
    <n v="11"/>
    <n v="33"/>
    <n v="1.5"/>
    <n v="0"/>
    <n v="0"/>
    <n v="0"/>
    <n v="194683.49999999997"/>
    <n v="8849.2499999999982"/>
    <n v="0"/>
    <n v="0"/>
    <n v="32"/>
    <n v="195200"/>
    <n v="18894.957983193279"/>
    <n v="0"/>
    <n v="31.5"/>
    <n v="0"/>
    <n v="0"/>
    <n v="0"/>
    <n v="0"/>
    <m/>
    <n v="185834.24999999997"/>
    <n v="0"/>
    <n v="0"/>
    <n v="0"/>
    <n v="31.5"/>
    <n v="185834.24999999997"/>
    <n v="0"/>
    <n v="0"/>
    <n v="31.5"/>
    <n v="0"/>
    <m/>
    <n v="0"/>
    <n v="0"/>
    <n v="185834.24999999997"/>
    <n v="0"/>
    <n v="0"/>
    <n v="0"/>
    <n v="31.5"/>
    <n v="185834.24999999997"/>
    <n v="0"/>
    <n v="0"/>
    <n v="31.5"/>
    <n v="0"/>
    <n v="0"/>
    <n v="0"/>
    <n v="185834.24999999997"/>
    <n v="0"/>
    <n v="0"/>
    <n v="0"/>
    <n v="31.5"/>
    <n v="185834.24999999997"/>
    <n v="0"/>
    <n v="0"/>
    <n v="31.5"/>
    <n v="0"/>
    <n v="0"/>
    <m/>
    <n v="185834.24999999997"/>
    <n v="0"/>
    <n v="0"/>
    <n v="31.5"/>
    <n v="185834.24999999997"/>
    <n v="0"/>
  </r>
  <r>
    <m/>
    <x v="4"/>
    <x v="21"/>
    <x v="50"/>
    <s v="LTS26-WLG02"/>
    <x v="387"/>
    <x v="348"/>
    <x v="0"/>
    <x v="5"/>
    <n v="1"/>
    <x v="240"/>
    <n v="30"/>
    <m/>
    <n v="0"/>
    <n v="6100"/>
    <n v="183000"/>
    <n v="5.7"/>
    <n v="6227.2499999999991"/>
    <n v="12596.638655462186"/>
    <n v="10915.966386554623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3"/>
    <n v="0"/>
    <n v="0"/>
    <s v=""/>
    <n v="1"/>
    <n v="0.28907977436776067"/>
    <n v="1"/>
    <n v="0.28955074852444918"/>
    <n v="0"/>
    <s v=""/>
    <n v="0"/>
    <n v="0"/>
    <s v=""/>
    <n v="0"/>
    <n v="1"/>
    <n v="9.4104104104104115E-3"/>
    <n v="0.16666666666666666"/>
    <n v="0"/>
    <s v=""/>
    <n v="0"/>
    <n v="0"/>
    <s v=""/>
    <n v="0"/>
    <n v="1"/>
    <n v="-0.28167994639264193"/>
    <n v="0.1"/>
    <m/>
    <m/>
    <m/>
    <m/>
    <m/>
    <m/>
    <m/>
    <m/>
    <m/>
    <n v="5"/>
    <n v="32"/>
    <n v="5"/>
    <n v="0"/>
    <n v="0"/>
    <n v="0"/>
    <n v="45750"/>
    <n v="188783.99999999997"/>
    <n v="30500"/>
    <n v="0"/>
    <n v="30"/>
    <n v="183000"/>
    <n v="52927.053174210872"/>
    <n v="3"/>
    <n v="30"/>
    <n v="1.5"/>
    <n v="0"/>
    <n v="0"/>
    <n v="0"/>
    <n v="15250"/>
    <n v="176984.99999999997"/>
    <n v="9150"/>
    <n v="0"/>
    <n v="30"/>
    <n v="183000"/>
    <n v="15878.115952263261"/>
    <n v="3"/>
    <n v="31"/>
    <n v="1"/>
    <n v="0"/>
    <n v="0"/>
    <n v="23798.499999999996"/>
    <n v="189100"/>
    <n v="6100"/>
    <n v="0"/>
    <n v="30"/>
    <n v="183000"/>
    <n v="12596.638655462186"/>
    <n v="3"/>
    <n v="30"/>
    <n v="0"/>
    <n v="0"/>
    <n v="0"/>
    <n v="176984.99999999997"/>
    <n v="0"/>
    <x v="0"/>
    <x v="0"/>
    <n v="30"/>
    <n v="183000"/>
    <n v="0"/>
    <n v="3"/>
    <n v="30"/>
    <n v="3"/>
    <m/>
    <n v="0"/>
    <n v="0"/>
    <n v="183000"/>
    <n v="17698.499999999996"/>
    <x v="0"/>
    <n v="0"/>
    <n v="30"/>
    <n v="183000"/>
    <n v="37789.915966386558"/>
    <n v="6"/>
    <n v="31"/>
    <n v="1"/>
    <m/>
    <n v="0"/>
    <n v="0"/>
    <n v="189100"/>
    <n v="5899.4999999999991"/>
    <n v="0"/>
    <n v="0"/>
    <n v="31"/>
    <n v="183000"/>
    <n v="12596.638655462186"/>
    <n v="10"/>
    <n v="30"/>
    <n v="0"/>
    <n v="0"/>
    <n v="0"/>
    <n v="0"/>
    <n v="183000"/>
    <n v="0"/>
    <n v="0"/>
    <n v="0"/>
    <n v="30"/>
    <n v="183000"/>
    <n v="0"/>
    <n v="10"/>
    <n v="30"/>
    <n v="0"/>
    <n v="0"/>
    <n v="0"/>
    <n v="0"/>
    <n v="183000"/>
    <n v="0"/>
    <n v="0"/>
    <n v="0"/>
    <n v="30"/>
    <n v="183000"/>
    <n v="0"/>
    <n v="10"/>
    <n v="31"/>
    <n v="1.5"/>
    <n v="0"/>
    <n v="0"/>
    <n v="0"/>
    <n v="182884.49999999997"/>
    <n v="8849.2499999999982"/>
    <n v="0"/>
    <n v="0"/>
    <n v="30"/>
    <n v="183000"/>
    <n v="18894.957983193279"/>
    <n v="0"/>
    <n v="29.5"/>
    <n v="0"/>
    <n v="0"/>
    <n v="0"/>
    <n v="0"/>
    <m/>
    <n v="174035.24999999997"/>
    <n v="0"/>
    <n v="0"/>
    <n v="0"/>
    <n v="29.5"/>
    <n v="174035.24999999997"/>
    <n v="0"/>
    <n v="0"/>
    <n v="29.5"/>
    <n v="0"/>
    <m/>
    <n v="0"/>
    <n v="0"/>
    <n v="174035.24999999997"/>
    <n v="0"/>
    <n v="0"/>
    <n v="0"/>
    <n v="29.5"/>
    <n v="174035.24999999997"/>
    <n v="0"/>
    <n v="0"/>
    <n v="29.5"/>
    <n v="0"/>
    <n v="0"/>
    <n v="0"/>
    <n v="174035.24999999997"/>
    <n v="0"/>
    <n v="0"/>
    <n v="0"/>
    <n v="29.5"/>
    <n v="174035.24999999997"/>
    <n v="0"/>
    <n v="0"/>
    <n v="29.5"/>
    <n v="0"/>
    <n v="0"/>
    <m/>
    <n v="174035.24999999997"/>
    <n v="0"/>
    <n v="0"/>
    <n v="29.5"/>
    <n v="174035.24999999997"/>
    <n v="0"/>
  </r>
  <r>
    <m/>
    <x v="4"/>
    <x v="21"/>
    <x v="50"/>
    <s v="LTS26-WLG02"/>
    <x v="388"/>
    <x v="348"/>
    <x v="0"/>
    <x v="5"/>
    <n v="1"/>
    <x v="241"/>
    <n v="8"/>
    <m/>
    <n v="0"/>
    <n v="6100"/>
    <n v="48800"/>
    <n v="5.7"/>
    <n v="6227.2499999999991"/>
    <n v="12596.638655462186"/>
    <n v="10915.966386554623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63686153113465893"/>
    <n v="6"/>
    <n v="0.50950830217504928"/>
    <n v="0"/>
    <s v=""/>
    <n v="1"/>
    <n v="0.2"/>
    <n v="0"/>
    <s v=""/>
    <n v="0"/>
    <s v=""/>
    <n v="0"/>
    <n v="0"/>
    <s v=""/>
    <n v="0"/>
    <n v="0"/>
    <s v=""/>
    <n v="0"/>
    <n v="1"/>
    <n v="0.27337837837837842"/>
    <n v="0.16666666666666666"/>
    <n v="1"/>
    <n v="0"/>
    <n v="0.16666666666666666"/>
    <n v="8"/>
    <n v="5.3728728728728685E-3"/>
    <n v="1.3333333333333333"/>
    <m/>
    <m/>
    <m/>
    <m/>
    <m/>
    <m/>
    <m/>
    <m/>
    <m/>
    <n v="3"/>
    <n v="15"/>
    <n v="3"/>
    <n v="0"/>
    <n v="0"/>
    <n v="0"/>
    <n v="27450"/>
    <n v="88492.499999999985"/>
    <n v="18300"/>
    <n v="0"/>
    <n v="8"/>
    <n v="48800"/>
    <n v="31756.231904526521"/>
    <n v="2"/>
    <n v="16"/>
    <n v="1.5"/>
    <n v="0"/>
    <n v="0"/>
    <n v="0"/>
    <n v="9150"/>
    <n v="94391.999999999985"/>
    <n v="9150"/>
    <n v="0"/>
    <n v="8"/>
    <n v="48800"/>
    <n v="15878.115952263261"/>
    <n v="2"/>
    <n v="18"/>
    <n v="0"/>
    <n v="0"/>
    <n v="0"/>
    <n v="11798.999999999998"/>
    <n v="109800"/>
    <n v="0"/>
    <n v="0"/>
    <n v="8"/>
    <n v="48800"/>
    <n v="0"/>
    <n v="2"/>
    <n v="18"/>
    <n v="0"/>
    <n v="0"/>
    <n v="0"/>
    <n v="106190.99999999999"/>
    <n v="0"/>
    <x v="0"/>
    <x v="0"/>
    <n v="8"/>
    <n v="48800"/>
    <n v="0"/>
    <n v="2"/>
    <n v="8"/>
    <n v="2"/>
    <m/>
    <n v="0"/>
    <n v="0"/>
    <n v="48800"/>
    <n v="11798.999999999998"/>
    <x v="0"/>
    <n v="0"/>
    <n v="8"/>
    <n v="48800"/>
    <n v="25193.277310924372"/>
    <n v="5"/>
    <n v="8"/>
    <n v="0"/>
    <m/>
    <n v="0"/>
    <n v="0"/>
    <n v="48800"/>
    <n v="0"/>
    <n v="0"/>
    <n v="0"/>
    <n v="8"/>
    <n v="48800"/>
    <n v="0"/>
    <n v="6"/>
    <n v="9"/>
    <n v="1"/>
    <n v="0"/>
    <n v="0"/>
    <n v="0"/>
    <n v="54900"/>
    <n v="5899.4999999999991"/>
    <n v="0"/>
    <n v="0"/>
    <n v="9"/>
    <n v="48800"/>
    <n v="12596.638655462186"/>
    <n v="6"/>
    <n v="9"/>
    <n v="1"/>
    <n v="0"/>
    <n v="0"/>
    <n v="0"/>
    <n v="54900"/>
    <n v="5899.4999999999991"/>
    <n v="0"/>
    <n v="0"/>
    <n v="9"/>
    <n v="54900"/>
    <n v="12596.638655462186"/>
    <n v="6"/>
    <n v="16"/>
    <n v="12"/>
    <n v="0"/>
    <n v="0"/>
    <n v="0"/>
    <n v="94391.999999999985"/>
    <n v="70793.999999999985"/>
    <n v="0"/>
    <n v="0"/>
    <n v="8"/>
    <n v="48800"/>
    <n v="151159.66386554623"/>
    <n v="0"/>
    <n v="4"/>
    <n v="0"/>
    <n v="0"/>
    <n v="0"/>
    <n v="0"/>
    <m/>
    <n v="23597.999999999996"/>
    <n v="0"/>
    <n v="0"/>
    <n v="0"/>
    <n v="4"/>
    <n v="23597.999999999996"/>
    <n v="0"/>
    <n v="0"/>
    <n v="4"/>
    <n v="0"/>
    <m/>
    <n v="0"/>
    <n v="0"/>
    <n v="23597.999999999996"/>
    <n v="0"/>
    <n v="0"/>
    <n v="0"/>
    <n v="4"/>
    <n v="23597.999999999996"/>
    <n v="0"/>
    <n v="0"/>
    <n v="4"/>
    <n v="0"/>
    <n v="0"/>
    <n v="0"/>
    <n v="23597.999999999996"/>
    <n v="0"/>
    <n v="0"/>
    <n v="0"/>
    <n v="4"/>
    <n v="23597.999999999996"/>
    <n v="0"/>
    <n v="0"/>
    <n v="4"/>
    <n v="0"/>
    <n v="0"/>
    <m/>
    <n v="23597.999999999996"/>
    <n v="0"/>
    <n v="0"/>
    <n v="4"/>
    <n v="23597.999999999996"/>
    <n v="0"/>
  </r>
  <r>
    <m/>
    <x v="4"/>
    <x v="21"/>
    <x v="50"/>
    <s v="LTS26-WLG02"/>
    <x v="389"/>
    <x v="348"/>
    <x v="0"/>
    <x v="5"/>
    <n v="1"/>
    <x v="242"/>
    <n v="19"/>
    <m/>
    <n v="0"/>
    <n v="6100"/>
    <n v="115900"/>
    <n v="5.7"/>
    <n v="6227.2499999999991"/>
    <n v="12596.638655462186"/>
    <n v="10915.966386554623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32637623543702721"/>
    <n v="0"/>
    <s v=""/>
    <n v="0"/>
    <s v=""/>
    <n v="0"/>
    <s v=""/>
    <n v="0"/>
    <s v=""/>
    <n v="0"/>
    <n v="0"/>
    <s v=""/>
    <n v="0"/>
    <n v="1"/>
    <n v="0.44118860662047726"/>
    <n v="0.2"/>
    <n v="0"/>
    <s v=""/>
    <n v="0"/>
    <n v="0"/>
    <s v=""/>
    <n v="0"/>
    <n v="0"/>
    <s v=""/>
    <n v="0"/>
    <m/>
    <m/>
    <m/>
    <m/>
    <m/>
    <m/>
    <m/>
    <m/>
    <m/>
    <n v="3"/>
    <n v="20"/>
    <n v="3"/>
    <n v="0"/>
    <n v="0"/>
    <n v="0"/>
    <n v="18300"/>
    <n v="117989.99999999999"/>
    <n v="18300"/>
    <n v="0"/>
    <n v="19"/>
    <n v="115900"/>
    <n v="31756.231904526521"/>
    <n v="2"/>
    <n v="19"/>
    <n v="0"/>
    <n v="0"/>
    <n v="0"/>
    <n v="0"/>
    <n v="0"/>
    <n v="112090.49999999999"/>
    <n v="0"/>
    <n v="0"/>
    <n v="19"/>
    <n v="115900"/>
    <n v="0"/>
    <n v="2"/>
    <n v="20"/>
    <n v="0"/>
    <n v="0"/>
    <n v="0"/>
    <n v="11798.999999999998"/>
    <n v="122000"/>
    <n v="0"/>
    <n v="0"/>
    <n v="19"/>
    <n v="115900"/>
    <n v="0"/>
    <n v="2"/>
    <n v="20"/>
    <n v="0"/>
    <n v="0"/>
    <n v="0"/>
    <n v="117989.99999999999"/>
    <n v="0"/>
    <x v="0"/>
    <x v="0"/>
    <n v="19"/>
    <n v="115900"/>
    <n v="0"/>
    <n v="2"/>
    <n v="19"/>
    <n v="2"/>
    <m/>
    <n v="0"/>
    <n v="0"/>
    <n v="115900"/>
    <n v="11798.999999999998"/>
    <x v="0"/>
    <n v="0"/>
    <n v="19"/>
    <n v="115900"/>
    <n v="25193.277310924372"/>
    <n v="5"/>
    <n v="20"/>
    <n v="1"/>
    <m/>
    <n v="0"/>
    <n v="0"/>
    <n v="122000"/>
    <n v="5899.4999999999991"/>
    <n v="0"/>
    <n v="0"/>
    <n v="20"/>
    <n v="115900"/>
    <n v="12596.638655462186"/>
    <n v="7"/>
    <n v="19"/>
    <n v="0"/>
    <n v="0"/>
    <n v="0"/>
    <n v="0"/>
    <n v="115900"/>
    <n v="0"/>
    <n v="0"/>
    <n v="0"/>
    <n v="19"/>
    <n v="115900"/>
    <n v="0"/>
    <n v="7"/>
    <n v="19"/>
    <n v="0"/>
    <n v="0"/>
    <n v="0"/>
    <n v="0"/>
    <n v="115900"/>
    <n v="0"/>
    <n v="0"/>
    <n v="0"/>
    <n v="19"/>
    <n v="115900"/>
    <n v="0"/>
    <n v="7"/>
    <n v="19"/>
    <n v="0"/>
    <n v="0"/>
    <n v="0"/>
    <n v="0"/>
    <n v="112090.49999999999"/>
    <n v="0"/>
    <n v="0"/>
    <n v="0"/>
    <n v="19"/>
    <n v="115900"/>
    <n v="0"/>
    <n v="0"/>
    <n v="19"/>
    <n v="0"/>
    <n v="0"/>
    <n v="0"/>
    <n v="0"/>
    <m/>
    <n v="112090.49999999999"/>
    <n v="0"/>
    <n v="0"/>
    <n v="0"/>
    <n v="19"/>
    <n v="112090.49999999999"/>
    <n v="0"/>
    <n v="0"/>
    <n v="19"/>
    <n v="0"/>
    <m/>
    <n v="0"/>
    <n v="0"/>
    <n v="112090.49999999999"/>
    <n v="0"/>
    <n v="0"/>
    <n v="0"/>
    <n v="19"/>
    <n v="112090.49999999999"/>
    <n v="0"/>
    <n v="0"/>
    <n v="19"/>
    <n v="0"/>
    <n v="0"/>
    <n v="0"/>
    <n v="112090.49999999999"/>
    <n v="0"/>
    <n v="0"/>
    <n v="0"/>
    <n v="19"/>
    <n v="112090.49999999999"/>
    <n v="0"/>
    <n v="0"/>
    <n v="19"/>
    <n v="0"/>
    <n v="0"/>
    <m/>
    <n v="112090.49999999999"/>
    <n v="0"/>
    <n v="0"/>
    <n v="19"/>
    <n v="112090.49999999999"/>
    <n v="0"/>
  </r>
  <r>
    <m/>
    <x v="4"/>
    <x v="21"/>
    <x v="50"/>
    <s v="LTS26-WLG02"/>
    <x v="390"/>
    <x v="348"/>
    <x v="0"/>
    <x v="5"/>
    <n v="1"/>
    <x v="243"/>
    <n v="4"/>
    <m/>
    <n v="0"/>
    <n v="6177"/>
    <n v="24708"/>
    <n v="5.7"/>
    <n v="6227.2499999999991"/>
    <n v="12596.638655462186"/>
    <n v="10915.966386554623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51483381644276938"/>
    <n v="1"/>
    <n v="0.47643663128167707"/>
    <n v="1"/>
    <n v="0.45514685502484103"/>
    <n v="0"/>
    <s v=""/>
    <n v="0"/>
    <n v="0"/>
    <s v=""/>
    <n v="0"/>
    <n v="3"/>
    <n v="7.6626326963906574E-2"/>
    <n v="0.5"/>
    <n v="1"/>
    <n v="0.26420620620620622"/>
    <n v="0.33333333333333331"/>
    <n v="1"/>
    <n v="-5.003003003003003E-2"/>
    <n v="0.33333333333333331"/>
    <n v="1"/>
    <n v="-3.5893893893893893E-2"/>
    <n v="0.33333333333333331"/>
    <m/>
    <m/>
    <m/>
    <m/>
    <m/>
    <m/>
    <m/>
    <m/>
    <m/>
    <n v="2"/>
    <n v="14"/>
    <n v="2"/>
    <n v="0"/>
    <n v="0"/>
    <n v="0"/>
    <n v="27796.5"/>
    <n v="82592.999999999985"/>
    <n v="12354"/>
    <n v="0"/>
    <n v="4"/>
    <n v="24708"/>
    <n v="21170.821269684347"/>
    <n v="2"/>
    <n v="11"/>
    <n v="1.5"/>
    <n v="0"/>
    <n v="0"/>
    <n v="0"/>
    <n v="15442.5"/>
    <n v="64894.499999999993"/>
    <n v="9265.5"/>
    <n v="0"/>
    <n v="4"/>
    <n v="24708"/>
    <n v="15878.115952263261"/>
    <n v="2"/>
    <n v="10"/>
    <n v="1"/>
    <n v="0"/>
    <n v="0"/>
    <n v="17976"/>
    <n v="61770"/>
    <n v="6177"/>
    <n v="0"/>
    <n v="4"/>
    <n v="24708"/>
    <n v="12596.638655462186"/>
    <n v="2"/>
    <n v="9"/>
    <n v="0"/>
    <n v="0"/>
    <n v="0"/>
    <n v="53095.499999999993"/>
    <n v="0"/>
    <x v="0"/>
    <x v="0"/>
    <n v="4"/>
    <n v="24708"/>
    <n v="0"/>
    <n v="2"/>
    <n v="4"/>
    <n v="2"/>
    <m/>
    <n v="0"/>
    <n v="0"/>
    <n v="24708"/>
    <n v="11798.999999999998"/>
    <x v="0"/>
    <n v="0"/>
    <n v="4"/>
    <n v="24708"/>
    <n v="25193.277310924372"/>
    <n v="6"/>
    <n v="7"/>
    <n v="3"/>
    <m/>
    <n v="0"/>
    <n v="0"/>
    <n v="43239"/>
    <n v="17698.499999999996"/>
    <n v="0"/>
    <n v="0"/>
    <n v="7"/>
    <n v="24708"/>
    <n v="37789.915966386558"/>
    <n v="3"/>
    <n v="5"/>
    <n v="1"/>
    <n v="0"/>
    <n v="0"/>
    <n v="0"/>
    <n v="30885"/>
    <n v="5899.4999999999991"/>
    <n v="0"/>
    <n v="0"/>
    <n v="5"/>
    <n v="24708"/>
    <n v="12596.638655462186"/>
    <n v="3"/>
    <n v="5"/>
    <n v="1"/>
    <n v="0"/>
    <n v="0"/>
    <n v="0"/>
    <n v="30885"/>
    <n v="5899.4999999999991"/>
    <n v="0"/>
    <n v="0"/>
    <n v="5"/>
    <n v="30885"/>
    <n v="12596.638655462186"/>
    <n v="3"/>
    <n v="5"/>
    <n v="1.5"/>
    <n v="0"/>
    <n v="0"/>
    <n v="0"/>
    <n v="29497.499999999996"/>
    <n v="8849.2499999999982"/>
    <n v="0"/>
    <n v="0"/>
    <n v="4"/>
    <n v="24708"/>
    <n v="18894.957983193279"/>
    <n v="0"/>
    <n v="3.5"/>
    <n v="0"/>
    <n v="0"/>
    <n v="0"/>
    <n v="0"/>
    <m/>
    <n v="20648.249999999996"/>
    <n v="0"/>
    <n v="0"/>
    <n v="0"/>
    <n v="3.5"/>
    <n v="20648.249999999996"/>
    <n v="0"/>
    <n v="0"/>
    <n v="3.5"/>
    <n v="0"/>
    <m/>
    <n v="0"/>
    <n v="0"/>
    <n v="20648.249999999996"/>
    <n v="0"/>
    <n v="0"/>
    <n v="0"/>
    <n v="3.5"/>
    <n v="20648.249999999996"/>
    <n v="0"/>
    <n v="0"/>
    <n v="3.5"/>
    <n v="0"/>
    <n v="0"/>
    <n v="0"/>
    <n v="20648.249999999996"/>
    <n v="0"/>
    <n v="0"/>
    <n v="0"/>
    <n v="3.5"/>
    <n v="20648.249999999996"/>
    <n v="0"/>
    <n v="0"/>
    <n v="3.5"/>
    <n v="0"/>
    <n v="0"/>
    <m/>
    <n v="20648.249999999996"/>
    <n v="0"/>
    <n v="0"/>
    <n v="3.5"/>
    <n v="20648.249999999996"/>
    <n v="0"/>
  </r>
  <r>
    <m/>
    <x v="4"/>
    <x v="21"/>
    <x v="50"/>
    <s v="LTS26-WLG02"/>
    <x v="391"/>
    <x v="348"/>
    <x v="0"/>
    <x v="5"/>
    <n v="1"/>
    <x v="244"/>
    <n v="7"/>
    <m/>
    <n v="0"/>
    <n v="6166"/>
    <n v="43162"/>
    <n v="5.7"/>
    <n v="6227.2499999999991"/>
    <n v="12596.638655462186"/>
    <n v="10915.966386554623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921322121388727"/>
    <n v="1"/>
    <n v="0.34539949214772658"/>
    <n v="0"/>
    <s v=""/>
    <n v="0"/>
    <s v=""/>
    <n v="0"/>
    <s v=""/>
    <n v="0"/>
    <n v="0"/>
    <s v=""/>
    <n v="0"/>
    <n v="0"/>
    <s v=""/>
    <n v="0"/>
    <n v="1"/>
    <n v="0.26551651651651653"/>
    <n v="0.25"/>
    <n v="0"/>
    <s v=""/>
    <n v="0"/>
    <n v="0"/>
    <s v=""/>
    <n v="0"/>
    <m/>
    <m/>
    <m/>
    <m/>
    <m/>
    <m/>
    <m/>
    <m/>
    <m/>
    <n v="2"/>
    <n v="13"/>
    <n v="2"/>
    <n v="0"/>
    <n v="0"/>
    <n v="0"/>
    <n v="12332"/>
    <n v="76693.499999999985"/>
    <n v="12332"/>
    <n v="0"/>
    <n v="7"/>
    <n v="43162"/>
    <n v="21170.821269684347"/>
    <n v="2"/>
    <n v="11"/>
    <n v="0"/>
    <n v="0"/>
    <n v="0"/>
    <n v="0"/>
    <n v="0"/>
    <n v="64894.499999999993"/>
    <n v="0"/>
    <n v="0"/>
    <n v="7"/>
    <n v="43162"/>
    <n v="0"/>
    <n v="2"/>
    <n v="11"/>
    <n v="0"/>
    <n v="0"/>
    <n v="0"/>
    <n v="11798.999999999998"/>
    <n v="67826"/>
    <n v="0"/>
    <n v="0"/>
    <n v="7"/>
    <n v="43162"/>
    <n v="0"/>
    <n v="2"/>
    <n v="11"/>
    <n v="0"/>
    <n v="0"/>
    <n v="0"/>
    <n v="64894.499999999993"/>
    <n v="0"/>
    <x v="0"/>
    <x v="0"/>
    <n v="7"/>
    <n v="43162"/>
    <n v="0"/>
    <n v="2"/>
    <n v="7"/>
    <n v="2"/>
    <m/>
    <n v="0"/>
    <n v="0"/>
    <n v="43162"/>
    <n v="11798.999999999998"/>
    <x v="0"/>
    <n v="0"/>
    <n v="7"/>
    <n v="43162"/>
    <n v="25193.277310924372"/>
    <n v="6"/>
    <n v="7"/>
    <n v="0"/>
    <m/>
    <n v="0"/>
    <n v="0"/>
    <n v="43162"/>
    <n v="0"/>
    <n v="0"/>
    <n v="0"/>
    <n v="7"/>
    <n v="43162"/>
    <n v="0"/>
    <n v="4"/>
    <n v="8"/>
    <n v="1"/>
    <n v="0"/>
    <n v="0"/>
    <n v="0"/>
    <n v="49328"/>
    <n v="5899.4999999999991"/>
    <n v="0"/>
    <n v="0"/>
    <n v="8"/>
    <n v="43162"/>
    <n v="12596.638655462186"/>
    <n v="4"/>
    <n v="7"/>
    <n v="0"/>
    <n v="0"/>
    <n v="0"/>
    <n v="0"/>
    <n v="43162"/>
    <n v="0"/>
    <n v="0"/>
    <n v="0"/>
    <n v="7"/>
    <n v="43162"/>
    <n v="0"/>
    <n v="4"/>
    <n v="7"/>
    <n v="0"/>
    <n v="0"/>
    <n v="0"/>
    <n v="0"/>
    <n v="41296.499999999993"/>
    <n v="0"/>
    <n v="0"/>
    <n v="0"/>
    <n v="7"/>
    <n v="43162"/>
    <n v="0"/>
    <n v="0"/>
    <n v="7"/>
    <n v="0"/>
    <n v="0"/>
    <n v="0"/>
    <n v="0"/>
    <m/>
    <n v="41296.499999999993"/>
    <n v="0"/>
    <n v="0"/>
    <n v="0"/>
    <n v="7"/>
    <n v="41296.499999999993"/>
    <n v="0"/>
    <n v="0"/>
    <n v="7"/>
    <n v="0"/>
    <m/>
    <n v="0"/>
    <n v="0"/>
    <n v="41296.499999999993"/>
    <n v="0"/>
    <n v="0"/>
    <n v="0"/>
    <n v="7"/>
    <n v="41296.499999999993"/>
    <n v="0"/>
    <n v="0"/>
    <n v="7"/>
    <n v="0"/>
    <n v="0"/>
    <n v="0"/>
    <n v="41296.499999999993"/>
    <n v="0"/>
    <n v="0"/>
    <n v="0"/>
    <n v="7"/>
    <n v="41296.499999999993"/>
    <n v="0"/>
    <n v="0"/>
    <n v="7"/>
    <n v="0"/>
    <n v="0"/>
    <m/>
    <n v="41296.499999999993"/>
    <n v="0"/>
    <n v="0"/>
    <n v="7"/>
    <n v="41296.499999999993"/>
    <n v="0"/>
  </r>
  <r>
    <m/>
    <x v="4"/>
    <x v="21"/>
    <x v="50"/>
    <s v="LTS26-WPT06"/>
    <x v="392"/>
    <x v="349"/>
    <x v="0"/>
    <x v="5"/>
    <n v="1"/>
    <x v="245"/>
    <n v="0"/>
    <m/>
    <n v="0"/>
    <n v="15945"/>
    <n v="0"/>
    <n v="14.9"/>
    <n v="16278.249999999998"/>
    <n v="33605.042016806721"/>
    <n v="29403.361344537818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29309354220533251"/>
    <n v="3"/>
    <n v="0.38911640995767738"/>
    <n v="1"/>
    <n v="0.50053253325055291"/>
    <n v="0.5"/>
    <n v="1"/>
    <n v="0.4870346039470127"/>
    <n v="0.5"/>
    <n v="1"/>
    <n v="-0.19152380952380951"/>
    <n v="0.2857142857142857"/>
    <n v="7"/>
    <n v="0.23635111826596905"/>
    <n v="0.77777777777777779"/>
    <n v="2"/>
    <n v="-0.11964720293997549"/>
    <n v="0.22222222222222221"/>
    <n v="-1"/>
    <n v="0.24071428571428571"/>
    <n v="-0.1111111111111111"/>
    <m/>
    <m/>
    <m/>
    <m/>
    <m/>
    <m/>
    <m/>
    <m/>
    <m/>
    <n v="1.8"/>
    <n v="25"/>
    <n v="1.8"/>
    <n v="0"/>
    <n v="0"/>
    <n v="0"/>
    <n v="100453.5"/>
    <n v="385537.49999999994"/>
    <n v="28701"/>
    <n v="0"/>
    <n v="0"/>
    <n v="0"/>
    <n v="50831.155991808489"/>
    <n v="2"/>
    <n v="32"/>
    <n v="1.5"/>
    <n v="0"/>
    <n v="0"/>
    <n v="0"/>
    <n v="87697.5"/>
    <n v="493487.99999999994"/>
    <n v="23917.5"/>
    <n v="0"/>
    <n v="0"/>
    <n v="0"/>
    <n v="42359.296659840409"/>
    <n v="2"/>
    <n v="31"/>
    <n v="3"/>
    <n v="0"/>
    <n v="0"/>
    <n v="94623"/>
    <n v="494295"/>
    <n v="47835"/>
    <n v="0"/>
    <n v="0"/>
    <n v="0"/>
    <n v="100815.12605042016"/>
    <n v="2"/>
    <n v="30"/>
    <n v="1"/>
    <n v="0"/>
    <n v="0"/>
    <n v="462644.99999999994"/>
    <n v="15945"/>
    <x v="0"/>
    <x v="0"/>
    <n v="0"/>
    <n v="0"/>
    <n v="33605.042016806721"/>
    <n v="2"/>
    <n v="1"/>
    <n v="2"/>
    <m/>
    <n v="0"/>
    <n v="0"/>
    <n v="15945"/>
    <n v="30842.999999999996"/>
    <x v="0"/>
    <n v="0"/>
    <n v="0"/>
    <n v="0"/>
    <n v="67210.084033613442"/>
    <n v="3.5"/>
    <n v="1"/>
    <n v="1"/>
    <m/>
    <n v="0"/>
    <n v="0"/>
    <n v="15945"/>
    <n v="15421.499999999998"/>
    <n v="0"/>
    <n v="0"/>
    <n v="1"/>
    <n v="0"/>
    <n v="33605.042016806721"/>
    <n v="9"/>
    <n v="7"/>
    <n v="7"/>
    <n v="0"/>
    <n v="0"/>
    <n v="0"/>
    <n v="111615"/>
    <n v="107950.49999999999"/>
    <n v="0"/>
    <n v="0"/>
    <n v="7"/>
    <n v="0"/>
    <n v="235235.29411764705"/>
    <n v="9"/>
    <n v="2"/>
    <n v="2"/>
    <n v="0"/>
    <n v="0"/>
    <n v="0"/>
    <n v="31890"/>
    <n v="30842.999999999996"/>
    <n v="0"/>
    <n v="0"/>
    <n v="2"/>
    <n v="31890"/>
    <n v="67210.084033613442"/>
    <n v="9"/>
    <n v="-1"/>
    <n v="0"/>
    <n v="0"/>
    <n v="0"/>
    <n v="0"/>
    <n v="-15421.499999999998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0"/>
    <s v="LTS26-WPT06"/>
    <x v="393"/>
    <x v="349"/>
    <x v="0"/>
    <x v="5"/>
    <n v="1"/>
    <x v="246"/>
    <n v="10"/>
    <m/>
    <n v="0"/>
    <n v="15945"/>
    <n v="159450"/>
    <n v="14.9"/>
    <n v="16278.249999999998"/>
    <n v="33605.042016806721"/>
    <n v="29403.361344537818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29218426273308856"/>
    <n v="0"/>
    <s v=""/>
    <n v="0"/>
    <s v=""/>
    <n v="0"/>
    <n v="0"/>
    <s v=""/>
    <n v="0"/>
    <n v="2"/>
    <n v="0.10314788262754251"/>
    <n v="0.60606060606060608"/>
    <n v="4"/>
    <n v="0.2330456750202102"/>
    <n v="0.5"/>
    <n v="1"/>
    <n v="2.6523809523809522E-2"/>
    <n v="0.125"/>
    <n v="6"/>
    <n v="-0.10015999710018846"/>
    <n v="0.75"/>
    <m/>
    <m/>
    <m/>
    <m/>
    <m/>
    <m/>
    <m/>
    <m/>
    <m/>
    <n v="1.6"/>
    <n v="25"/>
    <n v="1.6"/>
    <n v="0"/>
    <n v="0"/>
    <n v="0"/>
    <n v="73347"/>
    <n v="385537.49999999994"/>
    <n v="25512"/>
    <n v="0"/>
    <n v="10"/>
    <n v="159450"/>
    <n v="45183.249770496441"/>
    <n v="2"/>
    <n v="25"/>
    <n v="3"/>
    <n v="0"/>
    <n v="0"/>
    <n v="0"/>
    <n v="47835"/>
    <n v="385537.49999999994"/>
    <n v="47835"/>
    <n v="0"/>
    <n v="10"/>
    <n v="159450"/>
    <n v="84718.593319680818"/>
    <n v="2"/>
    <n v="23"/>
    <n v="0"/>
    <n v="0"/>
    <n v="0"/>
    <n v="30842.999999999996"/>
    <n v="366735"/>
    <n v="0"/>
    <n v="0"/>
    <n v="10"/>
    <n v="159450"/>
    <n v="0"/>
    <n v="2"/>
    <n v="23"/>
    <n v="0"/>
    <n v="0"/>
    <n v="0"/>
    <n v="354694.49999999994"/>
    <n v="0"/>
    <x v="0"/>
    <x v="0"/>
    <n v="10"/>
    <n v="159450"/>
    <n v="0"/>
    <n v="2"/>
    <n v="10"/>
    <n v="2"/>
    <m/>
    <n v="0"/>
    <n v="0"/>
    <n v="159450"/>
    <n v="30842.999999999996"/>
    <x v="0"/>
    <n v="0"/>
    <n v="10"/>
    <n v="159450"/>
    <n v="67210.084033613442"/>
    <n v="3.3"/>
    <n v="12"/>
    <n v="2"/>
    <m/>
    <n v="0"/>
    <n v="0"/>
    <n v="191340"/>
    <n v="30842.999999999996"/>
    <n v="0"/>
    <n v="0"/>
    <n v="12"/>
    <n v="159450"/>
    <n v="67210.084033613442"/>
    <n v="8"/>
    <n v="14"/>
    <n v="4"/>
    <n v="0"/>
    <n v="0"/>
    <n v="0"/>
    <n v="223230"/>
    <n v="61685.999999999993"/>
    <n v="0"/>
    <n v="0"/>
    <n v="14"/>
    <n v="159450"/>
    <n v="134420.16806722688"/>
    <n v="8"/>
    <n v="11"/>
    <n v="1"/>
    <n v="0"/>
    <n v="0"/>
    <n v="0"/>
    <n v="175395"/>
    <n v="15421.499999999998"/>
    <n v="0"/>
    <n v="0"/>
    <n v="11"/>
    <n v="175395"/>
    <n v="33605.042016806721"/>
    <n v="8"/>
    <n v="16"/>
    <n v="1.5"/>
    <n v="0"/>
    <n v="0"/>
    <n v="0"/>
    <n v="246743.99999999997"/>
    <n v="23132.249999999996"/>
    <n v="0"/>
    <n v="0"/>
    <n v="10"/>
    <n v="159450"/>
    <n v="50407.563025210082"/>
    <n v="0"/>
    <n v="14.5"/>
    <n v="0"/>
    <n v="0"/>
    <n v="0"/>
    <n v="0"/>
    <m/>
    <n v="223611.74999999997"/>
    <n v="0"/>
    <n v="0"/>
    <n v="0"/>
    <n v="14.5"/>
    <n v="223611.74999999997"/>
    <n v="0"/>
    <n v="0"/>
    <n v="14.5"/>
    <n v="0"/>
    <m/>
    <n v="0"/>
    <n v="0"/>
    <n v="223611.74999999997"/>
    <n v="0"/>
    <n v="0"/>
    <n v="0"/>
    <n v="14.5"/>
    <n v="223611.74999999997"/>
    <n v="0"/>
    <n v="0"/>
    <n v="14.5"/>
    <n v="0"/>
    <n v="0"/>
    <n v="0"/>
    <n v="223611.74999999997"/>
    <n v="0"/>
    <n v="0"/>
    <n v="0"/>
    <n v="14.5"/>
    <n v="223611.74999999997"/>
    <n v="0"/>
    <n v="0"/>
    <n v="14.5"/>
    <n v="0"/>
    <n v="0"/>
    <m/>
    <n v="223611.74999999997"/>
    <n v="0"/>
    <n v="0"/>
    <n v="14.5"/>
    <n v="223611.74999999997"/>
    <n v="0"/>
  </r>
  <r>
    <m/>
    <x v="4"/>
    <x v="21"/>
    <x v="50"/>
    <s v="LTS26-WPT06"/>
    <x v="394"/>
    <x v="349"/>
    <x v="0"/>
    <x v="5"/>
    <n v="1"/>
    <x v="247"/>
    <n v="0"/>
    <m/>
    <n v="0"/>
    <n v="15945"/>
    <n v="0"/>
    <n v="14.9"/>
    <n v="16278.249999999998"/>
    <n v="33605.042016806721"/>
    <n v="29403.361344537818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40673078711885846"/>
    <n v="0"/>
    <s v=""/>
    <n v="0"/>
    <s v=""/>
    <n v="1"/>
    <n v="0.33801874749934357"/>
    <n v="2"/>
    <n v="0.30908173562058527"/>
    <n v="0.66666666666666663"/>
    <n v="1"/>
    <n v="0.50052671755725187"/>
    <n v="0.33333333333333331"/>
    <n v="1"/>
    <n v="2.3761904761904762E-2"/>
    <n v="0.18518518518518517"/>
    <n v="16"/>
    <n v="0.2330456750202102"/>
    <n v="1.6"/>
    <n v="5"/>
    <n v="-1.6854979230393939E-2"/>
    <n v="0.5"/>
    <n v="6"/>
    <n v="-0.12934920301645891"/>
    <n v="0.6"/>
    <m/>
    <m/>
    <m/>
    <m/>
    <m/>
    <m/>
    <m/>
    <m/>
    <m/>
    <n v="3"/>
    <n v="39"/>
    <n v="3"/>
    <n v="0"/>
    <n v="0"/>
    <n v="0"/>
    <n v="63780"/>
    <n v="601438.49999999988"/>
    <n v="47835"/>
    <n v="0"/>
    <n v="0"/>
    <n v="0"/>
    <n v="84718.593319680818"/>
    <n v="3"/>
    <n v="36"/>
    <n v="0"/>
    <n v="0"/>
    <n v="0"/>
    <n v="0"/>
    <n v="47835"/>
    <n v="555173.99999999988"/>
    <n v="0"/>
    <n v="0"/>
    <n v="0"/>
    <n v="0"/>
    <n v="0"/>
    <n v="2.88"/>
    <n v="36"/>
    <n v="1"/>
    <n v="0"/>
    <n v="0"/>
    <n v="94099.5"/>
    <n v="574020"/>
    <n v="15945"/>
    <n v="0"/>
    <n v="0"/>
    <n v="0"/>
    <n v="33605.042016806721"/>
    <n v="3"/>
    <n v="34"/>
    <n v="2"/>
    <n v="0"/>
    <n v="0"/>
    <n v="524330.99999999988"/>
    <n v="31890"/>
    <x v="0"/>
    <x v="0"/>
    <n v="0"/>
    <n v="0"/>
    <n v="67210.084033613442"/>
    <n v="3"/>
    <n v="1"/>
    <n v="3"/>
    <m/>
    <n v="0"/>
    <n v="0"/>
    <n v="15945"/>
    <n v="46264.499999999993"/>
    <x v="0"/>
    <n v="0"/>
    <n v="0"/>
    <n v="0"/>
    <n v="100815.12605042016"/>
    <n v="5.4"/>
    <n v="1"/>
    <n v="1"/>
    <m/>
    <n v="0"/>
    <n v="0"/>
    <n v="15945"/>
    <n v="15421.499999999998"/>
    <n v="0"/>
    <n v="0"/>
    <n v="1"/>
    <n v="0"/>
    <n v="33605.042016806721"/>
    <n v="10"/>
    <n v="16"/>
    <n v="16"/>
    <n v="0"/>
    <n v="0"/>
    <n v="0"/>
    <n v="255120"/>
    <n v="246743.99999999997"/>
    <n v="0"/>
    <n v="0"/>
    <n v="16"/>
    <n v="0"/>
    <n v="537680.67226890754"/>
    <n v="10"/>
    <n v="5"/>
    <n v="5"/>
    <n v="0"/>
    <n v="0"/>
    <n v="0"/>
    <n v="79725"/>
    <n v="77107.499999999985"/>
    <n v="0"/>
    <n v="0"/>
    <n v="5"/>
    <n v="79725"/>
    <n v="168025.21008403361"/>
    <n v="10"/>
    <n v="6"/>
    <n v="6"/>
    <n v="0"/>
    <n v="0"/>
    <n v="0"/>
    <n v="92528.999999999985"/>
    <n v="92528.999999999985"/>
    <n v="0"/>
    <n v="0"/>
    <n v="0"/>
    <n v="0"/>
    <n v="201630.25210084033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0"/>
    <s v="LTS26-WPT06"/>
    <x v="395"/>
    <x v="349"/>
    <x v="0"/>
    <x v="5"/>
    <n v="1"/>
    <x v="248"/>
    <n v="18"/>
    <m/>
    <n v="0"/>
    <n v="15945"/>
    <n v="287010"/>
    <n v="14.9"/>
    <n v="16278.249999999998"/>
    <n v="33605.042016806721"/>
    <n v="29403.361344537818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0"/>
    <s v=""/>
    <n v="0"/>
    <n v="0"/>
    <s v=""/>
    <n v="0"/>
    <n v="3"/>
    <n v="1.4499178981937602E-2"/>
    <n v="0.6"/>
    <n v="6"/>
    <n v="0.20344691271645968"/>
    <n v="0.46153846153846156"/>
    <n v="5"/>
    <n v="-0.11374253083599815"/>
    <n v="0.38461538461538464"/>
    <n v="6"/>
    <n v="-0.14934225132608583"/>
    <n v="0.46153846153846156"/>
    <m/>
    <m/>
    <m/>
    <m/>
    <m/>
    <m/>
    <m/>
    <m/>
    <m/>
    <n v="3"/>
    <n v="40"/>
    <n v="3"/>
    <n v="0"/>
    <n v="0"/>
    <n v="0"/>
    <n v="63780"/>
    <n v="616859.99999999988"/>
    <n v="47835"/>
    <n v="0"/>
    <n v="18"/>
    <n v="287010"/>
    <n v="84718.593319680818"/>
    <n v="3"/>
    <n v="40"/>
    <n v="0"/>
    <n v="0"/>
    <n v="0"/>
    <n v="0"/>
    <n v="15945"/>
    <n v="616859.99999999988"/>
    <n v="0"/>
    <n v="0"/>
    <n v="18"/>
    <n v="287010"/>
    <n v="0"/>
    <n v="3"/>
    <n v="40"/>
    <n v="1"/>
    <n v="0"/>
    <n v="0"/>
    <n v="62209.499999999993"/>
    <n v="637800"/>
    <n v="15945"/>
    <n v="0"/>
    <n v="18"/>
    <n v="287010"/>
    <n v="33605.042016806721"/>
    <n v="2"/>
    <n v="39"/>
    <n v="0"/>
    <n v="0"/>
    <n v="0"/>
    <n v="601438.49999999988"/>
    <n v="0"/>
    <x v="0"/>
    <x v="0"/>
    <n v="18"/>
    <n v="287010"/>
    <n v="0"/>
    <n v="3"/>
    <n v="18"/>
    <n v="3"/>
    <m/>
    <n v="0"/>
    <n v="0"/>
    <n v="287010"/>
    <n v="46264.499999999993"/>
    <x v="0"/>
    <n v="0"/>
    <n v="18"/>
    <n v="287010"/>
    <n v="100815.12605042016"/>
    <n v="5"/>
    <n v="21"/>
    <n v="3"/>
    <m/>
    <n v="0"/>
    <n v="0"/>
    <n v="334845"/>
    <n v="46264.499999999993"/>
    <n v="0"/>
    <n v="0"/>
    <n v="21"/>
    <n v="287010"/>
    <n v="100815.12605042016"/>
    <n v="13"/>
    <n v="24"/>
    <n v="6"/>
    <n v="0"/>
    <n v="0"/>
    <n v="0"/>
    <n v="382680"/>
    <n v="92528.999999999985"/>
    <n v="0"/>
    <n v="0"/>
    <n v="24"/>
    <n v="287010"/>
    <n v="201630.25210084033"/>
    <n v="13"/>
    <n v="23"/>
    <n v="5"/>
    <n v="0"/>
    <n v="0"/>
    <n v="0"/>
    <n v="366735"/>
    <n v="77107.499999999985"/>
    <n v="0"/>
    <n v="0"/>
    <n v="23"/>
    <n v="366735"/>
    <n v="168025.21008403361"/>
    <n v="13"/>
    <n v="24"/>
    <n v="4.5"/>
    <n v="0"/>
    <n v="0"/>
    <n v="0"/>
    <n v="370115.99999999994"/>
    <n v="69396.749999999985"/>
    <n v="0"/>
    <n v="0"/>
    <n v="18"/>
    <n v="287010"/>
    <n v="151222.68907563025"/>
    <n v="0"/>
    <n v="19.5"/>
    <n v="0"/>
    <n v="0"/>
    <n v="0"/>
    <n v="0"/>
    <m/>
    <n v="300719.24999999994"/>
    <n v="0"/>
    <n v="0"/>
    <n v="0"/>
    <n v="19.5"/>
    <n v="300719.24999999994"/>
    <n v="0"/>
    <n v="0"/>
    <n v="19.5"/>
    <n v="0"/>
    <m/>
    <n v="0"/>
    <n v="0"/>
    <n v="300719.24999999994"/>
    <n v="0"/>
    <n v="0"/>
    <n v="0"/>
    <n v="19.5"/>
    <n v="300719.24999999994"/>
    <n v="0"/>
    <n v="0"/>
    <n v="19.5"/>
    <n v="0"/>
    <n v="0"/>
    <n v="0"/>
    <n v="300719.24999999994"/>
    <n v="0"/>
    <n v="0"/>
    <n v="0"/>
    <n v="19.5"/>
    <n v="300719.24999999994"/>
    <n v="0"/>
    <n v="0"/>
    <n v="19.5"/>
    <n v="0"/>
    <n v="0"/>
    <m/>
    <n v="300719.24999999994"/>
    <n v="0"/>
    <n v="0"/>
    <n v="19.5"/>
    <n v="300719.24999999994"/>
    <n v="0"/>
  </r>
  <r>
    <m/>
    <x v="4"/>
    <x v="21"/>
    <x v="50"/>
    <s v="LTS26-WPT06"/>
    <x v="396"/>
    <x v="349"/>
    <x v="0"/>
    <x v="5"/>
    <n v="1"/>
    <x v="249"/>
    <n v="0"/>
    <m/>
    <n v="0"/>
    <n v="15945"/>
    <n v="0"/>
    <n v="14.9"/>
    <n v="16278.249999999998"/>
    <n v="33605.042016806721"/>
    <n v="29403.361344537818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62042944782879095"/>
    <n v="0"/>
    <s v=""/>
    <n v="1"/>
    <n v="0.52551704642191832"/>
    <n v="2"/>
    <n v="0.35459379944694663"/>
    <n v="0.66666666666666663"/>
    <n v="2"/>
    <n v="0.32190494058786745"/>
    <n v="0.66666666666666663"/>
    <n v="4"/>
    <n v="0.12170238095238095"/>
    <n v="1.3333333333333333"/>
    <n v="10"/>
    <n v="0.22836966246441642"/>
    <n v="1.6666666666666667"/>
    <n v="6"/>
    <n v="2.2105621169581924E-2"/>
    <n v="1"/>
    <n v="-1"/>
    <n v="0.2090808670279283"/>
    <n v="-0.16666666666666666"/>
    <m/>
    <m/>
    <m/>
    <m/>
    <m/>
    <m/>
    <m/>
    <m/>
    <m/>
    <n v="3"/>
    <n v="27"/>
    <n v="3"/>
    <n v="0"/>
    <n v="0"/>
    <n v="0"/>
    <n v="63780"/>
    <n v="416380.49999999994"/>
    <n v="47835"/>
    <n v="0"/>
    <n v="0"/>
    <n v="0"/>
    <n v="84718.593319680818"/>
    <n v="3"/>
    <n v="25"/>
    <n v="0"/>
    <n v="0"/>
    <n v="0"/>
    <n v="0"/>
    <n v="47835"/>
    <n v="385537.49999999994"/>
    <n v="0"/>
    <n v="0"/>
    <n v="0"/>
    <n v="0"/>
    <n v="0"/>
    <n v="3"/>
    <n v="25"/>
    <n v="1"/>
    <n v="0"/>
    <n v="0"/>
    <n v="94099.5"/>
    <n v="398625"/>
    <n v="15945"/>
    <n v="0"/>
    <n v="0"/>
    <n v="0"/>
    <n v="33605.042016806721"/>
    <n v="3"/>
    <n v="23"/>
    <n v="2"/>
    <n v="0"/>
    <n v="0"/>
    <n v="354694.49999999994"/>
    <n v="31890"/>
    <x v="0"/>
    <x v="0"/>
    <n v="0"/>
    <n v="0"/>
    <n v="67210.084033613442"/>
    <n v="3"/>
    <n v="2"/>
    <n v="3"/>
    <m/>
    <n v="0"/>
    <n v="0"/>
    <n v="31890"/>
    <n v="46264.499999999993"/>
    <x v="0"/>
    <n v="0"/>
    <n v="0"/>
    <n v="0"/>
    <n v="100815.12605042016"/>
    <n v="3"/>
    <n v="4"/>
    <n v="4"/>
    <m/>
    <n v="0"/>
    <n v="0"/>
    <n v="63780"/>
    <n v="61685.999999999993"/>
    <n v="0"/>
    <n v="0"/>
    <n v="4"/>
    <n v="0"/>
    <n v="134420.16806722688"/>
    <n v="6"/>
    <n v="10"/>
    <n v="10"/>
    <n v="0"/>
    <n v="0"/>
    <n v="0"/>
    <n v="159450"/>
    <n v="154214.99999999997"/>
    <n v="0"/>
    <n v="0"/>
    <n v="10"/>
    <n v="0"/>
    <n v="336050.42016806721"/>
    <n v="6"/>
    <n v="6"/>
    <n v="6"/>
    <n v="0"/>
    <n v="0"/>
    <n v="0"/>
    <n v="95670"/>
    <n v="92528.999999999985"/>
    <n v="0"/>
    <n v="0"/>
    <n v="6"/>
    <n v="95670"/>
    <n v="201630.25210084033"/>
    <n v="6"/>
    <n v="-1"/>
    <n v="0"/>
    <n v="0"/>
    <n v="0"/>
    <n v="0"/>
    <n v="-15421.499999999998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0"/>
    <s v="LTS26-WPT06"/>
    <x v="397"/>
    <x v="349"/>
    <x v="0"/>
    <x v="5"/>
    <n v="1"/>
    <x v="250"/>
    <n v="0"/>
    <m/>
    <n v="0"/>
    <n v="15945"/>
    <n v="0"/>
    <n v="14.9"/>
    <n v="16278.249999999998"/>
    <n v="33605.042016806721"/>
    <n v="29403.361344537818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0328632907975942"/>
    <n v="0"/>
    <s v=""/>
    <n v="2"/>
    <n v="0.31534861558506772"/>
    <n v="1"/>
    <n v="0.45573576251142006"/>
    <n v="0.33333333333333331"/>
    <n v="0"/>
    <s v=""/>
    <n v="0"/>
    <n v="10"/>
    <n v="0.13454656005950166"/>
    <n v="3.3333333333333335"/>
    <n v="8"/>
    <n v="0.22521442425479785"/>
    <n v="1.1428571428571428"/>
    <n v="6"/>
    <n v="-0.26051493304632889"/>
    <n v="0.8571428571428571"/>
    <n v="-3"/>
    <n v="0.2304549141543869"/>
    <n v="-0.42857142857142855"/>
    <m/>
    <m/>
    <m/>
    <m/>
    <m/>
    <m/>
    <m/>
    <m/>
    <m/>
    <n v="3"/>
    <n v="27"/>
    <n v="3"/>
    <n v="0"/>
    <n v="0"/>
    <n v="0"/>
    <n v="79725"/>
    <n v="416380.49999999994"/>
    <n v="47835"/>
    <n v="0"/>
    <n v="0"/>
    <n v="0"/>
    <n v="84718.593319680818"/>
    <n v="3"/>
    <n v="24"/>
    <n v="0"/>
    <n v="0"/>
    <n v="0"/>
    <n v="0"/>
    <n v="47835"/>
    <n v="370115.99999999994"/>
    <n v="0"/>
    <n v="0"/>
    <n v="0"/>
    <n v="0"/>
    <n v="0"/>
    <n v="3"/>
    <n v="24"/>
    <n v="2"/>
    <n v="0"/>
    <n v="0"/>
    <n v="94099.5"/>
    <n v="382680"/>
    <n v="31890"/>
    <n v="0"/>
    <n v="0"/>
    <n v="0"/>
    <n v="67210.084033613442"/>
    <n v="3"/>
    <n v="22"/>
    <n v="1"/>
    <n v="0"/>
    <n v="0"/>
    <n v="339272.99999999994"/>
    <n v="15945"/>
    <x v="0"/>
    <x v="0"/>
    <n v="0"/>
    <n v="0"/>
    <n v="33605.042016806721"/>
    <n v="3"/>
    <n v="0"/>
    <n v="3"/>
    <m/>
    <n v="0"/>
    <n v="0"/>
    <n v="0"/>
    <n v="46264.499999999993"/>
    <x v="0"/>
    <n v="0"/>
    <n v="0"/>
    <n v="0"/>
    <n v="100815.12605042016"/>
    <n v="3"/>
    <n v="10"/>
    <n v="10"/>
    <m/>
    <n v="0"/>
    <n v="0"/>
    <n v="159450"/>
    <n v="154214.99999999997"/>
    <n v="0"/>
    <n v="0"/>
    <n v="10"/>
    <n v="0"/>
    <n v="336050.42016806721"/>
    <n v="7"/>
    <n v="8"/>
    <n v="8"/>
    <n v="0"/>
    <n v="0"/>
    <n v="0"/>
    <n v="127560"/>
    <n v="123371.99999999999"/>
    <n v="0"/>
    <n v="0"/>
    <n v="8"/>
    <n v="0"/>
    <n v="268840.33613445377"/>
    <n v="7"/>
    <n v="6"/>
    <n v="6"/>
    <n v="0"/>
    <n v="0"/>
    <n v="0"/>
    <n v="95670"/>
    <n v="92528.999999999985"/>
    <n v="0"/>
    <n v="0"/>
    <n v="6"/>
    <n v="95670"/>
    <n v="201630.25210084033"/>
    <n v="7"/>
    <n v="-3"/>
    <n v="0"/>
    <n v="0"/>
    <n v="0"/>
    <n v="0"/>
    <n v="-46264.499999999993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0"/>
    <s v="LTS26-WPT06"/>
    <x v="398"/>
    <x v="349"/>
    <x v="0"/>
    <x v="5"/>
    <n v="1"/>
    <x v="251"/>
    <n v="0"/>
    <m/>
    <n v="0"/>
    <n v="15945"/>
    <n v="0"/>
    <n v="14.9"/>
    <n v="16278.249999999998"/>
    <n v="33605.042016806721"/>
    <n v="29403.361344537818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0"/>
    <s v=""/>
    <n v="1"/>
    <n v="0.52551704642191832"/>
    <n v="0.33333333333333331"/>
    <n v="2"/>
    <n v="0.52551637909477367"/>
    <n v="1"/>
    <n v="3"/>
    <n v="8.2031746031746025E-2"/>
    <n v="1.5"/>
    <n v="6"/>
    <n v="0.21991434836234069"/>
    <n v="1.5"/>
    <n v="3"/>
    <n v="-5.9168867547018805E-2"/>
    <n v="0.75"/>
    <n v="-2"/>
    <n v="0.2252204981625153"/>
    <n v="-0.5"/>
    <m/>
    <m/>
    <m/>
    <m/>
    <m/>
    <m/>
    <m/>
    <m/>
    <m/>
    <n v="2"/>
    <n v="15"/>
    <n v="2"/>
    <n v="0"/>
    <n v="0"/>
    <n v="0"/>
    <n v="55807.5"/>
    <n v="231322.49999999997"/>
    <n v="31890"/>
    <n v="0"/>
    <n v="0"/>
    <n v="0"/>
    <n v="56479.062213120545"/>
    <n v="2"/>
    <n v="13"/>
    <n v="1.5"/>
    <n v="0"/>
    <n v="0"/>
    <n v="0"/>
    <n v="39862.5"/>
    <n v="200479.49999999997"/>
    <n v="23917.5"/>
    <n v="0"/>
    <n v="0"/>
    <n v="0"/>
    <n v="42359.296659840409"/>
    <n v="2"/>
    <n v="13"/>
    <n v="0"/>
    <n v="0"/>
    <n v="0"/>
    <n v="46788"/>
    <n v="207285"/>
    <n v="0"/>
    <n v="0"/>
    <n v="0"/>
    <n v="0"/>
    <n v="0"/>
    <n v="3"/>
    <n v="13"/>
    <n v="1"/>
    <n v="0"/>
    <n v="0"/>
    <n v="200479.49999999997"/>
    <n v="15945"/>
    <x v="0"/>
    <x v="0"/>
    <n v="0"/>
    <n v="0"/>
    <n v="33605.042016806721"/>
    <n v="2"/>
    <n v="2"/>
    <n v="2"/>
    <m/>
    <n v="0"/>
    <n v="0"/>
    <n v="31890"/>
    <n v="30842.999999999996"/>
    <x v="0"/>
    <n v="0"/>
    <n v="0"/>
    <n v="0"/>
    <n v="67210.084033613442"/>
    <n v="2"/>
    <n v="3"/>
    <n v="3"/>
    <m/>
    <n v="0"/>
    <n v="0"/>
    <n v="47835"/>
    <n v="46264.499999999993"/>
    <n v="0"/>
    <n v="0"/>
    <n v="3"/>
    <n v="0"/>
    <n v="100815.12605042016"/>
    <n v="4"/>
    <n v="6"/>
    <n v="6"/>
    <n v="0"/>
    <n v="0"/>
    <n v="0"/>
    <n v="95670"/>
    <n v="92528.999999999985"/>
    <n v="0"/>
    <n v="0"/>
    <n v="6"/>
    <n v="0"/>
    <n v="201630.25210084033"/>
    <n v="4"/>
    <n v="3"/>
    <n v="3"/>
    <n v="0"/>
    <n v="0"/>
    <n v="0"/>
    <n v="47835"/>
    <n v="46264.499999999993"/>
    <n v="0"/>
    <n v="0"/>
    <n v="3"/>
    <n v="47835"/>
    <n v="100815.12605042016"/>
    <n v="4"/>
    <n v="-2"/>
    <n v="0"/>
    <n v="0"/>
    <n v="0"/>
    <n v="0"/>
    <n v="-30842.999999999996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0"/>
    <s v="LTS26-WPT06"/>
    <x v="399"/>
    <x v="349"/>
    <x v="0"/>
    <x v="5"/>
    <n v="1"/>
    <x v="252"/>
    <n v="8"/>
    <m/>
    <n v="0"/>
    <n v="15945"/>
    <n v="127560"/>
    <n v="14.9"/>
    <n v="16278.249999999998"/>
    <n v="33605.042016806721"/>
    <n v="29403.361344537818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29125818027811085"/>
    <n v="0"/>
    <s v=""/>
    <n v="1"/>
    <n v="0.53801518682379856"/>
    <n v="0.33333333333333331"/>
    <n v="1"/>
    <n v="0.52551637909477367"/>
    <n v="1"/>
    <n v="4"/>
    <n v="9.2711163416274375E-2"/>
    <n v="2"/>
    <n v="0"/>
    <s v=""/>
    <n v="0"/>
    <n v="0"/>
    <s v=""/>
    <n v="0"/>
    <n v="0"/>
    <s v=""/>
    <n v="0"/>
    <m/>
    <m/>
    <m/>
    <m/>
    <m/>
    <m/>
    <m/>
    <m/>
    <m/>
    <n v="2"/>
    <n v="16"/>
    <n v="2"/>
    <n v="0"/>
    <n v="0"/>
    <n v="0"/>
    <n v="55807.5"/>
    <n v="246743.99999999997"/>
    <n v="31890"/>
    <n v="0"/>
    <n v="8"/>
    <n v="127560"/>
    <n v="56479.062213120545"/>
    <n v="2"/>
    <n v="16"/>
    <n v="1.5"/>
    <n v="0"/>
    <n v="0"/>
    <n v="0"/>
    <n v="39862.5"/>
    <n v="246743.99999999997"/>
    <n v="23917.5"/>
    <n v="0"/>
    <n v="8"/>
    <n v="127560"/>
    <n v="42359.296659840409"/>
    <n v="2"/>
    <n v="15"/>
    <n v="0"/>
    <n v="0"/>
    <n v="0"/>
    <n v="31366.5"/>
    <n v="239175"/>
    <n v="0"/>
    <n v="0"/>
    <n v="8"/>
    <n v="127560"/>
    <n v="0"/>
    <n v="3"/>
    <n v="15"/>
    <n v="1"/>
    <n v="0"/>
    <n v="0"/>
    <n v="231322.49999999997"/>
    <n v="15945"/>
    <x v="0"/>
    <x v="0"/>
    <n v="8"/>
    <n v="127560"/>
    <n v="33605.042016806721"/>
    <n v="1"/>
    <n v="9"/>
    <n v="1"/>
    <m/>
    <n v="0"/>
    <n v="0"/>
    <n v="143505"/>
    <n v="15421.499999999998"/>
    <x v="0"/>
    <n v="0"/>
    <n v="8"/>
    <n v="127560"/>
    <n v="33605.042016806721"/>
    <n v="2"/>
    <n v="12"/>
    <n v="4"/>
    <m/>
    <n v="0"/>
    <n v="0"/>
    <n v="191340"/>
    <n v="61685.999999999993"/>
    <n v="0"/>
    <n v="0"/>
    <n v="12"/>
    <n v="127560"/>
    <n v="134420.16806722688"/>
    <n v="5"/>
    <n v="8"/>
    <n v="0"/>
    <n v="0"/>
    <n v="0"/>
    <n v="0"/>
    <n v="127560"/>
    <n v="0"/>
    <n v="0"/>
    <n v="0"/>
    <n v="8"/>
    <n v="127560"/>
    <n v="0"/>
    <n v="5"/>
    <n v="8"/>
    <n v="0"/>
    <n v="0"/>
    <n v="0"/>
    <n v="0"/>
    <n v="127560"/>
    <n v="0"/>
    <n v="0"/>
    <n v="0"/>
    <n v="8"/>
    <n v="127560"/>
    <n v="0"/>
    <n v="5"/>
    <n v="8"/>
    <n v="0"/>
    <n v="0"/>
    <n v="0"/>
    <n v="0"/>
    <n v="123371.99999999999"/>
    <n v="0"/>
    <n v="0"/>
    <n v="0"/>
    <n v="8"/>
    <n v="127560"/>
    <n v="0"/>
    <n v="0"/>
    <n v="8"/>
    <n v="0"/>
    <n v="0"/>
    <n v="0"/>
    <n v="0"/>
    <m/>
    <n v="123371.99999999999"/>
    <n v="0"/>
    <n v="0"/>
    <n v="0"/>
    <n v="8"/>
    <n v="123371.99999999999"/>
    <n v="0"/>
    <n v="0"/>
    <n v="8"/>
    <n v="0"/>
    <m/>
    <n v="0"/>
    <n v="0"/>
    <n v="123371.99999999999"/>
    <n v="0"/>
    <n v="0"/>
    <n v="0"/>
    <n v="8"/>
    <n v="123371.99999999999"/>
    <n v="0"/>
    <n v="0"/>
    <n v="8"/>
    <n v="0"/>
    <n v="0"/>
    <n v="0"/>
    <n v="123371.99999999999"/>
    <n v="0"/>
    <n v="0"/>
    <n v="0"/>
    <n v="8"/>
    <n v="123371.99999999999"/>
    <n v="0"/>
    <n v="0"/>
    <n v="8"/>
    <n v="0"/>
    <n v="0"/>
    <m/>
    <n v="123371.99999999999"/>
    <n v="0"/>
    <n v="0"/>
    <n v="8"/>
    <n v="123371.99999999999"/>
    <n v="0"/>
  </r>
  <r>
    <m/>
    <x v="4"/>
    <x v="21"/>
    <x v="50"/>
    <s v="LTS27-MPT02"/>
    <x v="400"/>
    <x v="350"/>
    <x v="0"/>
    <x v="4"/>
    <n v="1"/>
    <x v="31"/>
    <n v="0"/>
    <m/>
    <n v="0"/>
    <n v="17388"/>
    <n v="0"/>
    <n v="18.899999999999999"/>
    <n v="17388"/>
    <n v="43835.294117647063"/>
    <n v="37260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0"/>
    <n v="20"/>
    <n v="0"/>
    <n v="0"/>
    <n v="0"/>
    <n v="0"/>
    <n v="391230"/>
    <n v="0"/>
    <n v="0"/>
    <n v="0"/>
    <n v="0"/>
    <n v="4"/>
    <n v="0"/>
    <n v="0"/>
    <m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2.4"/>
    <n v="0"/>
    <n v="2.4"/>
    <n v="0"/>
    <m/>
    <n v="0"/>
    <n v="41731.199999999997"/>
    <n v="0"/>
    <n v="0"/>
    <n v="0"/>
    <n v="105204.70588235295"/>
  </r>
  <r>
    <m/>
    <x v="4"/>
    <x v="21"/>
    <x v="50"/>
    <s v="LTS27-MPT02"/>
    <x v="401"/>
    <x v="351"/>
    <x v="0"/>
    <x v="4"/>
    <n v="1"/>
    <x v="31"/>
    <n v="0"/>
    <m/>
    <n v="0"/>
    <n v="17388"/>
    <n v="0"/>
    <n v="18.899999999999999"/>
    <n v="17388"/>
    <n v="43835.294117647063"/>
    <n v="37260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4"/>
    <n v="14"/>
    <n v="0"/>
    <n v="0"/>
    <n v="0"/>
    <n v="0"/>
    <n v="273861"/>
    <n v="0"/>
    <n v="0"/>
    <n v="0"/>
    <n v="0"/>
    <n v="3"/>
    <n v="0"/>
    <n v="0"/>
    <m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1.7999999999999998"/>
    <n v="0"/>
    <n v="1.7999999999999998"/>
    <n v="0"/>
    <m/>
    <n v="0"/>
    <n v="31298.399999999998"/>
    <n v="0"/>
    <n v="0"/>
    <n v="0"/>
    <n v="78903.529411764699"/>
  </r>
  <r>
    <m/>
    <x v="4"/>
    <x v="21"/>
    <x v="50"/>
    <s v="LTS27-MPT02"/>
    <x v="402"/>
    <x v="352"/>
    <x v="0"/>
    <x v="4"/>
    <n v="1"/>
    <x v="31"/>
    <n v="0"/>
    <m/>
    <n v="0"/>
    <n v="17388"/>
    <n v="0"/>
    <n v="18.899999999999999"/>
    <n v="17388"/>
    <n v="43835.294117647063"/>
    <n v="37260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40"/>
    <n v="40"/>
    <n v="0"/>
    <n v="0"/>
    <n v="0"/>
    <n v="0"/>
    <n v="782460"/>
    <n v="0"/>
    <n v="0"/>
    <n v="0"/>
    <n v="0"/>
    <n v="9"/>
    <n v="0"/>
    <n v="0"/>
    <m/>
    <n v="0"/>
    <n v="0"/>
    <n v="0"/>
    <n v="0"/>
    <n v="0"/>
    <n v="0"/>
    <n v="0"/>
    <n v="0"/>
    <n v="0"/>
    <n v="11"/>
    <n v="0"/>
    <n v="0"/>
    <n v="0"/>
    <n v="0"/>
    <n v="0"/>
    <n v="0"/>
    <n v="0"/>
    <n v="0"/>
    <n v="0"/>
    <n v="0"/>
    <n v="0"/>
    <n v="5.3999999999999995"/>
    <n v="0"/>
    <n v="5.3999999999999995"/>
    <n v="0"/>
    <m/>
    <n v="0"/>
    <n v="93895.2"/>
    <n v="0"/>
    <n v="0"/>
    <n v="0"/>
    <n v="236710.58823529413"/>
  </r>
  <r>
    <m/>
    <x v="4"/>
    <x v="21"/>
    <x v="50"/>
    <s v="LTS27-MPT02"/>
    <x v="403"/>
    <x v="353"/>
    <x v="0"/>
    <x v="4"/>
    <n v="1"/>
    <x v="31"/>
    <n v="0"/>
    <m/>
    <n v="0"/>
    <n v="17388"/>
    <n v="0"/>
    <n v="18.899999999999999"/>
    <n v="17388"/>
    <n v="43835.294117647063"/>
    <n v="37260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25"/>
    <n v="25"/>
    <n v="0"/>
    <n v="0"/>
    <n v="0"/>
    <n v="0"/>
    <n v="489037.5"/>
    <n v="0"/>
    <n v="0"/>
    <n v="0"/>
    <n v="0"/>
    <n v="6"/>
    <n v="0"/>
    <n v="0"/>
    <m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  <n v="0"/>
    <n v="3.5999999999999996"/>
    <n v="0"/>
    <n v="3.5999999999999996"/>
    <n v="0"/>
    <m/>
    <n v="0"/>
    <n v="62596.799999999996"/>
    <n v="0"/>
    <n v="0"/>
    <n v="0"/>
    <n v="157807.0588235294"/>
  </r>
  <r>
    <m/>
    <x v="4"/>
    <x v="21"/>
    <x v="50"/>
    <s v="LTS27-MPT02"/>
    <x v="404"/>
    <x v="354"/>
    <x v="0"/>
    <x v="4"/>
    <n v="1"/>
    <x v="31"/>
    <n v="0"/>
    <m/>
    <n v="0"/>
    <n v="17388"/>
    <n v="0"/>
    <n v="18.899999999999999"/>
    <n v="17388"/>
    <n v="43835.294117647063"/>
    <n v="37260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45"/>
    <n v="45"/>
    <n v="0"/>
    <n v="0"/>
    <n v="0"/>
    <n v="0"/>
    <n v="880267.5"/>
    <n v="0"/>
    <n v="0"/>
    <n v="0"/>
    <n v="0"/>
    <n v="10"/>
    <n v="0"/>
    <n v="0"/>
    <m/>
    <n v="0"/>
    <n v="0"/>
    <n v="0"/>
    <n v="0"/>
    <n v="0"/>
    <n v="0"/>
    <n v="0"/>
    <n v="0"/>
    <n v="0"/>
    <n v="13"/>
    <n v="0"/>
    <n v="0"/>
    <n v="0"/>
    <n v="0"/>
    <n v="0"/>
    <n v="0"/>
    <n v="0"/>
    <n v="0"/>
    <n v="0"/>
    <n v="0"/>
    <n v="0"/>
    <n v="6"/>
    <n v="0"/>
    <n v="6"/>
    <n v="0"/>
    <m/>
    <n v="0"/>
    <n v="104328"/>
    <n v="0"/>
    <n v="0"/>
    <n v="0"/>
    <n v="263011.76470588241"/>
  </r>
  <r>
    <m/>
    <x v="4"/>
    <x v="21"/>
    <x v="50"/>
    <s v="LTS27-MPT02"/>
    <x v="405"/>
    <x v="355"/>
    <x v="0"/>
    <x v="4"/>
    <n v="1"/>
    <x v="31"/>
    <n v="0"/>
    <m/>
    <n v="0"/>
    <n v="17388"/>
    <n v="0"/>
    <n v="18.899999999999999"/>
    <n v="17388"/>
    <n v="43835.294117647063"/>
    <n v="37260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30"/>
    <n v="30"/>
    <n v="0"/>
    <n v="0"/>
    <n v="0"/>
    <n v="0"/>
    <n v="586845"/>
    <n v="0"/>
    <n v="0"/>
    <n v="0"/>
    <n v="0"/>
    <n v="7"/>
    <n v="0"/>
    <n v="0"/>
    <m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4.2"/>
    <n v="0"/>
    <n v="4.2"/>
    <n v="0"/>
    <m/>
    <n v="0"/>
    <n v="73029.600000000006"/>
    <n v="0"/>
    <n v="0"/>
    <n v="0"/>
    <n v="184108.23529411768"/>
  </r>
  <r>
    <m/>
    <x v="4"/>
    <x v="21"/>
    <x v="50"/>
    <s v="LTS27-MPT02"/>
    <x v="406"/>
    <x v="356"/>
    <x v="0"/>
    <x v="4"/>
    <n v="1"/>
    <x v="31"/>
    <n v="0"/>
    <m/>
    <n v="0"/>
    <n v="17388"/>
    <n v="0"/>
    <n v="18.899999999999999"/>
    <n v="17388"/>
    <n v="43835.294117647063"/>
    <n v="37260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30"/>
    <n v="30"/>
    <n v="0"/>
    <n v="0"/>
    <n v="0"/>
    <n v="0"/>
    <n v="586845"/>
    <n v="0"/>
    <n v="0"/>
    <n v="0"/>
    <n v="0"/>
    <n v="7"/>
    <n v="0"/>
    <n v="0"/>
    <m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4.2"/>
    <n v="0"/>
    <n v="4.2"/>
    <n v="0"/>
    <m/>
    <n v="0"/>
    <n v="73029.600000000006"/>
    <n v="0"/>
    <n v="0"/>
    <n v="0"/>
    <n v="184108.23529411768"/>
  </r>
  <r>
    <m/>
    <x v="4"/>
    <x v="21"/>
    <x v="50"/>
    <s v="LTS27-MPT02"/>
    <x v="407"/>
    <x v="357"/>
    <x v="0"/>
    <x v="4"/>
    <n v="1"/>
    <x v="31"/>
    <n v="0"/>
    <m/>
    <n v="0"/>
    <n v="17388"/>
    <n v="0"/>
    <n v="18.899999999999999"/>
    <n v="17388"/>
    <n v="43835.294117647063"/>
    <n v="37260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0"/>
    <n v="20"/>
    <n v="0"/>
    <n v="0"/>
    <n v="0"/>
    <n v="0"/>
    <n v="391230"/>
    <n v="0"/>
    <n v="0"/>
    <n v="0"/>
    <n v="0"/>
    <n v="4"/>
    <n v="0"/>
    <n v="0"/>
    <m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2.4"/>
    <n v="0"/>
    <n v="2.4"/>
    <n v="0"/>
    <m/>
    <n v="0"/>
    <n v="41731.199999999997"/>
    <n v="0"/>
    <n v="0"/>
    <n v="0"/>
    <n v="105204.70588235295"/>
  </r>
  <r>
    <m/>
    <x v="4"/>
    <x v="21"/>
    <x v="50"/>
    <s v="LTS27-MPT02"/>
    <x v="408"/>
    <x v="358"/>
    <x v="0"/>
    <x v="4"/>
    <n v="1"/>
    <x v="31"/>
    <n v="0"/>
    <m/>
    <n v="0"/>
    <n v="17388"/>
    <n v="0"/>
    <n v="18.899999999999999"/>
    <n v="17388"/>
    <n v="43835.294117647063"/>
    <n v="37260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5"/>
    <n v="15"/>
    <n v="0"/>
    <n v="0"/>
    <n v="0"/>
    <n v="0"/>
    <n v="293422.5"/>
    <n v="0"/>
    <n v="0"/>
    <n v="0"/>
    <n v="0"/>
    <n v="3"/>
    <n v="0"/>
    <n v="0"/>
    <m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1.7999999999999998"/>
    <n v="0"/>
    <n v="1.7999999999999998"/>
    <n v="0"/>
    <m/>
    <n v="0"/>
    <n v="31298.399999999998"/>
    <n v="0"/>
    <n v="0"/>
    <n v="0"/>
    <n v="78903.529411764699"/>
  </r>
  <r>
    <m/>
    <x v="4"/>
    <x v="21"/>
    <x v="50"/>
    <s v="LTS27-MPT02"/>
    <x v="409"/>
    <x v="359"/>
    <x v="0"/>
    <x v="4"/>
    <n v="1"/>
    <x v="31"/>
    <n v="0"/>
    <m/>
    <n v="0"/>
    <n v="17388"/>
    <n v="0"/>
    <n v="18.899999999999999"/>
    <n v="17388"/>
    <n v="43835.294117647063"/>
    <n v="37260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1"/>
    <n v="11"/>
    <n v="0"/>
    <n v="0"/>
    <n v="0"/>
    <n v="0"/>
    <n v="215176.5"/>
    <n v="0"/>
    <n v="0"/>
    <n v="0"/>
    <n v="0"/>
    <n v="2"/>
    <n v="0"/>
    <n v="0"/>
    <m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1.2"/>
    <n v="0"/>
    <n v="1.2"/>
    <n v="0"/>
    <m/>
    <n v="0"/>
    <n v="20865.599999999999"/>
    <n v="0"/>
    <n v="0"/>
    <n v="0"/>
    <n v="52602.352941176476"/>
  </r>
  <r>
    <m/>
    <x v="4"/>
    <x v="21"/>
    <x v="50"/>
    <s v="LTW25-MPT11"/>
    <x v="410"/>
    <x v="360"/>
    <x v="0"/>
    <x v="2"/>
    <n v="1"/>
    <x v="253"/>
    <n v="8"/>
    <m/>
    <n v="0"/>
    <n v="19438"/>
    <n v="155504"/>
    <n v="19.850000000000001"/>
    <n v="21686.125"/>
    <n v="42008.403361344543"/>
    <n v="33605.042016806721"/>
    <s v="Shenzhen"/>
    <x v="0"/>
    <n v="30"/>
    <m/>
    <n v="1"/>
    <n v="0"/>
    <s v=""/>
    <n v="0"/>
    <s v=""/>
    <n v="0"/>
    <s v=""/>
    <n v="0"/>
    <s v=""/>
    <n v="0"/>
    <n v="9.7746681756708679E-6"/>
    <n v="1"/>
    <n v="0.12914988463520077"/>
    <n v="0"/>
    <s v=""/>
    <n v="1"/>
    <n v="0.24699052821198206"/>
    <n v="0"/>
    <n v="1"/>
    <n v="0"/>
    <s v=""/>
    <n v="0"/>
    <s v=""/>
    <n v="1"/>
    <n v="0.51801904336829574"/>
    <n v="0"/>
    <s v=""/>
    <n v="0"/>
    <s v=""/>
    <n v="0"/>
    <s v=""/>
    <n v="1"/>
    <n v="0"/>
    <n v="1"/>
    <n v="1"/>
    <n v="0.33897979595919181"/>
    <n v="1"/>
    <n v="0"/>
    <s v=""/>
    <n v="0"/>
    <n v="0"/>
    <s v=""/>
    <n v="0"/>
    <n v="1"/>
    <n v="0.51800904317386232"/>
    <n v="0"/>
    <n v="0"/>
    <s v=""/>
    <n v="0"/>
    <m/>
    <m/>
    <m/>
    <m/>
    <m/>
    <m/>
    <m/>
    <m/>
    <m/>
    <n v="2"/>
    <n v="8"/>
    <n v="2"/>
    <n v="0"/>
    <n v="0"/>
    <n v="0"/>
    <n v="38876"/>
    <n v="164358"/>
    <n v="38876"/>
    <n v="0"/>
    <n v="8"/>
    <n v="155504"/>
    <n v="70602.358590495031"/>
    <n v="0"/>
    <n v="9"/>
    <n v="0"/>
    <n v="0"/>
    <n v="0"/>
    <n v="0"/>
    <n v="19438"/>
    <n v="184902.75"/>
    <n v="0"/>
    <n v="0"/>
    <n v="8"/>
    <n v="155504"/>
    <n v="0"/>
    <n v="0"/>
    <n v="9"/>
    <n v="0"/>
    <n v="0"/>
    <n v="0"/>
    <n v="39982.75"/>
    <n v="174942"/>
    <n v="0"/>
    <n v="0"/>
    <n v="8"/>
    <n v="155504"/>
    <n v="0"/>
    <n v="1"/>
    <n v="8"/>
    <n v="1"/>
    <n v="0"/>
    <n v="0"/>
    <n v="164358"/>
    <n v="19438"/>
    <x v="0"/>
    <x v="0"/>
    <n v="8"/>
    <n v="155504"/>
    <n v="42008.403361344543"/>
    <n v="1"/>
    <n v="9"/>
    <n v="1"/>
    <m/>
    <n v="0"/>
    <n v="0"/>
    <n v="174942"/>
    <n v="20544.75"/>
    <x v="0"/>
    <n v="0"/>
    <n v="8"/>
    <n v="155504"/>
    <n v="42008.403361344543"/>
    <n v="1"/>
    <n v="8"/>
    <n v="0"/>
    <m/>
    <n v="0"/>
    <n v="0"/>
    <n v="155504"/>
    <n v="0"/>
    <n v="0"/>
    <n v="0"/>
    <n v="8"/>
    <n v="155504"/>
    <n v="0"/>
    <n v="0"/>
    <n v="8"/>
    <n v="0"/>
    <n v="0"/>
    <n v="0"/>
    <n v="0"/>
    <n v="155504"/>
    <n v="0"/>
    <n v="0"/>
    <n v="0"/>
    <n v="8"/>
    <n v="155504"/>
    <n v="0"/>
    <n v="0"/>
    <n v="9"/>
    <n v="1"/>
    <n v="0"/>
    <n v="0"/>
    <n v="0"/>
    <n v="174942"/>
    <n v="20544.75"/>
    <n v="0"/>
    <n v="0"/>
    <n v="9"/>
    <n v="174942"/>
    <n v="42008.403361344543"/>
    <n v="0"/>
    <n v="8"/>
    <n v="0"/>
    <n v="0"/>
    <n v="0"/>
    <n v="0"/>
    <n v="164358"/>
    <n v="0"/>
    <n v="0"/>
    <n v="0"/>
    <n v="8"/>
    <n v="155504"/>
    <n v="0"/>
    <n v="0"/>
    <n v="8"/>
    <n v="0"/>
    <n v="0"/>
    <n v="0"/>
    <n v="0"/>
    <m/>
    <n v="164358"/>
    <n v="0"/>
    <n v="0"/>
    <n v="0"/>
    <n v="8"/>
    <n v="164358"/>
    <n v="0"/>
    <n v="0"/>
    <n v="8"/>
    <n v="0"/>
    <m/>
    <n v="0"/>
    <n v="0"/>
    <n v="164358"/>
    <n v="0"/>
    <n v="0"/>
    <n v="0"/>
    <n v="8"/>
    <n v="164358"/>
    <n v="0"/>
    <n v="0"/>
    <n v="8"/>
    <n v="0"/>
    <n v="0"/>
    <n v="0"/>
    <n v="164358"/>
    <n v="0"/>
    <n v="0"/>
    <n v="0"/>
    <n v="8"/>
    <n v="164358"/>
    <n v="0"/>
    <n v="0"/>
    <n v="8"/>
    <n v="0"/>
    <n v="0"/>
    <m/>
    <n v="164358"/>
    <n v="0"/>
    <n v="0"/>
    <n v="8"/>
    <n v="164358"/>
    <n v="0"/>
  </r>
  <r>
    <m/>
    <x v="4"/>
    <x v="21"/>
    <x v="50"/>
    <s v="LTW25-MPT11"/>
    <x v="411"/>
    <x v="360"/>
    <x v="0"/>
    <x v="2"/>
    <n v="1"/>
    <x v="254"/>
    <n v="1"/>
    <m/>
    <n v="0"/>
    <n v="19438"/>
    <n v="19438"/>
    <n v="19.850000000000001"/>
    <n v="21686.125"/>
    <n v="42008.403361344543"/>
    <n v="33605.042016806721"/>
    <s v="Shenzhen"/>
    <x v="0"/>
    <n v="30"/>
    <m/>
    <n v="1"/>
    <n v="0"/>
    <s v=""/>
    <n v="0"/>
    <s v=""/>
    <n v="0"/>
    <s v=""/>
    <n v="1"/>
    <n v="0.5372871034206842"/>
    <n v="1"/>
    <n v="0.5372871034206842"/>
    <n v="1"/>
    <n v="0.42157922928135688"/>
    <n v="1"/>
    <n v="0.42157995248812197"/>
    <n v="1"/>
    <n v="0.26709218548057206"/>
    <n v="1"/>
    <n v="0.42157922928135688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1"/>
    <n v="0.1430239709532807"/>
    <n v="1"/>
    <n v="1"/>
    <n v="-0.14535876028968012"/>
    <n v="1"/>
    <n v="0"/>
    <s v=""/>
    <n v="0"/>
    <m/>
    <m/>
    <m/>
    <m/>
    <m/>
    <m/>
    <m/>
    <m/>
    <m/>
    <n v="0"/>
    <n v="1"/>
    <n v="0"/>
    <n v="0"/>
    <n v="0"/>
    <n v="0"/>
    <n v="0"/>
    <n v="20544.75"/>
    <n v="0"/>
    <n v="0"/>
    <n v="1"/>
    <n v="19438"/>
    <n v="0"/>
    <n v="0"/>
    <n v="2"/>
    <n v="0"/>
    <n v="0"/>
    <n v="0"/>
    <n v="0"/>
    <n v="0"/>
    <n v="41089.5"/>
    <n v="0"/>
    <n v="0"/>
    <n v="1"/>
    <n v="19438"/>
    <n v="0"/>
    <n v="0"/>
    <n v="2"/>
    <n v="0"/>
    <n v="0"/>
    <n v="0"/>
    <n v="20544.75"/>
    <n v="38876"/>
    <n v="0"/>
    <n v="0"/>
    <n v="1"/>
    <n v="19438"/>
    <n v="0"/>
    <n v="0"/>
    <n v="2"/>
    <n v="0"/>
    <n v="0"/>
    <n v="0"/>
    <n v="41089.5"/>
    <n v="0"/>
    <x v="0"/>
    <x v="0"/>
    <n v="1"/>
    <n v="19438"/>
    <n v="0"/>
    <n v="1"/>
    <n v="1"/>
    <n v="1"/>
    <m/>
    <n v="0"/>
    <n v="0"/>
    <n v="19438"/>
    <n v="20544.75"/>
    <x v="0"/>
    <n v="0"/>
    <n v="1"/>
    <n v="19438"/>
    <n v="42008.403361344543"/>
    <n v="6"/>
    <n v="1"/>
    <n v="0"/>
    <m/>
    <n v="0"/>
    <n v="0"/>
    <n v="19438"/>
    <n v="0"/>
    <n v="0"/>
    <n v="0"/>
    <n v="1"/>
    <n v="19438"/>
    <n v="0"/>
    <n v="1"/>
    <n v="2"/>
    <n v="1"/>
    <n v="0"/>
    <n v="0"/>
    <n v="0"/>
    <n v="38876"/>
    <n v="20544.75"/>
    <n v="0"/>
    <n v="0"/>
    <n v="2"/>
    <n v="19438"/>
    <n v="42008.403361344543"/>
    <n v="1"/>
    <n v="2"/>
    <n v="1"/>
    <n v="0"/>
    <n v="0"/>
    <n v="0"/>
    <n v="38876"/>
    <n v="20544.75"/>
    <n v="0"/>
    <n v="0"/>
    <n v="2"/>
    <n v="38876"/>
    <n v="42008.403361344543"/>
    <n v="1"/>
    <n v="1"/>
    <n v="0"/>
    <n v="0"/>
    <n v="0"/>
    <n v="0"/>
    <n v="20544.75"/>
    <n v="0"/>
    <n v="0"/>
    <n v="0"/>
    <n v="1"/>
    <n v="19438"/>
    <n v="0"/>
    <n v="0"/>
    <n v="1"/>
    <n v="0"/>
    <n v="0"/>
    <n v="0"/>
    <n v="0"/>
    <m/>
    <n v="20544.75"/>
    <n v="0"/>
    <n v="0"/>
    <n v="0"/>
    <n v="1"/>
    <n v="20544.75"/>
    <n v="0"/>
    <n v="0"/>
    <n v="1"/>
    <n v="0"/>
    <m/>
    <n v="0"/>
    <n v="0"/>
    <n v="20544.75"/>
    <n v="0"/>
    <n v="0"/>
    <n v="0"/>
    <n v="1"/>
    <n v="20544.75"/>
    <n v="0"/>
    <n v="0"/>
    <n v="1"/>
    <n v="0"/>
    <n v="0"/>
    <n v="0"/>
    <n v="20544.75"/>
    <n v="0"/>
    <n v="0"/>
    <n v="0"/>
    <n v="1"/>
    <n v="20544.75"/>
    <n v="0"/>
    <n v="0"/>
    <n v="1"/>
    <n v="0"/>
    <n v="0"/>
    <m/>
    <n v="20544.75"/>
    <n v="0"/>
    <n v="0"/>
    <n v="1"/>
    <n v="20544.75"/>
    <n v="0"/>
  </r>
  <r>
    <m/>
    <x v="4"/>
    <x v="21"/>
    <x v="50"/>
    <s v="LTW25-MPT11"/>
    <x v="412"/>
    <x v="360"/>
    <x v="0"/>
    <x v="2"/>
    <n v="1"/>
    <x v="255"/>
    <n v="11"/>
    <m/>
    <n v="0"/>
    <n v="19438"/>
    <n v="213818"/>
    <n v="19.850000000000001"/>
    <n v="21686.125"/>
    <n v="42008.403361344543"/>
    <n v="33605.042016806721"/>
    <s v="Shenzhen"/>
    <x v="0"/>
    <n v="30"/>
    <m/>
    <n v="1"/>
    <n v="0"/>
    <s v=""/>
    <n v="0"/>
    <s v=""/>
    <n v="0"/>
    <s v=""/>
    <n v="0"/>
    <n v="1.0289124395551373E-5"/>
    <n v="0"/>
    <s v=""/>
    <n v="4"/>
    <n v="0.40674482484987673"/>
    <n v="0"/>
    <s v=""/>
    <n v="1"/>
    <n v="0.42157982443088821"/>
    <n v="1"/>
    <n v="0.42158054763690916"/>
    <n v="5"/>
    <n v="0.46197056006731657"/>
    <n v="0"/>
    <s v=""/>
    <n v="2"/>
    <n v="0.51801433211832681"/>
    <n v="0"/>
    <s v=""/>
    <n v="1"/>
    <n v="0.28145399559141965"/>
    <n v="1"/>
    <n v="0.51801431356635574"/>
    <n v="0"/>
    <s v=""/>
    <n v="0"/>
    <n v="1"/>
    <n v="0.33897979595919181"/>
    <n v="0.33333333333333331"/>
    <n v="1"/>
    <n v="0.15179269817454363"/>
    <n v="0.25"/>
    <n v="7"/>
    <n v="0.14035826157129661"/>
    <n v="0.77777777777777779"/>
    <n v="2"/>
    <n v="4.812975850269894E-2"/>
    <n v="0.22222222222222221"/>
    <n v="6"/>
    <n v="3.9646854788044389E-5"/>
    <n v="0.66666666666666663"/>
    <m/>
    <m/>
    <m/>
    <m/>
    <m/>
    <m/>
    <m/>
    <m/>
    <m/>
    <n v="4"/>
    <n v="25"/>
    <n v="4"/>
    <n v="0"/>
    <n v="0"/>
    <n v="0"/>
    <n v="126347"/>
    <n v="513618.75"/>
    <n v="77752"/>
    <n v="0"/>
    <n v="11"/>
    <n v="213818"/>
    <n v="141204.71718099006"/>
    <n v="5"/>
    <n v="26"/>
    <n v="1.5"/>
    <n v="0"/>
    <n v="0"/>
    <n v="0"/>
    <n v="48595"/>
    <n v="534163.5"/>
    <n v="29157"/>
    <n v="0"/>
    <n v="11"/>
    <n v="213818"/>
    <n v="52951.768942871277"/>
    <n v="2"/>
    <n v="25"/>
    <n v="1"/>
    <n v="0"/>
    <n v="0"/>
    <n v="81072.25"/>
    <n v="485950"/>
    <n v="19438"/>
    <n v="0"/>
    <n v="11"/>
    <n v="213818"/>
    <n v="42008.403361344543"/>
    <n v="1"/>
    <n v="22"/>
    <n v="0"/>
    <n v="0"/>
    <n v="0"/>
    <n v="451984.5"/>
    <n v="0"/>
    <x v="0"/>
    <x v="0"/>
    <n v="11"/>
    <n v="213818"/>
    <n v="0"/>
    <n v="3"/>
    <n v="12"/>
    <n v="3"/>
    <m/>
    <n v="0"/>
    <n v="0"/>
    <n v="233256"/>
    <n v="61634.25"/>
    <x v="0"/>
    <n v="0"/>
    <n v="11"/>
    <n v="213818"/>
    <n v="126025.21008403364"/>
    <n v="4"/>
    <n v="12"/>
    <n v="1"/>
    <m/>
    <n v="0"/>
    <n v="0"/>
    <n v="233256"/>
    <n v="20544.75"/>
    <n v="0"/>
    <n v="0"/>
    <n v="12"/>
    <n v="213818"/>
    <n v="42008.403361344543"/>
    <n v="9"/>
    <n v="18"/>
    <n v="7"/>
    <n v="0"/>
    <n v="0"/>
    <n v="0"/>
    <n v="349884"/>
    <n v="143813.25"/>
    <n v="0"/>
    <n v="0"/>
    <n v="18"/>
    <n v="213818"/>
    <n v="294058.82352941181"/>
    <n v="9"/>
    <n v="13"/>
    <n v="2"/>
    <n v="0"/>
    <n v="0"/>
    <n v="0"/>
    <n v="252694"/>
    <n v="41089.5"/>
    <n v="0"/>
    <n v="0"/>
    <n v="13"/>
    <n v="252694"/>
    <n v="84016.806722689085"/>
    <n v="9"/>
    <n v="17"/>
    <n v="7.5"/>
    <n v="0"/>
    <n v="0"/>
    <n v="0"/>
    <n v="349260.75"/>
    <n v="154085.625"/>
    <n v="0"/>
    <n v="0"/>
    <n v="11"/>
    <n v="213818"/>
    <n v="315063.02521008404"/>
    <n v="0"/>
    <n v="9.5"/>
    <n v="0"/>
    <n v="0"/>
    <n v="0"/>
    <n v="0"/>
    <m/>
    <n v="195175.125"/>
    <n v="0"/>
    <n v="0"/>
    <n v="0"/>
    <n v="9.5"/>
    <n v="195175.125"/>
    <n v="0"/>
    <n v="0"/>
    <n v="9.5"/>
    <n v="0"/>
    <m/>
    <n v="0"/>
    <n v="0"/>
    <n v="195175.125"/>
    <n v="0"/>
    <n v="0"/>
    <n v="0"/>
    <n v="9.5"/>
    <n v="195175.125"/>
    <n v="0"/>
    <n v="0"/>
    <n v="9.5"/>
    <n v="0"/>
    <n v="0"/>
    <n v="0"/>
    <n v="195175.125"/>
    <n v="0"/>
    <n v="0"/>
    <n v="0"/>
    <n v="9.5"/>
    <n v="195175.125"/>
    <n v="0"/>
    <n v="0"/>
    <n v="9.5"/>
    <n v="0"/>
    <n v="0"/>
    <m/>
    <n v="195175.125"/>
    <n v="0"/>
    <n v="0"/>
    <n v="9.5"/>
    <n v="195175.125"/>
    <n v="0"/>
  </r>
  <r>
    <m/>
    <x v="4"/>
    <x v="21"/>
    <x v="50"/>
    <s v="LTW25-MPT11"/>
    <x v="413"/>
    <x v="360"/>
    <x v="0"/>
    <x v="2"/>
    <n v="1"/>
    <x v="256"/>
    <n v="1"/>
    <m/>
    <n v="0"/>
    <n v="19438"/>
    <n v="19438"/>
    <n v="19.850000000000001"/>
    <n v="21686.125"/>
    <n v="42008.403361344543"/>
    <n v="33605.042016806721"/>
    <s v="Shenzhen"/>
    <x v="0"/>
    <n v="30"/>
    <m/>
    <n v="1"/>
    <n v="0"/>
    <s v=""/>
    <n v="0"/>
    <s v=""/>
    <n v="0"/>
    <s v=""/>
    <n v="0"/>
    <n v="1.2861405494392427E-5"/>
    <n v="0"/>
    <n v="1.2861405494392427E-5"/>
    <n v="1"/>
    <n v="0.35729400872900408"/>
    <n v="2"/>
    <n v="0.42158160987948223"/>
    <n v="2"/>
    <n v="0.42158233308327081"/>
    <n v="1"/>
    <n v="0.43575285204214925"/>
    <n v="5"/>
    <n v="0.26908165874496121"/>
    <n v="0"/>
    <s v=""/>
    <n v="0"/>
    <s v=""/>
    <n v="0"/>
    <s v=""/>
    <n v="0"/>
    <s v=""/>
    <n v="0"/>
    <s v=""/>
    <n v="0"/>
    <s v=""/>
    <n v="0"/>
    <n v="1"/>
    <n v="0.33897979595919181"/>
    <n v="0"/>
    <n v="0"/>
    <s v=""/>
    <n v="0"/>
    <n v="6"/>
    <n v="0.22440019000782385"/>
    <n v="2"/>
    <n v="0"/>
    <s v=""/>
    <n v="0"/>
    <n v="0"/>
    <s v=""/>
    <n v="0"/>
    <m/>
    <m/>
    <m/>
    <m/>
    <m/>
    <m/>
    <m/>
    <m/>
    <m/>
    <n v="0"/>
    <n v="1"/>
    <n v="0"/>
    <n v="0"/>
    <n v="0"/>
    <n v="0"/>
    <n v="0"/>
    <n v="20544.75"/>
    <n v="0"/>
    <n v="0"/>
    <n v="1"/>
    <n v="19438"/>
    <n v="0"/>
    <n v="0"/>
    <n v="6"/>
    <n v="0"/>
    <n v="0"/>
    <n v="0"/>
    <n v="0"/>
    <n v="0"/>
    <n v="123268.5"/>
    <n v="0"/>
    <n v="0"/>
    <n v="1"/>
    <n v="19438"/>
    <n v="0"/>
    <n v="0"/>
    <n v="7"/>
    <n v="0"/>
    <n v="0"/>
    <n v="0"/>
    <n v="0"/>
    <n v="136066"/>
    <n v="0"/>
    <n v="0"/>
    <n v="1"/>
    <n v="19438"/>
    <n v="0"/>
    <n v="0"/>
    <n v="8"/>
    <n v="0"/>
    <n v="0"/>
    <n v="0"/>
    <n v="164358"/>
    <n v="0"/>
    <x v="0"/>
    <x v="0"/>
    <n v="1"/>
    <n v="19438"/>
    <n v="0"/>
    <n v="0"/>
    <n v="2"/>
    <n v="0"/>
    <m/>
    <n v="0"/>
    <n v="0"/>
    <n v="38876"/>
    <n v="0"/>
    <x v="0"/>
    <n v="0"/>
    <n v="1"/>
    <n v="19438"/>
    <n v="0"/>
    <n v="13.5"/>
    <n v="1"/>
    <n v="0"/>
    <m/>
    <n v="0"/>
    <n v="0"/>
    <n v="19438"/>
    <n v="0"/>
    <n v="0"/>
    <n v="0"/>
    <n v="1"/>
    <n v="19438"/>
    <n v="0"/>
    <n v="3"/>
    <n v="7"/>
    <n v="6"/>
    <n v="0"/>
    <n v="0"/>
    <n v="0"/>
    <n v="136066"/>
    <n v="123268.5"/>
    <n v="0"/>
    <n v="0"/>
    <n v="7"/>
    <n v="19438"/>
    <n v="252050.42016806727"/>
    <n v="3"/>
    <n v="1"/>
    <n v="0"/>
    <n v="0"/>
    <n v="0"/>
    <n v="0"/>
    <n v="19438"/>
    <n v="0"/>
    <n v="0"/>
    <n v="0"/>
    <n v="1"/>
    <n v="19438"/>
    <n v="0"/>
    <n v="3"/>
    <n v="1"/>
    <n v="0"/>
    <n v="0"/>
    <n v="0"/>
    <n v="0"/>
    <n v="20544.75"/>
    <n v="0"/>
    <n v="0"/>
    <n v="0"/>
    <n v="1"/>
    <n v="19438"/>
    <n v="0"/>
    <n v="0"/>
    <n v="1"/>
    <n v="0"/>
    <n v="0"/>
    <n v="0"/>
    <n v="0"/>
    <m/>
    <n v="20544.75"/>
    <n v="0"/>
    <n v="0"/>
    <n v="0"/>
    <n v="1"/>
    <n v="20544.75"/>
    <n v="0"/>
    <n v="0"/>
    <n v="1"/>
    <n v="0"/>
    <m/>
    <n v="0"/>
    <n v="0"/>
    <n v="20544.75"/>
    <n v="0"/>
    <n v="0"/>
    <n v="0"/>
    <n v="1"/>
    <n v="20544.75"/>
    <n v="0"/>
    <n v="0"/>
    <n v="1"/>
    <n v="0"/>
    <n v="0"/>
    <n v="0"/>
    <n v="20544.75"/>
    <n v="0"/>
    <n v="0"/>
    <n v="0"/>
    <n v="1"/>
    <n v="20544.75"/>
    <n v="0"/>
    <n v="0"/>
    <n v="1"/>
    <n v="0"/>
    <n v="0"/>
    <m/>
    <n v="20544.75"/>
    <n v="0"/>
    <n v="0"/>
    <n v="1"/>
    <n v="20544.75"/>
    <n v="0"/>
  </r>
  <r>
    <m/>
    <x v="4"/>
    <x v="21"/>
    <x v="50"/>
    <s v="LTW25-MPT11"/>
    <x v="414"/>
    <x v="360"/>
    <x v="0"/>
    <x v="2"/>
    <n v="1"/>
    <x v="257"/>
    <n v="24"/>
    <m/>
    <n v="0"/>
    <n v="19437"/>
    <n v="466488"/>
    <n v="19.850000000000001"/>
    <n v="21686.125"/>
    <n v="42008.403361344543"/>
    <n v="33605.042016806721"/>
    <s v="Shenzhen"/>
    <x v="0"/>
    <n v="30"/>
    <m/>
    <n v="1"/>
    <n v="0"/>
    <s v=""/>
    <n v="0"/>
    <s v=""/>
    <n v="0"/>
    <s v=""/>
    <n v="0"/>
    <n v="1.0289124395551373E-5"/>
    <n v="0"/>
    <s v=""/>
    <n v="1"/>
    <n v="0.42158041958041953"/>
    <n v="8"/>
    <n v="0.36172753765956572"/>
    <n v="1"/>
    <n v="0.42158114278569636"/>
    <n v="3"/>
    <n v="0.4215809017174717"/>
    <n v="6"/>
    <n v="0.44915413063294957"/>
    <n v="1"/>
    <n v="0.53728361264521041"/>
    <n v="2"/>
    <n v="0.51801433211832681"/>
    <n v="0"/>
    <s v=""/>
    <n v="1"/>
    <n v="0.30126913887496887"/>
    <n v="0"/>
    <s v=""/>
    <n v="0"/>
    <s v=""/>
    <n v="0"/>
    <n v="2"/>
    <n v="0.43570288962345849"/>
    <n v="0.4"/>
    <n v="2"/>
    <n v="0.12681174738590464"/>
    <n v="0.25"/>
    <n v="5"/>
    <n v="0.15016981035027516"/>
    <n v="0.38461538461538464"/>
    <n v="4"/>
    <n v="-6.2058178308178308E-2"/>
    <n v="0.30769230769230771"/>
    <n v="4"/>
    <n v="0.1834216803341015"/>
    <n v="0.30769230769230771"/>
    <m/>
    <m/>
    <m/>
    <m/>
    <m/>
    <m/>
    <m/>
    <m/>
    <m/>
    <n v="5"/>
    <n v="40"/>
    <n v="5"/>
    <n v="0"/>
    <n v="0"/>
    <n v="0"/>
    <n v="126340.5"/>
    <n v="821790"/>
    <n v="97185"/>
    <n v="0"/>
    <n v="24"/>
    <n v="466488"/>
    <n v="176505.89647623757"/>
    <n v="4"/>
    <n v="40"/>
    <n v="1.5"/>
    <n v="0"/>
    <n v="0"/>
    <n v="0"/>
    <n v="29155.5"/>
    <n v="821790"/>
    <n v="29155.5"/>
    <n v="0"/>
    <n v="24"/>
    <n v="466488"/>
    <n v="52951.768942871277"/>
    <n v="5"/>
    <n v="40"/>
    <n v="0"/>
    <n v="0"/>
    <n v="0"/>
    <n v="102723.75"/>
    <n v="777480"/>
    <n v="0"/>
    <n v="0"/>
    <n v="24"/>
    <n v="466488"/>
    <n v="0"/>
    <n v="3"/>
    <n v="41"/>
    <n v="0"/>
    <n v="0"/>
    <n v="0"/>
    <n v="842334.75"/>
    <n v="0"/>
    <x v="0"/>
    <x v="0"/>
    <n v="24"/>
    <n v="466488"/>
    <n v="0"/>
    <n v="5"/>
    <n v="26"/>
    <n v="5"/>
    <m/>
    <n v="0"/>
    <n v="0"/>
    <n v="505362"/>
    <n v="102723.75"/>
    <x v="0"/>
    <n v="0"/>
    <n v="24"/>
    <n v="466488"/>
    <n v="210042.01680672271"/>
    <n v="8"/>
    <n v="26"/>
    <n v="2"/>
    <m/>
    <n v="0"/>
    <n v="0"/>
    <n v="505362"/>
    <n v="41089.5"/>
    <n v="0"/>
    <n v="0"/>
    <n v="26"/>
    <n v="466488"/>
    <n v="84016.806722689085"/>
    <n v="13"/>
    <n v="29"/>
    <n v="5"/>
    <n v="0"/>
    <n v="0"/>
    <n v="0"/>
    <n v="563673"/>
    <n v="102723.75"/>
    <n v="0"/>
    <n v="0"/>
    <n v="29"/>
    <n v="466488"/>
    <n v="210042.01680672271"/>
    <n v="13"/>
    <n v="28"/>
    <n v="4"/>
    <n v="0"/>
    <n v="0"/>
    <n v="0"/>
    <n v="544236"/>
    <n v="82179"/>
    <n v="0"/>
    <n v="0"/>
    <n v="28"/>
    <n v="544236"/>
    <n v="168033.61344537817"/>
    <n v="13"/>
    <n v="28"/>
    <n v="4.5"/>
    <n v="0"/>
    <n v="0"/>
    <n v="0"/>
    <n v="575253"/>
    <n v="92451.375"/>
    <n v="0"/>
    <n v="0"/>
    <n v="24"/>
    <n v="466488"/>
    <n v="189037.81512605044"/>
    <n v="0"/>
    <n v="23.5"/>
    <n v="0"/>
    <n v="0"/>
    <n v="0"/>
    <n v="0"/>
    <m/>
    <n v="482801.625"/>
    <n v="0"/>
    <n v="0"/>
    <n v="0"/>
    <n v="23.5"/>
    <n v="482801.625"/>
    <n v="0"/>
    <n v="0"/>
    <n v="23.5"/>
    <n v="0"/>
    <m/>
    <n v="0"/>
    <n v="0"/>
    <n v="482801.625"/>
    <n v="0"/>
    <n v="0"/>
    <n v="0"/>
    <n v="23.5"/>
    <n v="482801.625"/>
    <n v="0"/>
    <n v="0"/>
    <n v="23.5"/>
    <n v="0"/>
    <n v="0"/>
    <n v="0"/>
    <n v="482801.625"/>
    <n v="0"/>
    <n v="0"/>
    <n v="0"/>
    <n v="23.5"/>
    <n v="482801.625"/>
    <n v="0"/>
    <n v="0"/>
    <n v="23.5"/>
    <n v="0"/>
    <n v="0"/>
    <m/>
    <n v="482801.625"/>
    <n v="0"/>
    <n v="0"/>
    <n v="23.5"/>
    <n v="482801.625"/>
    <n v="0"/>
  </r>
  <r>
    <m/>
    <x v="4"/>
    <x v="21"/>
    <x v="50"/>
    <s v="LTW25-MPT11"/>
    <x v="415"/>
    <x v="360"/>
    <x v="0"/>
    <x v="2"/>
    <n v="1"/>
    <x v="258"/>
    <n v="1"/>
    <m/>
    <n v="0"/>
    <n v="19438"/>
    <n v="19438"/>
    <n v="19.850000000000001"/>
    <n v="21686.125"/>
    <n v="42008.403361344543"/>
    <n v="33605.042016806721"/>
    <s v="Shenzhen"/>
    <x v="0"/>
    <n v="30"/>
    <m/>
    <n v="1"/>
    <n v="0"/>
    <s v=""/>
    <n v="0"/>
    <s v=""/>
    <n v="0"/>
    <s v=""/>
    <n v="0"/>
    <s v=""/>
    <n v="1"/>
    <n v="0.5372871034206842"/>
    <n v="3"/>
    <n v="0.44472230855405298"/>
    <n v="4"/>
    <n v="0.3830143782933042"/>
    <n v="1"/>
    <n v="0.42157995248812197"/>
    <n v="1"/>
    <n v="0.34737308622078966"/>
    <n v="7"/>
    <n v="0.33969281239232668"/>
    <n v="0"/>
    <s v=""/>
    <n v="2"/>
    <n v="0.53727861359741003"/>
    <n v="0"/>
    <s v=""/>
    <n v="1"/>
    <n v="0.51801431356635574"/>
    <n v="0"/>
    <s v=""/>
    <n v="1"/>
    <n v="0.51801431356635574"/>
    <n v="0"/>
    <n v="2"/>
    <n v="-0.23388659216387059"/>
    <n v="2"/>
    <n v="3"/>
    <n v="2.6556867060118037E-2"/>
    <n v="0.15384615384615385"/>
    <n v="3"/>
    <n v="0.2200369787568843"/>
    <n v="0.75"/>
    <n v="1"/>
    <n v="8.1736676058415558E-2"/>
    <n v="0.25"/>
    <n v="1"/>
    <n v="0.21801210618436406"/>
    <n v="0.25"/>
    <m/>
    <m/>
    <m/>
    <m/>
    <m/>
    <m/>
    <m/>
    <m/>
    <m/>
    <n v="0"/>
    <n v="7"/>
    <n v="0"/>
    <n v="0"/>
    <n v="0"/>
    <n v="0"/>
    <n v="29157"/>
    <n v="143813.25"/>
    <n v="0"/>
    <n v="0"/>
    <n v="1"/>
    <n v="19438"/>
    <n v="0"/>
    <n v="0"/>
    <n v="13"/>
    <n v="1.5"/>
    <n v="0"/>
    <n v="0"/>
    <n v="0"/>
    <n v="48595"/>
    <n v="267081.75"/>
    <n v="29157"/>
    <n v="0"/>
    <n v="1"/>
    <n v="19438"/>
    <n v="52951.768942871277"/>
    <n v="0"/>
    <n v="13"/>
    <n v="0"/>
    <n v="0"/>
    <n v="0"/>
    <n v="39982.75"/>
    <n v="252694"/>
    <n v="0"/>
    <n v="0"/>
    <n v="1"/>
    <n v="19438"/>
    <n v="0"/>
    <n v="0"/>
    <n v="14"/>
    <n v="1"/>
    <n v="0"/>
    <n v="0"/>
    <n v="287626.5"/>
    <n v="19438"/>
    <x v="0"/>
    <x v="0"/>
    <n v="1"/>
    <n v="19438"/>
    <n v="42008.403361344543"/>
    <n v="1"/>
    <n v="3"/>
    <n v="1"/>
    <m/>
    <n v="0"/>
    <n v="0"/>
    <n v="58314"/>
    <n v="20544.75"/>
    <x v="0"/>
    <n v="0"/>
    <n v="1"/>
    <n v="19438"/>
    <n v="42008.403361344543"/>
    <n v="19.5"/>
    <n v="4"/>
    <n v="3"/>
    <m/>
    <n v="0"/>
    <n v="0"/>
    <n v="77752"/>
    <n v="61634.25"/>
    <n v="0"/>
    <n v="0"/>
    <n v="4"/>
    <n v="19438"/>
    <n v="126025.21008403364"/>
    <n v="4"/>
    <n v="4"/>
    <n v="3"/>
    <n v="0"/>
    <n v="0"/>
    <n v="0"/>
    <n v="77752"/>
    <n v="61634.25"/>
    <n v="0"/>
    <n v="0"/>
    <n v="4"/>
    <n v="19438"/>
    <n v="126025.21008403364"/>
    <n v="4"/>
    <n v="2"/>
    <n v="1"/>
    <n v="0"/>
    <n v="0"/>
    <n v="0"/>
    <n v="38876"/>
    <n v="20544.75"/>
    <n v="0"/>
    <n v="0"/>
    <n v="2"/>
    <n v="38876"/>
    <n v="42008.403361344543"/>
    <n v="4"/>
    <n v="2"/>
    <n v="4.5"/>
    <n v="0"/>
    <n v="0"/>
    <n v="0"/>
    <n v="41089.5"/>
    <n v="92451.375"/>
    <n v="0"/>
    <n v="0"/>
    <n v="1"/>
    <n v="19438"/>
    <n v="189037.81512605044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0"/>
    <s v="LTW25-MPT11"/>
    <x v="416"/>
    <x v="360"/>
    <x v="0"/>
    <x v="2"/>
    <n v="1"/>
    <x v="259"/>
    <n v="1"/>
    <m/>
    <n v="0"/>
    <n v="19437"/>
    <n v="19437"/>
    <n v="19.850000000000001"/>
    <n v="21686.125"/>
    <n v="42008.403361344543"/>
    <n v="33605.042016806721"/>
    <s v="Shenzhen"/>
    <x v="0"/>
    <n v="30"/>
    <m/>
    <n v="1"/>
    <n v="0"/>
    <s v=""/>
    <n v="0"/>
    <s v=""/>
    <n v="0"/>
    <s v=""/>
    <n v="0"/>
    <s v=""/>
    <n v="1"/>
    <n v="0.53728781756351274"/>
    <n v="0"/>
    <s v=""/>
    <n v="1"/>
    <n v="0.17370302669614004"/>
    <n v="1"/>
    <n v="0.4215795268561226"/>
    <n v="1"/>
    <n v="0.48589436377582057"/>
    <n v="5"/>
    <n v="0.38464946203994971"/>
    <n v="0"/>
    <s v=""/>
    <n v="3"/>
    <n v="0.52461448160044344"/>
    <n v="0"/>
    <s v=""/>
    <n v="1"/>
    <n v="0.51801876910687406"/>
    <n v="0"/>
    <s v=""/>
    <n v="0"/>
    <s v=""/>
    <n v="0"/>
    <n v="0"/>
    <s v=""/>
    <n v="0"/>
    <n v="0"/>
    <s v=""/>
    <n v="0"/>
    <n v="2"/>
    <n v="0.12914572391332993"/>
    <n v="2"/>
    <n v="0"/>
    <s v=""/>
    <n v="0"/>
    <n v="0"/>
    <s v=""/>
    <n v="0"/>
    <m/>
    <m/>
    <m/>
    <m/>
    <m/>
    <m/>
    <m/>
    <m/>
    <m/>
    <n v="0"/>
    <n v="5"/>
    <n v="0"/>
    <n v="0"/>
    <n v="0"/>
    <n v="0"/>
    <n v="29155.5"/>
    <n v="102723.75"/>
    <n v="0"/>
    <n v="0"/>
    <n v="1"/>
    <n v="19437"/>
    <n v="0"/>
    <n v="0"/>
    <n v="3"/>
    <n v="1.5"/>
    <n v="0"/>
    <n v="0"/>
    <n v="0"/>
    <n v="29155.5"/>
    <n v="61634.25"/>
    <n v="29155.5"/>
    <n v="0"/>
    <n v="1"/>
    <n v="19437"/>
    <n v="52951.768942871277"/>
    <n v="0"/>
    <n v="3"/>
    <n v="0"/>
    <n v="0"/>
    <n v="0"/>
    <n v="20544.75"/>
    <n v="58311"/>
    <n v="0"/>
    <n v="0"/>
    <n v="1"/>
    <n v="19437"/>
    <n v="0"/>
    <n v="2"/>
    <n v="3"/>
    <n v="0"/>
    <n v="0"/>
    <n v="0"/>
    <n v="61634.25"/>
    <n v="0"/>
    <x v="0"/>
    <x v="0"/>
    <n v="1"/>
    <n v="19437"/>
    <n v="0"/>
    <n v="1"/>
    <n v="1"/>
    <n v="1"/>
    <m/>
    <n v="0"/>
    <n v="0"/>
    <n v="19437"/>
    <n v="20544.75"/>
    <x v="0"/>
    <n v="0"/>
    <n v="1"/>
    <n v="19437"/>
    <n v="42008.403361344543"/>
    <n v="0"/>
    <n v="1"/>
    <n v="0"/>
    <m/>
    <n v="0"/>
    <n v="0"/>
    <n v="19437"/>
    <n v="0"/>
    <n v="0"/>
    <n v="0"/>
    <n v="1"/>
    <n v="19437"/>
    <n v="0"/>
    <n v="1"/>
    <n v="3"/>
    <n v="2"/>
    <n v="0"/>
    <n v="0"/>
    <n v="0"/>
    <n v="58311"/>
    <n v="41089.5"/>
    <n v="0"/>
    <n v="0"/>
    <n v="3"/>
    <n v="19437"/>
    <n v="84016.806722689085"/>
    <n v="1"/>
    <n v="1"/>
    <n v="0"/>
    <n v="0"/>
    <n v="0"/>
    <n v="0"/>
    <n v="19437"/>
    <n v="0"/>
    <n v="0"/>
    <n v="0"/>
    <n v="1"/>
    <n v="19437"/>
    <n v="0"/>
    <n v="1"/>
    <n v="1"/>
    <n v="0"/>
    <n v="0"/>
    <n v="0"/>
    <n v="0"/>
    <n v="20544.75"/>
    <n v="0"/>
    <n v="0"/>
    <n v="0"/>
    <n v="1"/>
    <n v="19437"/>
    <n v="0"/>
    <n v="0"/>
    <n v="1"/>
    <n v="0"/>
    <n v="0"/>
    <n v="0"/>
    <n v="0"/>
    <m/>
    <n v="20544.75"/>
    <n v="0"/>
    <n v="0"/>
    <n v="0"/>
    <n v="1"/>
    <n v="20544.75"/>
    <n v="0"/>
    <n v="0"/>
    <n v="1"/>
    <n v="0"/>
    <m/>
    <n v="0"/>
    <n v="0"/>
    <n v="20544.75"/>
    <n v="0"/>
    <n v="0"/>
    <n v="0"/>
    <n v="1"/>
    <n v="20544.75"/>
    <n v="0"/>
    <n v="0"/>
    <n v="1"/>
    <n v="0"/>
    <n v="0"/>
    <n v="0"/>
    <n v="20544.75"/>
    <n v="0"/>
    <n v="0"/>
    <n v="0"/>
    <n v="1"/>
    <n v="20544.75"/>
    <n v="0"/>
    <n v="0"/>
    <n v="1"/>
    <n v="0"/>
    <n v="0"/>
    <m/>
    <n v="20544.75"/>
    <n v="0"/>
    <n v="0"/>
    <n v="1"/>
    <n v="20544.75"/>
    <n v="0"/>
  </r>
  <r>
    <m/>
    <x v="4"/>
    <x v="21"/>
    <x v="51"/>
    <s v="LTW25-MPK08"/>
    <x v="417"/>
    <x v="361"/>
    <x v="0"/>
    <x v="2"/>
    <n v="1"/>
    <x v="260"/>
    <n v="2"/>
    <m/>
    <n v="0"/>
    <n v="22503"/>
    <n v="45006"/>
    <n v="21.9"/>
    <n v="23925.749999999996"/>
    <n v="58815.126050420171"/>
    <n v="33605.042016806721"/>
    <s v="Shenzhen"/>
    <x v="0"/>
    <n v="30"/>
    <m/>
    <n v="1"/>
    <n v="0"/>
    <s v=""/>
    <n v="0"/>
    <s v=""/>
    <n v="0"/>
    <s v=""/>
    <n v="0"/>
    <s v=""/>
    <n v="1"/>
    <n v="0.4048092996191282"/>
    <n v="8"/>
    <n v="0.432809988556974"/>
    <n v="35"/>
    <n v="0.23921870513991775"/>
    <n v="6"/>
    <n v="0.38189329966516616"/>
    <n v="2"/>
    <n v="0.40479355674875023"/>
    <n v="12"/>
    <n v="0.40794634948476211"/>
    <n v="0"/>
    <s v=""/>
    <n v="5"/>
    <n v="0.62490248764843548"/>
    <n v="1"/>
    <n v="0.4223795188052375"/>
    <n v="3"/>
    <n v="0.53906038328558292"/>
    <n v="1"/>
    <n v="0.58039614448567933"/>
    <n v="4"/>
    <n v="0.33190330671285601"/>
    <n v="1.3333333333333333"/>
    <n v="8"/>
    <n v="0.34227146151035737"/>
    <n v="1.3333333333333333"/>
    <n v="25"/>
    <n v="0.14771155540849989"/>
    <n v="0.64102564102564108"/>
    <n v="10"/>
    <n v="0.11003519465067896"/>
    <n v="0.37037037037037035"/>
    <n v="3"/>
    <n v="6.2199546462070411E-2"/>
    <n v="0.1111111111111111"/>
    <n v="-2"/>
    <n v="0.21216240070609002"/>
    <n v="-7.407407407407407E-2"/>
    <m/>
    <m/>
    <m/>
    <m/>
    <m/>
    <m/>
    <m/>
    <m/>
    <m/>
    <n v="2"/>
    <n v="39"/>
    <n v="2"/>
    <n v="0"/>
    <n v="0"/>
    <n v="0"/>
    <n v="168772.5"/>
    <n v="883993.5"/>
    <n v="45006"/>
    <n v="0"/>
    <n v="2"/>
    <n v="45006"/>
    <n v="98848.951345243986"/>
    <n v="2"/>
    <n v="92"/>
    <n v="4.5"/>
    <n v="0"/>
    <n v="0"/>
    <n v="0"/>
    <n v="213778.5"/>
    <n v="2085318"/>
    <n v="101263.5"/>
    <n v="0"/>
    <n v="2"/>
    <n v="45006"/>
    <n v="222410.14052679896"/>
    <n v="4"/>
    <n v="90"/>
    <n v="1"/>
    <n v="0"/>
    <n v="0"/>
    <n v="248514"/>
    <n v="2025270"/>
    <n v="22503"/>
    <n v="0"/>
    <n v="2"/>
    <n v="45006"/>
    <n v="58815.126050420171"/>
    <n v="3"/>
    <n v="93"/>
    <n v="4"/>
    <n v="0"/>
    <n v="0"/>
    <n v="2107984.5"/>
    <n v="90012"/>
    <x v="0"/>
    <x v="0"/>
    <n v="2"/>
    <n v="45006"/>
    <n v="235260.50420168068"/>
    <n v="6"/>
    <n v="10"/>
    <n v="6"/>
    <m/>
    <n v="0"/>
    <n v="0"/>
    <n v="225030"/>
    <n v="135999"/>
    <x v="0"/>
    <n v="0"/>
    <n v="2"/>
    <n v="45006"/>
    <n v="352890.75630252104"/>
    <n v="39"/>
    <n v="27"/>
    <n v="25"/>
    <m/>
    <n v="0"/>
    <n v="0"/>
    <n v="607581"/>
    <n v="566662.5"/>
    <n v="0"/>
    <n v="0"/>
    <n v="27"/>
    <n v="45006"/>
    <n v="1470378.1512605043"/>
    <n v="27"/>
    <n v="12"/>
    <n v="10"/>
    <n v="0"/>
    <n v="0"/>
    <n v="0"/>
    <n v="270036"/>
    <n v="226665"/>
    <n v="0"/>
    <n v="0"/>
    <n v="12"/>
    <n v="45006"/>
    <n v="588151.26050420175"/>
    <n v="27"/>
    <n v="5"/>
    <n v="3"/>
    <n v="0"/>
    <n v="0"/>
    <n v="0"/>
    <n v="112515"/>
    <n v="67999.5"/>
    <n v="0"/>
    <n v="0"/>
    <n v="5"/>
    <n v="112515"/>
    <n v="176445.37815126052"/>
    <n v="27"/>
    <n v="0"/>
    <n v="0"/>
    <n v="0"/>
    <n v="0"/>
    <n v="0"/>
    <n v="0"/>
    <n v="0"/>
    <n v="0"/>
    <n v="0"/>
    <n v="2"/>
    <n v="45006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1"/>
    <s v="LTW25-MPK08"/>
    <x v="418"/>
    <x v="361"/>
    <x v="0"/>
    <x v="2"/>
    <n v="1"/>
    <x v="261"/>
    <n v="57"/>
    <m/>
    <n v="0"/>
    <n v="21445"/>
    <n v="1222365"/>
    <n v="21.9"/>
    <n v="23925.749999999996"/>
    <n v="58815.126050420171"/>
    <n v="33605.042016806721"/>
    <s v="Shenzhen"/>
    <x v="0"/>
    <n v="30"/>
    <m/>
    <n v="1"/>
    <n v="0"/>
    <s v=""/>
    <n v="0"/>
    <s v=""/>
    <n v="0"/>
    <s v=""/>
    <n v="0"/>
    <s v=""/>
    <n v="0"/>
    <s v=""/>
    <n v="3"/>
    <n v="0.27613312009557839"/>
    <n v="8"/>
    <n v="0.18949642035699246"/>
    <n v="0"/>
    <s v=""/>
    <n v="1"/>
    <n v="0.65970215331884041"/>
    <n v="1"/>
    <n v="0.65970215331884041"/>
    <n v="0"/>
    <s v=""/>
    <n v="1"/>
    <n v="0.68097292472478432"/>
    <n v="0"/>
    <s v=""/>
    <n v="1"/>
    <n v="0.68097295132801705"/>
    <n v="0"/>
    <s v=""/>
    <n v="0"/>
    <s v=""/>
    <n v="0"/>
    <n v="3"/>
    <n v="0.41094691082557511"/>
    <n v="0.5"/>
    <n v="9"/>
    <n v="0.21758549906415878"/>
    <n v="0.23076923076923078"/>
    <n v="15"/>
    <n v="0.22574883194110149"/>
    <n v="0.9375"/>
    <n v="5"/>
    <n v="9.0861794522063832E-2"/>
    <n v="0.3125"/>
    <n v="0"/>
    <n v="4.8458290249999996"/>
    <n v="0"/>
    <m/>
    <m/>
    <m/>
    <m/>
    <m/>
    <m/>
    <m/>
    <m/>
    <m/>
    <n v="2"/>
    <n v="73"/>
    <n v="2"/>
    <n v="0"/>
    <n v="0"/>
    <n v="0"/>
    <n v="75057.5"/>
    <n v="1654654.5"/>
    <n v="42890"/>
    <n v="0"/>
    <n v="57"/>
    <n v="1222365"/>
    <n v="98848.951345243986"/>
    <n v="2"/>
    <n v="54"/>
    <n v="1.5"/>
    <n v="0"/>
    <n v="0"/>
    <n v="0"/>
    <n v="32167.5"/>
    <n v="1223991"/>
    <n v="32167.5"/>
    <n v="0"/>
    <n v="57"/>
    <n v="1222365"/>
    <n v="74136.713508932997"/>
    <n v="4"/>
    <n v="53"/>
    <n v="0"/>
    <n v="0"/>
    <n v="0"/>
    <n v="135999"/>
    <n v="1136585"/>
    <n v="0"/>
    <n v="0"/>
    <n v="57"/>
    <n v="1222365"/>
    <n v="0"/>
    <n v="3"/>
    <n v="53"/>
    <n v="0"/>
    <n v="0"/>
    <n v="0"/>
    <n v="1201324.5"/>
    <n v="0"/>
    <x v="0"/>
    <x v="0"/>
    <n v="57"/>
    <n v="1222365"/>
    <n v="0"/>
    <n v="6"/>
    <n v="60"/>
    <n v="6"/>
    <m/>
    <n v="0"/>
    <n v="0"/>
    <n v="1286700"/>
    <n v="135999"/>
    <x v="0"/>
    <n v="0"/>
    <n v="57"/>
    <n v="1222365"/>
    <n v="352890.75630252104"/>
    <n v="39"/>
    <n v="66"/>
    <n v="9"/>
    <m/>
    <n v="0"/>
    <n v="0"/>
    <n v="1415370"/>
    <n v="203998.5"/>
    <n v="0"/>
    <n v="0"/>
    <n v="66"/>
    <n v="1222365"/>
    <n v="529336.13445378153"/>
    <n v="16"/>
    <n v="72"/>
    <n v="15"/>
    <n v="0"/>
    <n v="0"/>
    <n v="0"/>
    <n v="1544040"/>
    <n v="339997.5"/>
    <n v="0"/>
    <n v="0"/>
    <n v="72"/>
    <n v="1222365"/>
    <n v="882226.89075630251"/>
    <n v="16"/>
    <n v="62"/>
    <n v="5"/>
    <n v="0"/>
    <n v="0"/>
    <n v="0"/>
    <n v="1329590"/>
    <n v="113332.5"/>
    <n v="0"/>
    <n v="0"/>
    <n v="62"/>
    <n v="1329590"/>
    <n v="294075.63025210088"/>
    <n v="16"/>
    <n v="57"/>
    <n v="0"/>
    <n v="0"/>
    <n v="0"/>
    <n v="0"/>
    <n v="1291990.5"/>
    <n v="0"/>
    <n v="0"/>
    <n v="0"/>
    <n v="57"/>
    <n v="1222365"/>
    <n v="0"/>
    <n v="0"/>
    <n v="57"/>
    <n v="0"/>
    <n v="0"/>
    <n v="0"/>
    <n v="0"/>
    <m/>
    <n v="1291990.5"/>
    <n v="0"/>
    <n v="0"/>
    <n v="0"/>
    <n v="57"/>
    <n v="1291990.5"/>
    <n v="0"/>
    <n v="0"/>
    <n v="57"/>
    <n v="0"/>
    <m/>
    <n v="0"/>
    <n v="0"/>
    <n v="1291990.5"/>
    <n v="0"/>
    <n v="0"/>
    <n v="0"/>
    <n v="57"/>
    <n v="1291990.5"/>
    <n v="0"/>
    <n v="0"/>
    <n v="57"/>
    <n v="0"/>
    <n v="0"/>
    <n v="0"/>
    <n v="1291990.5"/>
    <n v="0"/>
    <n v="0"/>
    <n v="0"/>
    <n v="57"/>
    <n v="1291990.5"/>
    <n v="0"/>
    <n v="0"/>
    <n v="57"/>
    <n v="0"/>
    <n v="0"/>
    <m/>
    <n v="1291990.5"/>
    <n v="0"/>
    <n v="0"/>
    <n v="57"/>
    <n v="1291990.5"/>
    <n v="0"/>
  </r>
  <r>
    <m/>
    <x v="4"/>
    <x v="21"/>
    <x v="51"/>
    <s v="LTW25-MPK08"/>
    <x v="419"/>
    <x v="361"/>
    <x v="0"/>
    <x v="2"/>
    <n v="1"/>
    <x v="262"/>
    <n v="0"/>
    <m/>
    <n v="0"/>
    <n v="21445"/>
    <n v="0"/>
    <n v="21.9"/>
    <n v="23925.749999999996"/>
    <n v="58815.126050420171"/>
    <n v="33605.042016806721"/>
    <s v="Shenzhen"/>
    <x v="0"/>
    <n v="30"/>
    <m/>
    <n v="1"/>
    <n v="0"/>
    <s v=""/>
    <n v="0"/>
    <s v=""/>
    <n v="0"/>
    <s v=""/>
    <n v="0"/>
    <s v=""/>
    <n v="1"/>
    <n v="0.68096015948109134"/>
    <n v="5"/>
    <n v="0.37894207258487966"/>
    <n v="20"/>
    <n v="0.31380811368196854"/>
    <n v="5"/>
    <n v="0.46824774253666029"/>
    <n v="1"/>
    <n v="0.36184436839755985"/>
    <n v="15"/>
    <n v="0.44192468169192944"/>
    <n v="-1"/>
    <n v="0.48949676252142449"/>
    <n v="0"/>
    <n v="1"/>
    <n v="0"/>
    <s v=""/>
    <n v="1"/>
    <n v="0.68097295132801705"/>
    <n v="3"/>
    <n v="0.56377136133796446"/>
    <n v="1"/>
    <n v="0"/>
    <n v="0.33333333333333331"/>
    <n v="2"/>
    <n v="0.60733193826837562"/>
    <n v="0.33333333333333331"/>
    <n v="15"/>
    <n v="0.15050025167753484"/>
    <n v="0.55555555555555558"/>
    <n v="12"/>
    <n v="0.27063799180718301"/>
    <n v="1.3333333333333333"/>
    <n v="2"/>
    <n v="9.7715665711840524E-2"/>
    <n v="0.22222222222222221"/>
    <n v="-4"/>
    <n v="0.28689258167770415"/>
    <n v="-0.44444444444444442"/>
    <m/>
    <m/>
    <m/>
    <m/>
    <m/>
    <m/>
    <m/>
    <m/>
    <m/>
    <n v="2"/>
    <n v="22"/>
    <n v="2"/>
    <n v="0"/>
    <n v="0"/>
    <n v="0"/>
    <n v="139392.5"/>
    <n v="498663"/>
    <n v="42890"/>
    <n v="0"/>
    <n v="0"/>
    <n v="0"/>
    <n v="98848.951345243986"/>
    <n v="2"/>
    <n v="33"/>
    <n v="1.5"/>
    <n v="0"/>
    <n v="0"/>
    <n v="0"/>
    <n v="117947.5"/>
    <n v="747994.5"/>
    <n v="32167.5"/>
    <n v="0"/>
    <n v="0"/>
    <n v="0"/>
    <n v="74136.713508932997"/>
    <n v="4"/>
    <n v="32"/>
    <n v="3"/>
    <n v="0"/>
    <n v="0"/>
    <n v="221779"/>
    <n v="686240"/>
    <n v="64335"/>
    <n v="0"/>
    <n v="0"/>
    <n v="0"/>
    <n v="176445.37815126052"/>
    <n v="3"/>
    <n v="30"/>
    <n v="1"/>
    <n v="0"/>
    <n v="0"/>
    <n v="679995"/>
    <n v="21445"/>
    <x v="0"/>
    <x v="0"/>
    <n v="0"/>
    <n v="0"/>
    <n v="58815.126050420171"/>
    <n v="6"/>
    <n v="2"/>
    <n v="6"/>
    <m/>
    <n v="0"/>
    <n v="0"/>
    <n v="42890"/>
    <n v="135999"/>
    <x v="0"/>
    <n v="0"/>
    <n v="0"/>
    <n v="0"/>
    <n v="352890.75630252104"/>
    <n v="27"/>
    <n v="15"/>
    <n v="15"/>
    <m/>
    <n v="0"/>
    <n v="0"/>
    <n v="321675"/>
    <n v="339997.5"/>
    <n v="0"/>
    <n v="0"/>
    <n v="15"/>
    <n v="0"/>
    <n v="882226.89075630251"/>
    <n v="9"/>
    <n v="12"/>
    <n v="12"/>
    <n v="0"/>
    <n v="0"/>
    <n v="0"/>
    <n v="257340"/>
    <n v="271998"/>
    <n v="0"/>
    <n v="0"/>
    <n v="12"/>
    <n v="0"/>
    <n v="705781.51260504208"/>
    <n v="9"/>
    <n v="2"/>
    <n v="2"/>
    <n v="0"/>
    <n v="0"/>
    <n v="0"/>
    <n v="42890"/>
    <n v="45333"/>
    <n v="0"/>
    <n v="0"/>
    <n v="2"/>
    <n v="42890"/>
    <n v="117630.25210084034"/>
    <n v="9"/>
    <n v="-4"/>
    <n v="0"/>
    <n v="0"/>
    <n v="0"/>
    <n v="0"/>
    <n v="-90666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1"/>
    <s v="LTW25-MPK08"/>
    <x v="420"/>
    <x v="361"/>
    <x v="0"/>
    <x v="2"/>
    <n v="1"/>
    <x v="263"/>
    <n v="28"/>
    <m/>
    <n v="0"/>
    <n v="21445"/>
    <n v="600460"/>
    <n v="21.9"/>
    <n v="23925.749999999996"/>
    <n v="58815.126050420171"/>
    <n v="33605.042016806721"/>
    <s v="Shenzhen"/>
    <x v="0"/>
    <n v="30"/>
    <m/>
    <n v="1"/>
    <n v="0"/>
    <s v=""/>
    <n v="0"/>
    <s v=""/>
    <n v="0"/>
    <s v=""/>
    <n v="0"/>
    <s v=""/>
    <n v="0"/>
    <s v=""/>
    <n v="0"/>
    <s v=""/>
    <n v="7"/>
    <n v="8.5478232347012739E-2"/>
    <n v="0"/>
    <s v=""/>
    <n v="1"/>
    <n v="0.65970231200114249"/>
    <n v="5"/>
    <n v="0.5522189417065827"/>
    <n v="0"/>
    <s v=""/>
    <n v="0"/>
    <s v=""/>
    <n v="0"/>
    <s v=""/>
    <n v="0"/>
    <s v=""/>
    <n v="0"/>
    <s v=""/>
    <n v="0"/>
    <s v=""/>
    <n v="0"/>
    <n v="1"/>
    <n v="0.63538076868124016"/>
    <n v="0.16666666666666666"/>
    <n v="3"/>
    <n v="0.1249067660658677"/>
    <n v="0.1111111111111111"/>
    <n v="11"/>
    <n v="0.2359777041113488"/>
    <n v="0.6875"/>
    <n v="5"/>
    <n v="4.2215766238805998E-2"/>
    <n v="0.3125"/>
    <n v="0"/>
    <n v="-12.559469721210117"/>
    <n v="0"/>
    <m/>
    <m/>
    <m/>
    <m/>
    <m/>
    <m/>
    <m/>
    <m/>
    <m/>
    <n v="2"/>
    <n v="46"/>
    <n v="2"/>
    <n v="0"/>
    <n v="0"/>
    <n v="0"/>
    <n v="42890"/>
    <n v="1042659"/>
    <n v="42890"/>
    <n v="0"/>
    <n v="28"/>
    <n v="600460"/>
    <n v="98848.951345243986"/>
    <n v="2"/>
    <n v="49"/>
    <n v="0"/>
    <n v="0"/>
    <n v="0"/>
    <n v="0"/>
    <n v="0"/>
    <n v="1110658.5"/>
    <n v="0"/>
    <n v="0"/>
    <n v="28"/>
    <n v="600460"/>
    <n v="0"/>
    <n v="4"/>
    <n v="49"/>
    <n v="0"/>
    <n v="0"/>
    <n v="0"/>
    <n v="135999"/>
    <n v="1050805"/>
    <n v="0"/>
    <n v="0"/>
    <n v="28"/>
    <n v="600460"/>
    <n v="0"/>
    <n v="3"/>
    <n v="49"/>
    <n v="0"/>
    <n v="0"/>
    <n v="0"/>
    <n v="1110658.5"/>
    <n v="0"/>
    <x v="0"/>
    <x v="0"/>
    <n v="28"/>
    <n v="600460"/>
    <n v="0"/>
    <n v="6"/>
    <n v="29"/>
    <n v="6"/>
    <m/>
    <n v="0"/>
    <n v="0"/>
    <n v="621905"/>
    <n v="135999"/>
    <x v="0"/>
    <n v="0"/>
    <n v="28"/>
    <n v="600460"/>
    <n v="352890.75630252104"/>
    <n v="27"/>
    <n v="31"/>
    <n v="3"/>
    <m/>
    <n v="0"/>
    <n v="0"/>
    <n v="664795"/>
    <n v="67999.5"/>
    <n v="0"/>
    <n v="0"/>
    <n v="31"/>
    <n v="600460"/>
    <n v="176445.37815126052"/>
    <n v="16"/>
    <n v="39"/>
    <n v="11"/>
    <n v="0"/>
    <n v="0"/>
    <n v="0"/>
    <n v="836355"/>
    <n v="249331.5"/>
    <n v="0"/>
    <n v="0"/>
    <n v="39"/>
    <n v="600460"/>
    <n v="646966.38655462186"/>
    <n v="16"/>
    <n v="33"/>
    <n v="5"/>
    <n v="0"/>
    <n v="0"/>
    <n v="0"/>
    <n v="707685"/>
    <n v="113332.5"/>
    <n v="0"/>
    <n v="0"/>
    <n v="33"/>
    <n v="707685"/>
    <n v="294075.63025210088"/>
    <n v="16"/>
    <n v="28"/>
    <n v="0"/>
    <n v="0"/>
    <n v="0"/>
    <n v="0"/>
    <n v="634662"/>
    <n v="0"/>
    <n v="0"/>
    <n v="0"/>
    <n v="28"/>
    <n v="600460"/>
    <n v="0"/>
    <n v="0"/>
    <n v="28"/>
    <n v="0"/>
    <n v="0"/>
    <n v="0"/>
    <n v="0"/>
    <m/>
    <n v="634662"/>
    <n v="0"/>
    <n v="0"/>
    <n v="0"/>
    <n v="28"/>
    <n v="634662"/>
    <n v="0"/>
    <n v="0"/>
    <n v="28"/>
    <n v="0"/>
    <m/>
    <n v="0"/>
    <n v="0"/>
    <n v="634662"/>
    <n v="0"/>
    <n v="0"/>
    <n v="0"/>
    <n v="28"/>
    <n v="634662"/>
    <n v="0"/>
    <n v="0"/>
    <n v="28"/>
    <n v="0"/>
    <n v="0"/>
    <n v="0"/>
    <n v="634662"/>
    <n v="0"/>
    <n v="0"/>
    <n v="0"/>
    <n v="28"/>
    <n v="634662"/>
    <n v="0"/>
    <n v="0"/>
    <n v="28"/>
    <n v="0"/>
    <n v="0"/>
    <m/>
    <n v="634662"/>
    <n v="0"/>
    <n v="0"/>
    <n v="28"/>
    <n v="634662"/>
    <n v="0"/>
  </r>
  <r>
    <m/>
    <x v="4"/>
    <x v="21"/>
    <x v="51"/>
    <s v="LTW25-MPK08"/>
    <x v="421"/>
    <x v="361"/>
    <x v="0"/>
    <x v="2"/>
    <n v="1"/>
    <x v="264"/>
    <n v="0"/>
    <m/>
    <n v="0"/>
    <n v="21445"/>
    <n v="0"/>
    <n v="21.9"/>
    <n v="23925.749999999996"/>
    <n v="58815.126050420171"/>
    <n v="33605.042016806721"/>
    <s v="Shenzhen"/>
    <x v="0"/>
    <n v="30"/>
    <m/>
    <n v="1"/>
    <n v="0"/>
    <s v=""/>
    <n v="0"/>
    <s v=""/>
    <n v="0"/>
    <s v=""/>
    <n v="0"/>
    <s v=""/>
    <n v="1"/>
    <n v="0.57462640087275618"/>
    <n v="1"/>
    <n v="0.43277144444150556"/>
    <n v="14"/>
    <n v="0.34428917125672148"/>
    <n v="3"/>
    <n v="0.36395503685139324"/>
    <n v="0"/>
    <s v=""/>
    <n v="8"/>
    <n v="0.24807075674301596"/>
    <n v="-1"/>
    <n v="0.36184466597232556"/>
    <n v="1"/>
    <n v="0.27072706250425083"/>
    <n v="0"/>
    <s v=""/>
    <n v="1"/>
    <n v="0.68097295132801705"/>
    <n v="0"/>
    <s v=""/>
    <n v="0"/>
    <s v=""/>
    <n v="0"/>
    <n v="2"/>
    <n v="0.56368849375961705"/>
    <n v="0.5"/>
    <n v="4"/>
    <n v="-7.8557588320115349E-2"/>
    <n v="0.26666666666666666"/>
    <n v="1"/>
    <n v="0.27064932837953698"/>
    <n v="0.5"/>
    <n v="2"/>
    <n v="0.10227772874374816"/>
    <n v="1"/>
    <n v="0"/>
    <s v=""/>
    <n v="0"/>
    <m/>
    <m/>
    <m/>
    <m/>
    <m/>
    <m/>
    <m/>
    <m/>
    <m/>
    <n v="1"/>
    <n v="6"/>
    <n v="1"/>
    <n v="0"/>
    <n v="0"/>
    <n v="0"/>
    <n v="53612.5"/>
    <n v="135999"/>
    <n v="21445"/>
    <n v="0"/>
    <n v="0"/>
    <n v="0"/>
    <n v="49424.475672621993"/>
    <n v="1"/>
    <n v="7"/>
    <n v="1.5"/>
    <n v="0"/>
    <n v="0"/>
    <n v="0"/>
    <n v="32167.5"/>
    <n v="158665.5"/>
    <n v="32167.5"/>
    <n v="0"/>
    <n v="0"/>
    <n v="0"/>
    <n v="74136.713508932997"/>
    <n v="2"/>
    <n v="7"/>
    <n v="0"/>
    <n v="0"/>
    <n v="0"/>
    <n v="90666"/>
    <n v="150115"/>
    <n v="0"/>
    <n v="0"/>
    <n v="0"/>
    <n v="0"/>
    <n v="0"/>
    <n v="2"/>
    <n v="8"/>
    <n v="0"/>
    <n v="0"/>
    <n v="0"/>
    <n v="181332"/>
    <n v="0"/>
    <x v="0"/>
    <x v="0"/>
    <n v="0"/>
    <n v="0"/>
    <n v="0"/>
    <n v="4"/>
    <n v="2"/>
    <n v="4"/>
    <m/>
    <n v="0"/>
    <n v="0"/>
    <n v="42890"/>
    <n v="90666"/>
    <x v="0"/>
    <n v="0"/>
    <n v="0"/>
    <n v="0"/>
    <n v="235260.50420168068"/>
    <n v="15"/>
    <n v="4"/>
    <n v="4"/>
    <m/>
    <n v="0"/>
    <n v="0"/>
    <n v="85780"/>
    <n v="90666"/>
    <n v="0"/>
    <n v="0"/>
    <n v="4"/>
    <n v="0"/>
    <n v="235260.50420168068"/>
    <n v="2"/>
    <n v="1"/>
    <n v="1"/>
    <n v="0"/>
    <n v="0"/>
    <n v="0"/>
    <n v="21445"/>
    <n v="22666.5"/>
    <n v="0"/>
    <n v="0"/>
    <n v="1"/>
    <n v="0"/>
    <n v="58815.126050420171"/>
    <n v="2"/>
    <n v="2"/>
    <n v="2"/>
    <n v="0"/>
    <n v="0"/>
    <n v="0"/>
    <n v="42890"/>
    <n v="45333"/>
    <n v="0"/>
    <n v="0"/>
    <n v="2"/>
    <n v="42890"/>
    <n v="117630.2521008403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1"/>
    <s v="LTW25-MPK08"/>
    <x v="422"/>
    <x v="361"/>
    <x v="0"/>
    <x v="2"/>
    <n v="1"/>
    <x v="265"/>
    <n v="24"/>
    <m/>
    <n v="0"/>
    <n v="21445"/>
    <n v="514680"/>
    <n v="21.9"/>
    <n v="23925.749999999996"/>
    <n v="58815.126050420171"/>
    <n v="33605.042016806721"/>
    <s v="Shenzhen"/>
    <x v="0"/>
    <n v="30"/>
    <m/>
    <n v="1"/>
    <n v="0"/>
    <s v=""/>
    <n v="0"/>
    <s v=""/>
    <n v="0"/>
    <s v=""/>
    <n v="0"/>
    <s v=""/>
    <n v="0"/>
    <s v=""/>
    <n v="0"/>
    <s v=""/>
    <n v="1"/>
    <n v="1.2239901595111546E-2"/>
    <n v="0"/>
    <s v=""/>
    <n v="0"/>
    <s v=""/>
    <n v="1"/>
    <n v="1.8880051418059137E-5"/>
    <n v="0"/>
    <s v=""/>
    <n v="0"/>
    <s v=""/>
    <n v="0"/>
    <s v=""/>
    <n v="0"/>
    <s v=""/>
    <n v="1"/>
    <n v="0"/>
    <n v="1"/>
    <n v="0"/>
    <n v="0.5"/>
    <n v="0"/>
    <s v=""/>
    <n v="0"/>
    <n v="4"/>
    <n v="0.26064003759398496"/>
    <n v="0.33333333333333331"/>
    <n v="2"/>
    <n v="0.24920329508679023"/>
    <n v="0.2"/>
    <n v="1"/>
    <n v="-3.8805087167762216E-2"/>
    <n v="0.1"/>
    <n v="0"/>
    <n v="1.0001097724230255"/>
    <n v="0"/>
    <m/>
    <m/>
    <m/>
    <m/>
    <m/>
    <m/>
    <m/>
    <m/>
    <m/>
    <n v="1"/>
    <n v="29"/>
    <n v="1"/>
    <n v="0"/>
    <n v="0"/>
    <n v="0"/>
    <n v="42890"/>
    <n v="657328.5"/>
    <n v="21445"/>
    <n v="0"/>
    <n v="24"/>
    <n v="514680"/>
    <n v="49424.475672621993"/>
    <n v="1"/>
    <n v="33"/>
    <n v="0"/>
    <n v="0"/>
    <n v="0"/>
    <n v="0"/>
    <n v="42890"/>
    <n v="747994.5"/>
    <n v="0"/>
    <n v="0"/>
    <n v="24"/>
    <n v="514680"/>
    <n v="0"/>
    <n v="2"/>
    <n v="33"/>
    <n v="1"/>
    <n v="0"/>
    <n v="0"/>
    <n v="133556"/>
    <n v="707685"/>
    <n v="21445"/>
    <n v="0"/>
    <n v="24"/>
    <n v="514680"/>
    <n v="58815.126050420171"/>
    <n v="2"/>
    <n v="32"/>
    <n v="1"/>
    <n v="0"/>
    <n v="0"/>
    <n v="725328"/>
    <n v="21445"/>
    <x v="0"/>
    <x v="0"/>
    <n v="24"/>
    <n v="514680"/>
    <n v="58815.126050420171"/>
    <n v="4"/>
    <n v="24"/>
    <n v="4"/>
    <m/>
    <n v="0"/>
    <n v="0"/>
    <n v="514680"/>
    <n v="90666"/>
    <x v="0"/>
    <n v="0"/>
    <n v="24"/>
    <n v="514680"/>
    <n v="235260.50420168068"/>
    <n v="12"/>
    <n v="28"/>
    <n v="4"/>
    <m/>
    <n v="0"/>
    <n v="0"/>
    <n v="600460"/>
    <n v="90666"/>
    <n v="0"/>
    <n v="0"/>
    <n v="28"/>
    <n v="514680"/>
    <n v="235260.50420168068"/>
    <n v="10"/>
    <n v="26"/>
    <n v="2"/>
    <n v="0"/>
    <n v="0"/>
    <n v="0"/>
    <n v="557570"/>
    <n v="45333"/>
    <n v="0"/>
    <n v="0"/>
    <n v="26"/>
    <n v="514680"/>
    <n v="117630.25210084034"/>
    <n v="10"/>
    <n v="25"/>
    <n v="1"/>
    <n v="0"/>
    <n v="0"/>
    <n v="0"/>
    <n v="536125"/>
    <n v="22666.5"/>
    <n v="0"/>
    <n v="0"/>
    <n v="25"/>
    <n v="536125"/>
    <n v="58815.126050420171"/>
    <n v="10"/>
    <n v="24"/>
    <n v="0"/>
    <n v="0"/>
    <n v="0"/>
    <n v="0"/>
    <n v="543996"/>
    <n v="0"/>
    <n v="0"/>
    <n v="0"/>
    <n v="24"/>
    <n v="514680"/>
    <n v="0"/>
    <n v="0"/>
    <n v="24"/>
    <n v="0"/>
    <n v="0"/>
    <n v="0"/>
    <n v="0"/>
    <m/>
    <n v="543996"/>
    <n v="0"/>
    <n v="0"/>
    <n v="0"/>
    <n v="24"/>
    <n v="543996"/>
    <n v="0"/>
    <n v="0"/>
    <n v="24"/>
    <n v="0"/>
    <m/>
    <n v="0"/>
    <n v="0"/>
    <n v="543996"/>
    <n v="0"/>
    <n v="0"/>
    <n v="0"/>
    <n v="24"/>
    <n v="543996"/>
    <n v="0"/>
    <n v="0"/>
    <n v="24"/>
    <n v="0"/>
    <n v="0"/>
    <n v="0"/>
    <n v="543996"/>
    <n v="0"/>
    <n v="0"/>
    <n v="0"/>
    <n v="24"/>
    <n v="543996"/>
    <n v="0"/>
    <n v="0"/>
    <n v="24"/>
    <n v="0"/>
    <n v="0"/>
    <m/>
    <n v="543996"/>
    <n v="0"/>
    <n v="0"/>
    <n v="24"/>
    <n v="543996"/>
    <n v="0"/>
  </r>
  <r>
    <m/>
    <x v="4"/>
    <x v="21"/>
    <x v="51"/>
    <s v="LTW25-MPK08"/>
    <x v="423"/>
    <x v="361"/>
    <x v="0"/>
    <x v="2"/>
    <n v="1"/>
    <x v="266"/>
    <n v="12"/>
    <m/>
    <n v="0"/>
    <n v="21445"/>
    <n v="257340"/>
    <n v="21.9"/>
    <n v="23925.749999999996"/>
    <n v="58815.126050420171"/>
    <n v="33605.042016806721"/>
    <s v="Shenzhen"/>
    <x v="0"/>
    <n v="30"/>
    <m/>
    <n v="1"/>
    <n v="0"/>
    <s v=""/>
    <n v="0"/>
    <s v=""/>
    <n v="0"/>
    <s v=""/>
    <n v="0"/>
    <n v="-1.072511074840585E-5"/>
    <n v="0"/>
    <s v=""/>
    <n v="1"/>
    <n v="0.55380348652931843"/>
    <n v="15"/>
    <n v="0.16494839643441683"/>
    <n v="0"/>
    <s v=""/>
    <n v="0"/>
    <s v=""/>
    <n v="3"/>
    <n v="0.56378023229795982"/>
    <n v="0"/>
    <s v=""/>
    <n v="0"/>
    <s v=""/>
    <n v="0"/>
    <s v=""/>
    <n v="0"/>
    <s v=""/>
    <n v="0"/>
    <s v=""/>
    <n v="0"/>
    <s v=""/>
    <n v="0"/>
    <n v="1"/>
    <n v="0.68097122212221217"/>
    <n v="0.25"/>
    <n v="0"/>
    <s v=""/>
    <n v="0"/>
    <n v="1"/>
    <n v="-9.3260188088113574E-6"/>
    <n v="1"/>
    <n v="4"/>
    <n v="6.1036760942349597E-2"/>
    <n v="4"/>
    <n v="0"/>
    <n v="0.31822266361817647"/>
    <n v="0"/>
    <m/>
    <m/>
    <m/>
    <m/>
    <m/>
    <m/>
    <m/>
    <m/>
    <m/>
    <n v="1"/>
    <n v="9"/>
    <n v="1"/>
    <n v="0"/>
    <n v="0"/>
    <n v="0"/>
    <n v="21445"/>
    <n v="203998.5"/>
    <n v="21445"/>
    <n v="0"/>
    <n v="12"/>
    <n v="257340"/>
    <n v="49424.475672621993"/>
    <n v="1"/>
    <n v="15"/>
    <n v="0"/>
    <n v="0"/>
    <n v="0"/>
    <n v="0"/>
    <n v="0"/>
    <n v="339997.5"/>
    <n v="0"/>
    <n v="0"/>
    <n v="12"/>
    <n v="257340"/>
    <n v="0"/>
    <n v="2"/>
    <n v="15"/>
    <n v="0"/>
    <n v="0"/>
    <n v="0"/>
    <n v="90666"/>
    <n v="321675"/>
    <n v="0"/>
    <n v="0"/>
    <n v="12"/>
    <n v="257340"/>
    <n v="0"/>
    <n v="2"/>
    <n v="15"/>
    <n v="0"/>
    <n v="0"/>
    <n v="0"/>
    <n v="339997.5"/>
    <n v="0"/>
    <x v="0"/>
    <x v="0"/>
    <n v="12"/>
    <n v="257340"/>
    <n v="0"/>
    <n v="4"/>
    <n v="13"/>
    <n v="4"/>
    <m/>
    <n v="0"/>
    <n v="0"/>
    <n v="278785"/>
    <n v="90666"/>
    <x v="0"/>
    <n v="0"/>
    <n v="12"/>
    <n v="257340"/>
    <n v="235260.50420168068"/>
    <n v="12"/>
    <n v="12"/>
    <n v="0"/>
    <m/>
    <n v="0"/>
    <n v="0"/>
    <n v="257340"/>
    <n v="0"/>
    <n v="0"/>
    <n v="0"/>
    <n v="12"/>
    <n v="257340"/>
    <n v="0"/>
    <n v="1"/>
    <n v="13"/>
    <n v="1"/>
    <n v="0"/>
    <n v="0"/>
    <n v="0"/>
    <n v="278785"/>
    <n v="22666.5"/>
    <n v="0"/>
    <n v="0"/>
    <n v="13"/>
    <n v="257340"/>
    <n v="58815.126050420171"/>
    <n v="1"/>
    <n v="16"/>
    <n v="4"/>
    <n v="0"/>
    <n v="0"/>
    <n v="0"/>
    <n v="343120"/>
    <n v="90666"/>
    <n v="0"/>
    <n v="0"/>
    <n v="16"/>
    <n v="343120"/>
    <n v="235260.50420168068"/>
    <n v="1"/>
    <n v="12"/>
    <n v="0"/>
    <n v="0"/>
    <n v="0"/>
    <n v="0"/>
    <n v="271998"/>
    <n v="0"/>
    <n v="0"/>
    <n v="0"/>
    <n v="12"/>
    <n v="257340"/>
    <n v="0"/>
    <n v="0"/>
    <n v="12"/>
    <n v="0"/>
    <n v="0"/>
    <n v="0"/>
    <n v="0"/>
    <m/>
    <n v="271998"/>
    <n v="0"/>
    <n v="0"/>
    <n v="0"/>
    <n v="12"/>
    <n v="271998"/>
    <n v="0"/>
    <n v="0"/>
    <n v="12"/>
    <n v="0"/>
    <m/>
    <n v="0"/>
    <n v="0"/>
    <n v="271998"/>
    <n v="0"/>
    <n v="0"/>
    <n v="0"/>
    <n v="12"/>
    <n v="271998"/>
    <n v="0"/>
    <n v="0"/>
    <n v="12"/>
    <n v="0"/>
    <n v="0"/>
    <n v="0"/>
    <n v="271998"/>
    <n v="0"/>
    <n v="0"/>
    <n v="0"/>
    <n v="12"/>
    <n v="271998"/>
    <n v="0"/>
    <n v="0"/>
    <n v="12"/>
    <n v="0"/>
    <n v="0"/>
    <m/>
    <n v="271998"/>
    <n v="0"/>
    <n v="0"/>
    <n v="12"/>
    <n v="271998"/>
    <n v="0"/>
  </r>
  <r>
    <m/>
    <x v="4"/>
    <x v="21"/>
    <x v="51"/>
    <s v="LTW25-MPK09"/>
    <x v="424"/>
    <x v="362"/>
    <x v="0"/>
    <x v="2"/>
    <n v="1"/>
    <x v="267"/>
    <n v="11"/>
    <m/>
    <n v="0"/>
    <n v="29567"/>
    <n v="325237"/>
    <n v="28"/>
    <n v="30589.999999999996"/>
    <n v="58815.126050420171"/>
    <n v="42008.403361344543"/>
    <s v="Shenzhen"/>
    <x v="0"/>
    <n v="30"/>
    <m/>
    <n v="1"/>
    <n v="0"/>
    <s v=""/>
    <n v="0"/>
    <s v=""/>
    <n v="0"/>
    <s v=""/>
    <n v="1"/>
    <n v="8.1171576420198437E-6"/>
    <n v="1"/>
    <n v="0.47474222774915625"/>
    <n v="9"/>
    <n v="0.33392182826247491"/>
    <n v="28"/>
    <n v="0.13865542441444298"/>
    <n v="5"/>
    <n v="0.41349757994128389"/>
    <n v="1"/>
    <n v="0.41349757994128383"/>
    <n v="11"/>
    <n v="0.37891126167760264"/>
    <n v="0"/>
    <n v="0.99997143920029741"/>
    <n v="0"/>
    <s v=""/>
    <n v="0"/>
    <s v=""/>
    <n v="3"/>
    <n v="0.48277491829625152"/>
    <n v="2"/>
    <n v="0.5308128749710056"/>
    <n v="1"/>
    <n v="0.297288100138625"/>
    <n v="0.2"/>
    <n v="1"/>
    <n v="0.56014438943894385"/>
    <n v="0.2"/>
    <n v="4"/>
    <n v="0.30028674403644662"/>
    <n v="0.44444444444444442"/>
    <n v="15"/>
    <n v="0.25101410773306992"/>
    <n v="0.9375"/>
    <n v="15"/>
    <n v="3.0029510969744332E-2"/>
    <n v="0.9375"/>
    <n v="1"/>
    <n v="7.7956677087985704E-2"/>
    <n v="6.25E-2"/>
    <m/>
    <m/>
    <m/>
    <m/>
    <m/>
    <m/>
    <m/>
    <m/>
    <m/>
    <n v="20"/>
    <n v="48"/>
    <n v="20"/>
    <n v="0"/>
    <n v="0"/>
    <n v="0"/>
    <n v="783525.5"/>
    <n v="1391039.9999999998"/>
    <n v="591340"/>
    <n v="0"/>
    <n v="11"/>
    <n v="325237"/>
    <n v="988489.5134524398"/>
    <n v="3"/>
    <n v="54"/>
    <n v="4.5"/>
    <n v="0"/>
    <n v="0"/>
    <n v="0"/>
    <n v="221752.5"/>
    <n v="1564919.9999999998"/>
    <n v="133051.5"/>
    <n v="0"/>
    <n v="11"/>
    <n v="325237"/>
    <n v="222410.14052679896"/>
    <n v="8"/>
    <n v="51"/>
    <n v="2"/>
    <n v="0"/>
    <n v="0"/>
    <n v="233600.99999999997"/>
    <n v="1507917"/>
    <n v="59134"/>
    <n v="0"/>
    <n v="11"/>
    <n v="325237"/>
    <n v="117630.25210084034"/>
    <n v="5"/>
    <n v="47"/>
    <n v="1"/>
    <n v="0"/>
    <n v="0"/>
    <n v="1362059.9999999998"/>
    <n v="29567"/>
    <x v="0"/>
    <x v="0"/>
    <n v="11"/>
    <n v="325237"/>
    <n v="58815.126050420171"/>
    <n v="5"/>
    <n v="12"/>
    <n v="5"/>
    <m/>
    <n v="0"/>
    <n v="0"/>
    <n v="354804"/>
    <n v="144899.99999999997"/>
    <x v="0"/>
    <n v="0"/>
    <n v="11"/>
    <n v="325237"/>
    <n v="294075.63025210088"/>
    <n v="9"/>
    <n v="15"/>
    <n v="4"/>
    <m/>
    <n v="0"/>
    <n v="0"/>
    <n v="443505"/>
    <n v="115919.99999999999"/>
    <n v="0"/>
    <n v="0"/>
    <n v="15"/>
    <n v="325237"/>
    <n v="235260.50420168068"/>
    <n v="16"/>
    <n v="26"/>
    <n v="15"/>
    <n v="0"/>
    <n v="0"/>
    <n v="0"/>
    <n v="768742"/>
    <n v="434699.99999999994"/>
    <n v="0"/>
    <n v="0"/>
    <n v="26"/>
    <n v="325237"/>
    <n v="882226.89075630251"/>
    <n v="16"/>
    <n v="26"/>
    <n v="15"/>
    <n v="0"/>
    <n v="0"/>
    <n v="0"/>
    <n v="768742"/>
    <n v="434699.99999999994"/>
    <n v="0"/>
    <n v="0"/>
    <n v="26"/>
    <n v="768742"/>
    <n v="882226.89075630251"/>
    <n v="16"/>
    <n v="12"/>
    <n v="1.5"/>
    <n v="0"/>
    <n v="0"/>
    <n v="0"/>
    <n v="347759.99999999994"/>
    <n v="43469.999999999993"/>
    <n v="0"/>
    <n v="0"/>
    <n v="11"/>
    <n v="325237"/>
    <n v="88222.68907563026"/>
    <n v="0"/>
    <n v="10.5"/>
    <n v="0"/>
    <n v="0"/>
    <n v="0"/>
    <n v="0"/>
    <m/>
    <n v="304289.99999999994"/>
    <n v="0"/>
    <n v="0"/>
    <n v="0"/>
    <n v="10.5"/>
    <n v="304289.99999999994"/>
    <n v="0"/>
    <n v="0"/>
    <n v="10.5"/>
    <n v="0"/>
    <m/>
    <n v="0"/>
    <n v="0"/>
    <n v="304289.99999999994"/>
    <n v="0"/>
    <n v="0"/>
    <n v="0"/>
    <n v="10.5"/>
    <n v="304289.99999999994"/>
    <n v="0"/>
    <n v="0"/>
    <n v="10.5"/>
    <n v="0"/>
    <n v="0"/>
    <n v="0"/>
    <n v="304289.99999999994"/>
    <n v="0"/>
    <n v="0"/>
    <n v="0"/>
    <n v="10.5"/>
    <n v="304289.99999999994"/>
    <n v="0"/>
    <n v="0"/>
    <n v="10.5"/>
    <n v="0"/>
    <n v="0"/>
    <m/>
    <n v="304289.99999999994"/>
    <n v="0"/>
    <n v="0"/>
    <n v="10.5"/>
    <n v="304289.99999999994"/>
    <n v="0"/>
  </r>
  <r>
    <m/>
    <x v="4"/>
    <x v="21"/>
    <x v="51"/>
    <s v="LTW25-MPK09"/>
    <x v="425"/>
    <x v="362"/>
    <x v="0"/>
    <x v="2"/>
    <n v="1"/>
    <x v="268"/>
    <n v="53"/>
    <m/>
    <n v="0"/>
    <n v="29567"/>
    <n v="1567051"/>
    <n v="28"/>
    <n v="30589.999999999996"/>
    <n v="58815.126050420171"/>
    <n v="42008.403361344543"/>
    <s v="Shenzhen"/>
    <x v="0"/>
    <n v="30"/>
    <m/>
    <n v="1"/>
    <n v="0"/>
    <s v=""/>
    <n v="0"/>
    <s v=""/>
    <n v="0"/>
    <s v=""/>
    <n v="1"/>
    <s v=""/>
    <n v="1"/>
    <n v="0.47474222774915625"/>
    <n v="7"/>
    <n v="0.36543392878860503"/>
    <n v="9"/>
    <n v="0.32474177898277667"/>
    <n v="2"/>
    <n v="0.32971151993289582"/>
    <n v="0"/>
    <n v="1.0000000000000002"/>
    <n v="6"/>
    <n v="0.47084959210153465"/>
    <n v="14"/>
    <n v="0.16212990251643628"/>
    <n v="3"/>
    <n v="0.48277910597455315"/>
    <n v="0"/>
    <s v=""/>
    <n v="0"/>
    <s v=""/>
    <n v="2"/>
    <n v="0.37735245035803738"/>
    <n v="2"/>
    <n v="0.48627821992114134"/>
    <n v="0.33333333333333331"/>
    <n v="4"/>
    <n v="0.38264224521755147"/>
    <n v="4"/>
    <n v="2"/>
    <n v="8.8072663332648266E-2"/>
    <n v="0.2857142857142857"/>
    <n v="5"/>
    <n v="0.23160697750600565"/>
    <n v="0.22727272727272727"/>
    <n v="5"/>
    <n v="-4.9445090571922382E-2"/>
    <n v="0.22727272727272727"/>
    <n v="1"/>
    <n v="5.8176744843176122E-3"/>
    <n v="4.5454545454545456E-2"/>
    <m/>
    <m/>
    <m/>
    <m/>
    <m/>
    <m/>
    <m/>
    <m/>
    <m/>
    <n v="20"/>
    <n v="65"/>
    <n v="20"/>
    <n v="0"/>
    <n v="0"/>
    <n v="0"/>
    <n v="650474"/>
    <n v="1883699.9999999998"/>
    <n v="591340"/>
    <n v="0"/>
    <n v="53"/>
    <n v="1567051"/>
    <n v="988489.5134524398"/>
    <n v="3"/>
    <n v="70"/>
    <n v="0"/>
    <n v="0"/>
    <n v="0"/>
    <n v="0"/>
    <n v="118268"/>
    <n v="2028599.9999999998"/>
    <n v="0"/>
    <n v="0"/>
    <n v="53"/>
    <n v="1567051"/>
    <n v="0"/>
    <n v="6"/>
    <n v="70"/>
    <n v="2"/>
    <n v="0"/>
    <n v="0"/>
    <n v="147248"/>
    <n v="2069690"/>
    <n v="59134"/>
    <n v="0"/>
    <n v="53"/>
    <n v="1567051"/>
    <n v="117630.25210084034"/>
    <n v="6"/>
    <n v="69"/>
    <n v="2"/>
    <n v="0"/>
    <n v="0"/>
    <n v="1999619.9999999998"/>
    <n v="59134"/>
    <x v="0"/>
    <x v="0"/>
    <n v="53"/>
    <n v="1567051"/>
    <n v="117630.25210084034"/>
    <n v="1"/>
    <n v="57"/>
    <n v="1"/>
    <m/>
    <n v="0"/>
    <n v="0"/>
    <n v="1685319"/>
    <n v="28979.999999999996"/>
    <x v="0"/>
    <n v="0"/>
    <n v="53"/>
    <n v="1567051"/>
    <n v="58815.126050420171"/>
    <n v="7"/>
    <n v="55"/>
    <n v="2"/>
    <m/>
    <n v="0"/>
    <n v="0"/>
    <n v="1626185"/>
    <n v="57959.999999999993"/>
    <n v="0"/>
    <n v="0"/>
    <n v="55"/>
    <n v="1567051"/>
    <n v="117630.25210084034"/>
    <n v="22"/>
    <n v="58"/>
    <n v="5"/>
    <n v="0"/>
    <n v="0"/>
    <n v="0"/>
    <n v="1714886"/>
    <n v="144899.99999999997"/>
    <n v="0"/>
    <n v="0"/>
    <n v="58"/>
    <n v="1567051"/>
    <n v="294075.63025210088"/>
    <n v="22"/>
    <n v="58"/>
    <n v="5"/>
    <n v="0"/>
    <n v="0"/>
    <n v="0"/>
    <n v="1714886"/>
    <n v="144899.99999999997"/>
    <n v="0"/>
    <n v="0"/>
    <n v="58"/>
    <n v="1714886"/>
    <n v="294075.63025210088"/>
    <n v="22"/>
    <n v="54"/>
    <n v="0"/>
    <n v="0"/>
    <n v="0"/>
    <n v="0"/>
    <n v="1564919.9999999998"/>
    <n v="0"/>
    <n v="0"/>
    <n v="0"/>
    <n v="53"/>
    <n v="1567051"/>
    <n v="0"/>
    <n v="0"/>
    <n v="54"/>
    <n v="0"/>
    <n v="0"/>
    <n v="0"/>
    <n v="0"/>
    <m/>
    <n v="1564919.9999999998"/>
    <n v="0"/>
    <n v="0"/>
    <n v="0"/>
    <n v="54"/>
    <n v="1564919.9999999998"/>
    <n v="0"/>
    <n v="0"/>
    <n v="54"/>
    <n v="0"/>
    <m/>
    <n v="0"/>
    <n v="0"/>
    <n v="1564919.9999999998"/>
    <n v="0"/>
    <n v="0"/>
    <n v="0"/>
    <n v="54"/>
    <n v="1564919.9999999998"/>
    <n v="0"/>
    <n v="0"/>
    <n v="54"/>
    <n v="0"/>
    <n v="0"/>
    <n v="0"/>
    <n v="1564919.9999999998"/>
    <n v="0"/>
    <n v="0"/>
    <n v="0"/>
    <n v="54"/>
    <n v="1564919.9999999998"/>
    <n v="0"/>
    <n v="0"/>
    <n v="54"/>
    <n v="0"/>
    <n v="0"/>
    <m/>
    <n v="1564919.9999999998"/>
    <n v="0"/>
    <n v="0"/>
    <n v="54"/>
    <n v="1564919.9999999998"/>
    <n v="0"/>
  </r>
  <r>
    <m/>
    <x v="4"/>
    <x v="21"/>
    <x v="51"/>
    <s v="LTW25-MPK09"/>
    <x v="426"/>
    <x v="362"/>
    <x v="0"/>
    <x v="2"/>
    <n v="1"/>
    <x v="269"/>
    <n v="7"/>
    <m/>
    <n v="0"/>
    <n v="29566"/>
    <n v="206962"/>
    <n v="28"/>
    <n v="30589.999999999996"/>
    <n v="58815.126050420171"/>
    <n v="42008.403361344543"/>
    <s v="Shenzhen"/>
    <x v="0"/>
    <n v="30"/>
    <m/>
    <n v="1"/>
    <n v="0"/>
    <s v=""/>
    <n v="0"/>
    <s v=""/>
    <n v="0"/>
    <s v=""/>
    <n v="1"/>
    <n v="0.43783470673353975"/>
    <n v="0"/>
    <s v=""/>
    <n v="3"/>
    <n v="0.41930457165340751"/>
    <n v="30"/>
    <n v="0.22372218042000724"/>
    <n v="2"/>
    <n v="0.41349621121070906"/>
    <n v="0"/>
    <s v=""/>
    <n v="5"/>
    <n v="0.49730757198623526"/>
    <n v="0"/>
    <s v=""/>
    <n v="2"/>
    <n v="0.38902951842706146"/>
    <n v="0"/>
    <s v=""/>
    <n v="2"/>
    <n v="0.43289794686657584"/>
    <n v="2"/>
    <n v="0.4188754732935816"/>
    <n v="0"/>
    <s v=""/>
    <n v="0"/>
    <n v="3"/>
    <n v="0.37158010358992671"/>
    <n v="0.16666666666666666"/>
    <n v="10"/>
    <n v="0.13075166100179075"/>
    <n v="2.5"/>
    <n v="6"/>
    <n v="0.23771640066440375"/>
    <n v="0.75"/>
    <n v="0"/>
    <s v=""/>
    <n v="0"/>
    <n v="0"/>
    <s v=""/>
    <n v="0"/>
    <m/>
    <m/>
    <m/>
    <m/>
    <m/>
    <m/>
    <m/>
    <m/>
    <m/>
    <n v="7"/>
    <n v="14"/>
    <n v="7"/>
    <n v="0"/>
    <n v="0"/>
    <n v="0"/>
    <n v="354792"/>
    <n v="405719.99999999994"/>
    <n v="206962"/>
    <n v="0"/>
    <n v="7"/>
    <n v="206962"/>
    <n v="345971.32970835397"/>
    <n v="2"/>
    <n v="26"/>
    <n v="3"/>
    <n v="0"/>
    <n v="0"/>
    <n v="0"/>
    <n v="147830"/>
    <n v="753479.99999999988"/>
    <n v="88698"/>
    <n v="0"/>
    <n v="7"/>
    <n v="206962"/>
    <n v="148273.42701786599"/>
    <n v="3"/>
    <n v="25"/>
    <n v="2"/>
    <n v="0"/>
    <n v="0"/>
    <n v="580772"/>
    <n v="739150"/>
    <n v="59132"/>
    <n v="0"/>
    <n v="7"/>
    <n v="206962"/>
    <n v="117630.25210084034"/>
    <n v="3"/>
    <n v="23"/>
    <n v="0"/>
    <n v="0"/>
    <n v="0"/>
    <n v="666539.99999999988"/>
    <n v="0"/>
    <x v="0"/>
    <x v="0"/>
    <n v="7"/>
    <n v="206962"/>
    <n v="0"/>
    <n v="18"/>
    <n v="10"/>
    <n v="18"/>
    <m/>
    <n v="0"/>
    <n v="0"/>
    <n v="295660"/>
    <n v="521639.99999999994"/>
    <x v="0"/>
    <n v="0"/>
    <n v="7"/>
    <n v="206962"/>
    <n v="1058672.2689075631"/>
    <n v="4"/>
    <n v="17"/>
    <n v="10"/>
    <m/>
    <n v="0"/>
    <n v="0"/>
    <n v="502622"/>
    <n v="289799.99999999994"/>
    <n v="0"/>
    <n v="0"/>
    <n v="17"/>
    <n v="206962"/>
    <n v="588151.26050420175"/>
    <n v="8"/>
    <n v="13"/>
    <n v="6"/>
    <n v="0"/>
    <n v="0"/>
    <n v="0"/>
    <n v="384358"/>
    <n v="173879.99999999997"/>
    <n v="0"/>
    <n v="0"/>
    <n v="13"/>
    <n v="206962"/>
    <n v="352890.75630252104"/>
    <n v="8"/>
    <n v="7"/>
    <n v="0"/>
    <n v="0"/>
    <n v="0"/>
    <n v="0"/>
    <n v="206962"/>
    <n v="0"/>
    <n v="0"/>
    <n v="0"/>
    <n v="7"/>
    <n v="206962"/>
    <n v="0"/>
    <n v="8"/>
    <n v="7"/>
    <n v="0"/>
    <n v="0"/>
    <n v="0"/>
    <n v="0"/>
    <n v="202859.99999999997"/>
    <n v="0"/>
    <n v="0"/>
    <n v="0"/>
    <n v="7"/>
    <n v="206962"/>
    <n v="0"/>
    <n v="0"/>
    <n v="7"/>
    <n v="0"/>
    <n v="0"/>
    <n v="0"/>
    <n v="0"/>
    <m/>
    <n v="202859.99999999997"/>
    <n v="0"/>
    <n v="0"/>
    <n v="0"/>
    <n v="7"/>
    <n v="202859.99999999997"/>
    <n v="0"/>
    <n v="0"/>
    <n v="7"/>
    <n v="0"/>
    <m/>
    <n v="0"/>
    <n v="0"/>
    <n v="202859.99999999997"/>
    <n v="0"/>
    <n v="0"/>
    <n v="0"/>
    <n v="7"/>
    <n v="202859.99999999997"/>
    <n v="0"/>
    <n v="0"/>
    <n v="7"/>
    <n v="0"/>
    <n v="0"/>
    <n v="0"/>
    <n v="202859.99999999997"/>
    <n v="0"/>
    <n v="0"/>
    <n v="0"/>
    <n v="7"/>
    <n v="202859.99999999997"/>
    <n v="0"/>
    <n v="0"/>
    <n v="7"/>
    <n v="0"/>
    <n v="0"/>
    <m/>
    <n v="202859.99999999997"/>
    <n v="0"/>
    <n v="0"/>
    <n v="7"/>
    <n v="202859.99999999997"/>
    <n v="0"/>
  </r>
  <r>
    <m/>
    <x v="4"/>
    <x v="21"/>
    <x v="51"/>
    <s v="LTW25-MPK09"/>
    <x v="427"/>
    <x v="362"/>
    <x v="0"/>
    <x v="2"/>
    <n v="1"/>
    <x v="270"/>
    <n v="16"/>
    <m/>
    <n v="0"/>
    <n v="29567"/>
    <n v="473072"/>
    <n v="28"/>
    <n v="30589.999999999996"/>
    <n v="58815.126050420171"/>
    <n v="42008.403361344543"/>
    <s v="Shenzhen"/>
    <x v="0"/>
    <n v="30"/>
    <m/>
    <n v="1"/>
    <n v="0"/>
    <s v=""/>
    <n v="0"/>
    <s v=""/>
    <n v="0"/>
    <s v=""/>
    <n v="0"/>
    <s v=""/>
    <n v="2"/>
    <n v="0.54102660691924798"/>
    <n v="2"/>
    <n v="0.18151367511903443"/>
    <n v="2"/>
    <n v="0.41349757994128383"/>
    <n v="1"/>
    <n v="0.38262387504959183"/>
    <n v="2"/>
    <n v="0.53082784557038365"/>
    <n v="2"/>
    <n v="0.29616644448676455"/>
    <n v="23"/>
    <n v="0.16212990251643619"/>
    <n v="2"/>
    <n v="0.43238080611255625"/>
    <n v="0"/>
    <s v=""/>
    <n v="1"/>
    <n v="0.20205645026621324"/>
    <n v="0"/>
    <s v=""/>
    <n v="0"/>
    <s v=""/>
    <n v="0"/>
    <n v="2"/>
    <n v="0.5244678406833263"/>
    <n v="1"/>
    <n v="2"/>
    <n v="0.45861626994506927"/>
    <n v="1"/>
    <n v="6"/>
    <n v="0.28798485640567295"/>
    <n v="0.6"/>
    <n v="4"/>
    <n v="0.18026172915574457"/>
    <n v="0.4"/>
    <n v="3"/>
    <n v="9.6157334737486153E-2"/>
    <n v="0.3"/>
    <m/>
    <m/>
    <m/>
    <m/>
    <m/>
    <m/>
    <m/>
    <m/>
    <m/>
    <n v="0"/>
    <n v="26"/>
    <n v="0"/>
    <n v="0"/>
    <n v="0"/>
    <n v="0"/>
    <n v="44350.5"/>
    <n v="753479.99999999988"/>
    <n v="0"/>
    <n v="0"/>
    <n v="16"/>
    <n v="473072"/>
    <n v="0"/>
    <n v="0"/>
    <n v="29"/>
    <n v="1.5"/>
    <n v="0"/>
    <n v="0"/>
    <n v="0"/>
    <n v="44350.5"/>
    <n v="840419.99999999988"/>
    <n v="44350.5"/>
    <n v="0"/>
    <n v="16"/>
    <n v="473072"/>
    <n v="74136.713508932997"/>
    <n v="0"/>
    <n v="30"/>
    <n v="0"/>
    <n v="0"/>
    <n v="0"/>
    <n v="57959.999999999993"/>
    <n v="887010"/>
    <n v="0"/>
    <n v="0"/>
    <n v="16"/>
    <n v="473072"/>
    <n v="0"/>
    <n v="0"/>
    <n v="30"/>
    <n v="0"/>
    <n v="0"/>
    <n v="0"/>
    <n v="869399.99999999988"/>
    <n v="0"/>
    <x v="0"/>
    <x v="0"/>
    <n v="16"/>
    <n v="473072"/>
    <n v="0"/>
    <n v="2"/>
    <n v="18"/>
    <n v="2"/>
    <m/>
    <n v="0"/>
    <n v="0"/>
    <n v="532206"/>
    <n v="57959.999999999993"/>
    <x v="0"/>
    <n v="0"/>
    <n v="16"/>
    <n v="473072"/>
    <n v="117630.25210084034"/>
    <n v="2"/>
    <n v="18"/>
    <n v="2"/>
    <m/>
    <n v="0"/>
    <n v="0"/>
    <n v="532206"/>
    <n v="57959.999999999993"/>
    <n v="0"/>
    <n v="0"/>
    <n v="18"/>
    <n v="473072"/>
    <n v="117630.25210084034"/>
    <n v="10"/>
    <n v="22"/>
    <n v="6"/>
    <n v="0"/>
    <n v="0"/>
    <n v="0"/>
    <n v="650474"/>
    <n v="173879.99999999997"/>
    <n v="0"/>
    <n v="0"/>
    <n v="22"/>
    <n v="473072"/>
    <n v="352890.75630252104"/>
    <n v="10"/>
    <n v="20"/>
    <n v="4"/>
    <n v="0"/>
    <n v="0"/>
    <n v="0"/>
    <n v="591340"/>
    <n v="115919.99999999999"/>
    <n v="0"/>
    <n v="0"/>
    <n v="20"/>
    <n v="591340"/>
    <n v="235260.50420168068"/>
    <n v="10"/>
    <n v="19"/>
    <n v="4.5"/>
    <n v="0"/>
    <n v="0"/>
    <n v="0"/>
    <n v="550619.99999999988"/>
    <n v="130409.99999999999"/>
    <n v="0"/>
    <n v="0"/>
    <n v="16"/>
    <n v="473072"/>
    <n v="264668.06722689077"/>
    <n v="0"/>
    <n v="14.5"/>
    <n v="0"/>
    <n v="0"/>
    <n v="0"/>
    <n v="0"/>
    <m/>
    <n v="420209.99999999994"/>
    <n v="0"/>
    <n v="0"/>
    <n v="0"/>
    <n v="14.5"/>
    <n v="420209.99999999994"/>
    <n v="0"/>
    <n v="0"/>
    <n v="14.5"/>
    <n v="0"/>
    <m/>
    <n v="0"/>
    <n v="0"/>
    <n v="420209.99999999994"/>
    <n v="0"/>
    <n v="0"/>
    <n v="0"/>
    <n v="14.5"/>
    <n v="420209.99999999994"/>
    <n v="0"/>
    <n v="0"/>
    <n v="14.5"/>
    <n v="0"/>
    <n v="0"/>
    <n v="0"/>
    <n v="420209.99999999994"/>
    <n v="0"/>
    <n v="0"/>
    <n v="0"/>
    <n v="14.5"/>
    <n v="420209.99999999994"/>
    <n v="0"/>
    <n v="0"/>
    <n v="14.5"/>
    <n v="0"/>
    <n v="0"/>
    <m/>
    <n v="420209.99999999994"/>
    <n v="0"/>
    <n v="0"/>
    <n v="14.5"/>
    <n v="420209.99999999994"/>
    <n v="0"/>
  </r>
  <r>
    <m/>
    <x v="4"/>
    <x v="21"/>
    <x v="51"/>
    <s v="LTW25-MPK09"/>
    <x v="428"/>
    <x v="362"/>
    <x v="0"/>
    <x v="2"/>
    <n v="1"/>
    <x v="271"/>
    <n v="2"/>
    <m/>
    <n v="0"/>
    <n v="29566"/>
    <n v="59132"/>
    <n v="28"/>
    <n v="30589.999999999996"/>
    <n v="58815.126050420171"/>
    <n v="42008.403361344543"/>
    <s v="Shenzhen"/>
    <x v="0"/>
    <n v="30"/>
    <m/>
    <n v="1"/>
    <n v="0"/>
    <s v=""/>
    <n v="0"/>
    <s v=""/>
    <n v="0"/>
    <s v=""/>
    <n v="0"/>
    <s v=""/>
    <n v="3"/>
    <n v="0.60901911639485162"/>
    <n v="0"/>
    <s v=""/>
    <n v="7"/>
    <n v="0.1949652846657409"/>
    <n v="0"/>
    <s v=""/>
    <n v="0"/>
    <s v=""/>
    <n v="2"/>
    <n v="0.43696877945671103"/>
    <n v="0"/>
    <s v=""/>
    <n v="0"/>
    <n v="0.99993815413891574"/>
    <n v="1"/>
    <n v="0.2020634607270238"/>
    <n v="2"/>
    <n v="0.32392311249535244"/>
    <n v="1"/>
    <n v="0.25742122169832432"/>
    <n v="0"/>
    <s v=""/>
    <n v="0"/>
    <n v="5"/>
    <n v="0.46193195963945893"/>
    <n v="0"/>
    <n v="0"/>
    <s v=""/>
    <n v="0"/>
    <n v="0"/>
    <s v=""/>
    <n v="0"/>
    <n v="5"/>
    <n v="-5.3528719842181272E-2"/>
    <n v="5"/>
    <n v="0"/>
    <s v=""/>
    <n v="0"/>
    <m/>
    <m/>
    <m/>
    <m/>
    <m/>
    <m/>
    <m/>
    <m/>
    <m/>
    <n v="5"/>
    <n v="11"/>
    <n v="5"/>
    <n v="0"/>
    <n v="0"/>
    <n v="0"/>
    <n v="266094"/>
    <n v="318779.99999999994"/>
    <n v="147830"/>
    <n v="0"/>
    <n v="2"/>
    <n v="59132"/>
    <n v="247122.37836310995"/>
    <n v="1"/>
    <n v="6"/>
    <n v="3"/>
    <n v="0"/>
    <n v="0"/>
    <n v="0"/>
    <n v="118264"/>
    <n v="173879.99999999997"/>
    <n v="88698"/>
    <n v="0"/>
    <n v="2"/>
    <n v="59132"/>
    <n v="148273.42701786599"/>
    <n v="1"/>
    <n v="5"/>
    <n v="1"/>
    <n v="0"/>
    <n v="0"/>
    <n v="29566"/>
    <n v="147830"/>
    <n v="29566"/>
    <n v="0"/>
    <n v="2"/>
    <n v="59132"/>
    <n v="58815.126050420171"/>
    <n v="2"/>
    <n v="5"/>
    <n v="0"/>
    <n v="0"/>
    <n v="0"/>
    <n v="144899.99999999997"/>
    <n v="0"/>
    <x v="0"/>
    <x v="0"/>
    <n v="2"/>
    <n v="59132"/>
    <n v="0"/>
    <n v="0"/>
    <n v="7"/>
    <n v="0"/>
    <m/>
    <n v="0"/>
    <n v="0"/>
    <n v="206962"/>
    <n v="0"/>
    <x v="0"/>
    <n v="0"/>
    <n v="2"/>
    <n v="59132"/>
    <n v="0"/>
    <n v="0"/>
    <n v="2"/>
    <n v="0"/>
    <m/>
    <n v="0"/>
    <n v="0"/>
    <n v="59132"/>
    <n v="0"/>
    <n v="0"/>
    <n v="0"/>
    <n v="2"/>
    <n v="59132"/>
    <n v="0"/>
    <n v="1"/>
    <n v="2"/>
    <n v="0"/>
    <n v="0"/>
    <n v="0"/>
    <n v="0"/>
    <n v="59132"/>
    <n v="0"/>
    <n v="0"/>
    <n v="0"/>
    <n v="2"/>
    <n v="59132"/>
    <n v="0"/>
    <n v="1"/>
    <n v="7"/>
    <n v="5"/>
    <n v="0"/>
    <n v="0"/>
    <n v="0"/>
    <n v="206962"/>
    <n v="144899.99999999997"/>
    <n v="0"/>
    <n v="0"/>
    <n v="7"/>
    <n v="206962"/>
    <n v="294075.63025210088"/>
    <n v="1"/>
    <n v="2"/>
    <n v="0"/>
    <n v="0"/>
    <n v="0"/>
    <n v="0"/>
    <n v="57959.999999999993"/>
    <n v="0"/>
    <n v="0"/>
    <n v="0"/>
    <n v="2"/>
    <n v="59132"/>
    <n v="0"/>
    <n v="0"/>
    <n v="2"/>
    <n v="0"/>
    <n v="0"/>
    <n v="0"/>
    <n v="0"/>
    <m/>
    <n v="57959.999999999993"/>
    <n v="0"/>
    <n v="0"/>
    <n v="0"/>
    <n v="2"/>
    <n v="57959.999999999993"/>
    <n v="0"/>
    <n v="0"/>
    <n v="2"/>
    <n v="0"/>
    <m/>
    <n v="0"/>
    <n v="0"/>
    <n v="57959.999999999993"/>
    <n v="0"/>
    <n v="0"/>
    <n v="0"/>
    <n v="2"/>
    <n v="57959.999999999993"/>
    <n v="0"/>
    <n v="0"/>
    <n v="2"/>
    <n v="0"/>
    <n v="0"/>
    <n v="0"/>
    <n v="57959.999999999993"/>
    <n v="0"/>
    <n v="0"/>
    <n v="0"/>
    <n v="2"/>
    <n v="57959.999999999993"/>
    <n v="0"/>
    <n v="0"/>
    <n v="2"/>
    <n v="0"/>
    <n v="0"/>
    <m/>
    <n v="57959.999999999993"/>
    <n v="0"/>
    <n v="0"/>
    <n v="2"/>
    <n v="57959.999999999993"/>
    <n v="0"/>
  </r>
  <r>
    <m/>
    <x v="4"/>
    <x v="21"/>
    <x v="51"/>
    <s v="LTW25-MPK09"/>
    <x v="429"/>
    <x v="362"/>
    <x v="0"/>
    <x v="2"/>
    <n v="1"/>
    <x v="272"/>
    <n v="5"/>
    <m/>
    <n v="0"/>
    <n v="29567"/>
    <n v="147835"/>
    <n v="28"/>
    <n v="30589.999999999996"/>
    <n v="58815.126050420171"/>
    <n v="42008.403361344543"/>
    <s v="Shenzhen"/>
    <x v="0"/>
    <n v="30"/>
    <m/>
    <n v="1"/>
    <n v="0"/>
    <s v=""/>
    <n v="0"/>
    <s v=""/>
    <n v="0"/>
    <s v=""/>
    <n v="0"/>
    <s v=""/>
    <n v="0"/>
    <s v=""/>
    <n v="2"/>
    <n v="0.45863334248832738"/>
    <n v="3"/>
    <n v="0.12016842731736344"/>
    <n v="0"/>
    <s v=""/>
    <n v="2"/>
    <n v="0.56013969368551808"/>
    <n v="2"/>
    <n v="0.43696620868919422"/>
    <n v="3"/>
    <n v="2.247906105355962E-2"/>
    <n v="3"/>
    <n v="0.46979102532682182"/>
    <n v="0"/>
    <s v=""/>
    <n v="2"/>
    <n v="0.23778248517155975"/>
    <n v="0"/>
    <s v=""/>
    <n v="0"/>
    <s v=""/>
    <n v="0"/>
    <n v="1"/>
    <n v="0.49728704100585797"/>
    <n v="0.33333333333333331"/>
    <n v="1"/>
    <n v="0.29615503100620122"/>
    <n v="1"/>
    <n v="4"/>
    <n v="0.24317566586542338"/>
    <n v="1.3333333333333333"/>
    <n v="0"/>
    <s v=""/>
    <n v="0"/>
    <n v="-1"/>
    <n v="0.29615503100620122"/>
    <n v="-0.33333333333333331"/>
    <m/>
    <m/>
    <m/>
    <m/>
    <m/>
    <m/>
    <m/>
    <m/>
    <m/>
    <n v="5"/>
    <n v="8"/>
    <n v="5"/>
    <n v="0"/>
    <n v="0"/>
    <n v="0"/>
    <n v="236536"/>
    <n v="231839.99999999997"/>
    <n v="147835"/>
    <n v="0"/>
    <n v="5"/>
    <n v="147835"/>
    <n v="247122.37836310995"/>
    <n v="0"/>
    <n v="8"/>
    <n v="3"/>
    <n v="0"/>
    <n v="0"/>
    <n v="0"/>
    <n v="88701"/>
    <n v="231839.99999999997"/>
    <n v="88701"/>
    <n v="0"/>
    <n v="5"/>
    <n v="147835"/>
    <n v="148273.42701786599"/>
    <n v="0"/>
    <n v="7"/>
    <n v="0"/>
    <n v="0"/>
    <n v="0"/>
    <n v="86939.999999999985"/>
    <n v="206969"/>
    <n v="0"/>
    <n v="0"/>
    <n v="5"/>
    <n v="147835"/>
    <n v="0"/>
    <n v="0"/>
    <n v="7"/>
    <n v="0"/>
    <n v="0"/>
    <n v="0"/>
    <n v="202859.99999999997"/>
    <n v="0"/>
    <x v="0"/>
    <x v="0"/>
    <n v="5"/>
    <n v="147835"/>
    <n v="0"/>
    <n v="3"/>
    <n v="6"/>
    <n v="3"/>
    <m/>
    <n v="0"/>
    <n v="0"/>
    <n v="177402"/>
    <n v="86939.999999999985"/>
    <x v="0"/>
    <n v="0"/>
    <n v="5"/>
    <n v="147835"/>
    <n v="176445.37815126052"/>
    <n v="1"/>
    <n v="6"/>
    <n v="1"/>
    <m/>
    <n v="0"/>
    <n v="0"/>
    <n v="177402"/>
    <n v="28979.999999999996"/>
    <n v="0"/>
    <n v="0"/>
    <n v="6"/>
    <n v="147835"/>
    <n v="58815.126050420171"/>
    <n v="3"/>
    <n v="9"/>
    <n v="4"/>
    <n v="0"/>
    <n v="0"/>
    <n v="0"/>
    <n v="266103"/>
    <n v="115919.99999999999"/>
    <n v="0"/>
    <n v="0"/>
    <n v="9"/>
    <n v="147835"/>
    <n v="235260.50420168068"/>
    <n v="3"/>
    <n v="5"/>
    <n v="0"/>
    <n v="0"/>
    <n v="0"/>
    <n v="0"/>
    <n v="147835"/>
    <n v="0"/>
    <n v="0"/>
    <n v="0"/>
    <n v="5"/>
    <n v="147835"/>
    <n v="0"/>
    <n v="3"/>
    <n v="4"/>
    <n v="0"/>
    <n v="0"/>
    <n v="0"/>
    <n v="0"/>
    <n v="115919.99999999999"/>
    <n v="0"/>
    <n v="0"/>
    <n v="0"/>
    <n v="5"/>
    <n v="147835"/>
    <n v="0"/>
    <n v="0"/>
    <n v="4"/>
    <n v="0"/>
    <n v="0"/>
    <n v="0"/>
    <n v="0"/>
    <m/>
    <n v="115919.99999999999"/>
    <n v="0"/>
    <n v="0"/>
    <n v="0"/>
    <n v="4"/>
    <n v="115919.99999999999"/>
    <n v="0"/>
    <n v="0"/>
    <n v="4"/>
    <n v="0"/>
    <m/>
    <n v="0"/>
    <n v="0"/>
    <n v="115919.99999999999"/>
    <n v="0"/>
    <n v="0"/>
    <n v="0"/>
    <n v="4"/>
    <n v="115919.99999999999"/>
    <n v="0"/>
    <n v="0"/>
    <n v="4"/>
    <n v="0"/>
    <n v="0"/>
    <n v="0"/>
    <n v="115919.99999999999"/>
    <n v="0"/>
    <n v="0"/>
    <n v="0"/>
    <n v="4"/>
    <n v="115919.99999999999"/>
    <n v="0"/>
    <n v="0"/>
    <n v="4"/>
    <n v="0"/>
    <n v="0"/>
    <m/>
    <n v="115919.99999999999"/>
    <n v="0"/>
    <n v="0"/>
    <n v="4"/>
    <n v="115919.99999999999"/>
    <n v="0"/>
  </r>
  <r>
    <m/>
    <x v="4"/>
    <x v="21"/>
    <x v="51"/>
    <s v="LTW25-MPK10"/>
    <x v="430"/>
    <x v="363"/>
    <x v="0"/>
    <x v="2"/>
    <n v="1"/>
    <x v="273"/>
    <n v="4"/>
    <m/>
    <n v="0"/>
    <n v="28202"/>
    <n v="112808"/>
    <n v="28.8"/>
    <n v="31463.999999999996"/>
    <n v="75621.848739495807"/>
    <n v="50411.764705882357"/>
    <s v="Shenzhen"/>
    <x v="0"/>
    <n v="30"/>
    <m/>
    <n v="1"/>
    <n v="0"/>
    <s v=""/>
    <n v="0"/>
    <s v=""/>
    <n v="0"/>
    <s v=""/>
    <n v="0"/>
    <n v="2.4820934685380103E-6"/>
    <n v="0"/>
    <s v=""/>
    <n v="20"/>
    <n v="0.33777725598728803"/>
    <n v="48"/>
    <n v="0.28315445593286531"/>
    <n v="8"/>
    <n v="0.3286533517425253"/>
    <n v="0"/>
    <s v=""/>
    <n v="6"/>
    <n v="0.28073426395076001"/>
    <n v="0"/>
    <s v=""/>
    <n v="0"/>
    <s v=""/>
    <n v="0"/>
    <s v=""/>
    <n v="0"/>
    <s v=""/>
    <n v="2"/>
    <n v="0.35725565055939584"/>
    <n v="2"/>
    <n v="0.58939197792675813"/>
    <n v="0"/>
    <n v="3"/>
    <n v="0.62287868061564278"/>
    <n v="0"/>
    <n v="14"/>
    <n v="0.24341557758172364"/>
    <n v="0.35897435897435898"/>
    <n v="4"/>
    <n v="8.5161784950047045E-2"/>
    <n v="0.66666666666666663"/>
    <n v="2"/>
    <n v="0.11046220251598267"/>
    <n v="0.33333333333333331"/>
    <n v="4"/>
    <n v="0.24407090146660662"/>
    <n v="0.66666666666666663"/>
    <m/>
    <m/>
    <m/>
    <m/>
    <m/>
    <m/>
    <m/>
    <m/>
    <m/>
    <n v="0"/>
    <n v="22"/>
    <n v="0"/>
    <n v="0"/>
    <n v="0"/>
    <n v="0"/>
    <n v="56404"/>
    <n v="655775.99999999988"/>
    <n v="0"/>
    <n v="0"/>
    <n v="4"/>
    <n v="112808"/>
    <n v="0"/>
    <n v="0"/>
    <n v="23"/>
    <n v="0"/>
    <n v="0"/>
    <n v="0"/>
    <n v="0"/>
    <n v="112808"/>
    <n v="685583.99999999988"/>
    <n v="0"/>
    <n v="0"/>
    <n v="4"/>
    <n v="112808"/>
    <n v="0"/>
    <n v="0"/>
    <n v="23"/>
    <n v="2"/>
    <n v="0"/>
    <n v="0"/>
    <n v="112808"/>
    <n v="648646"/>
    <n v="56404"/>
    <n v="0"/>
    <n v="4"/>
    <n v="112808"/>
    <n v="151243.69747899161"/>
    <n v="0"/>
    <n v="21"/>
    <n v="2"/>
    <n v="0"/>
    <n v="0"/>
    <n v="625967.99999999988"/>
    <n v="56404"/>
    <x v="0"/>
    <x v="0"/>
    <n v="4"/>
    <n v="112808"/>
    <n v="151243.69747899161"/>
    <n v="0"/>
    <n v="7"/>
    <n v="0"/>
    <m/>
    <n v="0"/>
    <n v="0"/>
    <n v="197414"/>
    <n v="0"/>
    <x v="0"/>
    <n v="0"/>
    <n v="4"/>
    <n v="112808"/>
    <n v="0"/>
    <n v="39"/>
    <n v="18"/>
    <n v="14"/>
    <m/>
    <n v="0"/>
    <n v="0"/>
    <n v="507636"/>
    <n v="417311.99999999994"/>
    <n v="0"/>
    <n v="0"/>
    <n v="18"/>
    <n v="112808"/>
    <n v="1058705.8823529412"/>
    <n v="6"/>
    <n v="8"/>
    <n v="4"/>
    <n v="0"/>
    <n v="0"/>
    <n v="0"/>
    <n v="225616"/>
    <n v="119231.99999999999"/>
    <n v="0"/>
    <n v="0"/>
    <n v="8"/>
    <n v="112808"/>
    <n v="302487.39495798323"/>
    <n v="6"/>
    <n v="6"/>
    <n v="2"/>
    <n v="0"/>
    <n v="0"/>
    <n v="0"/>
    <n v="169212"/>
    <n v="59615.999999999993"/>
    <n v="0"/>
    <n v="0"/>
    <n v="6"/>
    <n v="169212"/>
    <n v="151243.69747899161"/>
    <n v="6"/>
    <n v="8"/>
    <n v="6"/>
    <n v="0"/>
    <n v="0"/>
    <n v="0"/>
    <n v="238463.99999999997"/>
    <n v="178847.99999999997"/>
    <n v="0"/>
    <n v="0"/>
    <n v="4"/>
    <n v="112808"/>
    <n v="453731.09243697487"/>
    <n v="0"/>
    <n v="2"/>
    <n v="0"/>
    <n v="0"/>
    <n v="0"/>
    <n v="0"/>
    <m/>
    <n v="59615.999999999993"/>
    <n v="0"/>
    <n v="0"/>
    <n v="0"/>
    <n v="2"/>
    <n v="59615.999999999993"/>
    <n v="0"/>
    <n v="0"/>
    <n v="2"/>
    <n v="0"/>
    <m/>
    <n v="0"/>
    <n v="0"/>
    <n v="59615.999999999993"/>
    <n v="0"/>
    <n v="0"/>
    <n v="0"/>
    <n v="2"/>
    <n v="59615.999999999993"/>
    <n v="0"/>
    <n v="0"/>
    <n v="2"/>
    <n v="0"/>
    <n v="0"/>
    <n v="0"/>
    <n v="59615.999999999993"/>
    <n v="0"/>
    <n v="0"/>
    <n v="0"/>
    <n v="2"/>
    <n v="59615.999999999993"/>
    <n v="0"/>
    <n v="0"/>
    <n v="2"/>
    <n v="0"/>
    <n v="0"/>
    <m/>
    <n v="59615.999999999993"/>
    <n v="0"/>
    <n v="0"/>
    <n v="2"/>
    <n v="59615.999999999993"/>
    <n v="0"/>
  </r>
  <r>
    <m/>
    <x v="4"/>
    <x v="21"/>
    <x v="51"/>
    <s v="LTW25-MPK10"/>
    <x v="431"/>
    <x v="363"/>
    <x v="0"/>
    <x v="2"/>
    <n v="1"/>
    <x v="274"/>
    <n v="2"/>
    <m/>
    <n v="0"/>
    <n v="28202"/>
    <n v="56404"/>
    <n v="28.8"/>
    <n v="31463.999999999996"/>
    <n v="75621.848739495807"/>
    <n v="50411.764705882357"/>
    <s v="Shenzhen"/>
    <x v="0"/>
    <n v="30"/>
    <m/>
    <n v="1"/>
    <n v="0"/>
    <s v=""/>
    <n v="0"/>
    <s v=""/>
    <n v="0"/>
    <s v=""/>
    <n v="0"/>
    <s v=""/>
    <n v="2"/>
    <n v="0.66436251115739364"/>
    <n v="9"/>
    <n v="0.46636875497581509"/>
    <n v="29"/>
    <n v="0.33923282170770075"/>
    <n v="16"/>
    <n v="0.26440620871090487"/>
    <n v="4"/>
    <n v="0.32865609876902796"/>
    <n v="5"/>
    <n v="0.27031710548103988"/>
    <n v="0"/>
    <s v=""/>
    <n v="0"/>
    <s v=""/>
    <n v="0"/>
    <s v=""/>
    <n v="0"/>
    <s v=""/>
    <n v="0"/>
    <s v=""/>
    <n v="1"/>
    <n v="0.46723341104164062"/>
    <n v="0"/>
    <n v="0"/>
    <s v=""/>
    <n v="0"/>
    <n v="3"/>
    <n v="0.28542636935929866"/>
    <n v="0.1111111111111111"/>
    <n v="4"/>
    <n v="0"/>
    <n v="2"/>
    <n v="0"/>
    <s v=""/>
    <n v="0"/>
    <n v="0"/>
    <s v=""/>
    <n v="0"/>
    <m/>
    <m/>
    <m/>
    <m/>
    <m/>
    <m/>
    <m/>
    <m/>
    <m/>
    <n v="0"/>
    <n v="3"/>
    <n v="0"/>
    <n v="0"/>
    <n v="0"/>
    <n v="0"/>
    <n v="0"/>
    <n v="89423.999999999985"/>
    <n v="0"/>
    <n v="0"/>
    <n v="2"/>
    <n v="56404"/>
    <n v="0"/>
    <n v="0"/>
    <n v="5"/>
    <n v="0"/>
    <n v="0"/>
    <n v="0"/>
    <n v="0"/>
    <n v="28202"/>
    <n v="149039.99999999997"/>
    <n v="0"/>
    <n v="0"/>
    <n v="2"/>
    <n v="56404"/>
    <n v="0"/>
    <n v="0"/>
    <n v="6"/>
    <n v="0"/>
    <n v="0"/>
    <n v="0"/>
    <n v="87818"/>
    <n v="169212"/>
    <n v="0"/>
    <n v="0"/>
    <n v="2"/>
    <n v="56404"/>
    <n v="0"/>
    <n v="0"/>
    <n v="6"/>
    <n v="1"/>
    <n v="0"/>
    <n v="0"/>
    <n v="178847.99999999997"/>
    <n v="28202"/>
    <x v="0"/>
    <x v="0"/>
    <n v="2"/>
    <n v="56404"/>
    <n v="75621.848739495807"/>
    <n v="2"/>
    <n v="2"/>
    <n v="2"/>
    <m/>
    <n v="0"/>
    <n v="0"/>
    <n v="56404"/>
    <n v="59615.999999999993"/>
    <x v="0"/>
    <n v="0"/>
    <n v="2"/>
    <n v="56404"/>
    <n v="151243.69747899161"/>
    <n v="27"/>
    <n v="5"/>
    <n v="3"/>
    <m/>
    <n v="0"/>
    <n v="0"/>
    <n v="141010"/>
    <n v="89423.999999999985"/>
    <n v="0"/>
    <n v="0"/>
    <n v="5"/>
    <n v="56404"/>
    <n v="226865.54621848743"/>
    <n v="2"/>
    <n v="6"/>
    <n v="4"/>
    <n v="0"/>
    <n v="0"/>
    <n v="0"/>
    <n v="169212"/>
    <n v="119231.99999999999"/>
    <n v="0"/>
    <n v="0"/>
    <n v="6"/>
    <n v="56404"/>
    <n v="302487.39495798323"/>
    <n v="2"/>
    <n v="2"/>
    <n v="0"/>
    <n v="0"/>
    <n v="0"/>
    <n v="0"/>
    <n v="56404"/>
    <n v="0"/>
    <n v="0"/>
    <n v="0"/>
    <n v="2"/>
    <n v="56404"/>
    <n v="0"/>
    <n v="2"/>
    <n v="2"/>
    <n v="0"/>
    <n v="0"/>
    <n v="0"/>
    <n v="0"/>
    <n v="59615.999999999993"/>
    <n v="0"/>
    <n v="0"/>
    <n v="0"/>
    <n v="2"/>
    <n v="56404"/>
    <n v="0"/>
    <n v="0"/>
    <n v="2"/>
    <n v="0"/>
    <n v="0"/>
    <n v="0"/>
    <n v="0"/>
    <m/>
    <n v="59615.999999999993"/>
    <n v="0"/>
    <n v="0"/>
    <n v="0"/>
    <n v="2"/>
    <n v="59615.999999999993"/>
    <n v="0"/>
    <n v="0"/>
    <n v="2"/>
    <n v="0"/>
    <m/>
    <n v="0"/>
    <n v="0"/>
    <n v="59615.999999999993"/>
    <n v="0"/>
    <n v="0"/>
    <n v="0"/>
    <n v="2"/>
    <n v="59615.999999999993"/>
    <n v="0"/>
    <n v="0"/>
    <n v="2"/>
    <n v="0"/>
    <n v="0"/>
    <n v="0"/>
    <n v="59615.999999999993"/>
    <n v="0"/>
    <n v="0"/>
    <n v="0"/>
    <n v="2"/>
    <n v="59615.999999999993"/>
    <n v="0"/>
    <n v="0"/>
    <n v="2"/>
    <n v="0"/>
    <n v="0"/>
    <m/>
    <n v="59615.999999999993"/>
    <n v="0"/>
    <n v="0"/>
    <n v="2"/>
    <n v="59615.999999999993"/>
    <n v="0"/>
  </r>
  <r>
    <m/>
    <x v="4"/>
    <x v="21"/>
    <x v="51"/>
    <s v="LTW25-MPK10"/>
    <x v="432"/>
    <x v="363"/>
    <x v="0"/>
    <x v="2"/>
    <n v="1"/>
    <x v="275"/>
    <n v="2"/>
    <m/>
    <n v="0"/>
    <n v="28202"/>
    <n v="56404"/>
    <n v="28.8"/>
    <n v="31463.999999999996"/>
    <n v="75621.848739495807"/>
    <n v="50411.764705882357"/>
    <s v="Shenzhen"/>
    <x v="0"/>
    <n v="30"/>
    <m/>
    <n v="1"/>
    <n v="0"/>
    <s v=""/>
    <n v="0"/>
    <s v=""/>
    <n v="0"/>
    <s v=""/>
    <n v="0"/>
    <n v="2.4820934685380103E-6"/>
    <n v="0"/>
    <s v=""/>
    <n v="7"/>
    <n v="0.38970204593488061"/>
    <n v="15"/>
    <n v="0.2853877626068691"/>
    <n v="7"/>
    <n v="0.3189271549904677"/>
    <n v="-1"/>
    <n v="0.32865263759283947"/>
    <n v="0"/>
    <s v=""/>
    <n v="0"/>
    <s v=""/>
    <n v="0"/>
    <s v=""/>
    <n v="0"/>
    <s v=""/>
    <n v="0"/>
    <s v=""/>
    <n v="0"/>
    <s v=""/>
    <n v="1"/>
    <n v="0.58939197792675813"/>
    <n v="0"/>
    <n v="1"/>
    <n v="0.44057176196032671"/>
    <n v="0"/>
    <n v="0"/>
    <s v=""/>
    <n v="0"/>
    <n v="3"/>
    <n v="0.14028690729308091"/>
    <n v="3"/>
    <n v="0"/>
    <s v=""/>
    <n v="0"/>
    <n v="0"/>
    <s v=""/>
    <n v="0"/>
    <m/>
    <m/>
    <m/>
    <m/>
    <m/>
    <m/>
    <m/>
    <m/>
    <m/>
    <n v="0"/>
    <n v="4"/>
    <n v="0"/>
    <n v="0"/>
    <n v="0"/>
    <n v="0"/>
    <n v="0"/>
    <n v="119231.99999999999"/>
    <n v="0"/>
    <n v="0"/>
    <n v="2"/>
    <n v="56404"/>
    <n v="0"/>
    <n v="0"/>
    <n v="4"/>
    <n v="0"/>
    <n v="0"/>
    <n v="0"/>
    <n v="0"/>
    <n v="28202"/>
    <n v="119231.99999999999"/>
    <n v="0"/>
    <n v="0"/>
    <n v="2"/>
    <n v="56404"/>
    <n v="0"/>
    <n v="0"/>
    <n v="4"/>
    <n v="0"/>
    <n v="0"/>
    <n v="0"/>
    <n v="28202"/>
    <n v="112808"/>
    <n v="0"/>
    <n v="0"/>
    <n v="2"/>
    <n v="56404"/>
    <n v="0"/>
    <n v="0"/>
    <n v="4"/>
    <n v="1"/>
    <n v="0"/>
    <n v="0"/>
    <n v="119231.99999999999"/>
    <n v="28202"/>
    <x v="0"/>
    <x v="0"/>
    <n v="2"/>
    <n v="56404"/>
    <n v="75621.848739495807"/>
    <n v="0"/>
    <n v="3"/>
    <n v="0"/>
    <m/>
    <n v="0"/>
    <n v="0"/>
    <n v="84606"/>
    <n v="0"/>
    <x v="0"/>
    <n v="0"/>
    <n v="2"/>
    <n v="56404"/>
    <n v="0"/>
    <n v="12"/>
    <n v="2"/>
    <n v="0"/>
    <m/>
    <n v="0"/>
    <n v="0"/>
    <n v="56404"/>
    <n v="0"/>
    <n v="0"/>
    <n v="0"/>
    <n v="2"/>
    <n v="56404"/>
    <n v="0"/>
    <n v="1"/>
    <n v="5"/>
    <n v="3"/>
    <n v="0"/>
    <n v="0"/>
    <n v="0"/>
    <n v="141010"/>
    <n v="89423.999999999985"/>
    <n v="0"/>
    <n v="0"/>
    <n v="5"/>
    <n v="56404"/>
    <n v="226865.54621848743"/>
    <n v="1"/>
    <n v="2"/>
    <n v="0"/>
    <n v="0"/>
    <n v="0"/>
    <n v="0"/>
    <n v="56404"/>
    <n v="0"/>
    <n v="0"/>
    <n v="0"/>
    <n v="2"/>
    <n v="56404"/>
    <n v="0"/>
    <n v="1"/>
    <n v="2"/>
    <n v="0"/>
    <n v="0"/>
    <n v="0"/>
    <n v="0"/>
    <n v="59615.999999999993"/>
    <n v="0"/>
    <n v="0"/>
    <n v="0"/>
    <n v="2"/>
    <n v="56404"/>
    <n v="0"/>
    <n v="0"/>
    <n v="2"/>
    <n v="0"/>
    <n v="0"/>
    <n v="0"/>
    <n v="0"/>
    <m/>
    <n v="59615.999999999993"/>
    <n v="0"/>
    <n v="0"/>
    <n v="0"/>
    <n v="2"/>
    <n v="59615.999999999993"/>
    <n v="0"/>
    <n v="0"/>
    <n v="2"/>
    <n v="0"/>
    <m/>
    <n v="0"/>
    <n v="0"/>
    <n v="59615.999999999993"/>
    <n v="0"/>
    <n v="0"/>
    <n v="0"/>
    <n v="2"/>
    <n v="59615.999999999993"/>
    <n v="0"/>
    <n v="0"/>
    <n v="2"/>
    <n v="0"/>
    <n v="0"/>
    <n v="0"/>
    <n v="59615.999999999993"/>
    <n v="0"/>
    <n v="0"/>
    <n v="0"/>
    <n v="2"/>
    <n v="59615.999999999993"/>
    <n v="0"/>
    <n v="0"/>
    <n v="2"/>
    <n v="0"/>
    <n v="0"/>
    <m/>
    <n v="59615.999999999993"/>
    <n v="0"/>
    <n v="0"/>
    <n v="2"/>
    <n v="59615.999999999993"/>
    <n v="0"/>
  </r>
  <r>
    <m/>
    <x v="4"/>
    <x v="21"/>
    <x v="51"/>
    <s v="LTW25-MPK10"/>
    <x v="433"/>
    <x v="363"/>
    <x v="0"/>
    <x v="2"/>
    <n v="1"/>
    <x v="276"/>
    <n v="3"/>
    <m/>
    <n v="0"/>
    <n v="28202"/>
    <n v="84606"/>
    <n v="28.8"/>
    <n v="31463.999999999996"/>
    <n v="75621.848739495807"/>
    <n v="50411.764705882357"/>
    <s v="Shenzhen"/>
    <x v="0"/>
    <n v="30"/>
    <m/>
    <n v="1"/>
    <n v="0"/>
    <s v=""/>
    <n v="0"/>
    <s v=""/>
    <n v="0"/>
    <s v=""/>
    <n v="0"/>
    <s v=""/>
    <n v="1"/>
    <n v="0.58044392540743994"/>
    <n v="3"/>
    <n v="0.31562691025275363"/>
    <n v="16"/>
    <n v="0.28904998005767513"/>
    <n v="5"/>
    <n v="0.32714819396687644"/>
    <n v="2"/>
    <n v="0.32865621779340415"/>
    <n v="6"/>
    <n v="0.30553583301184445"/>
    <n v="-3"/>
    <n v="0.4965196200949763"/>
    <n v="0"/>
    <s v=""/>
    <n v="0"/>
    <s v=""/>
    <n v="0"/>
    <s v=""/>
    <n v="1"/>
    <n v="0.22707188308220783"/>
    <n v="0"/>
    <s v=""/>
    <n v="0"/>
    <n v="2"/>
    <n v="0.23336238306815454"/>
    <n v="2"/>
    <n v="-1"/>
    <n v="0.37841695838195255"/>
    <n v="-8.3333333333333329E-2"/>
    <n v="3"/>
    <n v="0"/>
    <n v="3"/>
    <n v="0"/>
    <s v=""/>
    <n v="0"/>
    <n v="0"/>
    <s v=""/>
    <n v="0"/>
    <m/>
    <m/>
    <m/>
    <m/>
    <m/>
    <m/>
    <m/>
    <m/>
    <m/>
    <n v="0"/>
    <n v="6"/>
    <n v="0"/>
    <n v="0"/>
    <n v="0"/>
    <n v="0"/>
    <n v="28202"/>
    <n v="178847.99999999997"/>
    <n v="0"/>
    <n v="0"/>
    <n v="3"/>
    <n v="84606"/>
    <n v="0"/>
    <n v="0"/>
    <n v="6"/>
    <n v="0"/>
    <n v="0"/>
    <n v="0"/>
    <n v="0"/>
    <n v="28202"/>
    <n v="178847.99999999997"/>
    <n v="0"/>
    <n v="0"/>
    <n v="3"/>
    <n v="84606"/>
    <n v="0"/>
    <n v="0"/>
    <n v="6"/>
    <n v="1"/>
    <n v="0"/>
    <n v="0"/>
    <n v="58010"/>
    <n v="169212"/>
    <n v="28202"/>
    <n v="0"/>
    <n v="3"/>
    <n v="84606"/>
    <n v="75621.848739495807"/>
    <n v="0"/>
    <n v="5"/>
    <n v="0"/>
    <n v="0"/>
    <n v="0"/>
    <n v="149039.99999999997"/>
    <n v="0"/>
    <x v="0"/>
    <x v="0"/>
    <n v="3"/>
    <n v="84606"/>
    <n v="0"/>
    <n v="1"/>
    <n v="5"/>
    <n v="1"/>
    <m/>
    <n v="0"/>
    <n v="0"/>
    <n v="141010"/>
    <n v="29807.999999999996"/>
    <x v="0"/>
    <n v="0"/>
    <n v="3"/>
    <n v="84606"/>
    <n v="75621.848739495807"/>
    <n v="12"/>
    <n v="2"/>
    <n v="-1"/>
    <m/>
    <n v="0"/>
    <n v="0"/>
    <n v="56404"/>
    <n v="-29807.999999999996"/>
    <n v="0"/>
    <n v="0"/>
    <n v="2"/>
    <n v="84606"/>
    <n v="-75621.848739495807"/>
    <n v="1"/>
    <n v="6"/>
    <n v="3"/>
    <n v="0"/>
    <n v="0"/>
    <n v="0"/>
    <n v="169212"/>
    <n v="89423.999999999985"/>
    <n v="0"/>
    <n v="0"/>
    <n v="6"/>
    <n v="84606"/>
    <n v="226865.54621848743"/>
    <n v="1"/>
    <n v="3"/>
    <n v="0"/>
    <n v="0"/>
    <n v="0"/>
    <n v="0"/>
    <n v="84606"/>
    <n v="0"/>
    <n v="0"/>
    <n v="0"/>
    <n v="3"/>
    <n v="84606"/>
    <n v="0"/>
    <n v="1"/>
    <n v="3"/>
    <n v="0"/>
    <n v="0"/>
    <n v="0"/>
    <n v="0"/>
    <n v="89423.999999999985"/>
    <n v="0"/>
    <n v="0"/>
    <n v="0"/>
    <n v="3"/>
    <n v="84606"/>
    <n v="0"/>
    <n v="0"/>
    <n v="3"/>
    <n v="0"/>
    <n v="0"/>
    <n v="0"/>
    <n v="0"/>
    <m/>
    <n v="89423.999999999985"/>
    <n v="0"/>
    <n v="0"/>
    <n v="0"/>
    <n v="3"/>
    <n v="89423.999999999985"/>
    <n v="0"/>
    <n v="0"/>
    <n v="3"/>
    <n v="0"/>
    <m/>
    <n v="0"/>
    <n v="0"/>
    <n v="89423.999999999985"/>
    <n v="0"/>
    <n v="0"/>
    <n v="0"/>
    <n v="3"/>
    <n v="89423.999999999985"/>
    <n v="0"/>
    <n v="0"/>
    <n v="3"/>
    <n v="0"/>
    <n v="0"/>
    <n v="0"/>
    <n v="89423.999999999985"/>
    <n v="0"/>
    <n v="0"/>
    <n v="0"/>
    <n v="3"/>
    <n v="89423.999999999985"/>
    <n v="0"/>
    <n v="0"/>
    <n v="3"/>
    <n v="0"/>
    <n v="0"/>
    <m/>
    <n v="89423.999999999985"/>
    <n v="0"/>
    <n v="0"/>
    <n v="3"/>
    <n v="89423.999999999985"/>
    <n v="0"/>
  </r>
  <r>
    <m/>
    <x v="4"/>
    <x v="21"/>
    <x v="52"/>
    <s v="LTS26-MSW03MY"/>
    <x v="434"/>
    <x v="364"/>
    <x v="0"/>
    <x v="5"/>
    <n v="1"/>
    <x v="277"/>
    <n v="13"/>
    <m/>
    <n v="0"/>
    <n v="8032"/>
    <n v="104416"/>
    <n v="7.5"/>
    <n v="8193.75"/>
    <n v="16798.319327731093"/>
    <n v="12596.638655462186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51213512135121353"/>
    <n v="1"/>
    <n v="0"/>
    <n v="5"/>
    <n v="0.23704557115162839"/>
    <n v="0"/>
    <s v=""/>
    <n v="2"/>
    <n v="0.3751825443471965"/>
    <n v="1"/>
    <n v="0.5218478614632498"/>
    <n v="0.33333333333333331"/>
    <n v="1"/>
    <n v="0.52189744872436217"/>
    <n v="0.25"/>
    <n v="3"/>
    <n v="0.15963485477178424"/>
    <n v="0.375"/>
    <n v="5"/>
    <n v="3.572977481234362E-3"/>
    <n v="0.41666666666666669"/>
    <n v="9"/>
    <n v="3.6361513319692333E-2"/>
    <n v="0.75"/>
    <n v="5"/>
    <n v="1.0113381485132668E-2"/>
    <n v="0.41666666666666669"/>
    <m/>
    <m/>
    <m/>
    <m/>
    <m/>
    <m/>
    <m/>
    <m/>
    <m/>
    <n v="3"/>
    <n v="37"/>
    <n v="3"/>
    <n v="0"/>
    <n v="0"/>
    <n v="0"/>
    <n v="40160"/>
    <n v="287212.49999999994"/>
    <n v="24096"/>
    <n v="0"/>
    <n v="13"/>
    <n v="104416"/>
    <n v="42348.704187557378"/>
    <n v="2"/>
    <n v="37"/>
    <n v="0"/>
    <n v="0"/>
    <n v="0"/>
    <n v="0"/>
    <n v="24096"/>
    <n v="287212.49999999994"/>
    <n v="0"/>
    <n v="0"/>
    <n v="13"/>
    <n v="104416"/>
    <n v="0"/>
    <n v="1.9440000000000002"/>
    <n v="37"/>
    <n v="2"/>
    <n v="0"/>
    <n v="0"/>
    <n v="55146"/>
    <n v="297184"/>
    <n v="16064"/>
    <n v="0"/>
    <n v="13"/>
    <n v="104416"/>
    <n v="33596.638655462186"/>
    <n v="3"/>
    <n v="37"/>
    <n v="1"/>
    <n v="0"/>
    <n v="0"/>
    <n v="287212.49999999994"/>
    <n v="8032"/>
    <x v="0"/>
    <x v="0"/>
    <n v="13"/>
    <n v="104416"/>
    <n v="16798.319327731093"/>
    <n v="4"/>
    <n v="14"/>
    <n v="4"/>
    <m/>
    <n v="0"/>
    <n v="0"/>
    <n v="112448"/>
    <n v="31049.999999999996"/>
    <x v="0"/>
    <n v="0"/>
    <n v="13"/>
    <n v="104416"/>
    <n v="67193.277310924372"/>
    <n v="8"/>
    <n v="16"/>
    <n v="3"/>
    <m/>
    <n v="0"/>
    <n v="0"/>
    <n v="128512"/>
    <n v="23287.499999999996"/>
    <n v="0"/>
    <n v="0"/>
    <n v="16"/>
    <n v="104416"/>
    <n v="50394.957983193279"/>
    <n v="12"/>
    <n v="18"/>
    <n v="5"/>
    <n v="0"/>
    <n v="0"/>
    <n v="0"/>
    <n v="144576"/>
    <n v="38812.499999999993"/>
    <n v="0"/>
    <n v="0"/>
    <n v="18"/>
    <n v="104416"/>
    <n v="83991.596638655465"/>
    <n v="12"/>
    <n v="22"/>
    <n v="9"/>
    <n v="0"/>
    <n v="0"/>
    <n v="0"/>
    <n v="176704"/>
    <n v="69862.499999999985"/>
    <n v="0"/>
    <n v="0"/>
    <n v="22"/>
    <n v="176704"/>
    <n v="151184.87394957984"/>
    <n v="12"/>
    <n v="18"/>
    <n v="3"/>
    <n v="0"/>
    <n v="0"/>
    <n v="0"/>
    <n v="139724.99999999997"/>
    <n v="23287.499999999996"/>
    <n v="0"/>
    <n v="0"/>
    <n v="13"/>
    <n v="104416"/>
    <n v="50394.957983193279"/>
    <n v="0"/>
    <n v="15"/>
    <n v="0"/>
    <n v="0"/>
    <n v="0"/>
    <n v="0"/>
    <m/>
    <n v="116437.49999999999"/>
    <n v="0"/>
    <n v="0"/>
    <n v="0"/>
    <n v="15"/>
    <n v="116437.49999999999"/>
    <n v="0"/>
    <n v="0"/>
    <n v="15"/>
    <n v="0"/>
    <m/>
    <n v="0"/>
    <n v="0"/>
    <n v="116437.49999999999"/>
    <n v="0"/>
    <n v="0"/>
    <n v="0"/>
    <n v="15"/>
    <n v="116437.49999999999"/>
    <n v="0"/>
    <n v="0"/>
    <n v="15"/>
    <n v="0"/>
    <n v="0"/>
    <n v="0"/>
    <n v="116437.49999999999"/>
    <n v="0"/>
    <n v="0"/>
    <n v="0"/>
    <n v="15"/>
    <n v="116437.49999999999"/>
    <n v="0"/>
    <n v="0"/>
    <n v="15"/>
    <n v="0"/>
    <n v="0"/>
    <m/>
    <n v="116437.49999999999"/>
    <n v="0"/>
    <n v="0"/>
    <n v="15"/>
    <n v="116437.49999999999"/>
    <n v="0"/>
  </r>
  <r>
    <m/>
    <x v="4"/>
    <x v="21"/>
    <x v="52"/>
    <s v="LTS26-MSW03MY"/>
    <x v="435"/>
    <x v="364"/>
    <x v="0"/>
    <x v="5"/>
    <n v="1"/>
    <x v="278"/>
    <n v="29"/>
    <m/>
    <n v="0"/>
    <n v="8030"/>
    <n v="232870"/>
    <n v="7.5"/>
    <n v="8193.75"/>
    <n v="16798.319327731093"/>
    <n v="12596.638655462186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71049309237816971"/>
    <n v="3"/>
    <n v="0.1768466386431447"/>
    <n v="0"/>
    <s v=""/>
    <n v="0"/>
    <s v=""/>
    <n v="0"/>
    <s v=""/>
    <n v="0"/>
    <n v="1"/>
    <n v="0.36255703802535022"/>
    <n v="0.25"/>
    <n v="2"/>
    <n v="0.1112169406719085"/>
    <n v="0.25"/>
    <n v="4"/>
    <n v="0.26438337182448035"/>
    <n v="0.26666666666666666"/>
    <n v="5"/>
    <n v="2.9884711751338625E-2"/>
    <n v="0.33333333333333331"/>
    <n v="5"/>
    <n v="1.5639076773653448E-3"/>
    <n v="0.33333333333333331"/>
    <m/>
    <m/>
    <m/>
    <m/>
    <m/>
    <m/>
    <m/>
    <m/>
    <m/>
    <n v="3"/>
    <n v="48"/>
    <n v="3"/>
    <n v="0"/>
    <n v="0"/>
    <n v="0"/>
    <n v="24090"/>
    <n v="372599.99999999994"/>
    <n v="24090"/>
    <n v="0"/>
    <n v="29"/>
    <n v="232870"/>
    <n v="42348.704187557378"/>
    <n v="2"/>
    <n v="45"/>
    <n v="0"/>
    <n v="0"/>
    <n v="0"/>
    <n v="0"/>
    <n v="0"/>
    <n v="349312.49999999994"/>
    <n v="0"/>
    <n v="0"/>
    <n v="29"/>
    <n v="232870"/>
    <n v="0"/>
    <n v="1.9440000000000002"/>
    <n v="45"/>
    <n v="0"/>
    <n v="0"/>
    <n v="0"/>
    <n v="31049.999999999996"/>
    <n v="361350"/>
    <n v="0"/>
    <n v="0"/>
    <n v="29"/>
    <n v="232870"/>
    <n v="0"/>
    <n v="3"/>
    <n v="47"/>
    <n v="0"/>
    <n v="0"/>
    <n v="0"/>
    <n v="364837.49999999994"/>
    <n v="0"/>
    <x v="0"/>
    <x v="0"/>
    <n v="29"/>
    <n v="232870"/>
    <n v="0"/>
    <n v="4"/>
    <n v="30"/>
    <n v="4"/>
    <m/>
    <n v="0"/>
    <n v="0"/>
    <n v="240900"/>
    <n v="31049.999999999996"/>
    <x v="0"/>
    <n v="0"/>
    <n v="29"/>
    <n v="232870"/>
    <n v="67193.277310924372"/>
    <n v="8"/>
    <n v="31"/>
    <n v="2"/>
    <m/>
    <n v="0"/>
    <n v="0"/>
    <n v="248930"/>
    <n v="15524.999999999998"/>
    <n v="0"/>
    <n v="0"/>
    <n v="31"/>
    <n v="232870"/>
    <n v="33596.638655462186"/>
    <n v="15"/>
    <n v="33"/>
    <n v="4"/>
    <n v="0"/>
    <n v="0"/>
    <n v="0"/>
    <n v="264990"/>
    <n v="31049.999999999996"/>
    <n v="0"/>
    <n v="0"/>
    <n v="33"/>
    <n v="232870"/>
    <n v="67193.277310924372"/>
    <n v="15"/>
    <n v="34"/>
    <n v="5"/>
    <n v="0"/>
    <n v="0"/>
    <n v="0"/>
    <n v="273020"/>
    <n v="38812.499999999993"/>
    <n v="0"/>
    <n v="0"/>
    <n v="34"/>
    <n v="273020"/>
    <n v="83991.596638655465"/>
    <n v="15"/>
    <n v="34"/>
    <n v="3"/>
    <n v="0"/>
    <n v="0"/>
    <n v="0"/>
    <n v="263924.99999999994"/>
    <n v="23287.499999999996"/>
    <n v="0"/>
    <n v="0"/>
    <n v="29"/>
    <n v="232870"/>
    <n v="50394.957983193279"/>
    <n v="0"/>
    <n v="31"/>
    <n v="0"/>
    <n v="0"/>
    <n v="0"/>
    <n v="0"/>
    <m/>
    <n v="240637.49999999997"/>
    <n v="0"/>
    <n v="0"/>
    <n v="0"/>
    <n v="31"/>
    <n v="240637.49999999997"/>
    <n v="0"/>
    <n v="0"/>
    <n v="31"/>
    <n v="0"/>
    <m/>
    <n v="0"/>
    <n v="0"/>
    <n v="240637.49999999997"/>
    <n v="0"/>
    <n v="0"/>
    <n v="0"/>
    <n v="31"/>
    <n v="240637.49999999997"/>
    <n v="0"/>
    <n v="0"/>
    <n v="31"/>
    <n v="0"/>
    <n v="0"/>
    <n v="0"/>
    <n v="240637.49999999997"/>
    <n v="0"/>
    <n v="0"/>
    <n v="0"/>
    <n v="31"/>
    <n v="240637.49999999997"/>
    <n v="0"/>
    <n v="0"/>
    <n v="31"/>
    <n v="0"/>
    <n v="0"/>
    <m/>
    <n v="240637.49999999997"/>
    <n v="0"/>
    <n v="0"/>
    <n v="31"/>
    <n v="240637.49999999997"/>
    <n v="0"/>
  </r>
  <r>
    <m/>
    <x v="4"/>
    <x v="21"/>
    <x v="52"/>
    <s v="LTS26-MSW03MY"/>
    <x v="436"/>
    <x v="364"/>
    <x v="0"/>
    <x v="5"/>
    <n v="1"/>
    <x v="279"/>
    <n v="4"/>
    <m/>
    <n v="0"/>
    <n v="8026"/>
    <n v="32104"/>
    <n v="7.5"/>
    <n v="8193.75"/>
    <n v="16798.319327731093"/>
    <n v="12596.638655462186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0"/>
    <s v=""/>
    <n v="3"/>
    <n v="0.17716417457101535"/>
    <n v="0"/>
    <s v=""/>
    <n v="0"/>
    <s v=""/>
    <n v="1"/>
    <n v="0"/>
    <n v="0.5"/>
    <n v="1"/>
    <n v="0"/>
    <n v="0.5"/>
    <n v="1"/>
    <n v="0.36287458305537024"/>
    <n v="0.2"/>
    <n v="1"/>
    <n v="0.2647498075442648"/>
    <n v="0.2"/>
    <n v="4"/>
    <n v="-1.5415203315149534E-2"/>
    <n v="0.8"/>
    <n v="4"/>
    <n v="4.371439568899152E-2"/>
    <n v="0.8"/>
    <m/>
    <m/>
    <m/>
    <m/>
    <m/>
    <m/>
    <m/>
    <m/>
    <m/>
    <n v="2"/>
    <n v="22"/>
    <n v="2"/>
    <n v="0"/>
    <n v="0"/>
    <n v="0"/>
    <n v="16052"/>
    <n v="170774.99999999997"/>
    <n v="16052"/>
    <n v="0"/>
    <n v="4"/>
    <n v="32104"/>
    <n v="28232.469458371586"/>
    <n v="1"/>
    <n v="15"/>
    <n v="0"/>
    <n v="0"/>
    <n v="0"/>
    <n v="0"/>
    <n v="8026"/>
    <n v="116437.49999999999"/>
    <n v="0"/>
    <n v="0"/>
    <n v="4"/>
    <n v="32104"/>
    <n v="0"/>
    <n v="2"/>
    <n v="15"/>
    <n v="0"/>
    <n v="0"/>
    <n v="0"/>
    <n v="23551"/>
    <n v="120390"/>
    <n v="0"/>
    <n v="0"/>
    <n v="4"/>
    <n v="32104"/>
    <n v="0"/>
    <n v="2"/>
    <n v="17"/>
    <n v="1"/>
    <n v="0"/>
    <n v="0"/>
    <n v="131962.49999999997"/>
    <n v="8026"/>
    <x v="0"/>
    <x v="0"/>
    <n v="4"/>
    <n v="32104"/>
    <n v="16798.319327731093"/>
    <n v="2"/>
    <n v="5"/>
    <n v="2"/>
    <m/>
    <n v="0"/>
    <n v="0"/>
    <n v="40130"/>
    <n v="15524.999999999998"/>
    <x v="0"/>
    <n v="0"/>
    <n v="4"/>
    <n v="32104"/>
    <n v="33596.638655462186"/>
    <n v="5"/>
    <n v="5"/>
    <n v="1"/>
    <m/>
    <n v="0"/>
    <n v="0"/>
    <n v="40130"/>
    <n v="7762.4999999999991"/>
    <n v="0"/>
    <n v="0"/>
    <n v="5"/>
    <n v="32104"/>
    <n v="16798.319327731093"/>
    <n v="5"/>
    <n v="5"/>
    <n v="1"/>
    <n v="0"/>
    <n v="0"/>
    <n v="0"/>
    <n v="40130"/>
    <n v="7762.4999999999991"/>
    <n v="0"/>
    <n v="0"/>
    <n v="5"/>
    <n v="32104"/>
    <n v="16798.319327731093"/>
    <n v="5"/>
    <n v="8"/>
    <n v="4"/>
    <n v="0"/>
    <n v="0"/>
    <n v="0"/>
    <n v="64208"/>
    <n v="31049.999999999996"/>
    <n v="0"/>
    <n v="0"/>
    <n v="8"/>
    <n v="64208"/>
    <n v="67193.277310924372"/>
    <n v="5"/>
    <n v="8"/>
    <n v="4.5"/>
    <n v="0"/>
    <n v="0"/>
    <n v="0"/>
    <n v="62099.999999999993"/>
    <n v="34931.249999999993"/>
    <n v="0"/>
    <n v="0"/>
    <n v="4"/>
    <n v="32104"/>
    <n v="75592.436974789918"/>
    <n v="0"/>
    <n v="3.5"/>
    <n v="0"/>
    <n v="0"/>
    <n v="0"/>
    <n v="0"/>
    <m/>
    <n v="27168.749999999996"/>
    <n v="0"/>
    <n v="0"/>
    <n v="0"/>
    <n v="3.5"/>
    <n v="27168.749999999996"/>
    <n v="0"/>
    <n v="0"/>
    <n v="3.5"/>
    <n v="0"/>
    <m/>
    <n v="0"/>
    <n v="0"/>
    <n v="27168.749999999996"/>
    <n v="0"/>
    <n v="0"/>
    <n v="0"/>
    <n v="3.5"/>
    <n v="27168.749999999996"/>
    <n v="0"/>
    <n v="0"/>
    <n v="3.5"/>
    <n v="0"/>
    <n v="0"/>
    <n v="0"/>
    <n v="27168.749999999996"/>
    <n v="0"/>
    <n v="0"/>
    <n v="0"/>
    <n v="3.5"/>
    <n v="27168.749999999996"/>
    <n v="0"/>
    <n v="0"/>
    <n v="3.5"/>
    <n v="0"/>
    <n v="0"/>
    <m/>
    <n v="27168.749999999996"/>
    <n v="0"/>
    <n v="0"/>
    <n v="3.5"/>
    <n v="27168.749999999996"/>
    <n v="0"/>
  </r>
  <r>
    <m/>
    <x v="4"/>
    <x v="21"/>
    <x v="52"/>
    <s v="LTS26-MSW03MY"/>
    <x v="437"/>
    <x v="364"/>
    <x v="0"/>
    <x v="5"/>
    <n v="1"/>
    <x v="280"/>
    <n v="2"/>
    <m/>
    <n v="0"/>
    <n v="8059"/>
    <n v="16118"/>
    <n v="7.5"/>
    <n v="8193.75"/>
    <n v="16798.319327731093"/>
    <n v="12596.638655462186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9522012578616353"/>
    <n v="5"/>
    <n v="0.1745445031660825"/>
    <n v="0"/>
    <s v=""/>
    <n v="0"/>
    <n v="17824.295999999998"/>
    <n v="0"/>
    <s v=""/>
    <n v="0"/>
    <n v="1"/>
    <n v="0.36025483655770513"/>
    <n v="0.5"/>
    <n v="2"/>
    <n v="0.18078509119746231"/>
    <n v="0.4"/>
    <n v="2"/>
    <n v="0.26177251732101614"/>
    <n v="0.33333333333333331"/>
    <n v="4"/>
    <n v="3.3651443865258604E-2"/>
    <n v="0.66666666666666663"/>
    <n v="8"/>
    <n v="1.260533150744679E-2"/>
    <n v="1.3333333333333333"/>
    <m/>
    <m/>
    <m/>
    <m/>
    <m/>
    <m/>
    <m/>
    <m/>
    <m/>
    <n v="2"/>
    <n v="24"/>
    <n v="2"/>
    <n v="0"/>
    <n v="0"/>
    <n v="0"/>
    <n v="16118"/>
    <n v="186299.99999999997"/>
    <n v="16118"/>
    <n v="0"/>
    <n v="2"/>
    <n v="16118"/>
    <n v="28232.469458371586"/>
    <n v="2"/>
    <n v="16"/>
    <n v="0"/>
    <n v="0"/>
    <n v="0"/>
    <n v="0"/>
    <n v="0"/>
    <n v="124199.99999999999"/>
    <n v="0"/>
    <n v="0"/>
    <n v="2"/>
    <n v="16118"/>
    <n v="0"/>
    <n v="2"/>
    <n v="16"/>
    <n v="0"/>
    <n v="0"/>
    <n v="0"/>
    <n v="15524.999999999998"/>
    <n v="128944"/>
    <n v="0"/>
    <n v="0"/>
    <n v="2"/>
    <n v="16118"/>
    <n v="0"/>
    <n v="3"/>
    <n v="17"/>
    <n v="0"/>
    <n v="0"/>
    <n v="0"/>
    <n v="131962.49999999997"/>
    <n v="0"/>
    <x v="0"/>
    <x v="0"/>
    <n v="2"/>
    <n v="16118"/>
    <n v="0"/>
    <n v="2"/>
    <n v="3"/>
    <n v="2"/>
    <m/>
    <n v="0"/>
    <n v="0"/>
    <n v="24177"/>
    <n v="15524.999999999998"/>
    <x v="0"/>
    <n v="0"/>
    <n v="2"/>
    <n v="16118"/>
    <n v="33596.638655462186"/>
    <n v="5"/>
    <n v="4"/>
    <n v="2"/>
    <m/>
    <n v="0"/>
    <n v="0"/>
    <n v="32236"/>
    <n v="15524.999999999998"/>
    <n v="0"/>
    <n v="0"/>
    <n v="4"/>
    <n v="16118"/>
    <n v="33596.638655462186"/>
    <n v="6"/>
    <n v="4"/>
    <n v="2"/>
    <n v="0"/>
    <n v="0"/>
    <n v="0"/>
    <n v="32236"/>
    <n v="15524.999999999998"/>
    <n v="0"/>
    <n v="0"/>
    <n v="4"/>
    <n v="16118"/>
    <n v="33596.638655462186"/>
    <n v="6"/>
    <n v="6"/>
    <n v="4"/>
    <n v="0"/>
    <n v="0"/>
    <n v="0"/>
    <n v="48354"/>
    <n v="31049.999999999996"/>
    <n v="0"/>
    <n v="0"/>
    <n v="6"/>
    <n v="48354"/>
    <n v="67193.277310924372"/>
    <n v="6"/>
    <n v="10"/>
    <n v="10.5"/>
    <n v="0"/>
    <n v="0"/>
    <n v="0"/>
    <n v="77624.999999999985"/>
    <n v="81506.249999999985"/>
    <n v="0"/>
    <n v="0"/>
    <n v="2"/>
    <n v="16118"/>
    <n v="176382.35294117648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2"/>
    <s v="LTS26-MSW03OR"/>
    <x v="438"/>
    <x v="365"/>
    <x v="0"/>
    <x v="5"/>
    <n v="1"/>
    <x v="281"/>
    <n v="41"/>
    <m/>
    <n v="0"/>
    <n v="8172"/>
    <n v="335052"/>
    <n v="7.5"/>
    <n v="8193.75"/>
    <n v="16798.319327731093"/>
    <n v="12596.638655462186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4"/>
    <n v="0"/>
    <n v="2"/>
    <n v="0"/>
    <n v="6"/>
    <n v="0.16557411320373674"/>
    <n v="0"/>
    <s v=""/>
    <n v="0"/>
    <s v=""/>
    <n v="1"/>
    <n v="0"/>
    <n v="0.33333333333333331"/>
    <n v="2"/>
    <n v="0.513503751875938"/>
    <n v="0.46511627906976744"/>
    <n v="8"/>
    <n v="8.0475057734431518E-2"/>
    <n v="0.625"/>
    <n v="3"/>
    <n v="-0.16787670136108884"/>
    <n v="0.13636363636363635"/>
    <n v="6"/>
    <n v="2.5836208342596787E-2"/>
    <n v="0.27272727272727271"/>
    <n v="8"/>
    <n v="2.612969578590342E-2"/>
    <n v="0.36363636363636365"/>
    <m/>
    <m/>
    <m/>
    <m/>
    <m/>
    <m/>
    <m/>
    <m/>
    <m/>
    <n v="3"/>
    <n v="71"/>
    <n v="3"/>
    <n v="0"/>
    <n v="0"/>
    <n v="0"/>
    <n v="24516"/>
    <n v="551137.49999999988"/>
    <n v="24516"/>
    <n v="0"/>
    <n v="41"/>
    <n v="335052"/>
    <n v="42348.704187557378"/>
    <n v="3"/>
    <n v="64"/>
    <n v="0"/>
    <n v="0"/>
    <n v="0"/>
    <n v="0"/>
    <n v="8172"/>
    <n v="496799.99999999994"/>
    <n v="0"/>
    <n v="0"/>
    <n v="41"/>
    <n v="335052"/>
    <n v="0"/>
    <n v="4"/>
    <n v="64"/>
    <n v="0"/>
    <n v="0"/>
    <n v="0"/>
    <n v="41550.749999999993"/>
    <n v="523008"/>
    <n v="0"/>
    <n v="0"/>
    <n v="41"/>
    <n v="335052"/>
    <n v="0"/>
    <n v="3"/>
    <n v="66"/>
    <n v="1"/>
    <n v="0"/>
    <n v="0"/>
    <n v="512324.99999999994"/>
    <n v="8172"/>
    <x v="0"/>
    <x v="0"/>
    <n v="41"/>
    <n v="335052"/>
    <n v="16798.319327731093"/>
    <n v="4.3"/>
    <n v="43"/>
    <n v="4.3"/>
    <m/>
    <n v="0"/>
    <n v="0"/>
    <n v="351396"/>
    <n v="33378.749999999993"/>
    <x v="0"/>
    <n v="0"/>
    <n v="41"/>
    <n v="335052"/>
    <n v="72232.773109243702"/>
    <n v="12.8"/>
    <n v="49"/>
    <n v="8"/>
    <m/>
    <n v="0"/>
    <n v="0"/>
    <n v="400428"/>
    <n v="62099.999999999993"/>
    <n v="0"/>
    <n v="0"/>
    <n v="49"/>
    <n v="335052"/>
    <n v="134386.55462184874"/>
    <n v="22"/>
    <n v="44"/>
    <n v="3"/>
    <n v="0"/>
    <n v="0"/>
    <n v="0"/>
    <n v="359568"/>
    <n v="23287.499999999996"/>
    <n v="0"/>
    <n v="0"/>
    <n v="44"/>
    <n v="335052"/>
    <n v="50394.957983193279"/>
    <n v="22"/>
    <n v="47"/>
    <n v="6"/>
    <n v="0"/>
    <n v="0"/>
    <n v="0"/>
    <n v="384084"/>
    <n v="46574.999999999993"/>
    <n v="0"/>
    <n v="0"/>
    <n v="47"/>
    <n v="384084"/>
    <n v="100789.91596638656"/>
    <n v="22"/>
    <n v="49"/>
    <n v="4.5"/>
    <n v="0"/>
    <n v="0"/>
    <n v="0"/>
    <n v="380362.49999999994"/>
    <n v="34931.249999999993"/>
    <n v="0"/>
    <n v="0"/>
    <n v="41"/>
    <n v="335052"/>
    <n v="75592.436974789918"/>
    <n v="0"/>
    <n v="44.5"/>
    <n v="0"/>
    <n v="0"/>
    <n v="0"/>
    <n v="0"/>
    <m/>
    <n v="345431.24999999994"/>
    <n v="0"/>
    <n v="0"/>
    <n v="0"/>
    <n v="44.5"/>
    <n v="345431.24999999994"/>
    <n v="0"/>
    <n v="0"/>
    <n v="44.5"/>
    <n v="0"/>
    <m/>
    <n v="0"/>
    <n v="0"/>
    <n v="345431.24999999994"/>
    <n v="0"/>
    <n v="0"/>
    <n v="0"/>
    <n v="44.5"/>
    <n v="345431.24999999994"/>
    <n v="0"/>
    <n v="0"/>
    <n v="44.5"/>
    <n v="0"/>
    <n v="0"/>
    <n v="0"/>
    <n v="345431.24999999994"/>
    <n v="0"/>
    <n v="0"/>
    <n v="0"/>
    <n v="44.5"/>
    <n v="345431.24999999994"/>
    <n v="0"/>
    <n v="0"/>
    <n v="44.5"/>
    <n v="0"/>
    <n v="0"/>
    <m/>
    <n v="345431.24999999994"/>
    <n v="0"/>
    <n v="0"/>
    <n v="44.5"/>
    <n v="345431.24999999994"/>
    <n v="0"/>
  </r>
  <r>
    <m/>
    <x v="4"/>
    <x v="21"/>
    <x v="52"/>
    <s v="LTS26-MSW03OR"/>
    <x v="439"/>
    <x v="365"/>
    <x v="0"/>
    <x v="5"/>
    <n v="1"/>
    <x v="282"/>
    <n v="41"/>
    <m/>
    <n v="0"/>
    <n v="8175"/>
    <n v="335175"/>
    <n v="7.5"/>
    <n v="8193.75"/>
    <n v="16798.319327731093"/>
    <n v="12596.638655462186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20003986843416724"/>
    <n v="6"/>
    <n v="0.16541534523980142"/>
    <n v="1"/>
    <n v="0.48778043565236262"/>
    <n v="1"/>
    <n v="0"/>
    <n v="0"/>
    <s v=""/>
    <n v="0"/>
    <n v="2"/>
    <n v="0.32879688093020043"/>
    <n v="0.5"/>
    <n v="3"/>
    <n v="0.12993902722829881"/>
    <n v="0.28846153846153844"/>
    <n v="2"/>
    <n v="0.25114588144726713"/>
    <n v="9.5238095238095233E-2"/>
    <n v="5"/>
    <n v="-4.4743751544762643E-2"/>
    <n v="0.23809523809523808"/>
    <n v="8"/>
    <n v="7.8931928757205415E-3"/>
    <n v="0.38095238095238093"/>
    <m/>
    <m/>
    <m/>
    <m/>
    <m/>
    <m/>
    <m/>
    <m/>
    <m/>
    <n v="3.2"/>
    <n v="69"/>
    <n v="3.2"/>
    <n v="0"/>
    <n v="0"/>
    <n v="0"/>
    <n v="46597.5"/>
    <n v="535612.49999999988"/>
    <n v="26160"/>
    <n v="0"/>
    <n v="41"/>
    <n v="335175"/>
    <n v="45171.951133394541"/>
    <n v="3"/>
    <n v="63"/>
    <n v="1.5"/>
    <n v="0"/>
    <n v="0"/>
    <n v="0"/>
    <n v="20437.5"/>
    <n v="489037.49999999994"/>
    <n v="12262.5"/>
    <n v="0"/>
    <n v="41"/>
    <n v="335175"/>
    <n v="21174.352093778689"/>
    <n v="4"/>
    <n v="62"/>
    <n v="1"/>
    <n v="0"/>
    <n v="0"/>
    <n v="39225"/>
    <n v="506850"/>
    <n v="8175"/>
    <n v="0"/>
    <n v="41"/>
    <n v="335175"/>
    <n v="16798.319327731093"/>
    <n v="3.45"/>
    <n v="62"/>
    <n v="0"/>
    <n v="0"/>
    <n v="0"/>
    <n v="481274.99999999994"/>
    <n v="0"/>
    <x v="0"/>
    <x v="0"/>
    <n v="41"/>
    <n v="335175"/>
    <n v="0"/>
    <n v="4"/>
    <n v="43"/>
    <n v="4"/>
    <m/>
    <n v="0"/>
    <n v="0"/>
    <n v="351525"/>
    <n v="31049.999999999996"/>
    <x v="0"/>
    <n v="0"/>
    <n v="41"/>
    <n v="335175"/>
    <n v="67193.277310924372"/>
    <n v="10.4"/>
    <n v="44"/>
    <n v="3"/>
    <m/>
    <n v="0"/>
    <n v="0"/>
    <n v="359700"/>
    <n v="23287.499999999996"/>
    <n v="0"/>
    <n v="0"/>
    <n v="44"/>
    <n v="335175"/>
    <n v="50394.957983193279"/>
    <n v="21"/>
    <n v="43"/>
    <n v="2"/>
    <n v="0"/>
    <n v="0"/>
    <n v="0"/>
    <n v="351525"/>
    <n v="15524.999999999998"/>
    <n v="0"/>
    <n v="0"/>
    <n v="43"/>
    <n v="335175"/>
    <n v="33596.638655462186"/>
    <n v="21"/>
    <n v="46"/>
    <n v="5"/>
    <n v="0"/>
    <n v="0"/>
    <n v="0"/>
    <n v="376050"/>
    <n v="38812.499999999993"/>
    <n v="0"/>
    <n v="0"/>
    <n v="46"/>
    <n v="376050"/>
    <n v="83991.596638655465"/>
    <n v="21"/>
    <n v="49"/>
    <n v="4.5"/>
    <n v="0"/>
    <n v="0"/>
    <n v="0"/>
    <n v="380362.49999999994"/>
    <n v="34931.249999999993"/>
    <n v="0"/>
    <n v="0"/>
    <n v="41"/>
    <n v="335175"/>
    <n v="75592.436974789918"/>
    <n v="0"/>
    <n v="44.5"/>
    <n v="0"/>
    <n v="0"/>
    <n v="0"/>
    <n v="0"/>
    <m/>
    <n v="345431.24999999994"/>
    <n v="0"/>
    <n v="0"/>
    <n v="0"/>
    <n v="44.5"/>
    <n v="345431.24999999994"/>
    <n v="0"/>
    <n v="0"/>
    <n v="44.5"/>
    <n v="0"/>
    <m/>
    <n v="0"/>
    <n v="0"/>
    <n v="345431.24999999994"/>
    <n v="0"/>
    <n v="0"/>
    <n v="0"/>
    <n v="44.5"/>
    <n v="345431.24999999994"/>
    <n v="0"/>
    <n v="0"/>
    <n v="44.5"/>
    <n v="0"/>
    <n v="0"/>
    <n v="0"/>
    <n v="345431.24999999994"/>
    <n v="0"/>
    <n v="0"/>
    <n v="0"/>
    <n v="44.5"/>
    <n v="345431.24999999994"/>
    <n v="0"/>
    <n v="0"/>
    <n v="44.5"/>
    <n v="0"/>
    <n v="0"/>
    <m/>
    <n v="345431.24999999994"/>
    <n v="0"/>
    <n v="0"/>
    <n v="44.5"/>
    <n v="345431.24999999994"/>
    <n v="0"/>
  </r>
  <r>
    <m/>
    <x v="4"/>
    <x v="21"/>
    <x v="52"/>
    <s v="LTS26-MSW03OR"/>
    <x v="440"/>
    <x v="365"/>
    <x v="0"/>
    <x v="5"/>
    <n v="1"/>
    <x v="283"/>
    <n v="17"/>
    <m/>
    <n v="0"/>
    <n v="8355"/>
    <n v="142035"/>
    <n v="7.5"/>
    <n v="8193.75"/>
    <n v="16798.319327731093"/>
    <n v="12596.638655462186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20003986843416724"/>
    <n v="1"/>
    <n v="0.15104684450365466"/>
    <n v="0"/>
    <s v=""/>
    <n v="0"/>
    <s v=""/>
    <n v="1"/>
    <n v="0.24053334787538649"/>
    <n v="0.625"/>
    <n v="1"/>
    <n v="0"/>
    <n v="0.625"/>
    <n v="0"/>
    <s v=""/>
    <n v="0"/>
    <n v="3"/>
    <n v="0.21446326046879113"/>
    <n v="0.3"/>
    <n v="5"/>
    <n v="-8.8843614099451268E-2"/>
    <n v="0.5"/>
    <n v="3"/>
    <n v="-0.1617389386344438"/>
    <n v="0.3"/>
    <m/>
    <m/>
    <m/>
    <m/>
    <m/>
    <m/>
    <m/>
    <m/>
    <m/>
    <n v="2"/>
    <n v="31"/>
    <n v="2"/>
    <n v="0"/>
    <n v="0"/>
    <n v="0"/>
    <n v="16710"/>
    <n v="240637.49999999997"/>
    <n v="16710"/>
    <n v="0"/>
    <n v="17"/>
    <n v="142035"/>
    <n v="28232.469458371586"/>
    <n v="2"/>
    <n v="29"/>
    <n v="0"/>
    <n v="0"/>
    <n v="0"/>
    <n v="0"/>
    <n v="8355"/>
    <n v="225112.49999999997"/>
    <n v="0"/>
    <n v="0"/>
    <n v="17"/>
    <n v="142035"/>
    <n v="0"/>
    <n v="2.2680000000000002"/>
    <n v="29"/>
    <n v="0"/>
    <n v="0"/>
    <n v="0"/>
    <n v="20775"/>
    <n v="242295"/>
    <n v="0"/>
    <n v="0"/>
    <n v="17"/>
    <n v="142035"/>
    <n v="0"/>
    <n v="1.6"/>
    <n v="31"/>
    <n v="1"/>
    <n v="0"/>
    <n v="0"/>
    <n v="240637.49999999997"/>
    <n v="8355"/>
    <x v="0"/>
    <x v="0"/>
    <n v="17"/>
    <n v="142035"/>
    <n v="16798.319327731093"/>
    <n v="1.6"/>
    <n v="18"/>
    <n v="1.6"/>
    <m/>
    <n v="0"/>
    <n v="0"/>
    <n v="150390"/>
    <n v="12420"/>
    <x v="0"/>
    <n v="0"/>
    <n v="17"/>
    <n v="142035"/>
    <n v="26877.310924369751"/>
    <n v="4.8"/>
    <n v="17"/>
    <n v="0"/>
    <m/>
    <n v="0"/>
    <n v="0"/>
    <n v="142035"/>
    <n v="0"/>
    <n v="0"/>
    <n v="0"/>
    <n v="17"/>
    <n v="142035"/>
    <n v="0"/>
    <n v="10"/>
    <n v="20"/>
    <n v="3"/>
    <n v="0"/>
    <n v="0"/>
    <n v="0"/>
    <n v="167100"/>
    <n v="23287.499999999996"/>
    <n v="0"/>
    <n v="0"/>
    <n v="20"/>
    <n v="142035"/>
    <n v="50394.957983193279"/>
    <n v="10"/>
    <n v="22"/>
    <n v="5"/>
    <n v="0"/>
    <n v="0"/>
    <n v="0"/>
    <n v="183810"/>
    <n v="38812.499999999993"/>
    <n v="0"/>
    <n v="0"/>
    <n v="22"/>
    <n v="183810"/>
    <n v="83991.596638655465"/>
    <n v="10"/>
    <n v="20"/>
    <n v="1.5"/>
    <n v="0"/>
    <n v="0"/>
    <n v="0"/>
    <n v="155249.99999999997"/>
    <n v="11643.749999999998"/>
    <n v="0"/>
    <n v="0"/>
    <n v="17"/>
    <n v="142035"/>
    <n v="25197.478991596639"/>
    <n v="0"/>
    <n v="18.5"/>
    <n v="0"/>
    <n v="0"/>
    <n v="0"/>
    <n v="0"/>
    <m/>
    <n v="143606.24999999997"/>
    <n v="0"/>
    <n v="0"/>
    <n v="0"/>
    <n v="18.5"/>
    <n v="143606.24999999997"/>
    <n v="0"/>
    <n v="0"/>
    <n v="18.5"/>
    <n v="0"/>
    <m/>
    <n v="0"/>
    <n v="0"/>
    <n v="143606.24999999997"/>
    <n v="0"/>
    <n v="0"/>
    <n v="0"/>
    <n v="18.5"/>
    <n v="143606.24999999997"/>
    <n v="0"/>
    <n v="0"/>
    <n v="18.5"/>
    <n v="0"/>
    <n v="0"/>
    <n v="0"/>
    <n v="143606.24999999997"/>
    <n v="0"/>
    <n v="0"/>
    <n v="0"/>
    <n v="18.5"/>
    <n v="143606.24999999997"/>
    <n v="0"/>
    <n v="0"/>
    <n v="18.5"/>
    <n v="0"/>
    <n v="0"/>
    <m/>
    <n v="143606.24999999997"/>
    <n v="0"/>
    <n v="0"/>
    <n v="18.5"/>
    <n v="143606.24999999997"/>
    <n v="0"/>
  </r>
  <r>
    <m/>
    <x v="4"/>
    <x v="21"/>
    <x v="52"/>
    <s v="LTS26-MSW03OR"/>
    <x v="441"/>
    <x v="365"/>
    <x v="0"/>
    <x v="5"/>
    <n v="1"/>
    <x v="284"/>
    <n v="13"/>
    <m/>
    <n v="0"/>
    <n v="8265"/>
    <n v="107445"/>
    <n v="7.5"/>
    <n v="8193.75"/>
    <n v="16798.319327731093"/>
    <n v="12596.638655462186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19998796340876263"/>
    <n v="2"/>
    <n v="0.48022722839867371"/>
    <n v="5"/>
    <n v="0.15819140288074421"/>
    <n v="1"/>
    <n v="0.24589112879390035"/>
    <n v="0"/>
    <s v=""/>
    <n v="0"/>
    <s v=""/>
    <n v="0"/>
    <n v="2"/>
    <n v="0"/>
    <n v="0.5"/>
    <n v="9"/>
    <n v="2.261624263692192E-2"/>
    <n v="0.9"/>
    <n v="4"/>
    <n v="0.17541226525821596"/>
    <n v="0.36363636363636365"/>
    <n v="2"/>
    <n v="-0.14055758991790318"/>
    <n v="0.18181818181818182"/>
    <n v="3"/>
    <n v="1.9327316748157949E-2"/>
    <n v="0.27272727272727271"/>
    <m/>
    <m/>
    <m/>
    <m/>
    <m/>
    <m/>
    <m/>
    <m/>
    <m/>
    <n v="2.3000000000000003"/>
    <n v="40"/>
    <n v="2.3000000000000003"/>
    <n v="0"/>
    <n v="0"/>
    <n v="0"/>
    <n v="31407.000000000004"/>
    <n v="310499.99999999994"/>
    <n v="19009.500000000004"/>
    <n v="0"/>
    <n v="13"/>
    <n v="107445"/>
    <n v="32467.339877127328"/>
    <n v="2"/>
    <n v="32"/>
    <n v="1.5"/>
    <n v="0"/>
    <n v="0"/>
    <n v="0"/>
    <n v="12397.5"/>
    <n v="248399.99999999997"/>
    <n v="12397.5"/>
    <n v="0"/>
    <n v="13"/>
    <n v="107445"/>
    <n v="21174.352093778689"/>
    <n v="2"/>
    <n v="31"/>
    <n v="0"/>
    <n v="0"/>
    <n v="0"/>
    <n v="31049.999999999996"/>
    <n v="256215"/>
    <n v="0"/>
    <n v="0"/>
    <n v="13"/>
    <n v="107445"/>
    <n v="0"/>
    <n v="3"/>
    <n v="33"/>
    <n v="0"/>
    <n v="0"/>
    <n v="0"/>
    <n v="256162.49999999997"/>
    <n v="0"/>
    <x v="0"/>
    <x v="0"/>
    <n v="13"/>
    <n v="107445"/>
    <n v="0"/>
    <n v="4"/>
    <n v="15"/>
    <n v="4"/>
    <m/>
    <n v="0"/>
    <n v="0"/>
    <n v="123975"/>
    <n v="31049.999999999996"/>
    <x v="0"/>
    <n v="0"/>
    <n v="13"/>
    <n v="107445"/>
    <n v="67193.277310924372"/>
    <n v="10"/>
    <n v="22"/>
    <n v="9"/>
    <m/>
    <n v="0"/>
    <n v="0"/>
    <n v="181830"/>
    <n v="69862.499999999985"/>
    <n v="0"/>
    <n v="0"/>
    <n v="22"/>
    <n v="107445"/>
    <n v="151184.87394957984"/>
    <n v="11"/>
    <n v="17"/>
    <n v="4"/>
    <n v="0"/>
    <n v="0"/>
    <n v="0"/>
    <n v="140505"/>
    <n v="31049.999999999996"/>
    <n v="0"/>
    <n v="0"/>
    <n v="17"/>
    <n v="107445"/>
    <n v="67193.277310924372"/>
    <n v="11"/>
    <n v="15"/>
    <n v="2"/>
    <n v="0"/>
    <n v="0"/>
    <n v="0"/>
    <n v="123975"/>
    <n v="15524.999999999998"/>
    <n v="0"/>
    <n v="0"/>
    <n v="15"/>
    <n v="123975"/>
    <n v="33596.638655462186"/>
    <n v="11"/>
    <n v="16"/>
    <n v="4.5"/>
    <n v="0"/>
    <n v="0"/>
    <n v="0"/>
    <n v="124199.99999999999"/>
    <n v="34931.249999999993"/>
    <n v="0"/>
    <n v="0"/>
    <n v="13"/>
    <n v="107445"/>
    <n v="75592.436974789918"/>
    <n v="0"/>
    <n v="11.5"/>
    <n v="0"/>
    <n v="0"/>
    <n v="0"/>
    <n v="0"/>
    <m/>
    <n v="89268.749999999985"/>
    <n v="0"/>
    <n v="0"/>
    <n v="0"/>
    <n v="11.5"/>
    <n v="89268.749999999985"/>
    <n v="0"/>
    <n v="0"/>
    <n v="11.5"/>
    <n v="0"/>
    <m/>
    <n v="0"/>
    <n v="0"/>
    <n v="89268.749999999985"/>
    <n v="0"/>
    <n v="0"/>
    <n v="0"/>
    <n v="11.5"/>
    <n v="89268.749999999985"/>
    <n v="0"/>
    <n v="0"/>
    <n v="11.5"/>
    <n v="0"/>
    <n v="0"/>
    <n v="0"/>
    <n v="89268.749999999985"/>
    <n v="0"/>
    <n v="0"/>
    <n v="0"/>
    <n v="11.5"/>
    <n v="89268.749999999985"/>
    <n v="0"/>
    <n v="0"/>
    <n v="11.5"/>
    <n v="0"/>
    <n v="0"/>
    <m/>
    <n v="89268.749999999985"/>
    <n v="0"/>
    <n v="0"/>
    <n v="11.5"/>
    <n v="89268.749999999985"/>
    <n v="0"/>
  </r>
  <r>
    <m/>
    <x v="4"/>
    <x v="21"/>
    <x v="52"/>
    <s v="LTS26-WKF04"/>
    <x v="442"/>
    <x v="366"/>
    <x v="0"/>
    <x v="2"/>
    <n v="1"/>
    <x v="285"/>
    <n v="0"/>
    <m/>
    <n v="0"/>
    <n v="9096"/>
    <n v="0"/>
    <n v="8.5"/>
    <n v="9286.25"/>
    <n v="25201.680672268907"/>
    <n v="21000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6"/>
    <n v="0.1685557595266528"/>
    <n v="2"/>
    <n v="1"/>
    <n v="0.63908436145381797"/>
    <n v="0.5"/>
    <n v="12"/>
    <n v="0.24584355694770729"/>
    <n v="4"/>
    <n v="0"/>
    <s v=""/>
    <n v="0"/>
    <n v="5"/>
    <n v="0.11237711032501177"/>
    <n v="1.25"/>
    <n v="0"/>
    <s v=""/>
    <n v="0"/>
    <m/>
    <m/>
    <m/>
    <m/>
    <m/>
    <m/>
    <m/>
    <m/>
    <m/>
    <n v="3"/>
    <n v="21"/>
    <n v="3"/>
    <n v="0"/>
    <n v="0"/>
    <n v="0"/>
    <n v="27288"/>
    <n v="184747.5"/>
    <n v="27288"/>
    <n v="0"/>
    <n v="0"/>
    <n v="0"/>
    <n v="63533.648753619098"/>
    <n v="3"/>
    <n v="21"/>
    <n v="0"/>
    <n v="0"/>
    <n v="0"/>
    <n v="0"/>
    <n v="54576"/>
    <n v="184747.5"/>
    <n v="0"/>
    <n v="0"/>
    <n v="0"/>
    <n v="0"/>
    <n v="0"/>
    <n v="2"/>
    <n v="21"/>
    <n v="0"/>
    <n v="0"/>
    <n v="0"/>
    <n v="72171"/>
    <n v="191016"/>
    <n v="0"/>
    <n v="0"/>
    <n v="0"/>
    <n v="0"/>
    <n v="0"/>
    <n v="3"/>
    <n v="20"/>
    <n v="6"/>
    <n v="0"/>
    <n v="0"/>
    <n v="175950"/>
    <n v="54576"/>
    <x v="0"/>
    <x v="0"/>
    <n v="0"/>
    <n v="0"/>
    <n v="151210.08403361344"/>
    <n v="2"/>
    <n v="1"/>
    <n v="2"/>
    <m/>
    <n v="0"/>
    <n v="0"/>
    <n v="9096"/>
    <n v="17595"/>
    <x v="0"/>
    <n v="0"/>
    <n v="0"/>
    <n v="0"/>
    <n v="50403.361344537814"/>
    <n v="3"/>
    <n v="12"/>
    <n v="12"/>
    <m/>
    <n v="0"/>
    <n v="0"/>
    <n v="109152"/>
    <n v="105570"/>
    <n v="0"/>
    <n v="0"/>
    <n v="12"/>
    <n v="0"/>
    <n v="302420.16806722688"/>
    <n v="4"/>
    <n v="0"/>
    <n v="0"/>
    <n v="0"/>
    <n v="0"/>
    <n v="0"/>
    <n v="0"/>
    <n v="0"/>
    <n v="0"/>
    <n v="0"/>
    <n v="0"/>
    <n v="0"/>
    <n v="0"/>
    <n v="4"/>
    <n v="5"/>
    <n v="5"/>
    <n v="0"/>
    <n v="0"/>
    <n v="0"/>
    <n v="45480"/>
    <n v="43987.5"/>
    <n v="0"/>
    <n v="0"/>
    <n v="5"/>
    <n v="45480"/>
    <n v="126008.4033613445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2"/>
    <s v="LTS26-WKF04"/>
    <x v="443"/>
    <x v="366"/>
    <x v="0"/>
    <x v="2"/>
    <n v="1"/>
    <x v="286"/>
    <n v="1"/>
    <m/>
    <n v="0"/>
    <n v="9096"/>
    <n v="9096"/>
    <n v="8.5"/>
    <n v="9286.25"/>
    <n v="25201.680672268907"/>
    <n v="21000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72659232318374467"/>
    <n v="0"/>
    <s v=""/>
    <n v="1"/>
    <n v="0.42103966701562839"/>
    <n v="2"/>
    <n v="0.52605667344509877"/>
    <n v="1"/>
    <n v="0.41380802080094037"/>
    <n v="0.33333333333333331"/>
    <n v="1"/>
    <n v="0.63908436145381797"/>
    <n v="0.5"/>
    <n v="15"/>
    <n v="0.11836220393826213"/>
    <n v="3.9473684210526319"/>
    <n v="8"/>
    <n v="0.27793128752501667"/>
    <n v="1"/>
    <n v="2"/>
    <n v="8.03979026461413E-2"/>
    <n v="0.25"/>
    <n v="-3"/>
    <n v="0.26149147145781215"/>
    <n v="-0.375"/>
    <m/>
    <m/>
    <m/>
    <m/>
    <m/>
    <m/>
    <m/>
    <m/>
    <m/>
    <n v="3"/>
    <n v="26"/>
    <n v="3"/>
    <n v="0"/>
    <n v="0"/>
    <n v="0"/>
    <n v="59124"/>
    <n v="228735"/>
    <n v="27288"/>
    <n v="0"/>
    <n v="1"/>
    <n v="9096"/>
    <n v="63533.648753619098"/>
    <n v="3"/>
    <n v="27"/>
    <n v="1.5"/>
    <n v="0"/>
    <n v="0"/>
    <n v="0"/>
    <n v="40932"/>
    <n v="237532.5"/>
    <n v="13644"/>
    <n v="0"/>
    <n v="1"/>
    <n v="9096"/>
    <n v="31766.824376809549"/>
    <n v="3"/>
    <n v="26"/>
    <n v="2"/>
    <n v="0"/>
    <n v="0"/>
    <n v="44883"/>
    <n v="236496"/>
    <n v="18192"/>
    <n v="0"/>
    <n v="1"/>
    <n v="9096"/>
    <n v="50403.361344537814"/>
    <n v="3"/>
    <n v="24"/>
    <n v="1"/>
    <n v="0"/>
    <n v="0"/>
    <n v="211140"/>
    <n v="9096"/>
    <x v="0"/>
    <x v="0"/>
    <n v="1"/>
    <n v="9096"/>
    <n v="25201.680672268907"/>
    <n v="2"/>
    <n v="2"/>
    <n v="2"/>
    <m/>
    <n v="0"/>
    <n v="0"/>
    <n v="18192"/>
    <n v="17595"/>
    <x v="0"/>
    <n v="0"/>
    <n v="1"/>
    <n v="9096"/>
    <n v="50403.361344537814"/>
    <n v="3.8"/>
    <n v="16"/>
    <n v="15"/>
    <m/>
    <n v="0"/>
    <n v="0"/>
    <n v="145536"/>
    <n v="131962.5"/>
    <n v="0"/>
    <n v="0"/>
    <n v="16"/>
    <n v="9096"/>
    <n v="378025.21008403361"/>
    <n v="8"/>
    <n v="9"/>
    <n v="8"/>
    <n v="0"/>
    <n v="0"/>
    <n v="0"/>
    <n v="81864"/>
    <n v="70380"/>
    <n v="0"/>
    <n v="0"/>
    <n v="9"/>
    <n v="9096"/>
    <n v="201613.44537815126"/>
    <n v="8"/>
    <n v="3"/>
    <n v="2"/>
    <n v="0"/>
    <n v="0"/>
    <n v="0"/>
    <n v="27288"/>
    <n v="17595"/>
    <n v="0"/>
    <n v="0"/>
    <n v="3"/>
    <n v="27288"/>
    <n v="50403.361344537814"/>
    <n v="8"/>
    <n v="-2"/>
    <n v="0"/>
    <n v="0"/>
    <n v="0"/>
    <n v="0"/>
    <n v="-17595"/>
    <n v="0"/>
    <n v="0"/>
    <n v="0"/>
    <n v="1"/>
    <n v="9096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2"/>
    <s v="LTS26-WKF04"/>
    <x v="444"/>
    <x v="366"/>
    <x v="0"/>
    <x v="0"/>
    <n v="1"/>
    <x v="287"/>
    <n v="0"/>
    <m/>
    <n v="0"/>
    <n v="9096"/>
    <n v="0"/>
    <n v="8.5"/>
    <n v="9286.25"/>
    <n v="25201.680672268907"/>
    <n v="21000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54140898090884648"/>
    <n v="0"/>
    <s v=""/>
    <n v="0"/>
    <s v=""/>
    <n v="2"/>
    <n v="0.46959005097648537"/>
    <n v="13"/>
    <n v="0.1780158778714204"/>
    <n v="7.2222222222222223"/>
    <n v="1"/>
    <n v="0.63908436145381797"/>
    <n v="0.33333333333333331"/>
    <n v="11"/>
    <n v="0.2419446824134133"/>
    <n v="2.2000000000000002"/>
    <n v="2"/>
    <n v="0.27793128752501667"/>
    <n v="0.4"/>
    <n v="3"/>
    <n v="3.3743501520836161E-2"/>
    <n v="0.6"/>
    <n v="1"/>
    <n v="-0.10685390260173448"/>
    <n v="0.2"/>
    <m/>
    <m/>
    <m/>
    <m/>
    <m/>
    <m/>
    <m/>
    <m/>
    <m/>
    <n v="3"/>
    <n v="33"/>
    <n v="3"/>
    <n v="0"/>
    <n v="0"/>
    <n v="0"/>
    <n v="45480"/>
    <n v="290317.5"/>
    <n v="27288"/>
    <n v="0"/>
    <n v="0"/>
    <n v="0"/>
    <n v="63533.648753619098"/>
    <n v="3"/>
    <n v="32"/>
    <n v="0"/>
    <n v="0"/>
    <n v="0"/>
    <n v="0"/>
    <n v="136440"/>
    <n v="281520"/>
    <n v="0"/>
    <n v="0"/>
    <n v="0"/>
    <n v="0"/>
    <n v="0"/>
    <n v="2.88"/>
    <n v="32"/>
    <n v="2"/>
    <n v="0"/>
    <n v="0"/>
    <n v="162832.5"/>
    <n v="291072"/>
    <n v="18192"/>
    <n v="0"/>
    <n v="0"/>
    <n v="0"/>
    <n v="50403.361344537814"/>
    <n v="1.8"/>
    <n v="31"/>
    <n v="13"/>
    <n v="0"/>
    <n v="0"/>
    <n v="272722.5"/>
    <n v="118248"/>
    <x v="0"/>
    <x v="0"/>
    <n v="0"/>
    <n v="0"/>
    <n v="327621.84873949579"/>
    <n v="3"/>
    <n v="1"/>
    <n v="3"/>
    <m/>
    <n v="0"/>
    <n v="0"/>
    <n v="9096"/>
    <n v="26392.5"/>
    <x v="0"/>
    <n v="0"/>
    <n v="0"/>
    <n v="0"/>
    <n v="75605.042016806721"/>
    <n v="5"/>
    <n v="11"/>
    <n v="11"/>
    <m/>
    <n v="0"/>
    <n v="0"/>
    <n v="100056"/>
    <n v="96772.5"/>
    <n v="0"/>
    <n v="0"/>
    <n v="11"/>
    <n v="0"/>
    <n v="277218.48739495798"/>
    <n v="5"/>
    <n v="2"/>
    <n v="2"/>
    <n v="0"/>
    <n v="0"/>
    <n v="0"/>
    <n v="18192"/>
    <n v="17595"/>
    <n v="0"/>
    <n v="0"/>
    <n v="2"/>
    <n v="0"/>
    <n v="50403.361344537814"/>
    <n v="5"/>
    <n v="3"/>
    <n v="3"/>
    <n v="0"/>
    <n v="0"/>
    <n v="0"/>
    <n v="27288"/>
    <n v="26392.5"/>
    <n v="0"/>
    <n v="0"/>
    <n v="3"/>
    <n v="27288"/>
    <n v="75605.042016806721"/>
    <n v="5"/>
    <n v="1"/>
    <n v="1.5"/>
    <n v="0"/>
    <n v="0"/>
    <n v="0"/>
    <n v="8797.5"/>
    <n v="13196.25"/>
    <n v="0"/>
    <n v="0"/>
    <n v="0"/>
    <n v="0"/>
    <n v="37802.521008403361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2"/>
    <s v="LTS26-WKF04"/>
    <x v="445"/>
    <x v="366"/>
    <x v="0"/>
    <x v="2"/>
    <n v="1"/>
    <x v="288"/>
    <n v="0"/>
    <m/>
    <n v="0"/>
    <n v="9096"/>
    <n v="0"/>
    <n v="8.5"/>
    <n v="9286.25"/>
    <n v="25201.680672268907"/>
    <n v="21000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021903023569558"/>
    <n v="4"/>
    <n v="0.54252951604994148"/>
    <n v="1"/>
    <n v="0.72932600740400877"/>
    <n v="2"/>
    <n v="0.41092176177908607"/>
    <n v="1"/>
    <n v="0"/>
    <n v="1"/>
    <n v="0.42370719534095402"/>
    <n v="0.5"/>
    <n v="8"/>
    <n v="0.62982703488372094"/>
    <n v="2.6666666666666665"/>
    <n v="12"/>
    <n v="0.26358849512638205"/>
    <n v="2.2222222222222219"/>
    <n v="9"/>
    <n v="0.29956210992550836"/>
    <n v="1.2857142857142858"/>
    <n v="1"/>
    <n v="-1.1741942191858075E-3"/>
    <n v="0.14285714285714285"/>
    <n v="-1"/>
    <n v="0.27793128752501667"/>
    <n v="-0.14285714285714285"/>
    <m/>
    <m/>
    <m/>
    <m/>
    <m/>
    <m/>
    <m/>
    <m/>
    <m/>
    <n v="3"/>
    <n v="31"/>
    <n v="3"/>
    <n v="0"/>
    <n v="0"/>
    <n v="0"/>
    <n v="63672"/>
    <n v="272722.5"/>
    <n v="27288"/>
    <n v="0"/>
    <n v="0"/>
    <n v="0"/>
    <n v="63533.648753619098"/>
    <n v="3"/>
    <n v="31"/>
    <n v="3"/>
    <n v="0"/>
    <n v="0"/>
    <n v="0"/>
    <n v="45480"/>
    <n v="272722.5"/>
    <n v="27288"/>
    <n v="0"/>
    <n v="0"/>
    <n v="0"/>
    <n v="63533.648753619098"/>
    <n v="2"/>
    <n v="29"/>
    <n v="1"/>
    <n v="0"/>
    <n v="0"/>
    <n v="44584.5"/>
    <n v="263784"/>
    <n v="9096"/>
    <n v="0"/>
    <n v="0"/>
    <n v="0"/>
    <n v="25201.680672268907"/>
    <n v="2"/>
    <n v="29"/>
    <n v="1"/>
    <n v="0"/>
    <n v="0"/>
    <n v="255127.5"/>
    <n v="9096"/>
    <x v="0"/>
    <x v="0"/>
    <n v="0"/>
    <n v="0"/>
    <n v="25201.680672268907"/>
    <n v="3"/>
    <n v="8"/>
    <n v="3"/>
    <m/>
    <n v="0"/>
    <n v="0"/>
    <n v="72768"/>
    <n v="26392.5"/>
    <x v="0"/>
    <n v="0"/>
    <n v="0"/>
    <n v="0"/>
    <n v="75605.042016806721"/>
    <n v="5.4"/>
    <n v="12"/>
    <n v="12"/>
    <m/>
    <n v="0"/>
    <n v="0"/>
    <n v="109152"/>
    <n v="105570"/>
    <n v="0"/>
    <n v="0"/>
    <n v="12"/>
    <n v="0"/>
    <n v="302420.16806722688"/>
    <n v="7"/>
    <n v="9"/>
    <n v="9"/>
    <n v="0"/>
    <n v="0"/>
    <n v="0"/>
    <n v="81864"/>
    <n v="79177.5"/>
    <n v="0"/>
    <n v="0"/>
    <n v="9"/>
    <n v="0"/>
    <n v="226815.12605042016"/>
    <n v="7"/>
    <n v="1"/>
    <n v="1"/>
    <n v="0"/>
    <n v="0"/>
    <n v="0"/>
    <n v="9096"/>
    <n v="8797.5"/>
    <n v="0"/>
    <n v="0"/>
    <n v="1"/>
    <n v="9096"/>
    <n v="25201.680672268907"/>
    <n v="7"/>
    <n v="-1"/>
    <n v="0"/>
    <n v="0"/>
    <n v="0"/>
    <n v="0"/>
    <n v="-8797.5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2"/>
    <s v="LTS26-WKF04"/>
    <x v="446"/>
    <x v="366"/>
    <x v="0"/>
    <x v="0"/>
    <n v="1"/>
    <x v="289"/>
    <n v="0"/>
    <m/>
    <n v="0"/>
    <n v="9096"/>
    <n v="0"/>
    <n v="8.5"/>
    <n v="9286.25"/>
    <n v="25201.680672268907"/>
    <n v="21000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72932599315578039"/>
    <n v="0"/>
    <s v=""/>
    <n v="0"/>
    <s v=""/>
    <n v="1"/>
    <n v="0.41414145941976838"/>
    <n v="11"/>
    <n v="0.16600298627919366"/>
    <n v="5.5"/>
    <n v="1"/>
    <n v="0.48437812604201391"/>
    <n v="0.5"/>
    <n v="9"/>
    <n v="0.1992035598847498"/>
    <n v="2.25"/>
    <n v="1"/>
    <n v="0.27793128752501667"/>
    <n v="0.33333333333333331"/>
    <n v="2"/>
    <n v="0.14968183868421284"/>
    <n v="0.66666666666666663"/>
    <n v="-1"/>
    <n v="0.22626161543959972"/>
    <n v="-0.33333333333333331"/>
    <m/>
    <m/>
    <m/>
    <m/>
    <m/>
    <m/>
    <m/>
    <m/>
    <m/>
    <n v="1.8"/>
    <n v="22"/>
    <n v="1.8"/>
    <n v="0"/>
    <n v="0"/>
    <n v="0"/>
    <n v="25468.800000000003"/>
    <n v="193545"/>
    <n v="16372.800000000001"/>
    <n v="0"/>
    <n v="0"/>
    <n v="0"/>
    <n v="38120.189252171462"/>
    <n v="2"/>
    <n v="22"/>
    <n v="0"/>
    <n v="0"/>
    <n v="0"/>
    <n v="0"/>
    <n v="109152"/>
    <n v="193545"/>
    <n v="0"/>
    <n v="0"/>
    <n v="0"/>
    <n v="0"/>
    <n v="0"/>
    <n v="1.728"/>
    <n v="22"/>
    <n v="1"/>
    <n v="0"/>
    <n v="0"/>
    <n v="126747"/>
    <n v="200112"/>
    <n v="9096"/>
    <n v="0"/>
    <n v="0"/>
    <n v="0"/>
    <n v="25201.680672268907"/>
    <n v="2"/>
    <n v="21"/>
    <n v="11"/>
    <n v="0"/>
    <n v="0"/>
    <n v="184747.5"/>
    <n v="100056"/>
    <x v="0"/>
    <x v="0"/>
    <n v="0"/>
    <n v="0"/>
    <n v="277218.48739495798"/>
    <n v="2"/>
    <n v="1"/>
    <n v="2"/>
    <m/>
    <n v="0"/>
    <n v="0"/>
    <n v="9096"/>
    <n v="17595"/>
    <x v="0"/>
    <n v="0"/>
    <n v="0"/>
    <n v="0"/>
    <n v="50403.361344537814"/>
    <n v="4"/>
    <n v="9"/>
    <n v="9"/>
    <m/>
    <n v="0"/>
    <n v="0"/>
    <n v="81864"/>
    <n v="79177.5"/>
    <n v="0"/>
    <n v="0"/>
    <n v="9"/>
    <n v="0"/>
    <n v="226815.12605042016"/>
    <n v="3"/>
    <n v="1"/>
    <n v="1"/>
    <n v="0"/>
    <n v="0"/>
    <n v="0"/>
    <n v="9096"/>
    <n v="8797.5"/>
    <n v="0"/>
    <n v="0"/>
    <n v="1"/>
    <n v="0"/>
    <n v="25201.680672268907"/>
    <n v="3"/>
    <n v="2"/>
    <n v="2"/>
    <n v="0"/>
    <n v="0"/>
    <n v="0"/>
    <n v="18192"/>
    <n v="17595"/>
    <n v="0"/>
    <n v="0"/>
    <n v="2"/>
    <n v="18192"/>
    <n v="50403.361344537814"/>
    <n v="3"/>
    <n v="-1"/>
    <n v="0"/>
    <n v="0"/>
    <n v="0"/>
    <n v="0"/>
    <n v="-8797.5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2"/>
    <s v="LTS26-WKF04"/>
    <x v="447"/>
    <x v="366"/>
    <x v="0"/>
    <x v="0"/>
    <n v="1"/>
    <x v="290"/>
    <n v="1"/>
    <m/>
    <n v="0"/>
    <n v="9096"/>
    <n v="9096"/>
    <n v="8.5"/>
    <n v="9286.25"/>
    <n v="25201.680672268907"/>
    <n v="21000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3725030671275017"/>
    <n v="0"/>
    <s v=""/>
    <n v="0"/>
    <n v="3"/>
    <n v="0.48705315535897636"/>
    <n v="1.5"/>
    <n v="7"/>
    <n v="0.18502435823833346"/>
    <n v="2.1212121212121211"/>
    <n v="9"/>
    <n v="0.27793128752501667"/>
    <n v="1.5"/>
    <n v="1"/>
    <n v="-5.951393852751969E-2"/>
    <n v="0.16666666666666666"/>
    <n v="-1"/>
    <n v="0.27793128752501667"/>
    <n v="-0.16666666666666666"/>
    <m/>
    <m/>
    <m/>
    <m/>
    <m/>
    <m/>
    <m/>
    <m/>
    <m/>
    <n v="2"/>
    <n v="22"/>
    <n v="2"/>
    <n v="0"/>
    <n v="0"/>
    <n v="0"/>
    <n v="45480"/>
    <n v="193545"/>
    <n v="18192"/>
    <n v="0"/>
    <n v="1"/>
    <n v="9096"/>
    <n v="42355.765835746068"/>
    <n v="2"/>
    <n v="22"/>
    <n v="0"/>
    <n v="0"/>
    <n v="0"/>
    <n v="0"/>
    <n v="27288"/>
    <n v="193545"/>
    <n v="0"/>
    <n v="0"/>
    <n v="1"/>
    <n v="9096"/>
    <n v="0"/>
    <n v="1.536"/>
    <n v="22"/>
    <n v="3"/>
    <n v="0"/>
    <n v="0"/>
    <n v="44883"/>
    <n v="200112"/>
    <n v="27288"/>
    <n v="0"/>
    <n v="1"/>
    <n v="9096"/>
    <n v="75605.042016806721"/>
    <n v="2"/>
    <n v="19"/>
    <n v="0"/>
    <n v="0"/>
    <n v="0"/>
    <n v="167152.5"/>
    <n v="0"/>
    <x v="0"/>
    <x v="0"/>
    <n v="1"/>
    <n v="9096"/>
    <n v="0"/>
    <n v="2"/>
    <n v="4"/>
    <n v="2"/>
    <m/>
    <n v="0"/>
    <n v="0"/>
    <n v="36384"/>
    <n v="17595"/>
    <x v="0"/>
    <n v="0"/>
    <n v="1"/>
    <n v="9096"/>
    <n v="50403.361344537814"/>
    <n v="3.3"/>
    <n v="8"/>
    <n v="7"/>
    <m/>
    <n v="0"/>
    <n v="0"/>
    <n v="72768"/>
    <n v="61582.5"/>
    <n v="0"/>
    <n v="0"/>
    <n v="8"/>
    <n v="9096"/>
    <n v="176411.76470588235"/>
    <n v="6"/>
    <n v="10"/>
    <n v="9"/>
    <n v="0"/>
    <n v="0"/>
    <n v="0"/>
    <n v="90960"/>
    <n v="79177.5"/>
    <n v="0"/>
    <n v="0"/>
    <n v="10"/>
    <n v="9096"/>
    <n v="226815.12605042016"/>
    <n v="6"/>
    <n v="2"/>
    <n v="1"/>
    <n v="0"/>
    <n v="0"/>
    <n v="0"/>
    <n v="18192"/>
    <n v="8797.5"/>
    <n v="0"/>
    <n v="0"/>
    <n v="2"/>
    <n v="18192"/>
    <n v="25201.680672268907"/>
    <n v="6"/>
    <n v="0"/>
    <n v="0"/>
    <n v="0"/>
    <n v="0"/>
    <n v="0"/>
    <n v="0"/>
    <n v="0"/>
    <n v="0"/>
    <n v="0"/>
    <n v="1"/>
    <n v="9096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2"/>
    <s v="LTS26-WKF04"/>
    <x v="448"/>
    <x v="366"/>
    <x v="0"/>
    <x v="2"/>
    <n v="1"/>
    <x v="291"/>
    <n v="0"/>
    <m/>
    <n v="0"/>
    <n v="9096"/>
    <n v="0"/>
    <n v="8.5"/>
    <n v="9286.25"/>
    <n v="25201.680672268907"/>
    <n v="21000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69925110198856932"/>
    <n v="0"/>
    <s v=""/>
    <n v="1"/>
    <n v="0.59897716077402319"/>
    <n v="0"/>
    <s v=""/>
    <n v="0"/>
    <n v="0"/>
    <s v=""/>
    <n v="0"/>
    <n v="7"/>
    <n v="0.19717448405253285"/>
    <n v="4.666666666666667"/>
    <n v="4"/>
    <n v="0.27793128752501667"/>
    <n v="1.3333333333333333"/>
    <n v="1"/>
    <n v="-0.1634301412872842"/>
    <n v="0.33333333333333331"/>
    <n v="-1"/>
    <n v="0.22626161543959972"/>
    <n v="-0.33333333333333331"/>
    <m/>
    <m/>
    <m/>
    <m/>
    <m/>
    <m/>
    <m/>
    <m/>
    <m/>
    <n v="2"/>
    <n v="13"/>
    <n v="2"/>
    <n v="0"/>
    <n v="0"/>
    <n v="0"/>
    <n v="27288"/>
    <n v="114367.5"/>
    <n v="18192"/>
    <n v="0"/>
    <n v="0"/>
    <n v="0"/>
    <n v="42355.765835746068"/>
    <n v="2"/>
    <n v="11"/>
    <n v="0"/>
    <n v="0"/>
    <n v="0"/>
    <n v="0"/>
    <n v="9096"/>
    <n v="96772.5"/>
    <n v="0"/>
    <n v="0"/>
    <n v="0"/>
    <n v="0"/>
    <n v="0"/>
    <n v="3"/>
    <n v="11"/>
    <n v="1"/>
    <n v="0"/>
    <n v="0"/>
    <n v="17893.5"/>
    <n v="100056"/>
    <n v="9096"/>
    <n v="0"/>
    <n v="0"/>
    <n v="0"/>
    <n v="25201.680672268907"/>
    <n v="3"/>
    <n v="10"/>
    <n v="0"/>
    <n v="0"/>
    <n v="0"/>
    <n v="87975"/>
    <n v="0"/>
    <x v="0"/>
    <x v="0"/>
    <n v="0"/>
    <n v="0"/>
    <n v="0"/>
    <n v="1"/>
    <n v="0"/>
    <n v="1"/>
    <m/>
    <n v="0"/>
    <n v="0"/>
    <n v="0"/>
    <n v="8797.5"/>
    <x v="0"/>
    <n v="0"/>
    <n v="0"/>
    <n v="0"/>
    <n v="25201.680672268907"/>
    <n v="1.5"/>
    <n v="7"/>
    <n v="7"/>
    <m/>
    <n v="0"/>
    <n v="0"/>
    <n v="63672"/>
    <n v="61582.5"/>
    <n v="0"/>
    <n v="0"/>
    <n v="7"/>
    <n v="0"/>
    <n v="176411.76470588235"/>
    <n v="3"/>
    <n v="4"/>
    <n v="4"/>
    <n v="0"/>
    <n v="0"/>
    <n v="0"/>
    <n v="36384"/>
    <n v="35190"/>
    <n v="0"/>
    <n v="0"/>
    <n v="4"/>
    <n v="0"/>
    <n v="100806.72268907563"/>
    <n v="3"/>
    <n v="1"/>
    <n v="1"/>
    <n v="0"/>
    <n v="0"/>
    <n v="0"/>
    <n v="9096"/>
    <n v="8797.5"/>
    <n v="0"/>
    <n v="0"/>
    <n v="1"/>
    <n v="9096"/>
    <n v="25201.680672268907"/>
    <n v="3"/>
    <n v="-1"/>
    <n v="0"/>
    <n v="0"/>
    <n v="0"/>
    <n v="0"/>
    <n v="-8797.5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2"/>
    <s v="LTS26-WKF04"/>
    <x v="449"/>
    <x v="366"/>
    <x v="0"/>
    <x v="2"/>
    <n v="1"/>
    <x v="292"/>
    <n v="0"/>
    <m/>
    <n v="0"/>
    <n v="9096"/>
    <n v="0"/>
    <n v="8.5"/>
    <n v="9286.25"/>
    <n v="25201.680672268907"/>
    <n v="21000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0363406415238395"/>
    <n v="4"/>
    <n v="0.50457995142778267"/>
    <n v="3"/>
    <n v="0.33124281207031214"/>
    <n v="1"/>
    <n v="2"/>
    <n v="0.63908436145381797"/>
    <n v="2"/>
    <n v="3"/>
    <n v="0.3934920634920635"/>
    <n v="2"/>
    <n v="0"/>
    <s v=""/>
    <n v="0"/>
    <n v="2"/>
    <n v="5.0229762726619167E-3"/>
    <n v="2"/>
    <n v="0"/>
    <s v=""/>
    <n v="0"/>
    <m/>
    <m/>
    <m/>
    <m/>
    <m/>
    <m/>
    <m/>
    <m/>
    <m/>
    <n v="2"/>
    <n v="13"/>
    <n v="2"/>
    <n v="0"/>
    <n v="0"/>
    <n v="0"/>
    <n v="68220"/>
    <n v="114367.5"/>
    <n v="18192"/>
    <n v="0"/>
    <n v="0"/>
    <n v="0"/>
    <n v="42355.765835746068"/>
    <n v="2"/>
    <n v="13"/>
    <n v="1.5"/>
    <n v="0"/>
    <n v="0"/>
    <n v="0"/>
    <n v="77316"/>
    <n v="114367.5"/>
    <n v="13644"/>
    <n v="0"/>
    <n v="0"/>
    <n v="0"/>
    <n v="31766.824376809549"/>
    <n v="3"/>
    <n v="12"/>
    <n v="4"/>
    <n v="0"/>
    <n v="0"/>
    <n v="72469.5"/>
    <n v="109152"/>
    <n v="36384"/>
    <n v="0"/>
    <n v="0"/>
    <n v="0"/>
    <n v="100806.72268907563"/>
    <n v="3"/>
    <n v="7"/>
    <n v="3"/>
    <n v="0"/>
    <n v="0"/>
    <n v="61582.5"/>
    <n v="27288"/>
    <x v="0"/>
    <x v="0"/>
    <n v="0"/>
    <n v="0"/>
    <n v="75605.042016806721"/>
    <n v="1"/>
    <n v="2"/>
    <n v="1"/>
    <m/>
    <n v="0"/>
    <n v="0"/>
    <n v="18192"/>
    <n v="8797.5"/>
    <x v="0"/>
    <n v="0"/>
    <n v="0"/>
    <n v="0"/>
    <n v="25201.680672268907"/>
    <n v="1.5"/>
    <n v="3"/>
    <n v="3"/>
    <m/>
    <n v="0"/>
    <n v="0"/>
    <n v="27288"/>
    <n v="26392.5"/>
    <n v="0"/>
    <n v="0"/>
    <n v="3"/>
    <n v="0"/>
    <n v="75605.042016806721"/>
    <n v="1"/>
    <n v="0"/>
    <n v="0"/>
    <n v="0"/>
    <n v="0"/>
    <n v="0"/>
    <n v="0"/>
    <n v="0"/>
    <n v="0"/>
    <n v="0"/>
    <n v="0"/>
    <n v="0"/>
    <n v="0"/>
    <n v="1"/>
    <n v="2"/>
    <n v="2"/>
    <n v="0"/>
    <n v="0"/>
    <n v="0"/>
    <n v="18192"/>
    <n v="17595"/>
    <n v="0"/>
    <n v="0"/>
    <n v="2"/>
    <n v="18192"/>
    <n v="50403.36134453781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2"/>
    <s v="LTS27-MFZH01"/>
    <x v="450"/>
    <x v="367"/>
    <x v="0"/>
    <x v="4"/>
    <n v="1"/>
    <x v="31"/>
    <n v="0"/>
    <m/>
    <n v="0"/>
    <n v="11224"/>
    <n v="0"/>
    <n v="12.2"/>
    <n v="11224"/>
    <n v="28295.798319327732"/>
    <n v="24051.428571428572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33"/>
    <n v="33"/>
    <n v="0"/>
    <n v="0"/>
    <n v="0"/>
    <n v="0"/>
    <n v="416690.99999999994"/>
    <n v="0"/>
    <n v="0"/>
    <n v="0"/>
    <n v="0"/>
    <n v="7"/>
    <n v="0"/>
    <n v="0"/>
    <m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4.2"/>
    <n v="0"/>
    <n v="4.2"/>
    <n v="0"/>
    <m/>
    <n v="0"/>
    <n v="47140.800000000003"/>
    <n v="0"/>
    <n v="0"/>
    <n v="0"/>
    <n v="118842.35294117648"/>
  </r>
  <r>
    <s v="Lhotse-Vestuario"/>
    <x v="4"/>
    <x v="21"/>
    <x v="52"/>
    <s v="LTS27-MFZH01"/>
    <x v="451"/>
    <x v="368"/>
    <x v="0"/>
    <x v="4"/>
    <n v="1"/>
    <x v="31"/>
    <n v="0"/>
    <m/>
    <n v="0"/>
    <n v="11224"/>
    <n v="0"/>
    <n v="12.2"/>
    <n v="11224"/>
    <n v="28295.798319327732"/>
    <n v="24051.428571428572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33"/>
    <n v="33"/>
    <n v="0"/>
    <n v="0"/>
    <n v="0"/>
    <n v="0"/>
    <n v="416690.99999999994"/>
    <n v="0"/>
    <n v="0"/>
    <n v="0"/>
    <n v="0"/>
    <n v="7"/>
    <n v="0"/>
    <n v="0"/>
    <m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4.2"/>
    <n v="0"/>
    <n v="4.2"/>
    <n v="0"/>
    <m/>
    <n v="0"/>
    <n v="47140.800000000003"/>
    <n v="0"/>
    <n v="0"/>
    <n v="0"/>
    <n v="118842.35294117648"/>
  </r>
  <r>
    <s v="Lhotse-Vestuario"/>
    <x v="4"/>
    <x v="21"/>
    <x v="52"/>
    <s v="LTS27-MFZH01"/>
    <x v="452"/>
    <x v="369"/>
    <x v="0"/>
    <x v="4"/>
    <n v="1"/>
    <x v="31"/>
    <n v="0"/>
    <m/>
    <n v="0"/>
    <n v="11224"/>
    <n v="0"/>
    <n v="12.2"/>
    <n v="11224"/>
    <n v="28295.798319327732"/>
    <n v="24051.428571428572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29"/>
    <n v="29"/>
    <n v="0"/>
    <n v="0"/>
    <n v="0"/>
    <n v="0"/>
    <n v="366182.99999999994"/>
    <n v="0"/>
    <n v="0"/>
    <n v="0"/>
    <n v="0"/>
    <n v="6"/>
    <n v="0"/>
    <n v="0"/>
    <m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3.5999999999999996"/>
    <n v="0"/>
    <n v="3.5999999999999996"/>
    <n v="0"/>
    <m/>
    <n v="0"/>
    <n v="40406.399999999994"/>
    <n v="0"/>
    <n v="0"/>
    <n v="0"/>
    <n v="101864.87394957982"/>
  </r>
  <r>
    <s v="Lhotse-Vestuario"/>
    <x v="4"/>
    <x v="21"/>
    <x v="52"/>
    <s v="LTS27-MFZH01"/>
    <x v="453"/>
    <x v="370"/>
    <x v="0"/>
    <x v="4"/>
    <n v="1"/>
    <x v="31"/>
    <n v="0"/>
    <m/>
    <n v="0"/>
    <n v="11224"/>
    <n v="0"/>
    <n v="12.2"/>
    <n v="11224"/>
    <n v="28295.798319327732"/>
    <n v="24051.428571428572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n v="0"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29"/>
    <n v="29"/>
    <n v="0"/>
    <n v="0"/>
    <n v="0"/>
    <n v="0"/>
    <n v="366182.99999999994"/>
    <n v="0"/>
    <n v="0"/>
    <n v="0"/>
    <n v="0"/>
    <n v="6"/>
    <n v="0"/>
    <n v="0"/>
    <m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3.5999999999999996"/>
    <n v="0"/>
    <n v="3.5999999999999996"/>
    <n v="0"/>
    <m/>
    <n v="0"/>
    <n v="40406.399999999994"/>
    <n v="0"/>
    <n v="0"/>
    <n v="0"/>
    <n v="101864.87394957982"/>
  </r>
  <r>
    <s v="Lhotse-Vestuario"/>
    <x v="4"/>
    <x v="21"/>
    <x v="52"/>
    <s v="LTS27-MFZH01"/>
    <x v="454"/>
    <x v="371"/>
    <x v="0"/>
    <x v="4"/>
    <n v="1"/>
    <x v="31"/>
    <n v="0"/>
    <m/>
    <n v="0"/>
    <n v="11224"/>
    <n v="0"/>
    <n v="12.2"/>
    <n v="11224"/>
    <n v="28295.798319327732"/>
    <n v="24051.428571428572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1"/>
    <n v="11"/>
    <n v="0"/>
    <n v="0"/>
    <n v="0"/>
    <n v="0"/>
    <n v="138896.99999999997"/>
    <n v="0"/>
    <n v="0"/>
    <n v="0"/>
    <n v="0"/>
    <n v="2"/>
    <n v="0"/>
    <n v="0"/>
    <m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1.2"/>
    <n v="0"/>
    <n v="1.2"/>
    <n v="0"/>
    <m/>
    <n v="0"/>
    <n v="13468.8"/>
    <n v="0"/>
    <n v="0"/>
    <n v="0"/>
    <n v="33954.957983193279"/>
  </r>
  <r>
    <s v="Lhotse-Vestuario"/>
    <x v="4"/>
    <x v="21"/>
    <x v="52"/>
    <s v="LTS27-MFZH01"/>
    <x v="455"/>
    <x v="372"/>
    <x v="0"/>
    <x v="4"/>
    <n v="1"/>
    <x v="31"/>
    <n v="0"/>
    <m/>
    <n v="0"/>
    <n v="11224"/>
    <n v="0"/>
    <n v="12.2"/>
    <n v="11224"/>
    <n v="28295.798319327732"/>
    <n v="24051.428571428572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n v="0"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1"/>
    <n v="11"/>
    <n v="0"/>
    <n v="0"/>
    <n v="0"/>
    <n v="0"/>
    <n v="138896.99999999997"/>
    <n v="0"/>
    <n v="0"/>
    <n v="0"/>
    <n v="0"/>
    <n v="2"/>
    <n v="0"/>
    <n v="0"/>
    <m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1.2"/>
    <n v="0"/>
    <n v="1.2"/>
    <n v="0"/>
    <m/>
    <n v="0"/>
    <n v="13468.8"/>
    <n v="0"/>
    <n v="0"/>
    <n v="0"/>
    <n v="33954.957983193279"/>
  </r>
  <r>
    <s v="Lhotse-Vestuario"/>
    <x v="4"/>
    <x v="21"/>
    <x v="52"/>
    <s v="LTS27-MFZH01"/>
    <x v="456"/>
    <x v="373"/>
    <x v="0"/>
    <x v="4"/>
    <n v="1"/>
    <x v="31"/>
    <n v="0"/>
    <m/>
    <n v="0"/>
    <n v="11224"/>
    <n v="0"/>
    <n v="12.2"/>
    <n v="11224"/>
    <n v="28295.798319327732"/>
    <n v="24051.428571428572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21"/>
    <n v="21"/>
    <n v="0"/>
    <n v="0"/>
    <n v="0"/>
    <n v="0"/>
    <n v="265166.99999999994"/>
    <n v="0"/>
    <n v="0"/>
    <n v="0"/>
    <n v="0"/>
    <n v="5"/>
    <n v="0"/>
    <n v="0"/>
    <m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3"/>
    <n v="0"/>
    <n v="3"/>
    <n v="0"/>
    <m/>
    <n v="0"/>
    <n v="33672"/>
    <n v="0"/>
    <n v="0"/>
    <n v="0"/>
    <n v="84887.394957983197"/>
  </r>
  <r>
    <m/>
    <x v="4"/>
    <x v="21"/>
    <x v="52"/>
    <s v="LTS27-MFZH01"/>
    <x v="457"/>
    <x v="374"/>
    <x v="0"/>
    <x v="4"/>
    <n v="1"/>
    <x v="31"/>
    <n v="0"/>
    <m/>
    <n v="0"/>
    <n v="11224"/>
    <n v="0"/>
    <n v="12.2"/>
    <n v="11224"/>
    <n v="28295.798319327732"/>
    <n v="24051.428571428572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21"/>
    <n v="21"/>
    <n v="0"/>
    <n v="0"/>
    <n v="0"/>
    <n v="0"/>
    <n v="265166.99999999994"/>
    <n v="0"/>
    <n v="0"/>
    <n v="0"/>
    <n v="0"/>
    <n v="5"/>
    <n v="0"/>
    <n v="0"/>
    <m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3"/>
    <n v="0"/>
    <n v="3"/>
    <n v="0"/>
    <m/>
    <n v="0"/>
    <n v="33672"/>
    <n v="0"/>
    <n v="0"/>
    <n v="0"/>
    <n v="84887.394957983197"/>
  </r>
  <r>
    <m/>
    <x v="4"/>
    <x v="21"/>
    <x v="52"/>
    <s v="LTS27-MFZH01"/>
    <x v="458"/>
    <x v="375"/>
    <x v="0"/>
    <x v="4"/>
    <n v="1"/>
    <x v="31"/>
    <n v="0"/>
    <m/>
    <n v="0"/>
    <n v="11224"/>
    <n v="0"/>
    <n v="12.2"/>
    <n v="11224"/>
    <n v="28295.798319327732"/>
    <n v="24051.428571428572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6"/>
    <n v="6"/>
    <n v="0"/>
    <n v="0"/>
    <n v="0"/>
    <n v="0"/>
    <n v="75761.999999999985"/>
    <n v="0"/>
    <n v="0"/>
    <n v="0"/>
    <n v="0"/>
    <n v="1"/>
    <n v="0"/>
    <n v="0"/>
    <m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.6"/>
    <n v="0"/>
    <n v="0.6"/>
    <n v="0"/>
    <m/>
    <n v="0"/>
    <n v="6734.4"/>
    <n v="0"/>
    <n v="0"/>
    <n v="0"/>
    <n v="16977.478991596639"/>
  </r>
  <r>
    <m/>
    <x v="4"/>
    <x v="21"/>
    <x v="52"/>
    <s v="LTS27-MFZH01"/>
    <x v="459"/>
    <x v="376"/>
    <x v="0"/>
    <x v="4"/>
    <n v="1"/>
    <x v="31"/>
    <n v="0"/>
    <m/>
    <n v="0"/>
    <n v="11224"/>
    <n v="0"/>
    <n v="12.2"/>
    <n v="11224"/>
    <n v="28295.798319327732"/>
    <n v="24051.428571428572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6"/>
    <n v="6"/>
    <n v="0"/>
    <n v="0"/>
    <n v="0"/>
    <n v="0"/>
    <n v="75761.999999999985"/>
    <n v="0"/>
    <n v="0"/>
    <n v="0"/>
    <n v="0"/>
    <n v="1"/>
    <n v="0"/>
    <n v="0"/>
    <m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.6"/>
    <n v="0"/>
    <n v="0.6"/>
    <n v="0"/>
    <m/>
    <n v="0"/>
    <n v="6734.4"/>
    <n v="0"/>
    <n v="0"/>
    <n v="0"/>
    <n v="16977.478991596639"/>
  </r>
  <r>
    <m/>
    <x v="4"/>
    <x v="21"/>
    <x v="52"/>
    <s v="LTW25-MKF03"/>
    <x v="460"/>
    <x v="377"/>
    <x v="0"/>
    <x v="2"/>
    <n v="0.6"/>
    <x v="293"/>
    <n v="14"/>
    <m/>
    <n v="0"/>
    <n v="8553"/>
    <n v="119742"/>
    <n v="8.1"/>
    <n v="8849.25"/>
    <n v="25201.680672268907"/>
    <n v="21000"/>
    <s v="Shenzhen"/>
    <x v="0"/>
    <n v="30"/>
    <m/>
    <n v="1"/>
    <n v="0"/>
    <s v=""/>
    <n v="0"/>
    <s v=""/>
    <n v="0"/>
    <s v=""/>
    <n v="1"/>
    <n v="0.42270323056436937"/>
    <n v="2"/>
    <n v="0.53424772657143382"/>
    <n v="11"/>
    <n v="0.58089976079432326"/>
    <n v="37"/>
    <n v="0.48297686338292506"/>
    <n v="8"/>
    <n v="0.55335955477299237"/>
    <n v="4"/>
    <n v="0.62975434495595528"/>
    <n v="10"/>
    <n v="0.69834377270386738"/>
    <n v="2"/>
    <n v="0.5234239705800412"/>
    <n v="3"/>
    <n v="0.76508340505007966"/>
    <n v="1"/>
    <n v="0.66062215391328272"/>
    <n v="2"/>
    <n v="0.70912616445128029"/>
    <n v="6"/>
    <n v="0.69486811208705024"/>
    <n v="2"/>
    <n v="0.51709556166293402"/>
    <n v="0.25"/>
    <n v="3"/>
    <n v="0.6914894111465868"/>
    <n v="0.2"/>
    <n v="7"/>
    <n v="0.52354665298989445"/>
    <n v="0.17543859649122809"/>
    <n v="1"/>
    <n v="4.8634586180713741"/>
    <n v="0.25"/>
    <n v="2"/>
    <n v="0.66739157382242975"/>
    <n v="0.5"/>
    <n v="4"/>
    <n v="0.2576444950588625"/>
    <n v="1"/>
    <m/>
    <m/>
    <m/>
    <m/>
    <m/>
    <m/>
    <m/>
    <m/>
    <m/>
    <n v="5"/>
    <n v="22"/>
    <n v="5"/>
    <n v="0"/>
    <n v="0"/>
    <n v="0"/>
    <n v="119742"/>
    <n v="184437"/>
    <n v="42765"/>
    <n v="0"/>
    <n v="14"/>
    <n v="119742"/>
    <n v="105889.41458936517"/>
    <n v="3"/>
    <n v="22"/>
    <n v="3"/>
    <n v="0"/>
    <n v="0"/>
    <n v="0"/>
    <n v="94083"/>
    <n v="184437"/>
    <n v="25659"/>
    <n v="0"/>
    <n v="14"/>
    <n v="119742"/>
    <n v="63533.648753619098"/>
    <n v="4"/>
    <n v="17"/>
    <n v="6"/>
    <n v="0"/>
    <n v="0"/>
    <n v="143875.5"/>
    <n v="145401"/>
    <n v="51318"/>
    <n v="0"/>
    <n v="14"/>
    <n v="119742"/>
    <n v="151210.08403361344"/>
    <n v="8"/>
    <n v="11"/>
    <n v="2"/>
    <n v="0"/>
    <n v="0"/>
    <n v="92218.5"/>
    <n v="17106"/>
    <x v="0"/>
    <x v="0"/>
    <n v="14"/>
    <n v="119742"/>
    <n v="50403.361344537814"/>
    <n v="15"/>
    <n v="17"/>
    <n v="9"/>
    <m/>
    <n v="0"/>
    <n v="0"/>
    <n v="145401"/>
    <n v="75451.5"/>
    <x v="0"/>
    <n v="0"/>
    <n v="14"/>
    <n v="119742"/>
    <n v="226815.12605042016"/>
    <n v="39.9"/>
    <n v="21"/>
    <n v="7"/>
    <m/>
    <n v="0"/>
    <n v="0"/>
    <n v="179613"/>
    <n v="58684.5"/>
    <n v="0"/>
    <n v="0"/>
    <n v="21"/>
    <n v="119742"/>
    <n v="176411.76470588235"/>
    <n v="4"/>
    <n v="15"/>
    <n v="1"/>
    <n v="0"/>
    <n v="0"/>
    <n v="0"/>
    <n v="128295"/>
    <n v="8383.5"/>
    <n v="0"/>
    <n v="0"/>
    <n v="15"/>
    <n v="119742"/>
    <n v="25201.680672268907"/>
    <n v="4"/>
    <n v="16"/>
    <n v="2"/>
    <n v="0"/>
    <n v="0"/>
    <n v="0"/>
    <n v="136848"/>
    <n v="16767"/>
    <n v="0"/>
    <n v="0"/>
    <n v="16"/>
    <n v="136848"/>
    <n v="50403.361344537814"/>
    <n v="4"/>
    <n v="18"/>
    <n v="7.5"/>
    <n v="0"/>
    <n v="0"/>
    <n v="0"/>
    <n v="150903"/>
    <n v="62876.25"/>
    <n v="0"/>
    <n v="0"/>
    <n v="14"/>
    <n v="119742"/>
    <n v="189012.6050420168"/>
    <n v="0"/>
    <n v="10.5"/>
    <n v="0"/>
    <n v="0"/>
    <n v="0"/>
    <n v="0"/>
    <m/>
    <n v="88026.75"/>
    <n v="0"/>
    <n v="0"/>
    <n v="0"/>
    <n v="10.5"/>
    <n v="88026.75"/>
    <n v="0"/>
    <n v="0"/>
    <n v="10.5"/>
    <n v="0"/>
    <m/>
    <n v="0"/>
    <n v="0"/>
    <n v="88026.75"/>
    <n v="0"/>
    <n v="0"/>
    <n v="0"/>
    <n v="10.5"/>
    <n v="88026.75"/>
    <n v="0"/>
    <n v="0"/>
    <n v="10.5"/>
    <n v="0"/>
    <n v="0"/>
    <n v="0"/>
    <n v="88026.75"/>
    <n v="0"/>
    <n v="0"/>
    <n v="0"/>
    <n v="10.5"/>
    <n v="88026.75"/>
    <n v="0"/>
    <n v="0"/>
    <n v="10.5"/>
    <n v="0"/>
    <n v="0"/>
    <m/>
    <n v="88026.75"/>
    <n v="0"/>
    <n v="0"/>
    <n v="10.5"/>
    <n v="88026.75"/>
    <n v="0"/>
  </r>
  <r>
    <s v="Lhotse-Vestuario"/>
    <x v="4"/>
    <x v="21"/>
    <x v="52"/>
    <s v="LTW25-MKF03"/>
    <x v="461"/>
    <x v="377"/>
    <x v="0"/>
    <x v="2"/>
    <n v="0.6"/>
    <x v="294"/>
    <n v="14"/>
    <m/>
    <n v="0"/>
    <n v="8554"/>
    <n v="119756"/>
    <n v="8.1"/>
    <n v="8849.25"/>
    <n v="25201.680672268907"/>
    <n v="21000"/>
    <s v="Shenzhen"/>
    <x v="0"/>
    <n v="30"/>
    <m/>
    <n v="1"/>
    <n v="0"/>
    <s v=""/>
    <n v="0"/>
    <s v=""/>
    <n v="0"/>
    <s v=""/>
    <n v="2"/>
    <n v="0.66131620975938121"/>
    <n v="1"/>
    <n v="0.59422980217277865"/>
    <n v="11"/>
    <n v="0.54504978167628138"/>
    <n v="17"/>
    <n v="0.52081481798828122"/>
    <n v="6"/>
    <n v="0.57125950308275841"/>
    <n v="3"/>
    <n v="0.65091706799444937"/>
    <n v="6"/>
    <n v="0.67849028943741396"/>
    <n v="0"/>
    <n v="1.000054735840076"/>
    <n v="2"/>
    <n v="0.74549944951944536"/>
    <n v="4"/>
    <n v="0.72852576845136785"/>
    <n v="1"/>
    <n v="0"/>
    <n v="1"/>
    <n v="0.66062215391328272"/>
    <n v="1"/>
    <n v="0"/>
    <n v="0.16666666666666666"/>
    <n v="2"/>
    <n v="0.74550560112022413"/>
    <n v="0.25"/>
    <n v="18"/>
    <n v="0.26671931908024227"/>
    <n v="0.45112781954887221"/>
    <n v="16"/>
    <n v="0.34901757625905894"/>
    <n v="0.8"/>
    <n v="18"/>
    <n v="0.15597411410168974"/>
    <n v="0.9"/>
    <n v="8"/>
    <n v="-1.4460158928074151E-2"/>
    <n v="0.4"/>
    <m/>
    <m/>
    <m/>
    <m/>
    <m/>
    <m/>
    <m/>
    <m/>
    <m/>
    <n v="6"/>
    <n v="64"/>
    <n v="6"/>
    <n v="0"/>
    <n v="0"/>
    <n v="0"/>
    <n v="72709"/>
    <n v="536544"/>
    <n v="51324"/>
    <n v="0"/>
    <n v="14"/>
    <n v="119756"/>
    <n v="127067.2975072382"/>
    <n v="5"/>
    <n v="60"/>
    <n v="1.5"/>
    <n v="0"/>
    <n v="0"/>
    <n v="0"/>
    <n v="29939"/>
    <n v="503010"/>
    <n v="12831"/>
    <n v="0"/>
    <n v="14"/>
    <n v="119756"/>
    <n v="31766.824376809549"/>
    <n v="5"/>
    <n v="57"/>
    <n v="1"/>
    <n v="0"/>
    <n v="0"/>
    <n v="57348.799999999996"/>
    <n v="487578"/>
    <n v="8554"/>
    <n v="0"/>
    <n v="14"/>
    <n v="119756"/>
    <n v="25201.680672268907"/>
    <n v="6"/>
    <n v="58"/>
    <n v="1"/>
    <n v="0"/>
    <n v="0"/>
    <n v="486243"/>
    <n v="8554"/>
    <x v="0"/>
    <x v="0"/>
    <n v="14"/>
    <n v="119756"/>
    <n v="25201.680672268907"/>
    <n v="8"/>
    <n v="16"/>
    <n v="4.8"/>
    <m/>
    <n v="0"/>
    <n v="0"/>
    <n v="136864"/>
    <n v="40240.799999999996"/>
    <x v="0"/>
    <n v="0"/>
    <n v="14"/>
    <n v="119756"/>
    <n v="120968.06722689075"/>
    <n v="39.9"/>
    <n v="32"/>
    <n v="18"/>
    <m/>
    <n v="0"/>
    <n v="0"/>
    <n v="273728"/>
    <n v="150903"/>
    <n v="0"/>
    <n v="0"/>
    <n v="32"/>
    <n v="119756"/>
    <n v="453630.25210084033"/>
    <n v="20"/>
    <n v="30"/>
    <n v="16"/>
    <n v="0"/>
    <n v="0"/>
    <n v="0"/>
    <n v="256620"/>
    <n v="134136"/>
    <n v="0"/>
    <n v="0"/>
    <n v="30"/>
    <n v="119756"/>
    <n v="403226.89075630251"/>
    <n v="20"/>
    <n v="32"/>
    <n v="18"/>
    <n v="0"/>
    <n v="0"/>
    <n v="0"/>
    <n v="273728"/>
    <n v="150903"/>
    <n v="0"/>
    <n v="0"/>
    <n v="32"/>
    <n v="273728"/>
    <n v="453630.25210084033"/>
    <n v="20"/>
    <n v="22"/>
    <n v="7.5"/>
    <n v="0"/>
    <n v="0"/>
    <n v="0"/>
    <n v="184437"/>
    <n v="62876.25"/>
    <n v="0"/>
    <n v="0"/>
    <n v="14"/>
    <n v="119756"/>
    <n v="189012.6050420168"/>
    <n v="0"/>
    <n v="14.5"/>
    <n v="0"/>
    <n v="0"/>
    <n v="0"/>
    <n v="0"/>
    <m/>
    <n v="121560.75"/>
    <n v="0"/>
    <n v="0"/>
    <n v="0"/>
    <n v="14.5"/>
    <n v="121560.75"/>
    <n v="0"/>
    <n v="0"/>
    <n v="14.5"/>
    <n v="0"/>
    <m/>
    <n v="0"/>
    <n v="0"/>
    <n v="121560.75"/>
    <n v="0"/>
    <n v="0"/>
    <n v="0"/>
    <n v="14.5"/>
    <n v="121560.75"/>
    <n v="0"/>
    <n v="0"/>
    <n v="14.5"/>
    <n v="0"/>
    <n v="0"/>
    <n v="0"/>
    <n v="121560.75"/>
    <n v="0"/>
    <n v="0"/>
    <n v="0"/>
    <n v="14.5"/>
    <n v="121560.75"/>
    <n v="0"/>
    <n v="0"/>
    <n v="14.5"/>
    <n v="0"/>
    <n v="0"/>
    <m/>
    <n v="121560.75"/>
    <n v="0"/>
    <n v="0"/>
    <n v="14.5"/>
    <n v="121560.75"/>
    <n v="0"/>
  </r>
  <r>
    <s v="Lhotse-Vestuario"/>
    <x v="4"/>
    <x v="21"/>
    <x v="52"/>
    <s v="LTW25-MKF03"/>
    <x v="462"/>
    <x v="377"/>
    <x v="0"/>
    <x v="2"/>
    <n v="0.6"/>
    <x v="295"/>
    <n v="13"/>
    <m/>
    <n v="0"/>
    <n v="8553"/>
    <n v="111189"/>
    <n v="8.1"/>
    <n v="8849.25"/>
    <n v="25201.680672268907"/>
    <n v="21000"/>
    <s v="Shenzhen"/>
    <x v="0"/>
    <n v="30"/>
    <m/>
    <n v="1"/>
    <n v="0"/>
    <s v=""/>
    <n v="0"/>
    <s v=""/>
    <n v="0"/>
    <s v=""/>
    <n v="0"/>
    <n v="-2.8060329708848557E-5"/>
    <n v="3"/>
    <n v="0.63733177296664711"/>
    <n v="9"/>
    <n v="0.62532606076472697"/>
    <n v="13"/>
    <n v="0.4590391621129325"/>
    <n v="6"/>
    <n v="0.59271185366373669"/>
    <n v="4"/>
    <n v="0.70383005245935693"/>
    <n v="10"/>
    <n v="0.59514595275173132"/>
    <n v="0"/>
    <s v=""/>
    <n v="2"/>
    <n v="0.66621136434592565"/>
    <n v="1"/>
    <n v="0.62291684856294527"/>
    <n v="3"/>
    <n v="0.71980346560524422"/>
    <n v="0"/>
    <s v=""/>
    <n v="1"/>
    <n v="0"/>
    <n v="0.25"/>
    <n v="3"/>
    <n v="0.47628166646656261"/>
    <n v="0.75"/>
    <n v="18"/>
    <n v="0.29011333283481644"/>
    <n v="0.64516129032258063"/>
    <n v="2"/>
    <n v="-5.845942228335625E-5"/>
    <n v="0.2857142857142857"/>
    <n v="1"/>
    <n v="0.74550560112022413"/>
    <n v="0.14285714285714285"/>
    <n v="1"/>
    <n v="0.25432688458972641"/>
    <n v="0.14285714285714285"/>
    <m/>
    <m/>
    <m/>
    <m/>
    <m/>
    <m/>
    <m/>
    <m/>
    <m/>
    <n v="4"/>
    <n v="24"/>
    <n v="4"/>
    <n v="0"/>
    <n v="0"/>
    <n v="0"/>
    <n v="72700.5"/>
    <n v="201204"/>
    <n v="34212"/>
    <n v="0"/>
    <n v="13"/>
    <n v="111189"/>
    <n v="84711.531671492136"/>
    <n v="4"/>
    <n v="26"/>
    <n v="4.5"/>
    <n v="0"/>
    <n v="0"/>
    <n v="0"/>
    <n v="47041.5"/>
    <n v="217971"/>
    <n v="38488.5"/>
    <n v="0"/>
    <n v="13"/>
    <n v="111189"/>
    <n v="95300.473130428654"/>
    <n v="4"/>
    <n v="21"/>
    <n v="0"/>
    <n v="0"/>
    <n v="0"/>
    <n v="28673.399999999998"/>
    <n v="179613"/>
    <n v="0"/>
    <n v="0"/>
    <n v="13"/>
    <n v="111189"/>
    <n v="0"/>
    <n v="4"/>
    <n v="23"/>
    <n v="1"/>
    <n v="0"/>
    <n v="0"/>
    <n v="192820.5"/>
    <n v="8553"/>
    <x v="0"/>
    <x v="0"/>
    <n v="13"/>
    <n v="111189"/>
    <n v="25201.680672268907"/>
    <n v="4"/>
    <n v="16"/>
    <n v="2.4"/>
    <m/>
    <n v="0"/>
    <n v="0"/>
    <n v="136848"/>
    <n v="20120.399999999998"/>
    <x v="0"/>
    <n v="0"/>
    <n v="13"/>
    <n v="111189"/>
    <n v="60484.033613445376"/>
    <n v="27.9"/>
    <n v="31"/>
    <n v="18"/>
    <m/>
    <n v="0"/>
    <n v="0"/>
    <n v="265143"/>
    <n v="150903"/>
    <n v="0"/>
    <n v="0"/>
    <n v="31"/>
    <n v="111189"/>
    <n v="453630.25210084033"/>
    <n v="7"/>
    <n v="15"/>
    <n v="2"/>
    <n v="0"/>
    <n v="0"/>
    <n v="0"/>
    <n v="128295"/>
    <n v="16767"/>
    <n v="0"/>
    <n v="0"/>
    <n v="15"/>
    <n v="111189"/>
    <n v="50403.361344537814"/>
    <n v="7"/>
    <n v="14"/>
    <n v="1"/>
    <n v="0"/>
    <n v="0"/>
    <n v="0"/>
    <n v="119742"/>
    <n v="8383.5"/>
    <n v="0"/>
    <n v="0"/>
    <n v="14"/>
    <n v="119742"/>
    <n v="25201.680672268907"/>
    <n v="7"/>
    <n v="14"/>
    <n v="0"/>
    <n v="0"/>
    <n v="0"/>
    <n v="0"/>
    <n v="117369"/>
    <n v="0"/>
    <n v="0"/>
    <n v="0"/>
    <n v="13"/>
    <n v="111189"/>
    <n v="0"/>
    <n v="0"/>
    <n v="14"/>
    <n v="0"/>
    <n v="0"/>
    <n v="0"/>
    <n v="0"/>
    <m/>
    <n v="117369"/>
    <n v="0"/>
    <n v="0"/>
    <n v="0"/>
    <n v="14"/>
    <n v="117369"/>
    <n v="0"/>
    <n v="0"/>
    <n v="14"/>
    <n v="0"/>
    <m/>
    <n v="0"/>
    <n v="0"/>
    <n v="117369"/>
    <n v="0"/>
    <n v="0"/>
    <n v="0"/>
    <n v="14"/>
    <n v="117369"/>
    <n v="0"/>
    <n v="0"/>
    <n v="14"/>
    <n v="0"/>
    <n v="0"/>
    <n v="0"/>
    <n v="117369"/>
    <n v="0"/>
    <n v="0"/>
    <n v="0"/>
    <n v="14"/>
    <n v="117369"/>
    <n v="0"/>
    <n v="0"/>
    <n v="14"/>
    <n v="0"/>
    <n v="0"/>
    <m/>
    <n v="117369"/>
    <n v="0"/>
    <n v="0"/>
    <n v="14"/>
    <n v="117369"/>
    <n v="0"/>
  </r>
  <r>
    <s v="Lhotse-Vestuario"/>
    <x v="4"/>
    <x v="21"/>
    <x v="52"/>
    <s v="LTW25-MKF03"/>
    <x v="463"/>
    <x v="377"/>
    <x v="0"/>
    <x v="2"/>
    <n v="0.5"/>
    <x v="296"/>
    <n v="15"/>
    <m/>
    <n v="0"/>
    <n v="8553"/>
    <n v="128295"/>
    <n v="8.1"/>
    <n v="8849.25"/>
    <n v="25201.680672268907"/>
    <n v="21000"/>
    <s v="Shenzhen"/>
    <x v="0"/>
    <n v="30"/>
    <m/>
    <n v="1"/>
    <n v="0"/>
    <s v=""/>
    <n v="0"/>
    <s v=""/>
    <n v="0"/>
    <s v=""/>
    <n v="0"/>
    <s v=""/>
    <n v="0"/>
    <s v=""/>
    <n v="6"/>
    <n v="0.53715624905500625"/>
    <n v="10"/>
    <n v="0.51042711266799479"/>
    <n v="3"/>
    <n v="0.56359587060784377"/>
    <n v="1"/>
    <n v="0.72852059925093637"/>
    <n v="11"/>
    <n v="0.63577773992621522"/>
    <n v="0"/>
    <s v=""/>
    <n v="1"/>
    <n v="0.74549944951944536"/>
    <n v="1"/>
    <n v="0.74549948447143577"/>
    <n v="0"/>
    <s v=""/>
    <n v="0"/>
    <s v=""/>
    <n v="0"/>
    <s v=""/>
    <n v="0"/>
    <n v="1"/>
    <n v="0.74550560112022413"/>
    <n v="0.16666666666666666"/>
    <n v="12"/>
    <n v="0.32436401753382882"/>
    <n v="0.43956043956043955"/>
    <n v="7"/>
    <n v="0.31115961365548045"/>
    <n v="0.53846153846153844"/>
    <n v="14"/>
    <n v="0.20789977955323646"/>
    <n v="1.0769230769230769"/>
    <n v="6"/>
    <n v="-8.9504931010678343E-2"/>
    <n v="0.46153846153846156"/>
    <m/>
    <m/>
    <m/>
    <m/>
    <m/>
    <m/>
    <m/>
    <m/>
    <m/>
    <n v="6"/>
    <n v="38"/>
    <n v="6"/>
    <n v="0"/>
    <n v="0"/>
    <n v="0"/>
    <n v="51318"/>
    <n v="318573"/>
    <n v="51318"/>
    <n v="0"/>
    <n v="15"/>
    <n v="128295"/>
    <n v="127067.2975072382"/>
    <n v="5"/>
    <n v="37"/>
    <n v="0"/>
    <n v="0"/>
    <n v="0"/>
    <n v="0"/>
    <n v="0"/>
    <n v="310189.5"/>
    <n v="0"/>
    <n v="0"/>
    <n v="15"/>
    <n v="128295"/>
    <n v="0"/>
    <n v="5"/>
    <n v="37"/>
    <n v="0"/>
    <n v="0"/>
    <n v="0"/>
    <n v="25150.5"/>
    <n v="316461"/>
    <n v="0"/>
    <n v="0"/>
    <n v="15"/>
    <n v="128295"/>
    <n v="0"/>
    <n v="4"/>
    <n v="37"/>
    <n v="0"/>
    <n v="0"/>
    <n v="0"/>
    <n v="310189.5"/>
    <n v="0"/>
    <x v="0"/>
    <x v="0"/>
    <n v="15"/>
    <n v="128295"/>
    <n v="0"/>
    <n v="6"/>
    <n v="16"/>
    <n v="3"/>
    <m/>
    <n v="0"/>
    <n v="0"/>
    <n v="136848"/>
    <n v="25150.5"/>
    <x v="0"/>
    <n v="0"/>
    <n v="15"/>
    <n v="128295"/>
    <n v="75605.042016806721"/>
    <n v="27.3"/>
    <n v="27"/>
    <n v="12"/>
    <m/>
    <n v="0"/>
    <n v="0"/>
    <n v="230931"/>
    <n v="100602"/>
    <n v="0"/>
    <n v="0"/>
    <n v="27"/>
    <n v="128295"/>
    <n v="302420.16806722688"/>
    <n v="13"/>
    <n v="22"/>
    <n v="7"/>
    <n v="0"/>
    <n v="0"/>
    <n v="0"/>
    <n v="188166"/>
    <n v="58684.5"/>
    <n v="0"/>
    <n v="0"/>
    <n v="22"/>
    <n v="128295"/>
    <n v="176411.76470588235"/>
    <n v="13"/>
    <n v="29"/>
    <n v="14"/>
    <n v="0"/>
    <n v="0"/>
    <n v="0"/>
    <n v="248037"/>
    <n v="117369"/>
    <n v="0"/>
    <n v="0"/>
    <n v="29"/>
    <n v="248037"/>
    <n v="352823.5294117647"/>
    <n v="13"/>
    <n v="21"/>
    <n v="9"/>
    <n v="0"/>
    <n v="0"/>
    <n v="0"/>
    <n v="176053.5"/>
    <n v="75451.5"/>
    <n v="0"/>
    <n v="0"/>
    <n v="15"/>
    <n v="128295"/>
    <n v="226815.12605042016"/>
    <n v="0"/>
    <n v="12"/>
    <n v="0"/>
    <n v="0"/>
    <n v="0"/>
    <n v="0"/>
    <m/>
    <n v="100602"/>
    <n v="0"/>
    <n v="0"/>
    <n v="0"/>
    <n v="12"/>
    <n v="100602"/>
    <n v="0"/>
    <n v="0"/>
    <n v="12"/>
    <n v="0"/>
    <m/>
    <n v="0"/>
    <n v="0"/>
    <n v="100602"/>
    <n v="0"/>
    <n v="0"/>
    <n v="0"/>
    <n v="12"/>
    <n v="100602"/>
    <n v="0"/>
    <n v="0"/>
    <n v="12"/>
    <n v="0"/>
    <n v="0"/>
    <n v="0"/>
    <n v="100602"/>
    <n v="0"/>
    <n v="0"/>
    <n v="0"/>
    <n v="12"/>
    <n v="100602"/>
    <n v="0"/>
    <n v="0"/>
    <n v="12"/>
    <n v="0"/>
    <n v="0"/>
    <m/>
    <n v="100602"/>
    <n v="0"/>
    <n v="0"/>
    <n v="12"/>
    <n v="100602"/>
    <n v="0"/>
  </r>
  <r>
    <s v="Lhotse-Vestuario"/>
    <x v="4"/>
    <x v="21"/>
    <x v="52"/>
    <s v="LTW25-MKF03"/>
    <x v="464"/>
    <x v="377"/>
    <x v="0"/>
    <x v="2"/>
    <n v="0.6"/>
    <x v="297"/>
    <n v="6"/>
    <m/>
    <n v="0"/>
    <n v="8553"/>
    <n v="51318"/>
    <n v="8.1"/>
    <n v="8849.25"/>
    <n v="25201.680672268907"/>
    <n v="21000"/>
    <s v="Shenzhen"/>
    <x v="0"/>
    <n v="30"/>
    <m/>
    <n v="1"/>
    <n v="0"/>
    <s v=""/>
    <n v="0"/>
    <s v=""/>
    <n v="0"/>
    <s v=""/>
    <n v="0"/>
    <s v=""/>
    <n v="2"/>
    <n v="0.49322510405711656"/>
    <n v="2"/>
    <n v="0.57126716791979948"/>
    <n v="8"/>
    <n v="0.45325875735106108"/>
    <n v="3"/>
    <n v="0.59270380952380963"/>
    <n v="1"/>
    <n v="0.72852091665079666"/>
    <n v="1"/>
    <n v="0.72852123405065705"/>
    <n v="1"/>
    <n v="0.66062217284342517"/>
    <n v="0"/>
    <s v=""/>
    <n v="0"/>
    <s v=""/>
    <n v="0"/>
    <s v=""/>
    <n v="1"/>
    <n v="0.74549948447143577"/>
    <n v="1"/>
    <n v="0.40460672302154171"/>
    <n v="0.33333333333333331"/>
    <n v="1"/>
    <n v="0.64889686098654709"/>
    <n v="0.33333333333333331"/>
    <n v="4"/>
    <n v="9.5684919046752775E-3"/>
    <n v="0.31746031746031744"/>
    <n v="6"/>
    <n v="0.13609955864878628"/>
    <n v="1.5"/>
    <n v="0"/>
    <s v=""/>
    <n v="0"/>
    <n v="1"/>
    <n v="0.32103802535023346"/>
    <n v="0.25"/>
    <m/>
    <m/>
    <m/>
    <m/>
    <m/>
    <m/>
    <m/>
    <m/>
    <m/>
    <n v="3"/>
    <n v="12"/>
    <n v="3"/>
    <n v="0"/>
    <n v="0"/>
    <n v="0"/>
    <n v="34212"/>
    <n v="100602"/>
    <n v="25659"/>
    <n v="0"/>
    <n v="6"/>
    <n v="51318"/>
    <n v="63533.648753619098"/>
    <n v="2"/>
    <n v="12"/>
    <n v="0"/>
    <n v="0"/>
    <n v="0"/>
    <n v="0"/>
    <n v="17106"/>
    <n v="100602"/>
    <n v="0"/>
    <n v="0"/>
    <n v="6"/>
    <n v="51318"/>
    <n v="0"/>
    <n v="2"/>
    <n v="12"/>
    <n v="1"/>
    <n v="0"/>
    <n v="0"/>
    <n v="32196.3"/>
    <n v="102636"/>
    <n v="8553"/>
    <n v="0"/>
    <n v="6"/>
    <n v="51318"/>
    <n v="25201.680672268907"/>
    <n v="3"/>
    <n v="11"/>
    <n v="1"/>
    <n v="0"/>
    <n v="0"/>
    <n v="92218.5"/>
    <n v="8553"/>
    <x v="0"/>
    <x v="0"/>
    <n v="6"/>
    <n v="51318"/>
    <n v="25201.680672268907"/>
    <n v="3"/>
    <n v="7"/>
    <n v="1.7999999999999998"/>
    <m/>
    <n v="0"/>
    <n v="0"/>
    <n v="59871"/>
    <n v="15090.3"/>
    <x v="0"/>
    <n v="0"/>
    <n v="6"/>
    <n v="51318"/>
    <n v="45363.02521008403"/>
    <n v="12.6"/>
    <n v="10"/>
    <n v="4"/>
    <m/>
    <n v="0"/>
    <n v="0"/>
    <n v="85530"/>
    <n v="33534"/>
    <n v="0"/>
    <n v="0"/>
    <n v="10"/>
    <n v="51318"/>
    <n v="100806.72268907563"/>
    <n v="4"/>
    <n v="12"/>
    <n v="6"/>
    <n v="0"/>
    <n v="0"/>
    <n v="0"/>
    <n v="102636"/>
    <n v="50301"/>
    <n v="0"/>
    <n v="0"/>
    <n v="12"/>
    <n v="51318"/>
    <n v="151210.08403361344"/>
    <n v="4"/>
    <n v="6"/>
    <n v="0"/>
    <n v="0"/>
    <n v="0"/>
    <n v="0"/>
    <n v="51318"/>
    <n v="0"/>
    <n v="0"/>
    <n v="0"/>
    <n v="6"/>
    <n v="51318"/>
    <n v="0"/>
    <n v="4"/>
    <n v="7"/>
    <n v="0"/>
    <n v="0"/>
    <n v="0"/>
    <n v="0"/>
    <n v="58684.5"/>
    <n v="0"/>
    <n v="0"/>
    <n v="0"/>
    <n v="6"/>
    <n v="51318"/>
    <n v="0"/>
    <n v="0"/>
    <n v="7"/>
    <n v="0"/>
    <n v="0"/>
    <n v="0"/>
    <n v="0"/>
    <m/>
    <n v="58684.5"/>
    <n v="0"/>
    <n v="0"/>
    <n v="0"/>
    <n v="7"/>
    <n v="58684.5"/>
    <n v="0"/>
    <n v="0"/>
    <n v="7"/>
    <n v="0"/>
    <m/>
    <n v="0"/>
    <n v="0"/>
    <n v="58684.5"/>
    <n v="0"/>
    <n v="0"/>
    <n v="0"/>
    <n v="7"/>
    <n v="58684.5"/>
    <n v="0"/>
    <n v="0"/>
    <n v="7"/>
    <n v="0"/>
    <n v="0"/>
    <n v="0"/>
    <n v="58684.5"/>
    <n v="0"/>
    <n v="0"/>
    <n v="0"/>
    <n v="7"/>
    <n v="58684.5"/>
    <n v="0"/>
    <n v="0"/>
    <n v="7"/>
    <n v="0"/>
    <n v="0"/>
    <m/>
    <n v="58684.5"/>
    <n v="0"/>
    <n v="0"/>
    <n v="7"/>
    <n v="58684.5"/>
    <n v="0"/>
  </r>
  <r>
    <s v="Lhotse-Vestuario"/>
    <x v="4"/>
    <x v="21"/>
    <x v="52"/>
    <s v="LTW25-MKF03"/>
    <x v="465"/>
    <x v="377"/>
    <x v="0"/>
    <x v="2"/>
    <n v="0.6"/>
    <x v="298"/>
    <n v="4"/>
    <m/>
    <n v="0"/>
    <n v="8554"/>
    <n v="34216"/>
    <n v="8.1"/>
    <n v="8849.25"/>
    <n v="25201.680672268907"/>
    <n v="21000"/>
    <s v="Shenzhen"/>
    <x v="0"/>
    <n v="30"/>
    <m/>
    <n v="1"/>
    <n v="0"/>
    <s v=""/>
    <n v="0"/>
    <s v=""/>
    <n v="0"/>
    <s v=""/>
    <n v="0"/>
    <s v=""/>
    <n v="1"/>
    <n v="0.24321182091665197"/>
    <n v="0"/>
    <s v=""/>
    <n v="5"/>
    <n v="0.45544541217816481"/>
    <n v="4"/>
    <n v="0.52078830153794431"/>
    <n v="0"/>
    <s v=""/>
    <n v="3"/>
    <n v="0.67849104122290438"/>
    <n v="0"/>
    <s v=""/>
    <n v="2"/>
    <n v="0.74549320082125747"/>
    <n v="0"/>
    <s v=""/>
    <n v="0"/>
    <s v=""/>
    <n v="0"/>
    <s v=""/>
    <n v="1"/>
    <n v="0.66062215391328272"/>
    <n v="0.25"/>
    <n v="0"/>
    <s v=""/>
    <n v="0"/>
    <n v="3"/>
    <n v="0.15705247943073158"/>
    <n v="0.23255813953488372"/>
    <n v="8"/>
    <n v="0.36516181847950663"/>
    <n v="2"/>
    <n v="4"/>
    <n v="0.14665293529019344"/>
    <n v="1"/>
    <n v="5"/>
    <n v="3.6584227232533441E-2"/>
    <n v="1.25"/>
    <m/>
    <m/>
    <m/>
    <m/>
    <m/>
    <m/>
    <m/>
    <m/>
    <m/>
    <n v="4"/>
    <n v="11"/>
    <n v="4"/>
    <n v="0"/>
    <n v="0"/>
    <n v="0"/>
    <n v="34216"/>
    <n v="92218.5"/>
    <n v="34216"/>
    <n v="0"/>
    <n v="4"/>
    <n v="34216"/>
    <n v="84711.531671492136"/>
    <n v="3"/>
    <n v="12"/>
    <n v="0"/>
    <n v="0"/>
    <n v="0"/>
    <n v="0"/>
    <n v="8554"/>
    <n v="100602"/>
    <n v="0"/>
    <n v="0"/>
    <n v="4"/>
    <n v="34216"/>
    <n v="0"/>
    <n v="3"/>
    <n v="12"/>
    <n v="0"/>
    <n v="0"/>
    <n v="0"/>
    <n v="28674.399999999998"/>
    <n v="102648"/>
    <n v="0"/>
    <n v="0"/>
    <n v="4"/>
    <n v="34216"/>
    <n v="0"/>
    <n v="4"/>
    <n v="12"/>
    <n v="1"/>
    <n v="0"/>
    <n v="0"/>
    <n v="100602"/>
    <n v="8554"/>
    <x v="0"/>
    <x v="0"/>
    <n v="4"/>
    <n v="34216"/>
    <n v="25201.680672268907"/>
    <n v="4"/>
    <n v="4"/>
    <n v="2.4"/>
    <m/>
    <n v="0"/>
    <n v="0"/>
    <n v="34216"/>
    <n v="20120.399999999998"/>
    <x v="0"/>
    <n v="0"/>
    <n v="4"/>
    <n v="34216"/>
    <n v="60484.033613445376"/>
    <n v="12.9"/>
    <n v="7"/>
    <n v="3"/>
    <m/>
    <n v="0"/>
    <n v="0"/>
    <n v="59878"/>
    <n v="25150.5"/>
    <n v="0"/>
    <n v="0"/>
    <n v="7"/>
    <n v="34216"/>
    <n v="75605.042016806721"/>
    <n v="4"/>
    <n v="12"/>
    <n v="8"/>
    <n v="0"/>
    <n v="0"/>
    <n v="0"/>
    <n v="102648"/>
    <n v="67068"/>
    <n v="0"/>
    <n v="0"/>
    <n v="12"/>
    <n v="34216"/>
    <n v="201613.44537815126"/>
    <n v="4"/>
    <n v="8"/>
    <n v="4"/>
    <n v="0"/>
    <n v="0"/>
    <n v="0"/>
    <n v="68432"/>
    <n v="33534"/>
    <n v="0"/>
    <n v="0"/>
    <n v="8"/>
    <n v="68432"/>
    <n v="100806.72268907563"/>
    <n v="4"/>
    <n v="9"/>
    <n v="7.5"/>
    <n v="0"/>
    <n v="0"/>
    <n v="0"/>
    <n v="75451.5"/>
    <n v="62876.25"/>
    <n v="0"/>
    <n v="0"/>
    <n v="4"/>
    <n v="34216"/>
    <n v="189012.6050420168"/>
    <n v="0"/>
    <n v="1.5"/>
    <n v="0"/>
    <n v="0"/>
    <n v="0"/>
    <n v="0"/>
    <m/>
    <n v="12575.25"/>
    <n v="0"/>
    <n v="0"/>
    <n v="0"/>
    <n v="1.5"/>
    <n v="12575.25"/>
    <n v="0"/>
    <n v="0"/>
    <n v="1.5"/>
    <n v="0"/>
    <m/>
    <n v="0"/>
    <n v="0"/>
    <n v="12575.25"/>
    <n v="0"/>
    <n v="0"/>
    <n v="0"/>
    <n v="1.5"/>
    <n v="12575.25"/>
    <n v="0"/>
    <n v="0"/>
    <n v="1.5"/>
    <n v="0"/>
    <n v="0"/>
    <n v="0"/>
    <n v="12575.25"/>
    <n v="0"/>
    <n v="0"/>
    <n v="0"/>
    <n v="1.5"/>
    <n v="12575.25"/>
    <n v="0"/>
    <n v="0"/>
    <n v="1.5"/>
    <n v="0"/>
    <n v="0"/>
    <m/>
    <n v="12575.25"/>
    <n v="0"/>
    <n v="0"/>
    <n v="1.5"/>
    <n v="12575.25"/>
    <n v="0"/>
  </r>
  <r>
    <s v="Lhotse-Vestuario"/>
    <x v="4"/>
    <x v="21"/>
    <x v="52"/>
    <s v="LTW25-MKF03"/>
    <x v="466"/>
    <x v="377"/>
    <x v="0"/>
    <x v="2"/>
    <n v="0.5"/>
    <x v="299"/>
    <n v="2"/>
    <m/>
    <n v="0"/>
    <n v="8554"/>
    <n v="17108"/>
    <n v="8.1"/>
    <n v="8849.25"/>
    <n v="25201.680672268907"/>
    <n v="21000"/>
    <s v="Shenzhen"/>
    <x v="0"/>
    <n v="30"/>
    <m/>
    <n v="1"/>
    <n v="0"/>
    <s v=""/>
    <n v="0"/>
    <s v=""/>
    <n v="0"/>
    <s v=""/>
    <n v="1"/>
    <n v="0.74547745871150128"/>
    <n v="0"/>
    <n v="-2.6891149304286617E-5"/>
    <n v="3"/>
    <n v="0.50087163726195805"/>
    <n v="5"/>
    <n v="0.4358480859034905"/>
    <n v="1"/>
    <n v="0.59270380952380952"/>
    <n v="2"/>
    <n v="0.67420028187254788"/>
    <n v="7"/>
    <n v="0.64804542835980583"/>
    <n v="0"/>
    <s v=""/>
    <n v="1"/>
    <n v="0.66062217284342517"/>
    <n v="1"/>
    <n v="0.41260928862281687"/>
    <n v="0"/>
    <s v=""/>
    <n v="1"/>
    <n v="0.74549948447143577"/>
    <n v="0"/>
    <s v=""/>
    <n v="0"/>
    <n v="0"/>
    <s v=""/>
    <n v="0"/>
    <n v="3"/>
    <n v="0.10127014735310169"/>
    <n v="0.23255813953488372"/>
    <n v="0"/>
    <s v=""/>
    <n v="0"/>
    <n v="9"/>
    <n v="0.15364935100540594"/>
    <n v="4.5"/>
    <n v="-1"/>
    <n v="0.28703705003335556"/>
    <n v="-0.5"/>
    <m/>
    <m/>
    <m/>
    <m/>
    <m/>
    <m/>
    <m/>
    <m/>
    <m/>
    <n v="5"/>
    <n v="6"/>
    <n v="5"/>
    <n v="0"/>
    <n v="0"/>
    <n v="0"/>
    <n v="51324"/>
    <n v="50301"/>
    <n v="42770"/>
    <n v="0"/>
    <n v="2"/>
    <n v="17108"/>
    <n v="105889.41458936517"/>
    <n v="5"/>
    <n v="5"/>
    <n v="0"/>
    <n v="0"/>
    <n v="0"/>
    <n v="0"/>
    <n v="8554"/>
    <n v="41917.5"/>
    <n v="0"/>
    <n v="0"/>
    <n v="2"/>
    <n v="17108"/>
    <n v="0"/>
    <n v="5"/>
    <n v="5"/>
    <n v="1"/>
    <n v="0"/>
    <n v="0"/>
    <n v="29512.75"/>
    <n v="42770"/>
    <n v="8554"/>
    <n v="0"/>
    <n v="2"/>
    <n v="17108"/>
    <n v="25201.680672268907"/>
    <n v="4"/>
    <n v="4"/>
    <n v="0"/>
    <n v="0"/>
    <n v="0"/>
    <n v="33534"/>
    <n v="0"/>
    <x v="0"/>
    <x v="0"/>
    <n v="2"/>
    <n v="17108"/>
    <n v="0"/>
    <n v="5"/>
    <n v="2"/>
    <n v="2.5"/>
    <m/>
    <n v="0"/>
    <n v="0"/>
    <n v="17108"/>
    <n v="20958.75"/>
    <x v="0"/>
    <n v="0"/>
    <n v="2"/>
    <n v="17108"/>
    <n v="63004.201680672268"/>
    <n v="12.9"/>
    <n v="5"/>
    <n v="3"/>
    <m/>
    <n v="0"/>
    <n v="0"/>
    <n v="42770"/>
    <n v="25150.5"/>
    <n v="0"/>
    <n v="0"/>
    <n v="5"/>
    <n v="17108"/>
    <n v="75605.042016806721"/>
    <n v="2"/>
    <n v="2"/>
    <n v="0"/>
    <n v="0"/>
    <n v="0"/>
    <n v="0"/>
    <n v="17108"/>
    <n v="0"/>
    <n v="0"/>
    <n v="0"/>
    <n v="2"/>
    <n v="17108"/>
    <n v="0"/>
    <n v="2"/>
    <n v="11"/>
    <n v="9"/>
    <n v="0"/>
    <n v="0"/>
    <n v="0"/>
    <n v="94094"/>
    <n v="75451.5"/>
    <n v="0"/>
    <n v="0"/>
    <n v="11"/>
    <n v="94094"/>
    <n v="226815.12605042016"/>
    <n v="2"/>
    <n v="1"/>
    <n v="0"/>
    <n v="0"/>
    <n v="0"/>
    <n v="0"/>
    <n v="8383.5"/>
    <n v="0"/>
    <n v="0"/>
    <n v="0"/>
    <n v="2"/>
    <n v="17108"/>
    <n v="0"/>
    <n v="0"/>
    <n v="1"/>
    <n v="0"/>
    <n v="0"/>
    <n v="0"/>
    <n v="0"/>
    <m/>
    <n v="8383.5"/>
    <n v="0"/>
    <n v="0"/>
    <n v="0"/>
    <n v="1"/>
    <n v="8383.5"/>
    <n v="0"/>
    <n v="0"/>
    <n v="1"/>
    <n v="0"/>
    <m/>
    <n v="0"/>
    <n v="0"/>
    <n v="8383.5"/>
    <n v="0"/>
    <n v="0"/>
    <n v="0"/>
    <n v="1"/>
    <n v="8383.5"/>
    <n v="0"/>
    <n v="0"/>
    <n v="1"/>
    <n v="0"/>
    <n v="0"/>
    <n v="0"/>
    <n v="8383.5"/>
    <n v="0"/>
    <n v="0"/>
    <n v="0"/>
    <n v="1"/>
    <n v="8383.5"/>
    <n v="0"/>
    <n v="0"/>
    <n v="1"/>
    <n v="0"/>
    <n v="0"/>
    <m/>
    <n v="8383.5"/>
    <n v="0"/>
    <n v="0"/>
    <n v="1"/>
    <n v="8383.5"/>
    <n v="0"/>
  </r>
  <r>
    <s v="Lhotse-Vestuario"/>
    <x v="4"/>
    <x v="21"/>
    <x v="52"/>
    <s v="LTW25-MKF04"/>
    <x v="467"/>
    <x v="378"/>
    <x v="0"/>
    <x v="2"/>
    <n v="1"/>
    <x v="300"/>
    <n v="51"/>
    <m/>
    <n v="0"/>
    <n v="14364"/>
    <n v="732564"/>
    <n v="15.2"/>
    <n v="16606"/>
    <n v="33605.042016806721"/>
    <n v="21000"/>
    <s v="Shenzhen"/>
    <x v="0"/>
    <n v="30"/>
    <m/>
    <n v="1"/>
    <n v="0"/>
    <s v=""/>
    <n v="0"/>
    <s v=""/>
    <n v="0"/>
    <s v=""/>
    <n v="0"/>
    <s v=""/>
    <n v="1"/>
    <n v="0.65807941344505805"/>
    <n v="1"/>
    <n v="0.62010632389113696"/>
    <n v="23"/>
    <n v="0.25651606163489171"/>
    <n v="1"/>
    <n v="0.27393403260457477"/>
    <n v="0"/>
    <s v=""/>
    <n v="7"/>
    <n v="0.51899132647935442"/>
    <n v="0"/>
    <n v="1.0000317284048543"/>
    <n v="21"/>
    <n v="0.24725949624542376"/>
    <n v="31"/>
    <n v="9.3475328584083167E-2"/>
    <n v="1"/>
    <n v="0.64384434723034922"/>
    <n v="0"/>
    <s v=""/>
    <n v="3"/>
    <n v="0.50682473453413956"/>
    <n v="1"/>
    <n v="1"/>
    <n v="0.31604761904761902"/>
    <n v="0.33333333333333331"/>
    <n v="4"/>
    <n v="1.0452159451171977E-2"/>
    <n v="0.10256410256410256"/>
    <n v="3"/>
    <n v="8.5519046939649027E-2"/>
    <n v="0.15789473684210525"/>
    <n v="3"/>
    <n v="0.26701145285081851"/>
    <n v="0.15789473684210525"/>
    <n v="2"/>
    <n v="0.27371316450397654"/>
    <n v="0.10526315789473684"/>
    <m/>
    <m/>
    <m/>
    <m/>
    <m/>
    <m/>
    <m/>
    <m/>
    <m/>
    <n v="5"/>
    <n v="72"/>
    <n v="5"/>
    <n v="0"/>
    <n v="0"/>
    <n v="0"/>
    <n v="93366"/>
    <n v="1132703.9999999998"/>
    <n v="71820"/>
    <n v="0"/>
    <n v="51"/>
    <n v="732564"/>
    <n v="141197.65553280135"/>
    <n v="2"/>
    <n v="59"/>
    <n v="1.5"/>
    <n v="0"/>
    <n v="0"/>
    <n v="0"/>
    <n v="64638"/>
    <n v="928187.99999999988"/>
    <n v="21546"/>
    <n v="0"/>
    <n v="51"/>
    <n v="732564"/>
    <n v="42359.296659840409"/>
    <n v="3"/>
    <n v="58"/>
    <n v="0"/>
    <n v="0"/>
    <n v="0"/>
    <n v="90288"/>
    <n v="833112"/>
    <n v="0"/>
    <n v="0"/>
    <n v="51"/>
    <n v="732564"/>
    <n v="0"/>
    <n v="3"/>
    <n v="58"/>
    <n v="3"/>
    <n v="0"/>
    <n v="0"/>
    <n v="912455.99999999988"/>
    <n v="43092"/>
    <x v="0"/>
    <x v="0"/>
    <n v="51"/>
    <n v="732564"/>
    <n v="100815.12605042016"/>
    <n v="3"/>
    <n v="52"/>
    <n v="3"/>
    <m/>
    <n v="0"/>
    <n v="0"/>
    <n v="746928"/>
    <n v="47195.999999999993"/>
    <x v="0"/>
    <n v="0"/>
    <n v="51"/>
    <n v="732564"/>
    <n v="100815.12605042016"/>
    <n v="39"/>
    <n v="55"/>
    <n v="4"/>
    <m/>
    <n v="0"/>
    <n v="0"/>
    <n v="790020"/>
    <n v="62927.999999999993"/>
    <n v="0"/>
    <n v="0"/>
    <n v="55"/>
    <n v="732564"/>
    <n v="134420.16806722688"/>
    <n v="19"/>
    <n v="54"/>
    <n v="3"/>
    <n v="0"/>
    <n v="0"/>
    <n v="0"/>
    <n v="775656"/>
    <n v="47195.999999999993"/>
    <n v="0"/>
    <n v="0"/>
    <n v="54"/>
    <n v="732564"/>
    <n v="100815.12605042016"/>
    <n v="19"/>
    <n v="54"/>
    <n v="3"/>
    <n v="0"/>
    <n v="0"/>
    <n v="0"/>
    <n v="775656"/>
    <n v="47195.999999999993"/>
    <n v="0"/>
    <n v="0"/>
    <n v="54"/>
    <n v="775656"/>
    <n v="100815.12605042016"/>
    <n v="19"/>
    <n v="53"/>
    <n v="1.5"/>
    <n v="0"/>
    <n v="0"/>
    <n v="0"/>
    <n v="833795.99999999988"/>
    <n v="23597.999999999996"/>
    <n v="0"/>
    <n v="0"/>
    <n v="51"/>
    <n v="732564"/>
    <n v="50407.563025210082"/>
    <n v="0"/>
    <n v="51.5"/>
    <n v="0"/>
    <n v="0"/>
    <n v="0"/>
    <n v="0"/>
    <m/>
    <n v="810197.99999999988"/>
    <n v="0"/>
    <n v="0"/>
    <n v="0"/>
    <n v="51.5"/>
    <n v="810197.99999999988"/>
    <n v="0"/>
    <n v="0"/>
    <n v="51.5"/>
    <n v="0"/>
    <m/>
    <n v="0"/>
    <n v="0"/>
    <n v="810197.99999999988"/>
    <n v="0"/>
    <n v="0"/>
    <n v="0"/>
    <n v="51.5"/>
    <n v="810197.99999999988"/>
    <n v="0"/>
    <n v="0"/>
    <n v="51.5"/>
    <n v="0"/>
    <n v="0"/>
    <n v="0"/>
    <n v="810197.99999999988"/>
    <n v="0"/>
    <n v="0"/>
    <n v="0"/>
    <n v="51.5"/>
    <n v="810197.99999999988"/>
    <n v="0"/>
    <n v="0"/>
    <n v="51.5"/>
    <n v="0"/>
    <n v="0"/>
    <m/>
    <n v="810197.99999999988"/>
    <n v="0"/>
    <n v="0"/>
    <n v="51.5"/>
    <n v="810197.99999999988"/>
    <n v="0"/>
  </r>
  <r>
    <s v="Lhotse-Vestuario"/>
    <x v="4"/>
    <x v="21"/>
    <x v="52"/>
    <s v="LTW25-MKF04"/>
    <x v="468"/>
    <x v="378"/>
    <x v="0"/>
    <x v="2"/>
    <n v="1"/>
    <x v="301"/>
    <n v="67"/>
    <m/>
    <n v="0"/>
    <n v="14363"/>
    <n v="962321"/>
    <n v="15.2"/>
    <n v="16606"/>
    <n v="33605.042016806721"/>
    <n v="21000"/>
    <s v="Shenzhen"/>
    <x v="0"/>
    <n v="30"/>
    <m/>
    <n v="1"/>
    <n v="0"/>
    <s v=""/>
    <n v="0"/>
    <s v=""/>
    <n v="0"/>
    <s v=""/>
    <n v="0"/>
    <s v=""/>
    <n v="1"/>
    <n v="0.65807941344505805"/>
    <n v="2"/>
    <n v="0.57260923945921582"/>
    <n v="11"/>
    <n v="0.2046095147383751"/>
    <n v="-1"/>
    <n v="0.43006904213951275"/>
    <n v="0"/>
    <s v=""/>
    <n v="5"/>
    <n v="0.40716679599148103"/>
    <n v="0"/>
    <s v=""/>
    <n v="1"/>
    <n v="0.64385429839569541"/>
    <n v="34"/>
    <n v="-1.834007227899024E-2"/>
    <n v="1"/>
    <n v="0.64385427533693906"/>
    <n v="0"/>
    <s v=""/>
    <n v="0"/>
    <s v=""/>
    <n v="0"/>
    <n v="0"/>
    <s v=""/>
    <n v="0"/>
    <n v="2"/>
    <n v="0.48964781583111877"/>
    <n v="5.128205128205128E-2"/>
    <n v="4"/>
    <n v="0.36079822740786444"/>
    <n v="0.14814814814814814"/>
    <n v="2"/>
    <n v="0.4564989802306178"/>
    <n v="7.407407407407407E-2"/>
    <n v="1"/>
    <n v="-2.2415337668834419E-2"/>
    <n v="3.7037037037037035E-2"/>
    <m/>
    <m/>
    <m/>
    <m/>
    <m/>
    <m/>
    <m/>
    <m/>
    <m/>
    <n v="5"/>
    <n v="113"/>
    <n v="5"/>
    <n v="0"/>
    <n v="0"/>
    <n v="0"/>
    <n v="93359.5"/>
    <n v="1777715.9999999998"/>
    <n v="71815"/>
    <n v="0"/>
    <n v="67"/>
    <n v="962321"/>
    <n v="141197.65553280135"/>
    <n v="2"/>
    <n v="83"/>
    <n v="1.5"/>
    <n v="0"/>
    <n v="0"/>
    <n v="0"/>
    <n v="21544.5"/>
    <n v="1305755.9999999998"/>
    <n v="21544.5"/>
    <n v="0"/>
    <n v="67"/>
    <n v="962321"/>
    <n v="42359.296659840409"/>
    <n v="3"/>
    <n v="82"/>
    <n v="0"/>
    <n v="0"/>
    <n v="0"/>
    <n v="47195.999999999993"/>
    <n v="1177766"/>
    <n v="0"/>
    <n v="0"/>
    <n v="67"/>
    <n v="962321"/>
    <n v="0"/>
    <n v="3"/>
    <n v="82"/>
    <n v="0"/>
    <n v="0"/>
    <n v="0"/>
    <n v="1290023.9999999998"/>
    <n v="0"/>
    <x v="0"/>
    <x v="0"/>
    <n v="67"/>
    <n v="962321"/>
    <n v="0"/>
    <n v="3"/>
    <n v="67"/>
    <n v="3"/>
    <m/>
    <n v="0"/>
    <n v="0"/>
    <n v="962321"/>
    <n v="47195.999999999993"/>
    <x v="0"/>
    <n v="0"/>
    <n v="67"/>
    <n v="962321"/>
    <n v="100815.12605042016"/>
    <n v="39"/>
    <n v="69"/>
    <n v="2"/>
    <m/>
    <n v="0"/>
    <n v="0"/>
    <n v="991047"/>
    <n v="31463.999999999996"/>
    <n v="0"/>
    <n v="0"/>
    <n v="69"/>
    <n v="962321"/>
    <n v="67210.084033613442"/>
    <n v="27"/>
    <n v="71"/>
    <n v="4"/>
    <n v="0"/>
    <n v="0"/>
    <n v="0"/>
    <n v="1019773"/>
    <n v="62927.999999999993"/>
    <n v="0"/>
    <n v="0"/>
    <n v="71"/>
    <n v="962321"/>
    <n v="134420.16806722688"/>
    <n v="27"/>
    <n v="69"/>
    <n v="2"/>
    <n v="0"/>
    <n v="0"/>
    <n v="0"/>
    <n v="991047"/>
    <n v="31463.999999999996"/>
    <n v="0"/>
    <n v="0"/>
    <n v="69"/>
    <n v="991047"/>
    <n v="67210.084033613442"/>
    <n v="27"/>
    <n v="68"/>
    <n v="1.5"/>
    <n v="0"/>
    <n v="0"/>
    <n v="0"/>
    <n v="1069775.9999999998"/>
    <n v="23597.999999999996"/>
    <n v="0"/>
    <n v="0"/>
    <n v="67"/>
    <n v="962321"/>
    <n v="50407.563025210082"/>
    <n v="0"/>
    <n v="66.5"/>
    <n v="0"/>
    <n v="0"/>
    <n v="0"/>
    <n v="0"/>
    <m/>
    <n v="1046177.9999999999"/>
    <n v="0"/>
    <n v="0"/>
    <n v="0"/>
    <n v="66.5"/>
    <n v="1046177.9999999999"/>
    <n v="0"/>
    <n v="0"/>
    <n v="66.5"/>
    <n v="0"/>
    <m/>
    <n v="0"/>
    <n v="0"/>
    <n v="1046177.9999999999"/>
    <n v="0"/>
    <n v="0"/>
    <n v="0"/>
    <n v="66.5"/>
    <n v="1046177.9999999999"/>
    <n v="0"/>
    <n v="0"/>
    <n v="66.5"/>
    <n v="0"/>
    <n v="0"/>
    <n v="0"/>
    <n v="1046177.9999999999"/>
    <n v="0"/>
    <n v="0"/>
    <n v="0"/>
    <n v="66.5"/>
    <n v="1046177.9999999999"/>
    <n v="0"/>
    <n v="0"/>
    <n v="66.5"/>
    <n v="0"/>
    <n v="0"/>
    <m/>
    <n v="1046177.9999999999"/>
    <n v="0"/>
    <n v="0"/>
    <n v="66.5"/>
    <n v="1046177.9999999999"/>
    <n v="0"/>
  </r>
  <r>
    <s v="Lhotse-Vestuario"/>
    <x v="4"/>
    <x v="21"/>
    <x v="52"/>
    <s v="LTW25-MKF04"/>
    <x v="469"/>
    <x v="378"/>
    <x v="0"/>
    <x v="2"/>
    <n v="1"/>
    <x v="302"/>
    <n v="69"/>
    <m/>
    <n v="0"/>
    <n v="14363"/>
    <n v="991047"/>
    <n v="15.2"/>
    <n v="16606"/>
    <n v="33605.042016806721"/>
    <n v="21000"/>
    <s v="Shenzhen"/>
    <x v="0"/>
    <n v="30"/>
    <m/>
    <n v="1"/>
    <n v="0"/>
    <s v=""/>
    <n v="0"/>
    <s v=""/>
    <n v="0"/>
    <s v=""/>
    <n v="0"/>
    <s v=""/>
    <n v="0"/>
    <s v=""/>
    <n v="1"/>
    <n v="0.43006904213951275"/>
    <n v="6"/>
    <n v="0.29006705452742515"/>
    <n v="0"/>
    <n v="6.9620914122855708E-6"/>
    <n v="0"/>
    <s v=""/>
    <n v="0"/>
    <s v=""/>
    <n v="0"/>
    <s v=""/>
    <n v="0"/>
    <s v=""/>
    <n v="5"/>
    <n v="-4.0742269333399125E-2"/>
    <n v="0"/>
    <s v=""/>
    <n v="0"/>
    <s v=""/>
    <n v="1"/>
    <n v="0.55008772866968891"/>
    <n v="0.33333333333333331"/>
    <n v="0"/>
    <s v=""/>
    <n v="0"/>
    <n v="5"/>
    <n v="0.11255488215488216"/>
    <n v="0.18518518518518517"/>
    <n v="2"/>
    <n v="0.12302975885069266"/>
    <n v="8.3333333333333329E-2"/>
    <n v="1"/>
    <n v="0.64384772462077011"/>
    <n v="4.1666666666666664E-2"/>
    <n v="-3"/>
    <n v="0.13046209937256231"/>
    <n v="-0.125"/>
    <m/>
    <m/>
    <m/>
    <m/>
    <m/>
    <m/>
    <m/>
    <m/>
    <m/>
    <n v="5"/>
    <n v="78"/>
    <n v="5"/>
    <n v="0"/>
    <n v="0"/>
    <n v="0"/>
    <n v="71815"/>
    <n v="1227095.9999999998"/>
    <n v="71815"/>
    <n v="0"/>
    <n v="69"/>
    <n v="991047"/>
    <n v="141197.65553280135"/>
    <n v="2"/>
    <n v="73"/>
    <n v="0"/>
    <n v="0"/>
    <n v="0"/>
    <n v="0"/>
    <n v="14363"/>
    <n v="1148435.9999999998"/>
    <n v="0"/>
    <n v="0"/>
    <n v="69"/>
    <n v="991047"/>
    <n v="0"/>
    <n v="3"/>
    <n v="73"/>
    <n v="0"/>
    <n v="0"/>
    <n v="0"/>
    <n v="61558.999999999993"/>
    <n v="1048499"/>
    <n v="0"/>
    <n v="0"/>
    <n v="69"/>
    <n v="991047"/>
    <n v="0"/>
    <n v="3"/>
    <n v="73"/>
    <n v="1"/>
    <n v="0"/>
    <n v="0"/>
    <n v="1148435.9999999998"/>
    <n v="14363"/>
    <x v="0"/>
    <x v="0"/>
    <n v="69"/>
    <n v="991047"/>
    <n v="33605.042016806721"/>
    <n v="3"/>
    <n v="69"/>
    <n v="3"/>
    <m/>
    <n v="0"/>
    <n v="0"/>
    <n v="991047"/>
    <n v="47195.999999999993"/>
    <x v="0"/>
    <n v="0"/>
    <n v="69"/>
    <n v="991047"/>
    <n v="100815.12605042016"/>
    <n v="27"/>
    <n v="74"/>
    <n v="5"/>
    <m/>
    <n v="0"/>
    <n v="0"/>
    <n v="1062862"/>
    <n v="78659.999999999985"/>
    <n v="0"/>
    <n v="0"/>
    <n v="74"/>
    <n v="991047"/>
    <n v="168025.21008403361"/>
    <n v="24"/>
    <n v="71"/>
    <n v="2"/>
    <n v="0"/>
    <n v="0"/>
    <n v="0"/>
    <n v="1019773"/>
    <n v="31463.999999999996"/>
    <n v="0"/>
    <n v="0"/>
    <n v="71"/>
    <n v="991047"/>
    <n v="67210.084033613442"/>
    <n v="24"/>
    <n v="70"/>
    <n v="1"/>
    <n v="0"/>
    <n v="0"/>
    <n v="0"/>
    <n v="1005410"/>
    <n v="15731.999999999998"/>
    <n v="0"/>
    <n v="0"/>
    <n v="70"/>
    <n v="1005410"/>
    <n v="33605.042016806721"/>
    <n v="24"/>
    <n v="66"/>
    <n v="0"/>
    <n v="0"/>
    <n v="0"/>
    <n v="0"/>
    <n v="1038311.9999999999"/>
    <n v="0"/>
    <n v="0"/>
    <n v="0"/>
    <n v="69"/>
    <n v="991047"/>
    <n v="0"/>
    <n v="0"/>
    <n v="66"/>
    <n v="0"/>
    <n v="0"/>
    <n v="0"/>
    <n v="0"/>
    <m/>
    <n v="1038311.9999999999"/>
    <n v="0"/>
    <n v="0"/>
    <n v="0"/>
    <n v="66"/>
    <n v="1038311.9999999999"/>
    <n v="0"/>
    <n v="0"/>
    <n v="66"/>
    <n v="0"/>
    <m/>
    <n v="0"/>
    <n v="0"/>
    <n v="1038311.9999999999"/>
    <n v="0"/>
    <n v="0"/>
    <n v="0"/>
    <n v="66"/>
    <n v="1038311.9999999999"/>
    <n v="0"/>
    <n v="0"/>
    <n v="66"/>
    <n v="0"/>
    <n v="0"/>
    <n v="0"/>
    <n v="1038311.9999999999"/>
    <n v="0"/>
    <n v="0"/>
    <n v="0"/>
    <n v="66"/>
    <n v="1038311.9999999999"/>
    <n v="0"/>
    <n v="0"/>
    <n v="66"/>
    <n v="0"/>
    <n v="0"/>
    <m/>
    <n v="1038311.9999999999"/>
    <n v="0"/>
    <n v="0"/>
    <n v="66"/>
    <n v="1038311.9999999999"/>
    <n v="0"/>
  </r>
  <r>
    <s v="Lhotse-Vestuario"/>
    <x v="4"/>
    <x v="21"/>
    <x v="52"/>
    <s v="LTW25-MKF04"/>
    <x v="470"/>
    <x v="378"/>
    <x v="0"/>
    <x v="2"/>
    <n v="1"/>
    <x v="303"/>
    <n v="73"/>
    <m/>
    <n v="0"/>
    <n v="14363"/>
    <n v="1048499"/>
    <n v="15.2"/>
    <n v="16606"/>
    <n v="33605.042016806721"/>
    <n v="21000"/>
    <s v="Shenzhen"/>
    <x v="0"/>
    <n v="30"/>
    <m/>
    <n v="1"/>
    <n v="0"/>
    <s v=""/>
    <n v="0"/>
    <s v=""/>
    <n v="0"/>
    <s v=""/>
    <n v="0"/>
    <s v=""/>
    <n v="0"/>
    <s v=""/>
    <n v="3"/>
    <n v="0.47394484324641084"/>
    <n v="3"/>
    <n v="0.32502434933516494"/>
    <n v="1"/>
    <n v="0.62010605940384567"/>
    <n v="0"/>
    <s v=""/>
    <n v="1"/>
    <n v="0.62010605940384567"/>
    <n v="0"/>
    <s v=""/>
    <n v="0"/>
    <s v=""/>
    <n v="4"/>
    <n v="-4.0742269333399125E-2"/>
    <n v="0"/>
    <s v=""/>
    <n v="0"/>
    <s v=""/>
    <n v="0"/>
    <s v=""/>
    <n v="0"/>
    <n v="0"/>
    <s v=""/>
    <n v="0"/>
    <n v="2"/>
    <n v="0.31112709832134294"/>
    <n v="7.407407407407407E-2"/>
    <n v="0"/>
    <s v=""/>
    <n v="0"/>
    <n v="2"/>
    <n v="0.64384772462077011"/>
    <n v="7.6923076923076927E-2"/>
    <n v="1"/>
    <n v="-0.16791428571428568"/>
    <n v="3.8461538461538464E-2"/>
    <m/>
    <m/>
    <m/>
    <m/>
    <m/>
    <m/>
    <m/>
    <m/>
    <m/>
    <n v="5"/>
    <n v="82"/>
    <n v="5"/>
    <n v="0"/>
    <n v="0"/>
    <n v="0"/>
    <n v="71815"/>
    <n v="1290023.9999999998"/>
    <n v="71815"/>
    <n v="0"/>
    <n v="73"/>
    <n v="1048499"/>
    <n v="141197.65553280135"/>
    <n v="2"/>
    <n v="78"/>
    <n v="0"/>
    <n v="0"/>
    <n v="0"/>
    <n v="0"/>
    <n v="0"/>
    <n v="1227095.9999999998"/>
    <n v="0"/>
    <n v="0"/>
    <n v="73"/>
    <n v="1048499"/>
    <n v="0"/>
    <n v="3"/>
    <n v="78"/>
    <n v="0"/>
    <n v="0"/>
    <n v="0"/>
    <n v="47195.999999999993"/>
    <n v="1120314"/>
    <n v="0"/>
    <n v="0"/>
    <n v="73"/>
    <n v="1048499"/>
    <n v="0"/>
    <n v="3"/>
    <n v="78"/>
    <n v="0"/>
    <n v="0"/>
    <n v="0"/>
    <n v="1227095.9999999998"/>
    <n v="0"/>
    <x v="0"/>
    <x v="0"/>
    <n v="73"/>
    <n v="1048499"/>
    <n v="0"/>
    <n v="3"/>
    <n v="73"/>
    <n v="3"/>
    <m/>
    <n v="0"/>
    <n v="0"/>
    <n v="1048499"/>
    <n v="47195.999999999993"/>
    <x v="0"/>
    <n v="0"/>
    <n v="73"/>
    <n v="1048499"/>
    <n v="100815.12605042016"/>
    <n v="27"/>
    <n v="75"/>
    <n v="2"/>
    <m/>
    <n v="0"/>
    <n v="0"/>
    <n v="1077225"/>
    <n v="31463.999999999996"/>
    <n v="0"/>
    <n v="0"/>
    <n v="75"/>
    <n v="1048499"/>
    <n v="67210.084033613442"/>
    <n v="26"/>
    <n v="73"/>
    <n v="0"/>
    <n v="0"/>
    <n v="0"/>
    <n v="0"/>
    <n v="1048499"/>
    <n v="0"/>
    <n v="0"/>
    <n v="0"/>
    <n v="73"/>
    <n v="1048499"/>
    <n v="0"/>
    <n v="26"/>
    <n v="75"/>
    <n v="2"/>
    <n v="0"/>
    <n v="0"/>
    <n v="0"/>
    <n v="1077225"/>
    <n v="31463.999999999996"/>
    <n v="0"/>
    <n v="0"/>
    <n v="75"/>
    <n v="1077225"/>
    <n v="67210.084033613442"/>
    <n v="26"/>
    <n v="74"/>
    <n v="1.5"/>
    <n v="0"/>
    <n v="0"/>
    <n v="0"/>
    <n v="1164167.9999999998"/>
    <n v="23597.999999999996"/>
    <n v="0"/>
    <n v="0"/>
    <n v="73"/>
    <n v="1048499"/>
    <n v="50407.563025210082"/>
    <n v="0"/>
    <n v="72.5"/>
    <n v="0"/>
    <n v="0"/>
    <n v="0"/>
    <n v="0"/>
    <m/>
    <n v="1140569.9999999998"/>
    <n v="0"/>
    <n v="0"/>
    <n v="0"/>
    <n v="72.5"/>
    <n v="1140569.9999999998"/>
    <n v="0"/>
    <n v="0"/>
    <n v="72.5"/>
    <n v="0"/>
    <m/>
    <n v="0"/>
    <n v="0"/>
    <n v="1140569.9999999998"/>
    <n v="0"/>
    <n v="0"/>
    <n v="0"/>
    <n v="72.5"/>
    <n v="1140569.9999999998"/>
    <n v="0"/>
    <n v="0"/>
    <n v="72.5"/>
    <n v="0"/>
    <n v="0"/>
    <n v="0"/>
    <n v="1140569.9999999998"/>
    <n v="0"/>
    <n v="0"/>
    <n v="0"/>
    <n v="72.5"/>
    <n v="1140569.9999999998"/>
    <n v="0"/>
    <n v="0"/>
    <n v="72.5"/>
    <n v="0"/>
    <n v="0"/>
    <m/>
    <n v="1140569.9999999998"/>
    <n v="0"/>
    <n v="0"/>
    <n v="72.5"/>
    <n v="1140569.9999999998"/>
    <n v="0"/>
  </r>
  <r>
    <s v="Lhotse-Vestuario"/>
    <x v="4"/>
    <x v="21"/>
    <x v="52"/>
    <s v="LTW25-MKF04"/>
    <x v="471"/>
    <x v="378"/>
    <x v="0"/>
    <x v="2"/>
    <n v="1"/>
    <x v="304"/>
    <n v="27"/>
    <m/>
    <n v="0"/>
    <n v="14363"/>
    <n v="387801"/>
    <n v="15.2"/>
    <n v="16606"/>
    <n v="33605.042016806721"/>
    <n v="21000"/>
    <s v="Shenzhen"/>
    <x v="0"/>
    <n v="30"/>
    <m/>
    <n v="1"/>
    <n v="0"/>
    <s v=""/>
    <n v="0"/>
    <s v=""/>
    <n v="0"/>
    <s v=""/>
    <n v="0"/>
    <s v=""/>
    <n v="0"/>
    <s v=""/>
    <n v="2"/>
    <n v="0.43006943893341798"/>
    <n v="1"/>
    <n v="0.25651482996014291"/>
    <n v="0"/>
    <n v="-2.7153101719655914E-5"/>
    <n v="0"/>
    <s v=""/>
    <n v="2"/>
    <n v="-2.7153101719655914E-5"/>
    <n v="0"/>
    <s v=""/>
    <n v="0"/>
    <s v=""/>
    <n v="3"/>
    <n v="-4.0742269333399118E-2"/>
    <n v="0"/>
    <s v=""/>
    <n v="0"/>
    <s v=""/>
    <n v="0"/>
    <s v=""/>
    <n v="0"/>
    <n v="0"/>
    <s v=""/>
    <n v="0"/>
    <n v="1"/>
    <n v="-3.0062531265632814E-2"/>
    <n v="8.3333333333333329E-2"/>
    <n v="4"/>
    <n v="6.5547263681592041E-2"/>
    <n v="0.4"/>
    <n v="0"/>
    <s v=""/>
    <n v="0"/>
    <n v="0"/>
    <n v="0.48583804728233693"/>
    <n v="0"/>
    <m/>
    <m/>
    <m/>
    <m/>
    <m/>
    <m/>
    <m/>
    <m/>
    <m/>
    <n v="3"/>
    <n v="31"/>
    <n v="3"/>
    <n v="0"/>
    <n v="0"/>
    <n v="0"/>
    <n v="43089"/>
    <n v="487691.99999999994"/>
    <n v="43089"/>
    <n v="0"/>
    <n v="27"/>
    <n v="387801"/>
    <n v="84718.593319680818"/>
    <n v="2"/>
    <n v="31"/>
    <n v="0"/>
    <n v="0"/>
    <n v="0"/>
    <n v="0"/>
    <n v="0"/>
    <n v="487691.99999999994"/>
    <n v="0"/>
    <n v="0"/>
    <n v="27"/>
    <n v="387801"/>
    <n v="0"/>
    <n v="3"/>
    <n v="31"/>
    <n v="0"/>
    <n v="0"/>
    <n v="0"/>
    <n v="47195.999999999993"/>
    <n v="445253"/>
    <n v="0"/>
    <n v="0"/>
    <n v="27"/>
    <n v="387801"/>
    <n v="0"/>
    <n v="3"/>
    <n v="31"/>
    <n v="0"/>
    <n v="0"/>
    <n v="0"/>
    <n v="487691.99999999994"/>
    <n v="0"/>
    <x v="0"/>
    <x v="0"/>
    <n v="27"/>
    <n v="387801"/>
    <n v="0"/>
    <n v="3"/>
    <n v="27"/>
    <n v="3"/>
    <m/>
    <n v="0"/>
    <n v="0"/>
    <n v="387801"/>
    <n v="47195.999999999993"/>
    <x v="0"/>
    <n v="0"/>
    <n v="27"/>
    <n v="387801"/>
    <n v="100815.12605042016"/>
    <n v="12"/>
    <n v="28"/>
    <n v="1"/>
    <m/>
    <n v="0"/>
    <n v="0"/>
    <n v="402164"/>
    <n v="15731.999999999998"/>
    <n v="0"/>
    <n v="0"/>
    <n v="28"/>
    <n v="387801"/>
    <n v="33605.042016806721"/>
    <n v="10"/>
    <n v="31"/>
    <n v="4"/>
    <n v="0"/>
    <n v="0"/>
    <n v="0"/>
    <n v="445253"/>
    <n v="62927.999999999993"/>
    <n v="0"/>
    <n v="0"/>
    <n v="31"/>
    <n v="387801"/>
    <n v="134420.16806722688"/>
    <n v="10"/>
    <n v="27"/>
    <n v="0"/>
    <n v="0"/>
    <n v="0"/>
    <n v="0"/>
    <n v="387801"/>
    <n v="0"/>
    <n v="0"/>
    <n v="0"/>
    <n v="27"/>
    <n v="387801"/>
    <n v="0"/>
    <n v="10"/>
    <n v="27"/>
    <n v="0"/>
    <n v="0"/>
    <n v="0"/>
    <n v="0"/>
    <n v="424763.99999999994"/>
    <n v="0"/>
    <n v="0"/>
    <n v="0"/>
    <n v="27"/>
    <n v="387801"/>
    <n v="0"/>
    <n v="0"/>
    <n v="27"/>
    <n v="0"/>
    <n v="0"/>
    <n v="0"/>
    <n v="0"/>
    <m/>
    <n v="424763.99999999994"/>
    <n v="0"/>
    <n v="0"/>
    <n v="0"/>
    <n v="27"/>
    <n v="424763.99999999994"/>
    <n v="0"/>
    <n v="0"/>
    <n v="27"/>
    <n v="0"/>
    <m/>
    <n v="0"/>
    <n v="0"/>
    <n v="424763.99999999994"/>
    <n v="0"/>
    <n v="0"/>
    <n v="0"/>
    <n v="27"/>
    <n v="424763.99999999994"/>
    <n v="0"/>
    <n v="0"/>
    <n v="27"/>
    <n v="0"/>
    <n v="0"/>
    <n v="0"/>
    <n v="424763.99999999994"/>
    <n v="0"/>
    <n v="0"/>
    <n v="0"/>
    <n v="27"/>
    <n v="424763.99999999994"/>
    <n v="0"/>
    <n v="0"/>
    <n v="27"/>
    <n v="0"/>
    <n v="0"/>
    <m/>
    <n v="424763.99999999994"/>
    <n v="0"/>
    <n v="0"/>
    <n v="27"/>
    <n v="424763.99999999994"/>
    <n v="0"/>
  </r>
  <r>
    <s v="Lhotse-Vestuario"/>
    <x v="4"/>
    <x v="21"/>
    <x v="52"/>
    <s v="LTW25-MKF04"/>
    <x v="472"/>
    <x v="378"/>
    <x v="0"/>
    <x v="2"/>
    <n v="1"/>
    <x v="305"/>
    <n v="30"/>
    <m/>
    <n v="0"/>
    <n v="14363"/>
    <n v="430890"/>
    <n v="15.2"/>
    <n v="16606"/>
    <n v="33605.042016806721"/>
    <n v="21000"/>
    <s v="Shenzhen"/>
    <x v="0"/>
    <n v="30"/>
    <m/>
    <n v="1"/>
    <n v="0"/>
    <s v=""/>
    <n v="0"/>
    <s v=""/>
    <n v="0"/>
    <s v=""/>
    <n v="0"/>
    <s v=""/>
    <n v="0"/>
    <s v=""/>
    <n v="0"/>
    <s v=""/>
    <n v="3"/>
    <n v="0.25651534758527877"/>
    <n v="0"/>
    <s v=""/>
    <n v="0"/>
    <s v=""/>
    <n v="1"/>
    <n v="-2.6456868342212607E-5"/>
    <n v="0"/>
    <s v=""/>
    <n v="0"/>
    <s v=""/>
    <n v="3"/>
    <n v="-2.8540571030215508E-2"/>
    <n v="0"/>
    <s v=""/>
    <n v="0"/>
    <s v=""/>
    <n v="0"/>
    <s v=""/>
    <n v="0"/>
    <n v="0"/>
    <s v=""/>
    <n v="0"/>
    <n v="0"/>
    <s v=""/>
    <n v="0"/>
    <n v="2"/>
    <n v="9.994734209209867E-2"/>
    <n v="0.125"/>
    <n v="0"/>
    <s v=""/>
    <n v="0"/>
    <n v="0"/>
    <s v=""/>
    <n v="0"/>
    <m/>
    <m/>
    <m/>
    <m/>
    <m/>
    <m/>
    <m/>
    <m/>
    <m/>
    <n v="3"/>
    <n v="33"/>
    <n v="3"/>
    <n v="0"/>
    <n v="0"/>
    <n v="0"/>
    <n v="43089"/>
    <n v="519155.99999999994"/>
    <n v="43089"/>
    <n v="0"/>
    <n v="30"/>
    <n v="430890"/>
    <n v="84718.593319680818"/>
    <n v="2"/>
    <n v="47"/>
    <n v="0"/>
    <n v="0"/>
    <n v="0"/>
    <n v="0"/>
    <n v="0"/>
    <n v="739403.99999999988"/>
    <n v="0"/>
    <n v="0"/>
    <n v="30"/>
    <n v="430890"/>
    <n v="0"/>
    <n v="3"/>
    <n v="47"/>
    <n v="0"/>
    <n v="0"/>
    <n v="0"/>
    <n v="47195.999999999993"/>
    <n v="675061"/>
    <n v="0"/>
    <n v="0"/>
    <n v="30"/>
    <n v="430890"/>
    <n v="0"/>
    <n v="3"/>
    <n v="47"/>
    <n v="0"/>
    <n v="0"/>
    <n v="0"/>
    <n v="739403.99999999988"/>
    <n v="0"/>
    <x v="0"/>
    <x v="0"/>
    <n v="30"/>
    <n v="430890"/>
    <n v="0"/>
    <n v="3"/>
    <n v="30"/>
    <n v="3"/>
    <m/>
    <n v="0"/>
    <n v="0"/>
    <n v="430890"/>
    <n v="47195.999999999993"/>
    <x v="0"/>
    <n v="0"/>
    <n v="30"/>
    <n v="430890"/>
    <n v="100815.12605042016"/>
    <n v="12"/>
    <n v="30"/>
    <n v="0"/>
    <m/>
    <n v="0"/>
    <n v="0"/>
    <n v="430890"/>
    <n v="0"/>
    <n v="0"/>
    <n v="0"/>
    <n v="30"/>
    <n v="430890"/>
    <n v="0"/>
    <n v="16"/>
    <n v="32"/>
    <n v="2"/>
    <n v="0"/>
    <n v="0"/>
    <n v="0"/>
    <n v="459616"/>
    <n v="31463.999999999996"/>
    <n v="0"/>
    <n v="0"/>
    <n v="32"/>
    <n v="430890"/>
    <n v="67210.084033613442"/>
    <n v="16"/>
    <n v="30"/>
    <n v="0"/>
    <n v="0"/>
    <n v="0"/>
    <n v="0"/>
    <n v="430890"/>
    <n v="0"/>
    <n v="0"/>
    <n v="0"/>
    <n v="30"/>
    <n v="430890"/>
    <n v="0"/>
    <n v="16"/>
    <n v="30"/>
    <n v="0"/>
    <n v="0"/>
    <n v="0"/>
    <n v="0"/>
    <n v="471959.99999999994"/>
    <n v="0"/>
    <n v="0"/>
    <n v="0"/>
    <n v="30"/>
    <n v="430890"/>
    <n v="0"/>
    <n v="0"/>
    <n v="30"/>
    <n v="0"/>
    <n v="0"/>
    <n v="0"/>
    <n v="0"/>
    <m/>
    <n v="471959.99999999994"/>
    <n v="0"/>
    <n v="0"/>
    <n v="0"/>
    <n v="30"/>
    <n v="471959.99999999994"/>
    <n v="0"/>
    <n v="0"/>
    <n v="30"/>
    <n v="0"/>
    <m/>
    <n v="0"/>
    <n v="0"/>
    <n v="471959.99999999994"/>
    <n v="0"/>
    <n v="0"/>
    <n v="0"/>
    <n v="30"/>
    <n v="471959.99999999994"/>
    <n v="0"/>
    <n v="0"/>
    <n v="30"/>
    <n v="0"/>
    <n v="0"/>
    <n v="0"/>
    <n v="471959.99999999994"/>
    <n v="0"/>
    <n v="0"/>
    <n v="0"/>
    <n v="30"/>
    <n v="471959.99999999994"/>
    <n v="0"/>
    <n v="0"/>
    <n v="30"/>
    <n v="0"/>
    <n v="0"/>
    <m/>
    <n v="471959.99999999994"/>
    <n v="0"/>
    <n v="0"/>
    <n v="30"/>
    <n v="471959.99999999994"/>
    <n v="0"/>
  </r>
  <r>
    <s v="Lhotse-Vestuario"/>
    <x v="4"/>
    <x v="21"/>
    <x v="52"/>
    <s v="LTW25-MKF04"/>
    <x v="473"/>
    <x v="378"/>
    <x v="0"/>
    <x v="2"/>
    <n v="1"/>
    <x v="306"/>
    <n v="1"/>
    <m/>
    <n v="0"/>
    <n v="14376"/>
    <n v="14376"/>
    <n v="15.2"/>
    <n v="16606"/>
    <n v="33605.042016806721"/>
    <n v="21000"/>
    <s v="Shenzhen"/>
    <x v="0"/>
    <n v="30"/>
    <m/>
    <n v="1"/>
    <n v="0"/>
    <s v=""/>
    <n v="0"/>
    <s v=""/>
    <n v="0"/>
    <s v=""/>
    <n v="0"/>
    <n v="-2.7849335097099226E-5"/>
    <n v="1"/>
    <n v="0.59296673090002272"/>
    <n v="2"/>
    <n v="0.57260160206148891"/>
    <n v="10"/>
    <n v="0.16804171681222288"/>
    <n v="0"/>
    <n v="-2.7153101719655914E-5"/>
    <n v="2"/>
    <n v="0.18765998359867661"/>
    <n v="4"/>
    <n v="0.50120095847477497"/>
    <n v="0"/>
    <s v=""/>
    <n v="14"/>
    <n v="0.18581713054815488"/>
    <n v="14"/>
    <n v="0.18581712896753455"/>
    <n v="0"/>
    <s v=""/>
    <n v="0"/>
    <s v=""/>
    <n v="1"/>
    <n v="0.55008772866968891"/>
    <n v="0.33333333333333331"/>
    <n v="0"/>
    <s v=""/>
    <n v="0"/>
    <n v="3"/>
    <n v="0.15215873015873016"/>
    <n v="0.25"/>
    <n v="0"/>
    <s v=""/>
    <n v="0"/>
    <n v="0"/>
    <s v=""/>
    <n v="0"/>
    <n v="0"/>
    <s v=""/>
    <n v="0"/>
    <m/>
    <m/>
    <m/>
    <m/>
    <m/>
    <m/>
    <m/>
    <m/>
    <m/>
    <n v="3"/>
    <n v="1"/>
    <n v="3"/>
    <n v="0"/>
    <n v="0"/>
    <n v="0"/>
    <n v="43128"/>
    <n v="15731.999999999998"/>
    <n v="43128"/>
    <n v="0"/>
    <n v="1"/>
    <n v="14376"/>
    <n v="84718.593319680818"/>
    <n v="2"/>
    <n v="4"/>
    <n v="0"/>
    <n v="0"/>
    <n v="0"/>
    <n v="0"/>
    <n v="14376"/>
    <n v="62927.999999999993"/>
    <n v="0"/>
    <n v="0"/>
    <n v="1"/>
    <n v="14376"/>
    <n v="0"/>
    <n v="3"/>
    <n v="4"/>
    <n v="0"/>
    <n v="0"/>
    <n v="0"/>
    <n v="61571.999999999993"/>
    <n v="57504"/>
    <n v="0"/>
    <n v="0"/>
    <n v="1"/>
    <n v="14376"/>
    <n v="0"/>
    <n v="3"/>
    <n v="4"/>
    <n v="1"/>
    <n v="0"/>
    <n v="0"/>
    <n v="62927.999999999993"/>
    <n v="14376"/>
    <x v="0"/>
    <x v="0"/>
    <n v="1"/>
    <n v="14376"/>
    <n v="33605.042016806721"/>
    <n v="3"/>
    <n v="1"/>
    <n v="3"/>
    <m/>
    <n v="0"/>
    <n v="0"/>
    <n v="14376"/>
    <n v="47195.999999999993"/>
    <x v="0"/>
    <n v="0"/>
    <n v="1"/>
    <n v="14376"/>
    <n v="100815.12605042016"/>
    <n v="12"/>
    <n v="4"/>
    <n v="3"/>
    <m/>
    <n v="0"/>
    <n v="0"/>
    <n v="57504"/>
    <n v="47195.999999999993"/>
    <n v="0"/>
    <n v="0"/>
    <n v="4"/>
    <n v="14376"/>
    <n v="100815.12605042016"/>
    <n v="2"/>
    <n v="1"/>
    <n v="0"/>
    <n v="0"/>
    <n v="0"/>
    <n v="0"/>
    <n v="14376"/>
    <n v="0"/>
    <n v="0"/>
    <n v="0"/>
    <n v="1"/>
    <n v="14376"/>
    <n v="0"/>
    <n v="2"/>
    <n v="1"/>
    <n v="0"/>
    <n v="0"/>
    <n v="0"/>
    <n v="0"/>
    <n v="14376"/>
    <n v="0"/>
    <n v="0"/>
    <n v="0"/>
    <n v="1"/>
    <n v="14376"/>
    <n v="0"/>
    <n v="2"/>
    <n v="1"/>
    <n v="0"/>
    <n v="0"/>
    <n v="0"/>
    <n v="0"/>
    <n v="15731.999999999998"/>
    <n v="0"/>
    <n v="0"/>
    <n v="0"/>
    <n v="1"/>
    <n v="14376"/>
    <n v="0"/>
    <n v="0"/>
    <n v="1"/>
    <n v="0"/>
    <n v="0"/>
    <n v="0"/>
    <n v="0"/>
    <m/>
    <n v="15731.999999999998"/>
    <n v="0"/>
    <n v="0"/>
    <n v="0"/>
    <n v="1"/>
    <n v="15731.999999999998"/>
    <n v="0"/>
    <n v="0"/>
    <n v="1"/>
    <n v="0"/>
    <m/>
    <n v="0"/>
    <n v="0"/>
    <n v="15731.999999999998"/>
    <n v="0"/>
    <n v="0"/>
    <n v="0"/>
    <n v="1"/>
    <n v="15731.999999999998"/>
    <n v="0"/>
    <n v="0"/>
    <n v="1"/>
    <n v="0"/>
    <n v="0"/>
    <n v="0"/>
    <n v="15731.999999999998"/>
    <n v="0"/>
    <n v="0"/>
    <n v="0"/>
    <n v="1"/>
    <n v="15731.999999999998"/>
    <n v="0"/>
    <n v="0"/>
    <n v="1"/>
    <n v="0"/>
    <n v="0"/>
    <m/>
    <n v="15731.999999999998"/>
    <n v="0"/>
    <n v="0"/>
    <n v="1"/>
    <n v="15731.999999999998"/>
    <n v="0"/>
  </r>
  <r>
    <m/>
    <x v="4"/>
    <x v="21"/>
    <x v="52"/>
    <s v="LTW25-MKF04"/>
    <x v="474"/>
    <x v="378"/>
    <x v="0"/>
    <x v="2"/>
    <n v="1"/>
    <x v="307"/>
    <n v="1"/>
    <m/>
    <n v="0"/>
    <n v="14363"/>
    <n v="14363"/>
    <n v="15.2"/>
    <n v="16606"/>
    <n v="33605.042016806721"/>
    <n v="21000"/>
    <s v="Shenzhen"/>
    <x v="0"/>
    <n v="30"/>
    <m/>
    <n v="1"/>
    <n v="0"/>
    <s v=""/>
    <n v="0"/>
    <s v=""/>
    <n v="0"/>
    <s v=""/>
    <n v="0"/>
    <s v=""/>
    <n v="0"/>
    <s v=""/>
    <n v="2"/>
    <n v="0.5440989668470585"/>
    <n v="10"/>
    <n v="0.27848678625428874"/>
    <n v="0"/>
    <s v=""/>
    <n v="0"/>
    <s v=""/>
    <n v="3"/>
    <n v="0.37523647244192737"/>
    <n v="0"/>
    <s v=""/>
    <n v="1"/>
    <n v="0.64384487589575745"/>
    <n v="18"/>
    <n v="-3.0659508763242999E-2"/>
    <n v="0"/>
    <s v=""/>
    <n v="0"/>
    <s v=""/>
    <n v="0"/>
    <s v=""/>
    <n v="0"/>
    <n v="2"/>
    <n v="0.47476399729580232"/>
    <n v="0.66666666666666663"/>
    <n v="4"/>
    <n v="0.10698234463276836"/>
    <n v="0.26666666666666666"/>
    <n v="1"/>
    <n v="0.14495497748874436"/>
    <n v="0.33333333333333331"/>
    <n v="0"/>
    <s v=""/>
    <n v="0"/>
    <n v="-1"/>
    <n v="0.316"/>
    <n v="-0.33333333333333331"/>
    <m/>
    <m/>
    <m/>
    <m/>
    <m/>
    <m/>
    <m/>
    <m/>
    <m/>
    <n v="3"/>
    <n v="25"/>
    <n v="3"/>
    <n v="0"/>
    <n v="0"/>
    <n v="0"/>
    <n v="43089"/>
    <n v="393299.99999999994"/>
    <n v="43089"/>
    <n v="0"/>
    <n v="1"/>
    <n v="14363"/>
    <n v="84718.593319680818"/>
    <n v="2"/>
    <n v="12"/>
    <n v="0"/>
    <n v="0"/>
    <n v="0"/>
    <n v="0"/>
    <n v="0"/>
    <n v="188783.99999999997"/>
    <n v="0"/>
    <n v="0"/>
    <n v="1"/>
    <n v="14363"/>
    <n v="0"/>
    <n v="3"/>
    <n v="12"/>
    <n v="0"/>
    <n v="0"/>
    <n v="0"/>
    <n v="47195.999999999993"/>
    <n v="172356"/>
    <n v="0"/>
    <n v="0"/>
    <n v="1"/>
    <n v="14363"/>
    <n v="0"/>
    <n v="3"/>
    <n v="12"/>
    <n v="0"/>
    <n v="0"/>
    <n v="0"/>
    <n v="188783.99999999997"/>
    <n v="0"/>
    <x v="0"/>
    <x v="0"/>
    <n v="1"/>
    <n v="14363"/>
    <n v="0"/>
    <n v="3"/>
    <n v="3"/>
    <n v="3"/>
    <m/>
    <n v="0"/>
    <n v="0"/>
    <n v="43089"/>
    <n v="47195.999999999993"/>
    <x v="0"/>
    <n v="0"/>
    <n v="1"/>
    <n v="14363"/>
    <n v="100815.12605042016"/>
    <n v="15"/>
    <n v="5"/>
    <n v="4"/>
    <m/>
    <n v="0"/>
    <n v="0"/>
    <n v="71815"/>
    <n v="62927.999999999993"/>
    <n v="0"/>
    <n v="0"/>
    <n v="5"/>
    <n v="14363"/>
    <n v="134420.16806722688"/>
    <n v="3"/>
    <n v="2"/>
    <n v="1"/>
    <n v="0"/>
    <n v="0"/>
    <n v="0"/>
    <n v="28726"/>
    <n v="15731.999999999998"/>
    <n v="0"/>
    <n v="0"/>
    <n v="2"/>
    <n v="14363"/>
    <n v="33605.042016806721"/>
    <n v="3"/>
    <n v="1"/>
    <n v="0"/>
    <n v="0"/>
    <n v="0"/>
    <n v="0"/>
    <n v="14363"/>
    <n v="0"/>
    <n v="0"/>
    <n v="0"/>
    <n v="1"/>
    <n v="14363"/>
    <n v="0"/>
    <n v="3"/>
    <n v="0"/>
    <n v="0"/>
    <n v="0"/>
    <n v="0"/>
    <n v="0"/>
    <n v="0"/>
    <n v="0"/>
    <n v="0"/>
    <n v="0"/>
    <n v="1"/>
    <n v="14363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2"/>
    <s v="LTW25-MKF05"/>
    <x v="475"/>
    <x v="379"/>
    <x v="0"/>
    <x v="2"/>
    <n v="1"/>
    <x v="308"/>
    <n v="44"/>
    <m/>
    <n v="0"/>
    <n v="15472"/>
    <n v="680768"/>
    <n v="15.8"/>
    <n v="17261.5"/>
    <n v="33605.042016806721"/>
    <n v="23521.008403361346"/>
    <s v="Shenzhen"/>
    <x v="0"/>
    <n v="30"/>
    <m/>
    <n v="1"/>
    <n v="0"/>
    <s v=""/>
    <n v="0"/>
    <s v=""/>
    <n v="0"/>
    <s v=""/>
    <n v="0"/>
    <n v="7.1096173733571666E-6"/>
    <n v="1"/>
    <n v="0.63169535707141433"/>
    <n v="1"/>
    <n v="0.38607705568522843"/>
    <n v="4"/>
    <n v="0.35376271328028741"/>
    <n v="1"/>
    <n v="0.38608483453694153"/>
    <n v="0"/>
    <s v=""/>
    <n v="6"/>
    <n v="0.34630420392930078"/>
    <n v="0"/>
    <s v=""/>
    <n v="18"/>
    <n v="0.22800310468613572"/>
    <n v="15"/>
    <n v="0.12295221603369966"/>
    <n v="2"/>
    <n v="0.53963341376221463"/>
    <n v="1"/>
    <n v="0.53959233311260724"/>
    <n v="0"/>
    <s v=""/>
    <n v="0"/>
    <n v="1"/>
    <n v="0.34220471596998925"/>
    <n v="0.33333333333333331"/>
    <n v="3"/>
    <n v="0.21830479929086996"/>
    <n v="7.6923076923076927E-2"/>
    <n v="32"/>
    <n v="0.10235701357190305"/>
    <n v="1.1851851851851851"/>
    <n v="32"/>
    <n v="0.10276637443086512"/>
    <n v="1.1851851851851851"/>
    <n v="0"/>
    <n v="1.9785500982318271"/>
    <n v="0"/>
    <m/>
    <m/>
    <m/>
    <m/>
    <m/>
    <m/>
    <m/>
    <m/>
    <m/>
    <n v="4"/>
    <n v="78"/>
    <n v="4"/>
    <n v="0"/>
    <n v="0"/>
    <n v="0"/>
    <n v="123776"/>
    <n v="1275533.9999999998"/>
    <n v="61888"/>
    <n v="0"/>
    <n v="44"/>
    <n v="680768"/>
    <n v="112958.12442624109"/>
    <n v="1"/>
    <n v="81"/>
    <n v="3"/>
    <n v="0"/>
    <n v="0"/>
    <n v="0"/>
    <n v="61888"/>
    <n v="1324592.9999999998"/>
    <n v="46416"/>
    <n v="0"/>
    <n v="44"/>
    <n v="680768"/>
    <n v="84718.593319680818"/>
    <n v="3"/>
    <n v="79"/>
    <n v="1"/>
    <n v="0"/>
    <n v="0"/>
    <n v="64530.999999999993"/>
    <n v="1222288"/>
    <n v="15472"/>
    <n v="0"/>
    <n v="44"/>
    <n v="680768"/>
    <n v="33605.042016806721"/>
    <n v="3"/>
    <n v="79"/>
    <n v="0"/>
    <n v="0"/>
    <n v="0"/>
    <n v="1291886.9999999998"/>
    <n v="0"/>
    <x v="0"/>
    <x v="0"/>
    <n v="44"/>
    <n v="680768"/>
    <n v="0"/>
    <n v="3"/>
    <n v="45"/>
    <n v="3"/>
    <m/>
    <n v="0"/>
    <n v="0"/>
    <n v="696240"/>
    <n v="49058.999999999993"/>
    <x v="0"/>
    <n v="0"/>
    <n v="44"/>
    <n v="680768"/>
    <n v="100815.12605042016"/>
    <n v="39"/>
    <n v="47"/>
    <n v="3"/>
    <m/>
    <n v="0"/>
    <n v="0"/>
    <n v="727184"/>
    <n v="49058.999999999993"/>
    <n v="0"/>
    <n v="0"/>
    <n v="47"/>
    <n v="680768"/>
    <n v="100815.12605042016"/>
    <n v="27"/>
    <n v="76"/>
    <n v="32"/>
    <n v="0"/>
    <n v="0"/>
    <n v="0"/>
    <n v="1175872"/>
    <n v="523295.99999999994"/>
    <n v="0"/>
    <n v="0"/>
    <n v="76"/>
    <n v="680768"/>
    <n v="1075361.3445378151"/>
    <n v="27"/>
    <n v="76"/>
    <n v="33"/>
    <n v="0"/>
    <n v="0"/>
    <n v="0"/>
    <n v="1175872"/>
    <n v="539648.99999999988"/>
    <n v="0"/>
    <n v="0"/>
    <n v="76"/>
    <n v="1175872"/>
    <n v="1108966.3865546219"/>
    <n v="27"/>
    <n v="44"/>
    <n v="0"/>
    <n v="0"/>
    <n v="0"/>
    <n v="0"/>
    <n v="719531.99999999988"/>
    <n v="0"/>
    <n v="0"/>
    <n v="0"/>
    <n v="44"/>
    <n v="680768"/>
    <n v="0"/>
    <n v="0"/>
    <n v="44"/>
    <n v="0"/>
    <n v="0"/>
    <n v="0"/>
    <n v="0"/>
    <m/>
    <n v="719531.99999999988"/>
    <n v="0"/>
    <n v="0"/>
    <n v="0"/>
    <n v="44"/>
    <n v="719531.99999999988"/>
    <n v="0"/>
    <n v="0"/>
    <n v="44"/>
    <n v="0"/>
    <m/>
    <n v="0"/>
    <n v="0"/>
    <n v="719531.99999999988"/>
    <n v="0"/>
    <n v="0"/>
    <n v="0"/>
    <n v="44"/>
    <n v="719531.99999999988"/>
    <n v="0"/>
    <n v="0"/>
    <n v="44"/>
    <n v="0"/>
    <n v="0"/>
    <n v="0"/>
    <n v="719531.99999999988"/>
    <n v="0"/>
    <n v="0"/>
    <n v="0"/>
    <n v="44"/>
    <n v="719531.99999999988"/>
    <n v="0"/>
    <n v="0"/>
    <n v="44"/>
    <n v="0"/>
    <n v="0"/>
    <m/>
    <n v="719531.99999999988"/>
    <n v="0"/>
    <n v="0"/>
    <n v="44"/>
    <n v="719531.99999999988"/>
    <n v="0"/>
  </r>
  <r>
    <s v="Lhotse-Vestuario"/>
    <x v="4"/>
    <x v="21"/>
    <x v="52"/>
    <s v="LTW25-MKF05"/>
    <x v="476"/>
    <x v="379"/>
    <x v="0"/>
    <x v="2"/>
    <n v="1"/>
    <x v="309"/>
    <n v="103"/>
    <m/>
    <n v="0"/>
    <n v="15472"/>
    <n v="1593616"/>
    <n v="15.8"/>
    <n v="17261.5"/>
    <n v="33605.042016806721"/>
    <n v="23521.008403361346"/>
    <s v="Shenzhen"/>
    <x v="0"/>
    <n v="30"/>
    <m/>
    <n v="1"/>
    <n v="0"/>
    <s v=""/>
    <n v="0"/>
    <s v=""/>
    <n v="0"/>
    <s v=""/>
    <n v="0"/>
    <s v=""/>
    <n v="1"/>
    <n v="9.0904283447911183E-2"/>
    <n v="2"/>
    <n v="0.50891024077417313"/>
    <n v="5"/>
    <n v="0.31961741424802104"/>
    <n v="0"/>
    <s v=""/>
    <n v="0"/>
    <s v=""/>
    <n v="2"/>
    <n v="0.41923387323811484"/>
    <n v="0"/>
    <s v=""/>
    <n v="0"/>
    <s v=""/>
    <n v="0"/>
    <s v=""/>
    <n v="0"/>
    <s v=""/>
    <n v="0"/>
    <s v=""/>
    <n v="0"/>
    <s v=""/>
    <n v="0"/>
    <n v="1"/>
    <n v="0.539591647911978"/>
    <n v="0.33333333333333331"/>
    <n v="2"/>
    <n v="-6.2857142857142861E-2"/>
    <n v="5.128205128205128E-2"/>
    <n v="1"/>
    <n v="0.26323809523809522"/>
    <n v="2.9411764705882353E-2"/>
    <n v="4"/>
    <n v="7.7575628461866206E-2"/>
    <n v="0.11764705882352941"/>
    <n v="2"/>
    <n v="0.23426234826287146"/>
    <n v="5.8823529411764705E-2"/>
    <m/>
    <m/>
    <m/>
    <m/>
    <m/>
    <m/>
    <m/>
    <m/>
    <m/>
    <n v="4"/>
    <n v="90"/>
    <n v="4"/>
    <n v="0"/>
    <n v="0"/>
    <n v="0"/>
    <n v="61888"/>
    <n v="1471769.9999999998"/>
    <n v="61888"/>
    <n v="0"/>
    <n v="103"/>
    <n v="1593616"/>
    <n v="112958.12442624109"/>
    <n v="1"/>
    <n v="100"/>
    <n v="0"/>
    <n v="0"/>
    <n v="0"/>
    <n v="0"/>
    <n v="0"/>
    <n v="1635299.9999999998"/>
    <n v="0"/>
    <n v="0"/>
    <n v="103"/>
    <n v="1593616"/>
    <n v="0"/>
    <n v="3"/>
    <n v="100"/>
    <n v="0"/>
    <n v="0"/>
    <n v="0"/>
    <n v="49058.999999999993"/>
    <n v="1547200"/>
    <n v="0"/>
    <n v="0"/>
    <n v="103"/>
    <n v="1593616"/>
    <n v="0"/>
    <n v="3"/>
    <n v="100"/>
    <n v="0"/>
    <n v="0"/>
    <n v="0"/>
    <n v="1635299.9999999998"/>
    <n v="0"/>
    <x v="0"/>
    <x v="0"/>
    <n v="103"/>
    <n v="1593616"/>
    <n v="0"/>
    <n v="3"/>
    <n v="104"/>
    <n v="3"/>
    <m/>
    <n v="0"/>
    <n v="0"/>
    <n v="1609088"/>
    <n v="49058.999999999993"/>
    <x v="0"/>
    <n v="0"/>
    <n v="103"/>
    <n v="1593616"/>
    <n v="100815.12605042016"/>
    <n v="39"/>
    <n v="105"/>
    <n v="2"/>
    <m/>
    <n v="0"/>
    <n v="0"/>
    <n v="1624560"/>
    <n v="32705.999999999996"/>
    <n v="0"/>
    <n v="0"/>
    <n v="105"/>
    <n v="1593616"/>
    <n v="67210.084033613442"/>
    <n v="34"/>
    <n v="104"/>
    <n v="1"/>
    <n v="0"/>
    <n v="0"/>
    <n v="0"/>
    <n v="1609088"/>
    <n v="16352.999999999998"/>
    <n v="0"/>
    <n v="0"/>
    <n v="104"/>
    <n v="1593616"/>
    <n v="33605.042016806721"/>
    <n v="34"/>
    <n v="107"/>
    <n v="4"/>
    <n v="0"/>
    <n v="0"/>
    <n v="0"/>
    <n v="1655504"/>
    <n v="65411.999999999993"/>
    <n v="0"/>
    <n v="0"/>
    <n v="107"/>
    <n v="1655504"/>
    <n v="134420.16806722688"/>
    <n v="34"/>
    <n v="105"/>
    <n v="1.5"/>
    <n v="0"/>
    <n v="0"/>
    <n v="0"/>
    <n v="1717064.9999999998"/>
    <n v="24529.499999999996"/>
    <n v="0"/>
    <n v="0"/>
    <n v="103"/>
    <n v="1593616"/>
    <n v="50407.563025210082"/>
    <n v="0"/>
    <n v="103.5"/>
    <n v="0"/>
    <n v="0"/>
    <n v="0"/>
    <n v="0"/>
    <m/>
    <n v="1692535.4999999998"/>
    <n v="0"/>
    <n v="0"/>
    <n v="0"/>
    <n v="103.5"/>
    <n v="1692535.4999999998"/>
    <n v="0"/>
    <n v="0"/>
    <n v="103.5"/>
    <n v="0"/>
    <m/>
    <n v="0"/>
    <n v="0"/>
    <n v="1692535.4999999998"/>
    <n v="0"/>
    <n v="0"/>
    <n v="0"/>
    <n v="103.5"/>
    <n v="1692535.4999999998"/>
    <n v="0"/>
    <n v="0"/>
    <n v="103.5"/>
    <n v="0"/>
    <n v="0"/>
    <n v="0"/>
    <n v="1692535.4999999998"/>
    <n v="0"/>
    <n v="0"/>
    <n v="0"/>
    <n v="103.5"/>
    <n v="1692535.4999999998"/>
    <n v="0"/>
    <n v="0"/>
    <n v="103.5"/>
    <n v="0"/>
    <n v="0"/>
    <m/>
    <n v="1692535.4999999998"/>
    <n v="0"/>
    <n v="0"/>
    <n v="103.5"/>
    <n v="1692535.4999999998"/>
    <n v="0"/>
  </r>
  <r>
    <s v="Lhotse-Vestuario"/>
    <x v="4"/>
    <x v="21"/>
    <x v="52"/>
    <s v="LTW25-MKF05"/>
    <x v="477"/>
    <x v="379"/>
    <x v="0"/>
    <x v="2"/>
    <n v="1"/>
    <x v="310"/>
    <n v="26"/>
    <m/>
    <n v="0"/>
    <n v="15472"/>
    <n v="402272"/>
    <n v="15.8"/>
    <n v="17261.5"/>
    <n v="33605.042016806721"/>
    <n v="23521.008403361346"/>
    <s v="Shenzhen"/>
    <x v="0"/>
    <n v="30"/>
    <m/>
    <n v="1"/>
    <n v="0"/>
    <s v=""/>
    <n v="0"/>
    <s v=""/>
    <n v="0"/>
    <s v=""/>
    <n v="0"/>
    <s v=""/>
    <n v="0"/>
    <s v=""/>
    <n v="0"/>
    <s v=""/>
    <n v="5"/>
    <n v="0.35074466248404151"/>
    <n v="1"/>
    <n v="0.26324333333333338"/>
    <n v="1"/>
    <n v="0.26324333333333338"/>
    <n v="4"/>
    <n v="7.1096173733571666E-6"/>
    <n v="0"/>
    <s v=""/>
    <n v="0"/>
    <s v=""/>
    <n v="0"/>
    <s v=""/>
    <n v="0"/>
    <s v=""/>
    <n v="0"/>
    <s v=""/>
    <n v="0"/>
    <s v=""/>
    <n v="0"/>
    <n v="0"/>
    <s v=""/>
    <n v="0"/>
    <n v="1"/>
    <n v="0.34220471596998925"/>
    <n v="3.7037037037037035E-2"/>
    <n v="31"/>
    <n v="0.13964271986325014"/>
    <n v="1.9375"/>
    <n v="29"/>
    <n v="6.307685277916876E-2"/>
    <n v="1.8125"/>
    <n v="0"/>
    <s v=""/>
    <n v="0"/>
    <m/>
    <m/>
    <m/>
    <m/>
    <m/>
    <m/>
    <m/>
    <m/>
    <m/>
    <n v="4"/>
    <n v="64"/>
    <n v="4"/>
    <n v="0"/>
    <n v="0"/>
    <n v="0"/>
    <n v="61888"/>
    <n v="1046591.9999999999"/>
    <n v="61888"/>
    <n v="0"/>
    <n v="26"/>
    <n v="402272"/>
    <n v="112958.12442624109"/>
    <n v="1"/>
    <n v="48"/>
    <n v="0"/>
    <n v="0"/>
    <n v="0"/>
    <n v="0"/>
    <n v="0"/>
    <n v="784943.99999999988"/>
    <n v="0"/>
    <n v="0"/>
    <n v="26"/>
    <n v="402272"/>
    <n v="0"/>
    <n v="3"/>
    <n v="48"/>
    <n v="0"/>
    <n v="0"/>
    <n v="0"/>
    <n v="49058.999999999993"/>
    <n v="742656"/>
    <n v="0"/>
    <n v="0"/>
    <n v="26"/>
    <n v="402272"/>
    <n v="0"/>
    <n v="3"/>
    <n v="48"/>
    <n v="0"/>
    <n v="0"/>
    <n v="0"/>
    <n v="784943.99999999988"/>
    <n v="0"/>
    <x v="0"/>
    <x v="0"/>
    <n v="26"/>
    <n v="402272"/>
    <n v="0"/>
    <n v="3"/>
    <n v="26"/>
    <n v="3"/>
    <m/>
    <n v="0"/>
    <n v="0"/>
    <n v="402272"/>
    <n v="49058.999999999993"/>
    <x v="0"/>
    <n v="0"/>
    <n v="26"/>
    <n v="402272"/>
    <n v="100815.12605042016"/>
    <n v="27"/>
    <n v="27"/>
    <n v="1"/>
    <m/>
    <n v="0"/>
    <n v="0"/>
    <n v="417744"/>
    <n v="16352.999999999998"/>
    <n v="0"/>
    <n v="0"/>
    <n v="27"/>
    <n v="402272"/>
    <n v="33605.042016806721"/>
    <n v="16"/>
    <n v="57"/>
    <n v="31"/>
    <n v="0"/>
    <n v="0"/>
    <n v="0"/>
    <n v="881904"/>
    <n v="506942.99999999994"/>
    <n v="0"/>
    <n v="0"/>
    <n v="57"/>
    <n v="402272"/>
    <n v="1041756.3025210083"/>
    <n v="16"/>
    <n v="55"/>
    <n v="29"/>
    <n v="0"/>
    <n v="0"/>
    <n v="0"/>
    <n v="850960"/>
    <n v="474236.99999999994"/>
    <n v="0"/>
    <n v="0"/>
    <n v="55"/>
    <n v="850960"/>
    <n v="974546.21848739497"/>
    <n v="16"/>
    <n v="26"/>
    <n v="0"/>
    <n v="0"/>
    <n v="0"/>
    <n v="0"/>
    <n v="425177.99999999994"/>
    <n v="0"/>
    <n v="0"/>
    <n v="0"/>
    <n v="26"/>
    <n v="402272"/>
    <n v="0"/>
    <n v="0"/>
    <n v="26"/>
    <n v="0"/>
    <n v="0"/>
    <n v="0"/>
    <n v="0"/>
    <m/>
    <n v="425177.99999999994"/>
    <n v="0"/>
    <n v="0"/>
    <n v="0"/>
    <n v="26"/>
    <n v="425177.99999999994"/>
    <n v="0"/>
    <n v="0"/>
    <n v="26"/>
    <n v="0"/>
    <m/>
    <n v="0"/>
    <n v="0"/>
    <n v="425177.99999999994"/>
    <n v="0"/>
    <n v="0"/>
    <n v="0"/>
    <n v="26"/>
    <n v="425177.99999999994"/>
    <n v="0"/>
    <n v="0"/>
    <n v="26"/>
    <n v="0"/>
    <n v="0"/>
    <n v="0"/>
    <n v="425177.99999999994"/>
    <n v="0"/>
    <n v="0"/>
    <n v="0"/>
    <n v="26"/>
    <n v="425177.99999999994"/>
    <n v="0"/>
    <n v="0"/>
    <n v="26"/>
    <n v="0"/>
    <n v="0"/>
    <m/>
    <n v="425177.99999999994"/>
    <n v="0"/>
    <n v="0"/>
    <n v="26"/>
    <n v="425177.99999999994"/>
    <n v="0"/>
  </r>
  <r>
    <s v="Lhotse-Vestuario"/>
    <x v="4"/>
    <x v="21"/>
    <x v="52"/>
    <s v="LTW25-MKF05"/>
    <x v="478"/>
    <x v="379"/>
    <x v="0"/>
    <x v="2"/>
    <n v="1"/>
    <x v="311"/>
    <n v="52"/>
    <m/>
    <n v="0"/>
    <n v="15472"/>
    <n v="804544"/>
    <n v="15.8"/>
    <n v="17261.5"/>
    <n v="33605.042016806721"/>
    <n v="23521.008403361346"/>
    <s v="Shenzhen"/>
    <x v="0"/>
    <n v="30"/>
    <m/>
    <n v="1"/>
    <n v="0"/>
    <s v=""/>
    <n v="0"/>
    <s v=""/>
    <n v="0"/>
    <s v=""/>
    <n v="0"/>
    <n v="6.4632885212230998E-6"/>
    <n v="0"/>
    <s v=""/>
    <n v="1"/>
    <n v="0.38607665888629544"/>
    <n v="2"/>
    <n v="0.1991355660230861"/>
    <n v="1"/>
    <n v="0.3860844377430363"/>
    <n v="1"/>
    <n v="0.59078790764103783"/>
    <n v="2"/>
    <n v="0.4333363854450894"/>
    <n v="0"/>
    <s v=""/>
    <n v="0"/>
    <s v=""/>
    <n v="0"/>
    <s v=""/>
    <n v="0"/>
    <s v=""/>
    <n v="0"/>
    <s v=""/>
    <n v="2"/>
    <n v="0.47065711453149711"/>
    <n v="0.66666666666666663"/>
    <n v="0"/>
    <s v=""/>
    <n v="0"/>
    <n v="5"/>
    <n v="-4.5891561664757538E-3"/>
    <n v="0.18518518518518517"/>
    <n v="3"/>
    <n v="0.19237103754825124"/>
    <n v="0.13636363636363635"/>
    <n v="4"/>
    <n v="0.15887629201369247"/>
    <n v="0.18181818181818182"/>
    <n v="1"/>
    <n v="0.31635224620770125"/>
    <n v="4.5454545454545456E-2"/>
    <m/>
    <m/>
    <m/>
    <m/>
    <m/>
    <m/>
    <m/>
    <m/>
    <m/>
    <n v="4"/>
    <n v="64"/>
    <n v="4"/>
    <n v="0"/>
    <n v="0"/>
    <n v="0"/>
    <n v="61888"/>
    <n v="1046591.9999999999"/>
    <n v="61888"/>
    <n v="0"/>
    <n v="52"/>
    <n v="804544"/>
    <n v="112958.12442624109"/>
    <n v="1"/>
    <n v="64"/>
    <n v="0"/>
    <n v="0"/>
    <n v="0"/>
    <n v="0"/>
    <n v="30944"/>
    <n v="1046591.9999999999"/>
    <n v="0"/>
    <n v="0"/>
    <n v="52"/>
    <n v="804544"/>
    <n v="0"/>
    <n v="3"/>
    <n v="64"/>
    <n v="0"/>
    <n v="0"/>
    <n v="0"/>
    <n v="80003"/>
    <n v="990208"/>
    <n v="0"/>
    <n v="0"/>
    <n v="52"/>
    <n v="804544"/>
    <n v="0"/>
    <n v="3"/>
    <n v="64"/>
    <n v="2"/>
    <n v="0"/>
    <n v="0"/>
    <n v="1046591.9999999999"/>
    <n v="30944"/>
    <x v="0"/>
    <x v="0"/>
    <n v="52"/>
    <n v="804544"/>
    <n v="67210.084033613442"/>
    <n v="3"/>
    <n v="52"/>
    <n v="3"/>
    <m/>
    <n v="0"/>
    <n v="0"/>
    <n v="804544"/>
    <n v="49058.999999999993"/>
    <x v="0"/>
    <n v="0"/>
    <n v="52"/>
    <n v="804544"/>
    <n v="100815.12605042016"/>
    <n v="27"/>
    <n v="57"/>
    <n v="5"/>
    <m/>
    <n v="0"/>
    <n v="0"/>
    <n v="881904"/>
    <n v="81764.999999999985"/>
    <n v="0"/>
    <n v="0"/>
    <n v="57"/>
    <n v="804544"/>
    <n v="168025.21008403361"/>
    <n v="22"/>
    <n v="55"/>
    <n v="3"/>
    <n v="0"/>
    <n v="0"/>
    <n v="0"/>
    <n v="850960"/>
    <n v="49058.999999999993"/>
    <n v="0"/>
    <n v="0"/>
    <n v="55"/>
    <n v="804544"/>
    <n v="100815.12605042016"/>
    <n v="22"/>
    <n v="56"/>
    <n v="4"/>
    <n v="0"/>
    <n v="0"/>
    <n v="0"/>
    <n v="866432"/>
    <n v="65411.999999999993"/>
    <n v="0"/>
    <n v="0"/>
    <n v="56"/>
    <n v="866432"/>
    <n v="134420.16806722688"/>
    <n v="22"/>
    <n v="53"/>
    <n v="0"/>
    <n v="0"/>
    <n v="0"/>
    <n v="0"/>
    <n v="866708.99999999988"/>
    <n v="0"/>
    <n v="0"/>
    <n v="0"/>
    <n v="52"/>
    <n v="804544"/>
    <n v="0"/>
    <n v="0"/>
    <n v="53"/>
    <n v="0"/>
    <n v="0"/>
    <n v="0"/>
    <n v="0"/>
    <m/>
    <n v="866708.99999999988"/>
    <n v="0"/>
    <n v="0"/>
    <n v="0"/>
    <n v="53"/>
    <n v="866708.99999999988"/>
    <n v="0"/>
    <n v="0"/>
    <n v="53"/>
    <n v="0"/>
    <m/>
    <n v="0"/>
    <n v="0"/>
    <n v="866708.99999999988"/>
    <n v="0"/>
    <n v="0"/>
    <n v="0"/>
    <n v="53"/>
    <n v="866708.99999999988"/>
    <n v="0"/>
    <n v="0"/>
    <n v="53"/>
    <n v="0"/>
    <n v="0"/>
    <n v="0"/>
    <n v="866708.99999999988"/>
    <n v="0"/>
    <n v="0"/>
    <n v="0"/>
    <n v="53"/>
    <n v="866708.99999999988"/>
    <n v="0"/>
    <n v="0"/>
    <n v="53"/>
    <n v="0"/>
    <n v="0"/>
    <m/>
    <n v="866708.99999999988"/>
    <n v="0"/>
    <n v="0"/>
    <n v="53"/>
    <n v="866708.99999999988"/>
    <n v="0"/>
  </r>
  <r>
    <m/>
    <x v="4"/>
    <x v="21"/>
    <x v="52"/>
    <s v="LTW25-MKF05"/>
    <x v="479"/>
    <x v="379"/>
    <x v="0"/>
    <x v="2"/>
    <n v="1"/>
    <x v="31"/>
    <n v="18"/>
    <m/>
    <n v="0"/>
    <n v="15472"/>
    <n v="278496"/>
    <n v="15.8"/>
    <n v="17261.5"/>
    <n v="33605.042016806721"/>
    <n v="23521.008403361346"/>
    <s v="Shenzhen"/>
    <x v="0"/>
    <n v="30"/>
    <m/>
    <n v="1"/>
    <n v="0"/>
    <s v=""/>
    <n v="0"/>
    <s v=""/>
    <n v="0"/>
    <s v=""/>
    <n v="0"/>
    <s v=""/>
    <n v="0"/>
    <s v=""/>
    <n v="1"/>
    <n v="0.38608483453694153"/>
    <n v="1"/>
    <n v="0.38608483453694153"/>
    <n v="0"/>
    <s v=""/>
    <n v="0"/>
    <s v=""/>
    <n v="3"/>
    <n v="7.1096173733571666E-6"/>
    <n v="2"/>
    <n v="0.38608265217046267"/>
    <n v="0"/>
    <s v=""/>
    <n v="0"/>
    <s v=""/>
    <n v="0"/>
    <s v=""/>
    <n v="0"/>
    <s v=""/>
    <n v="0"/>
    <s v=""/>
    <n v="0"/>
    <n v="0"/>
    <s v=""/>
    <n v="0"/>
    <n v="0"/>
    <s v=""/>
    <n v="0"/>
    <n v="9"/>
    <n v="0.12090909090909091"/>
    <n v="1.2857142857142858"/>
    <n v="9"/>
    <n v="7.7736745270520893E-2"/>
    <n v="1.2857142857142858"/>
    <n v="1"/>
    <n v="-0.26008129996492646"/>
    <n v="0.14285714285714285"/>
    <m/>
    <m/>
    <m/>
    <m/>
    <m/>
    <m/>
    <m/>
    <m/>
    <m/>
    <n v="2"/>
    <n v="31"/>
    <n v="2"/>
    <n v="0"/>
    <n v="0"/>
    <n v="0"/>
    <n v="30944"/>
    <n v="506942.99999999994"/>
    <n v="30944"/>
    <n v="0"/>
    <n v="18"/>
    <n v="278496"/>
    <n v="56479.062213120545"/>
    <n v="1"/>
    <n v="22"/>
    <n v="0"/>
    <n v="0"/>
    <n v="0"/>
    <n v="0"/>
    <n v="0"/>
    <n v="359765.99999999994"/>
    <n v="0"/>
    <n v="0"/>
    <n v="18"/>
    <n v="278496"/>
    <n v="0"/>
    <n v="2"/>
    <n v="22"/>
    <n v="0"/>
    <n v="0"/>
    <n v="0"/>
    <n v="32705.999999999996"/>
    <n v="340384"/>
    <n v="0"/>
    <n v="0"/>
    <n v="18"/>
    <n v="278496"/>
    <n v="0"/>
    <n v="2"/>
    <n v="22"/>
    <n v="0"/>
    <n v="0"/>
    <n v="0"/>
    <n v="359765.99999999994"/>
    <n v="0"/>
    <x v="0"/>
    <x v="0"/>
    <n v="18"/>
    <n v="278496"/>
    <n v="0"/>
    <n v="2"/>
    <n v="18"/>
    <n v="2"/>
    <m/>
    <n v="0"/>
    <n v="0"/>
    <n v="278496"/>
    <n v="32705.999999999996"/>
    <x v="0"/>
    <n v="0"/>
    <n v="18"/>
    <n v="278496"/>
    <n v="67210.084033613442"/>
    <n v="12"/>
    <n v="18"/>
    <n v="0"/>
    <m/>
    <n v="0"/>
    <n v="0"/>
    <n v="278496"/>
    <n v="0"/>
    <n v="0"/>
    <n v="0"/>
    <n v="18"/>
    <n v="278496"/>
    <n v="0"/>
    <n v="7"/>
    <n v="27"/>
    <n v="9"/>
    <n v="0"/>
    <n v="0"/>
    <n v="0"/>
    <n v="417744"/>
    <n v="147176.99999999997"/>
    <n v="0"/>
    <n v="0"/>
    <n v="27"/>
    <n v="278496"/>
    <n v="302445.37815126049"/>
    <n v="7"/>
    <n v="27"/>
    <n v="9"/>
    <n v="0"/>
    <n v="0"/>
    <n v="0"/>
    <n v="417744"/>
    <n v="147176.99999999997"/>
    <n v="0"/>
    <n v="0"/>
    <n v="27"/>
    <n v="417744"/>
    <n v="302445.37815126049"/>
    <n v="7"/>
    <n v="19"/>
    <n v="1.5"/>
    <n v="0"/>
    <n v="0"/>
    <n v="0"/>
    <n v="310706.99999999994"/>
    <n v="24529.499999999996"/>
    <n v="0"/>
    <n v="0"/>
    <n v="18"/>
    <n v="278496"/>
    <n v="50407.563025210082"/>
    <n v="0"/>
    <n v="17.5"/>
    <n v="0"/>
    <n v="0"/>
    <n v="0"/>
    <n v="0"/>
    <m/>
    <n v="286177.49999999994"/>
    <n v="0"/>
    <n v="0"/>
    <n v="0"/>
    <n v="17.5"/>
    <n v="286177.49999999994"/>
    <n v="0"/>
    <n v="0"/>
    <n v="17.5"/>
    <n v="0"/>
    <m/>
    <n v="0"/>
    <n v="0"/>
    <n v="286177.49999999994"/>
    <n v="0"/>
    <n v="0"/>
    <n v="0"/>
    <n v="17.5"/>
    <n v="286177.49999999994"/>
    <n v="0"/>
    <n v="0"/>
    <n v="17.5"/>
    <n v="0"/>
    <n v="0"/>
    <n v="0"/>
    <n v="286177.49999999994"/>
    <n v="0"/>
    <n v="0"/>
    <n v="0"/>
    <n v="17.5"/>
    <n v="286177.49999999994"/>
    <n v="0"/>
    <n v="0"/>
    <n v="17.5"/>
    <n v="0"/>
    <n v="0"/>
    <m/>
    <n v="286177.49999999994"/>
    <n v="0"/>
    <n v="0"/>
    <n v="17.5"/>
    <n v="286177.49999999994"/>
    <n v="0"/>
  </r>
  <r>
    <m/>
    <x v="4"/>
    <x v="21"/>
    <x v="52"/>
    <s v="LTW25-MKF05"/>
    <x v="480"/>
    <x v="379"/>
    <x v="0"/>
    <x v="2"/>
    <n v="1"/>
    <x v="312"/>
    <n v="28"/>
    <m/>
    <n v="0"/>
    <n v="15472"/>
    <n v="433216"/>
    <n v="15.8"/>
    <n v="17261.5"/>
    <n v="33605.042016806721"/>
    <n v="23521.008403361346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1"/>
    <n v="0.26324285714285717"/>
    <n v="0"/>
    <s v=""/>
    <n v="0"/>
    <s v=""/>
    <n v="0"/>
    <s v=""/>
    <n v="0"/>
    <s v=""/>
    <n v="0"/>
    <s v=""/>
    <n v="0"/>
    <s v=""/>
    <n v="0"/>
    <s v=""/>
    <n v="0"/>
    <n v="2"/>
    <n v="0.40971466128049755"/>
    <n v="1"/>
    <n v="0"/>
    <s v=""/>
    <n v="0"/>
    <n v="0"/>
    <s v=""/>
    <n v="0"/>
    <n v="0"/>
    <s v=""/>
    <n v="0"/>
    <n v="0"/>
    <s v=""/>
    <n v="0"/>
    <m/>
    <m/>
    <m/>
    <m/>
    <m/>
    <m/>
    <m/>
    <m/>
    <m/>
    <n v="2"/>
    <n v="32"/>
    <n v="2"/>
    <n v="0"/>
    <n v="0"/>
    <n v="0"/>
    <n v="30944"/>
    <n v="523295.99999999994"/>
    <n v="30944"/>
    <n v="0"/>
    <n v="28"/>
    <n v="433216"/>
    <n v="56479.062213120545"/>
    <n v="1"/>
    <n v="25"/>
    <n v="0"/>
    <n v="0"/>
    <n v="0"/>
    <n v="0"/>
    <n v="0"/>
    <n v="408824.99999999994"/>
    <n v="0"/>
    <n v="0"/>
    <n v="28"/>
    <n v="433216"/>
    <n v="0"/>
    <n v="2"/>
    <n v="25"/>
    <n v="0"/>
    <n v="0"/>
    <n v="0"/>
    <n v="32705.999999999996"/>
    <n v="386800"/>
    <n v="0"/>
    <n v="0"/>
    <n v="28"/>
    <n v="433216"/>
    <n v="0"/>
    <n v="2"/>
    <n v="25"/>
    <n v="0"/>
    <n v="0"/>
    <n v="0"/>
    <n v="408824.99999999994"/>
    <n v="0"/>
    <x v="0"/>
    <x v="0"/>
    <n v="28"/>
    <n v="433216"/>
    <n v="0"/>
    <n v="2"/>
    <n v="30"/>
    <n v="2"/>
    <m/>
    <n v="0"/>
    <n v="0"/>
    <n v="464160"/>
    <n v="32705.999999999996"/>
    <x v="0"/>
    <n v="0"/>
    <n v="28"/>
    <n v="433216"/>
    <n v="67210.084033613442"/>
    <n v="12"/>
    <n v="28"/>
    <n v="0"/>
    <m/>
    <n v="0"/>
    <n v="0"/>
    <n v="433216"/>
    <n v="0"/>
    <n v="0"/>
    <n v="0"/>
    <n v="28"/>
    <n v="433216"/>
    <n v="0"/>
    <n v="8"/>
    <n v="28"/>
    <n v="0"/>
    <n v="0"/>
    <n v="0"/>
    <n v="0"/>
    <n v="433216"/>
    <n v="0"/>
    <n v="0"/>
    <n v="0"/>
    <n v="28"/>
    <n v="433216"/>
    <n v="0"/>
    <n v="8"/>
    <n v="28"/>
    <n v="0"/>
    <n v="0"/>
    <n v="0"/>
    <n v="0"/>
    <n v="433216"/>
    <n v="0"/>
    <n v="0"/>
    <n v="0"/>
    <n v="28"/>
    <n v="433216"/>
    <n v="0"/>
    <n v="8"/>
    <n v="28"/>
    <n v="0"/>
    <n v="0"/>
    <n v="0"/>
    <n v="0"/>
    <n v="457883.99999999994"/>
    <n v="0"/>
    <n v="0"/>
    <n v="0"/>
    <n v="28"/>
    <n v="433216"/>
    <n v="0"/>
    <n v="0"/>
    <n v="28"/>
    <n v="0"/>
    <n v="0"/>
    <n v="0"/>
    <n v="0"/>
    <m/>
    <n v="457883.99999999994"/>
    <n v="0"/>
    <n v="0"/>
    <n v="0"/>
    <n v="28"/>
    <n v="457883.99999999994"/>
    <n v="0"/>
    <n v="0"/>
    <n v="28"/>
    <n v="0"/>
    <m/>
    <n v="0"/>
    <n v="0"/>
    <n v="457883.99999999994"/>
    <n v="0"/>
    <n v="0"/>
    <n v="0"/>
    <n v="28"/>
    <n v="457883.99999999994"/>
    <n v="0"/>
    <n v="0"/>
    <n v="28"/>
    <n v="0"/>
    <n v="0"/>
    <n v="0"/>
    <n v="457883.99999999994"/>
    <n v="0"/>
    <n v="0"/>
    <n v="0"/>
    <n v="28"/>
    <n v="457883.99999999994"/>
    <n v="0"/>
    <n v="0"/>
    <n v="28"/>
    <n v="0"/>
    <n v="0"/>
    <m/>
    <n v="457883.99999999994"/>
    <n v="0"/>
    <n v="0"/>
    <n v="28"/>
    <n v="457883.99999999994"/>
    <n v="0"/>
  </r>
  <r>
    <s v="Lhotse-Vestuario"/>
    <x v="4"/>
    <x v="21"/>
    <x v="52"/>
    <s v="LTW25-MKF05"/>
    <x v="481"/>
    <x v="379"/>
    <x v="0"/>
    <x v="2"/>
    <n v="1"/>
    <x v="313"/>
    <n v="2"/>
    <m/>
    <n v="0"/>
    <n v="15471"/>
    <n v="30942"/>
    <n v="15.8"/>
    <n v="17261.5"/>
    <n v="33605.042016806721"/>
    <n v="23521.008403361346"/>
    <s v="Shenzhen"/>
    <x v="0"/>
    <n v="30"/>
    <m/>
    <n v="1"/>
    <n v="0"/>
    <s v=""/>
    <n v="0"/>
    <s v=""/>
    <n v="0"/>
    <s v=""/>
    <n v="0"/>
    <s v=""/>
    <n v="0"/>
    <s v=""/>
    <n v="3"/>
    <n v="0.33026292863085122"/>
    <n v="6"/>
    <n v="0.23781666718987871"/>
    <n v="0"/>
    <n v="0.22543679599499375"/>
    <n v="1"/>
    <n v="0.26324285714285717"/>
    <n v="6"/>
    <n v="0.33134003687910568"/>
    <n v="0"/>
    <s v=""/>
    <n v="14"/>
    <n v="0.11518147096668777"/>
    <n v="13"/>
    <n v="0.12295220852488165"/>
    <n v="0"/>
    <s v=""/>
    <n v="0"/>
    <s v=""/>
    <n v="1"/>
    <n v="0.59078525045810371"/>
    <n v="0.33333333333333331"/>
    <n v="1"/>
    <n v="0.59078145489298328"/>
    <n v="0.33333333333333331"/>
    <n v="4"/>
    <n v="4.1733106832767083E-2"/>
    <n v="0.33333333333333331"/>
    <n v="3"/>
    <n v="8.3990713101160866E-2"/>
    <n v="1.5"/>
    <n v="2"/>
    <n v="7.773592140404427E-2"/>
    <n v="1"/>
    <n v="0"/>
    <s v=""/>
    <n v="0"/>
    <m/>
    <m/>
    <m/>
    <m/>
    <m/>
    <m/>
    <m/>
    <m/>
    <m/>
    <n v="2"/>
    <n v="4"/>
    <n v="2"/>
    <n v="0"/>
    <n v="0"/>
    <n v="0"/>
    <n v="30942"/>
    <n v="65411.999999999993"/>
    <n v="30942"/>
    <n v="0"/>
    <n v="2"/>
    <n v="30942"/>
    <n v="56479.062213120545"/>
    <n v="1"/>
    <n v="9"/>
    <n v="0"/>
    <n v="0"/>
    <n v="0"/>
    <n v="0"/>
    <n v="15471"/>
    <n v="147176.99999999997"/>
    <n v="0"/>
    <n v="0"/>
    <n v="2"/>
    <n v="30942"/>
    <n v="0"/>
    <n v="3"/>
    <n v="9"/>
    <n v="0"/>
    <n v="0"/>
    <n v="0"/>
    <n v="64529.999999999993"/>
    <n v="139239"/>
    <n v="0"/>
    <n v="0"/>
    <n v="2"/>
    <n v="30942"/>
    <n v="0"/>
    <n v="3"/>
    <n v="8"/>
    <n v="1"/>
    <n v="0"/>
    <n v="0"/>
    <n v="130823.99999999999"/>
    <n v="15471"/>
    <x v="0"/>
    <x v="0"/>
    <n v="2"/>
    <n v="30942"/>
    <n v="33605.042016806721"/>
    <n v="3"/>
    <n v="3"/>
    <n v="3"/>
    <m/>
    <n v="0"/>
    <n v="0"/>
    <n v="46413"/>
    <n v="49058.999999999993"/>
    <x v="0"/>
    <n v="0"/>
    <n v="2"/>
    <n v="30942"/>
    <n v="100815.12605042016"/>
    <n v="12"/>
    <n v="6"/>
    <n v="4"/>
    <m/>
    <n v="0"/>
    <n v="0"/>
    <n v="92826"/>
    <n v="65411.999999999993"/>
    <n v="0"/>
    <n v="0"/>
    <n v="6"/>
    <n v="30942"/>
    <n v="134420.16806722688"/>
    <n v="2"/>
    <n v="5"/>
    <n v="3"/>
    <n v="0"/>
    <n v="0"/>
    <n v="0"/>
    <n v="77355"/>
    <n v="49058.999999999993"/>
    <n v="0"/>
    <n v="0"/>
    <n v="5"/>
    <n v="30942"/>
    <n v="100815.12605042016"/>
    <n v="2"/>
    <n v="4"/>
    <n v="2"/>
    <n v="0"/>
    <n v="0"/>
    <n v="0"/>
    <n v="61884"/>
    <n v="32705.999999999996"/>
    <n v="0"/>
    <n v="0"/>
    <n v="4"/>
    <n v="61884"/>
    <n v="67210.084033613442"/>
    <n v="2"/>
    <n v="2"/>
    <n v="0"/>
    <n v="0"/>
    <n v="0"/>
    <n v="0"/>
    <n v="32705.999999999996"/>
    <n v="0"/>
    <n v="0"/>
    <n v="0"/>
    <n v="2"/>
    <n v="30942"/>
    <n v="0"/>
    <n v="0"/>
    <n v="2"/>
    <n v="0"/>
    <n v="0"/>
    <n v="0"/>
    <n v="0"/>
    <m/>
    <n v="32705.999999999996"/>
    <n v="0"/>
    <n v="0"/>
    <n v="0"/>
    <n v="2"/>
    <n v="32705.999999999996"/>
    <n v="0"/>
    <n v="0"/>
    <n v="2"/>
    <n v="0"/>
    <m/>
    <n v="0"/>
    <n v="0"/>
    <n v="32705.999999999996"/>
    <n v="0"/>
    <n v="0"/>
    <n v="0"/>
    <n v="2"/>
    <n v="32705.999999999996"/>
    <n v="0"/>
    <n v="0"/>
    <n v="2"/>
    <n v="0"/>
    <n v="0"/>
    <n v="0"/>
    <n v="32705.999999999996"/>
    <n v="0"/>
    <n v="0"/>
    <n v="0"/>
    <n v="2"/>
    <n v="32705.999999999996"/>
    <n v="0"/>
    <n v="0"/>
    <n v="2"/>
    <n v="0"/>
    <n v="0"/>
    <m/>
    <n v="32705.999999999996"/>
    <n v="0"/>
    <n v="0"/>
    <n v="2"/>
    <n v="32705.999999999996"/>
    <n v="0"/>
  </r>
  <r>
    <s v="Lhotse-Vestuario"/>
    <x v="4"/>
    <x v="21"/>
    <x v="52"/>
    <s v="LTW25-MKF05"/>
    <x v="482"/>
    <x v="379"/>
    <x v="0"/>
    <x v="2"/>
    <n v="1"/>
    <x v="314"/>
    <n v="2"/>
    <m/>
    <n v="0"/>
    <n v="15472"/>
    <n v="30944"/>
    <n v="15.8"/>
    <n v="17261.5"/>
    <n v="33605.042016806721"/>
    <n v="23521.008403361346"/>
    <s v="Shenzhen"/>
    <x v="0"/>
    <n v="30"/>
    <m/>
    <n v="1"/>
    <n v="0"/>
    <s v=""/>
    <n v="0"/>
    <s v=""/>
    <n v="0"/>
    <s v=""/>
    <n v="0"/>
    <s v=""/>
    <n v="0"/>
    <s v=""/>
    <n v="1"/>
    <n v="0.59078790764103783"/>
    <n v="4"/>
    <n v="0.1991355660230861"/>
    <n v="1"/>
    <n v="0.38607665888629544"/>
    <n v="0"/>
    <s v=""/>
    <n v="1"/>
    <n v="0.26324285714285717"/>
    <n v="0"/>
    <s v=""/>
    <n v="1"/>
    <n v="0.61635795581343444"/>
    <n v="0"/>
    <s v=""/>
    <n v="0"/>
    <s v=""/>
    <n v="1"/>
    <n v="0.61635792405346423"/>
    <n v="0"/>
    <s v=""/>
    <n v="0"/>
    <n v="1"/>
    <n v="0.17776661307609859"/>
    <n v="0.33333333333333331"/>
    <n v="1"/>
    <n v="1.9285714285714285E-2"/>
    <n v="8.3333333333333329E-2"/>
    <n v="21"/>
    <n v="0.1789578886345394"/>
    <n v="2.625"/>
    <n v="20"/>
    <n v="7.2528930279816495E-2"/>
    <n v="2.5"/>
    <n v="1"/>
    <n v="-0.36408770426944614"/>
    <n v="0.125"/>
    <m/>
    <m/>
    <m/>
    <m/>
    <m/>
    <m/>
    <m/>
    <m/>
    <m/>
    <n v="2"/>
    <n v="28"/>
    <n v="2"/>
    <n v="0"/>
    <n v="0"/>
    <n v="0"/>
    <n v="46416"/>
    <n v="457883.99999999994"/>
    <n v="30944"/>
    <n v="0"/>
    <n v="2"/>
    <n v="30944"/>
    <n v="56479.062213120545"/>
    <n v="1"/>
    <n v="25"/>
    <n v="0"/>
    <n v="0"/>
    <n v="0"/>
    <n v="0"/>
    <n v="15472"/>
    <n v="408824.99999999994"/>
    <n v="0"/>
    <n v="0"/>
    <n v="2"/>
    <n v="30944"/>
    <n v="0"/>
    <n v="3"/>
    <n v="25"/>
    <n v="1"/>
    <n v="0"/>
    <n v="0"/>
    <n v="64530.999999999993"/>
    <n v="386800"/>
    <n v="15472"/>
    <n v="0"/>
    <n v="2"/>
    <n v="30944"/>
    <n v="33605.042016806721"/>
    <n v="3"/>
    <n v="24"/>
    <n v="0"/>
    <n v="0"/>
    <n v="0"/>
    <n v="392471.99999999994"/>
    <n v="0"/>
    <x v="0"/>
    <x v="0"/>
    <n v="2"/>
    <n v="30944"/>
    <n v="0"/>
    <n v="3"/>
    <n v="3"/>
    <n v="3"/>
    <m/>
    <n v="0"/>
    <n v="0"/>
    <n v="46416"/>
    <n v="49058.999999999993"/>
    <x v="0"/>
    <n v="0"/>
    <n v="2"/>
    <n v="30944"/>
    <n v="100815.12605042016"/>
    <n v="12"/>
    <n v="3"/>
    <n v="1"/>
    <m/>
    <n v="0"/>
    <n v="0"/>
    <n v="46416"/>
    <n v="16352.999999999998"/>
    <n v="0"/>
    <n v="0"/>
    <n v="3"/>
    <n v="30944"/>
    <n v="33605.042016806721"/>
    <n v="8"/>
    <n v="23"/>
    <n v="21"/>
    <n v="0"/>
    <n v="0"/>
    <n v="0"/>
    <n v="355856"/>
    <n v="343412.99999999994"/>
    <n v="0"/>
    <n v="0"/>
    <n v="23"/>
    <n v="30944"/>
    <n v="705705.8823529412"/>
    <n v="8"/>
    <n v="22"/>
    <n v="20"/>
    <n v="0"/>
    <n v="0"/>
    <n v="0"/>
    <n v="340384"/>
    <n v="327059.99999999994"/>
    <n v="0"/>
    <n v="0"/>
    <n v="22"/>
    <n v="340384"/>
    <n v="672100.84033613442"/>
    <n v="8"/>
    <n v="3"/>
    <n v="1.5"/>
    <n v="0"/>
    <n v="0"/>
    <n v="0"/>
    <n v="49058.999999999993"/>
    <n v="24529.499999999996"/>
    <n v="0"/>
    <n v="0"/>
    <n v="2"/>
    <n v="30944"/>
    <n v="50407.563025210082"/>
    <n v="0"/>
    <n v="1.5"/>
    <n v="0"/>
    <n v="0"/>
    <n v="0"/>
    <n v="0"/>
    <m/>
    <n v="24529.499999999996"/>
    <n v="0"/>
    <n v="0"/>
    <n v="0"/>
    <n v="1.5"/>
    <n v="24529.499999999996"/>
    <n v="0"/>
    <n v="0"/>
    <n v="1.5"/>
    <n v="0"/>
    <m/>
    <n v="0"/>
    <n v="0"/>
    <n v="24529.499999999996"/>
    <n v="0"/>
    <n v="0"/>
    <n v="0"/>
    <n v="1.5"/>
    <n v="24529.499999999996"/>
    <n v="0"/>
    <n v="0"/>
    <n v="1.5"/>
    <n v="0"/>
    <n v="0"/>
    <n v="0"/>
    <n v="24529.499999999996"/>
    <n v="0"/>
    <n v="0"/>
    <n v="0"/>
    <n v="1.5"/>
    <n v="24529.499999999996"/>
    <n v="0"/>
    <n v="0"/>
    <n v="1.5"/>
    <n v="0"/>
    <n v="0"/>
    <m/>
    <n v="24529.499999999996"/>
    <n v="0"/>
    <n v="0"/>
    <n v="1.5"/>
    <n v="24529.499999999996"/>
    <n v="0"/>
  </r>
  <r>
    <s v="Lhotse-Vestuario"/>
    <x v="4"/>
    <x v="21"/>
    <x v="52"/>
    <s v="LTW25-MKF07"/>
    <x v="483"/>
    <x v="380"/>
    <x v="0"/>
    <x v="2"/>
    <n v="1"/>
    <x v="315"/>
    <n v="81"/>
    <m/>
    <n v="0"/>
    <n v="17137"/>
    <n v="1388097"/>
    <n v="17.5"/>
    <n v="19118.75"/>
    <n v="42008.403361344543"/>
    <n v="25201.680672268907"/>
    <s v="Shenzhen"/>
    <x v="0"/>
    <n v="30"/>
    <m/>
    <n v="1"/>
    <n v="0"/>
    <s v=""/>
    <n v="0"/>
    <s v=""/>
    <n v="0"/>
    <s v=""/>
    <n v="0"/>
    <s v=""/>
    <n v="1"/>
    <n v="0.66006922954852021"/>
    <n v="3"/>
    <n v="0.26358156641122749"/>
    <n v="6"/>
    <n v="0.48124072919252414"/>
    <n v="1"/>
    <n v="0.41718226031357342"/>
    <n v="0"/>
    <s v=""/>
    <n v="2"/>
    <n v="0.44041960553814002"/>
    <n v="0"/>
    <s v=""/>
    <n v="2"/>
    <n v="0.49762546904315197"/>
    <n v="0"/>
    <s v=""/>
    <n v="0"/>
    <s v=""/>
    <n v="0"/>
    <s v=""/>
    <n v="1"/>
    <n v="0"/>
    <n v="1"/>
    <n v="0"/>
    <s v=""/>
    <n v="0"/>
    <n v="6"/>
    <n v="-2.4800679444911055E-2"/>
    <n v="0.15384615384615385"/>
    <n v="6"/>
    <n v="0.24445924416450537"/>
    <n v="0.20689655172413793"/>
    <n v="4"/>
    <n v="0.21575128801663954"/>
    <n v="0.13793103448275862"/>
    <n v="1"/>
    <n v="-2.6042332561549517E-2"/>
    <n v="3.4482758620689655E-2"/>
    <m/>
    <m/>
    <m/>
    <m/>
    <m/>
    <m/>
    <m/>
    <m/>
    <m/>
    <n v="1"/>
    <n v="105"/>
    <n v="1"/>
    <n v="0"/>
    <n v="0"/>
    <n v="0"/>
    <n v="17137"/>
    <n v="1901812.5"/>
    <n v="17137"/>
    <n v="0"/>
    <n v="81"/>
    <n v="1388097"/>
    <n v="35301.179295247515"/>
    <n v="1"/>
    <n v="87"/>
    <n v="0"/>
    <n v="0"/>
    <n v="0"/>
    <n v="0"/>
    <n v="17137"/>
    <n v="1575787.5"/>
    <n v="0"/>
    <n v="0"/>
    <n v="81"/>
    <n v="1388097"/>
    <n v="0"/>
    <n v="1"/>
    <n v="87"/>
    <n v="0"/>
    <n v="0"/>
    <n v="0"/>
    <n v="71474.5"/>
    <n v="1490919"/>
    <n v="0"/>
    <n v="0"/>
    <n v="81"/>
    <n v="1388097"/>
    <n v="0"/>
    <n v="1"/>
    <n v="87"/>
    <n v="1"/>
    <n v="0"/>
    <n v="0"/>
    <n v="1575787.5"/>
    <n v="17137"/>
    <x v="0"/>
    <x v="0"/>
    <n v="81"/>
    <n v="1388097"/>
    <n v="42008.403361344543"/>
    <n v="3"/>
    <n v="81"/>
    <n v="3"/>
    <m/>
    <n v="0"/>
    <n v="0"/>
    <n v="1388097"/>
    <n v="54337.5"/>
    <x v="0"/>
    <n v="0"/>
    <n v="81"/>
    <n v="1388097"/>
    <n v="126025.21008403364"/>
    <n v="39"/>
    <n v="87"/>
    <n v="6"/>
    <m/>
    <n v="0"/>
    <n v="0"/>
    <n v="1490919"/>
    <n v="108675"/>
    <n v="0"/>
    <n v="0"/>
    <n v="87"/>
    <n v="1388097"/>
    <n v="252050.42016806727"/>
    <n v="29"/>
    <n v="87"/>
    <n v="6"/>
    <n v="0"/>
    <n v="0"/>
    <n v="0"/>
    <n v="1490919"/>
    <n v="108675"/>
    <n v="0"/>
    <n v="0"/>
    <n v="87"/>
    <n v="1388097"/>
    <n v="252050.42016806727"/>
    <n v="29"/>
    <n v="85"/>
    <n v="4"/>
    <n v="0"/>
    <n v="0"/>
    <n v="0"/>
    <n v="1456645"/>
    <n v="72450"/>
    <n v="0"/>
    <n v="0"/>
    <n v="85"/>
    <n v="1456645"/>
    <n v="168033.61344537817"/>
    <n v="29"/>
    <n v="82"/>
    <n v="0"/>
    <n v="0"/>
    <n v="0"/>
    <n v="0"/>
    <n v="1485225"/>
    <n v="0"/>
    <n v="0"/>
    <n v="0"/>
    <n v="81"/>
    <n v="1388097"/>
    <n v="0"/>
    <n v="0"/>
    <n v="82"/>
    <n v="0"/>
    <n v="0"/>
    <n v="0"/>
    <n v="0"/>
    <m/>
    <n v="1485225"/>
    <n v="0"/>
    <n v="0"/>
    <n v="0"/>
    <n v="82"/>
    <n v="1485225"/>
    <n v="0"/>
    <n v="0"/>
    <n v="82"/>
    <n v="0"/>
    <m/>
    <n v="0"/>
    <n v="0"/>
    <n v="1485225"/>
    <n v="0"/>
    <n v="0"/>
    <n v="0"/>
    <n v="82"/>
    <n v="1485225"/>
    <n v="0"/>
    <n v="0"/>
    <n v="82"/>
    <n v="0"/>
    <n v="0"/>
    <n v="0"/>
    <n v="1485225"/>
    <n v="0"/>
    <n v="0"/>
    <n v="0"/>
    <n v="82"/>
    <n v="1485225"/>
    <n v="0"/>
    <n v="0"/>
    <n v="82"/>
    <n v="0"/>
    <n v="0"/>
    <m/>
    <n v="1485225"/>
    <n v="0"/>
    <n v="0"/>
    <n v="82"/>
    <n v="1485225"/>
    <n v="0"/>
  </r>
  <r>
    <s v="Lhotse-Vestuario"/>
    <x v="4"/>
    <x v="21"/>
    <x v="52"/>
    <s v="LTW25-MKF07"/>
    <x v="484"/>
    <x v="380"/>
    <x v="0"/>
    <x v="2"/>
    <n v="1"/>
    <x v="316"/>
    <n v="86"/>
    <m/>
    <n v="0"/>
    <n v="17137"/>
    <n v="1473782"/>
    <n v="17.5"/>
    <n v="19118.75"/>
    <n v="42008.403361344543"/>
    <n v="25201.680672268907"/>
    <s v="Shenzhen"/>
    <x v="0"/>
    <n v="30"/>
    <m/>
    <n v="1"/>
    <n v="0"/>
    <s v=""/>
    <n v="0"/>
    <s v=""/>
    <n v="0"/>
    <s v=""/>
    <n v="0"/>
    <s v=""/>
    <n v="0"/>
    <s v=""/>
    <n v="7"/>
    <n v="0.46846717172984209"/>
    <n v="11"/>
    <n v="0.30280632404715985"/>
    <n v="0"/>
    <s v=""/>
    <n v="2"/>
    <n v="0.3200167789263087"/>
    <n v="2"/>
    <n v="0.61150914737820494"/>
    <n v="0"/>
    <s v=""/>
    <n v="3"/>
    <n v="0.55401818244907874"/>
    <n v="0"/>
    <s v=""/>
    <n v="1"/>
    <n v="0.63578595138064453"/>
    <n v="1"/>
    <n v="0.63578595138064453"/>
    <n v="0"/>
    <s v=""/>
    <n v="0"/>
    <n v="1"/>
    <n v="0.63578457636805263"/>
    <n v="0.33333333333333331"/>
    <n v="6"/>
    <n v="0.43862986826700162"/>
    <n v="0.15384615384615385"/>
    <n v="4"/>
    <n v="0.46604503501996464"/>
    <n v="2"/>
    <n v="1"/>
    <n v="0.63578457636805263"/>
    <n v="0.5"/>
    <n v="2"/>
    <n v="-7.4808639571970884E-2"/>
    <n v="1"/>
    <m/>
    <m/>
    <m/>
    <m/>
    <m/>
    <m/>
    <m/>
    <m/>
    <m/>
    <n v="1"/>
    <n v="105"/>
    <n v="1"/>
    <n v="0"/>
    <n v="0"/>
    <n v="0"/>
    <n v="59979.5"/>
    <n v="1901812.5"/>
    <n v="17137"/>
    <n v="0"/>
    <n v="86"/>
    <n v="1473782"/>
    <n v="35301.179295247515"/>
    <n v="1"/>
    <n v="109"/>
    <n v="1.5"/>
    <n v="0"/>
    <n v="0"/>
    <n v="0"/>
    <n v="42842.5"/>
    <n v="1974262.5"/>
    <n v="25705.5"/>
    <n v="0"/>
    <n v="86"/>
    <n v="1473782"/>
    <n v="52951.768942871277"/>
    <n v="1"/>
    <n v="108"/>
    <n v="1"/>
    <n v="0"/>
    <n v="0"/>
    <n v="71474.5"/>
    <n v="1850796"/>
    <n v="17137"/>
    <n v="0"/>
    <n v="86"/>
    <n v="1473782"/>
    <n v="42008.403361344543"/>
    <n v="1"/>
    <n v="115"/>
    <n v="0"/>
    <n v="0"/>
    <n v="0"/>
    <n v="2082937.5"/>
    <n v="0"/>
    <x v="0"/>
    <x v="0"/>
    <n v="86"/>
    <n v="1473782"/>
    <n v="0"/>
    <n v="3"/>
    <n v="87"/>
    <n v="3"/>
    <m/>
    <n v="0"/>
    <n v="0"/>
    <n v="1490919"/>
    <n v="54337.5"/>
    <x v="0"/>
    <n v="0"/>
    <n v="86"/>
    <n v="1473782"/>
    <n v="126025.21008403364"/>
    <n v="39"/>
    <n v="92"/>
    <n v="6"/>
    <m/>
    <n v="0"/>
    <n v="0"/>
    <n v="1576604"/>
    <n v="108675"/>
    <n v="0"/>
    <n v="0"/>
    <n v="92"/>
    <n v="1473782"/>
    <n v="252050.42016806727"/>
    <n v="2"/>
    <n v="90"/>
    <n v="4"/>
    <n v="0"/>
    <n v="0"/>
    <n v="0"/>
    <n v="1542330"/>
    <n v="72450"/>
    <n v="0"/>
    <n v="0"/>
    <n v="90"/>
    <n v="1473782"/>
    <n v="168033.61344537817"/>
    <n v="2"/>
    <n v="87"/>
    <n v="1"/>
    <n v="0"/>
    <n v="0"/>
    <n v="0"/>
    <n v="1490919"/>
    <n v="18112.5"/>
    <n v="0"/>
    <n v="0"/>
    <n v="87"/>
    <n v="1490919"/>
    <n v="42008.403361344543"/>
    <n v="2"/>
    <n v="88"/>
    <n v="3"/>
    <n v="0"/>
    <n v="0"/>
    <n v="0"/>
    <n v="1593900"/>
    <n v="54337.5"/>
    <n v="0"/>
    <n v="0"/>
    <n v="86"/>
    <n v="1473782"/>
    <n v="126025.21008403364"/>
    <n v="0"/>
    <n v="85"/>
    <n v="0"/>
    <n v="0"/>
    <n v="0"/>
    <n v="0"/>
    <m/>
    <n v="1539562.5"/>
    <n v="0"/>
    <n v="0"/>
    <n v="0"/>
    <n v="85"/>
    <n v="1539562.5"/>
    <n v="0"/>
    <n v="0"/>
    <n v="85"/>
    <n v="0"/>
    <m/>
    <n v="0"/>
    <n v="0"/>
    <n v="1539562.5"/>
    <n v="0"/>
    <n v="0"/>
    <n v="0"/>
    <n v="85"/>
    <n v="1539562.5"/>
    <n v="0"/>
    <n v="0"/>
    <n v="85"/>
    <n v="0"/>
    <n v="0"/>
    <n v="0"/>
    <n v="1539562.5"/>
    <n v="0"/>
    <n v="0"/>
    <n v="0"/>
    <n v="85"/>
    <n v="1539562.5"/>
    <n v="0"/>
    <n v="0"/>
    <n v="85"/>
    <n v="0"/>
    <n v="0"/>
    <m/>
    <n v="1539562.5"/>
    <n v="0"/>
    <n v="0"/>
    <n v="85"/>
    <n v="1539562.5"/>
    <n v="0"/>
  </r>
  <r>
    <s v="Lhotse-Vestuario"/>
    <x v="4"/>
    <x v="21"/>
    <x v="52"/>
    <s v="LTW25-MKF07"/>
    <x v="485"/>
    <x v="380"/>
    <x v="0"/>
    <x v="2"/>
    <n v="1"/>
    <x v="317"/>
    <n v="46"/>
    <m/>
    <n v="0"/>
    <n v="17137"/>
    <n v="788302"/>
    <n v="17.5"/>
    <n v="19118.75"/>
    <n v="42008.403361344543"/>
    <n v="25201.680672268907"/>
    <s v="Shenzhen"/>
    <x v="0"/>
    <n v="30"/>
    <m/>
    <n v="1"/>
    <n v="0"/>
    <s v=""/>
    <n v="0"/>
    <s v=""/>
    <n v="0"/>
    <s v=""/>
    <n v="1"/>
    <n v="0.66006903118305171"/>
    <n v="0"/>
    <s v=""/>
    <n v="3"/>
    <n v="0.56293609292799585"/>
    <n v="4"/>
    <n v="0.30408588463485942"/>
    <n v="2"/>
    <n v="0.41718192021222328"/>
    <n v="4"/>
    <n v="0.32002584845244397"/>
    <n v="1"/>
    <n v="0.18397095238095235"/>
    <n v="0"/>
    <s v=""/>
    <n v="1"/>
    <n v="0.19058190062346494"/>
    <n v="0"/>
    <s v=""/>
    <n v="0"/>
    <s v=""/>
    <n v="0"/>
    <s v=""/>
    <n v="0"/>
    <s v=""/>
    <n v="0"/>
    <n v="1"/>
    <n v="0.32001833944648217"/>
    <n v="0.33333333333333331"/>
    <n v="9"/>
    <n v="4.3749336881194374E-2"/>
    <n v="0.33333333333333331"/>
    <n v="8"/>
    <n v="0.31605414968724316"/>
    <n v="0.36363636363636365"/>
    <n v="4"/>
    <n v="-0.15142267398176895"/>
    <n v="0.18181818181818182"/>
    <n v="-1"/>
    <n v="0.21538130050019239"/>
    <n v="-4.5454545454545456E-2"/>
    <m/>
    <m/>
    <m/>
    <m/>
    <m/>
    <m/>
    <m/>
    <m/>
    <m/>
    <n v="1"/>
    <n v="66"/>
    <n v="1"/>
    <n v="0"/>
    <n v="0"/>
    <n v="0"/>
    <n v="17137"/>
    <n v="1195425"/>
    <n v="17137"/>
    <n v="0"/>
    <n v="46"/>
    <n v="788302"/>
    <n v="35301.179295247515"/>
    <n v="1"/>
    <n v="66"/>
    <n v="0"/>
    <n v="0"/>
    <n v="0"/>
    <n v="0"/>
    <n v="0"/>
    <n v="1195425"/>
    <n v="0"/>
    <n v="0"/>
    <n v="46"/>
    <n v="788302"/>
    <n v="0"/>
    <n v="1"/>
    <n v="66"/>
    <n v="0"/>
    <n v="0"/>
    <n v="0"/>
    <n v="54337.5"/>
    <n v="1131042"/>
    <n v="0"/>
    <n v="0"/>
    <n v="46"/>
    <n v="788302"/>
    <n v="0"/>
    <n v="1"/>
    <n v="67"/>
    <n v="0"/>
    <n v="0"/>
    <n v="0"/>
    <n v="1213537.5"/>
    <n v="0"/>
    <x v="0"/>
    <x v="0"/>
    <n v="46"/>
    <n v="788302"/>
    <n v="0"/>
    <n v="3"/>
    <n v="47"/>
    <n v="3"/>
    <m/>
    <n v="0"/>
    <n v="0"/>
    <n v="805439"/>
    <n v="54337.5"/>
    <x v="0"/>
    <n v="0"/>
    <n v="46"/>
    <n v="788302"/>
    <n v="126025.21008403364"/>
    <n v="27"/>
    <n v="55"/>
    <n v="9"/>
    <m/>
    <n v="0"/>
    <n v="0"/>
    <n v="942535"/>
    <n v="163012.5"/>
    <n v="0"/>
    <n v="0"/>
    <n v="55"/>
    <n v="788302"/>
    <n v="378075.63025210088"/>
    <n v="22"/>
    <n v="54"/>
    <n v="8"/>
    <n v="0"/>
    <n v="0"/>
    <n v="0"/>
    <n v="925398"/>
    <n v="144900"/>
    <n v="0"/>
    <n v="0"/>
    <n v="54"/>
    <n v="788302"/>
    <n v="336067.22689075634"/>
    <n v="22"/>
    <n v="50"/>
    <n v="4"/>
    <n v="0"/>
    <n v="0"/>
    <n v="0"/>
    <n v="856850"/>
    <n v="72450"/>
    <n v="0"/>
    <n v="0"/>
    <n v="50"/>
    <n v="856850"/>
    <n v="168033.61344537817"/>
    <n v="22"/>
    <n v="45"/>
    <n v="0"/>
    <n v="0"/>
    <n v="0"/>
    <n v="0"/>
    <n v="815062.5"/>
    <n v="0"/>
    <n v="0"/>
    <n v="0"/>
    <n v="46"/>
    <n v="788302"/>
    <n v="0"/>
    <n v="0"/>
    <n v="45"/>
    <n v="0"/>
    <n v="0"/>
    <n v="0"/>
    <n v="0"/>
    <m/>
    <n v="815062.5"/>
    <n v="0"/>
    <n v="0"/>
    <n v="0"/>
    <n v="45"/>
    <n v="815062.5"/>
    <n v="0"/>
    <n v="0"/>
    <n v="45"/>
    <n v="0"/>
    <m/>
    <n v="0"/>
    <n v="0"/>
    <n v="815062.5"/>
    <n v="0"/>
    <n v="0"/>
    <n v="0"/>
    <n v="45"/>
    <n v="815062.5"/>
    <n v="0"/>
    <n v="0"/>
    <n v="45"/>
    <n v="0"/>
    <n v="0"/>
    <n v="0"/>
    <n v="815062.5"/>
    <n v="0"/>
    <n v="0"/>
    <n v="0"/>
    <n v="45"/>
    <n v="815062.5"/>
    <n v="0"/>
    <n v="0"/>
    <n v="45"/>
    <n v="0"/>
    <n v="0"/>
    <m/>
    <n v="815062.5"/>
    <n v="0"/>
    <n v="0"/>
    <n v="45"/>
    <n v="815062.5"/>
    <n v="0"/>
  </r>
  <r>
    <s v="Lhotse-Vestuario"/>
    <x v="4"/>
    <x v="21"/>
    <x v="52"/>
    <s v="LTW25-MKF07"/>
    <x v="486"/>
    <x v="380"/>
    <x v="0"/>
    <x v="2"/>
    <n v="1"/>
    <x v="318"/>
    <n v="60"/>
    <m/>
    <n v="0"/>
    <n v="17137"/>
    <n v="1028220"/>
    <n v="17.5"/>
    <n v="19118.75"/>
    <n v="42008.403361344543"/>
    <n v="25201.680672268907"/>
    <s v="Shenzhen"/>
    <x v="0"/>
    <n v="30"/>
    <m/>
    <n v="1"/>
    <n v="0"/>
    <s v=""/>
    <n v="0"/>
    <s v=""/>
    <n v="0"/>
    <s v=""/>
    <n v="0"/>
    <s v=""/>
    <n v="0"/>
    <s v=""/>
    <n v="3"/>
    <n v="0.41718228065161483"/>
    <n v="10"/>
    <n v="0.32227135165289811"/>
    <n v="1"/>
    <n v="0.23598751671868037"/>
    <n v="1"/>
    <n v="0.61150733377162159"/>
    <n v="1"/>
    <n v="0.61150733377162159"/>
    <n v="0"/>
    <s v=""/>
    <n v="0"/>
    <s v=""/>
    <n v="0"/>
    <s v=""/>
    <n v="0"/>
    <s v=""/>
    <n v="0"/>
    <s v=""/>
    <n v="0"/>
    <s v=""/>
    <n v="0"/>
    <n v="0"/>
    <s v=""/>
    <n v="0"/>
    <n v="3"/>
    <n v="0.63578457636805252"/>
    <n v="0.1111111111111111"/>
    <n v="2"/>
    <n v="-5.8354787298403004E-6"/>
    <n v="0.1"/>
    <n v="0"/>
    <s v=""/>
    <n v="0"/>
    <n v="0"/>
    <s v=""/>
    <n v="0"/>
    <m/>
    <m/>
    <m/>
    <m/>
    <m/>
    <m/>
    <m/>
    <m/>
    <m/>
    <n v="1"/>
    <n v="74"/>
    <n v="1"/>
    <n v="0"/>
    <n v="0"/>
    <n v="0"/>
    <n v="17137"/>
    <n v="1340325"/>
    <n v="17137"/>
    <n v="0"/>
    <n v="60"/>
    <n v="1028220"/>
    <n v="35301.179295247515"/>
    <n v="1"/>
    <n v="60"/>
    <n v="0"/>
    <n v="0"/>
    <n v="0"/>
    <n v="0"/>
    <n v="0"/>
    <n v="1086750"/>
    <n v="0"/>
    <n v="0"/>
    <n v="60"/>
    <n v="1028220"/>
    <n v="0"/>
    <n v="1"/>
    <n v="60"/>
    <n v="0"/>
    <n v="0"/>
    <n v="0"/>
    <n v="54337.5"/>
    <n v="1028220"/>
    <n v="0"/>
    <n v="0"/>
    <n v="60"/>
    <n v="1028220"/>
    <n v="0"/>
    <n v="1"/>
    <n v="60"/>
    <n v="0"/>
    <n v="0"/>
    <n v="0"/>
    <n v="1086750"/>
    <n v="0"/>
    <x v="0"/>
    <x v="0"/>
    <n v="60"/>
    <n v="1028220"/>
    <n v="0"/>
    <n v="3"/>
    <n v="60"/>
    <n v="3"/>
    <m/>
    <n v="0"/>
    <n v="0"/>
    <n v="1028220"/>
    <n v="54337.5"/>
    <x v="0"/>
    <n v="0"/>
    <n v="60"/>
    <n v="1028220"/>
    <n v="126025.21008403364"/>
    <n v="27"/>
    <n v="63"/>
    <n v="3"/>
    <m/>
    <n v="0"/>
    <n v="0"/>
    <n v="1079631"/>
    <n v="54337.5"/>
    <n v="0"/>
    <n v="0"/>
    <n v="63"/>
    <n v="1028220"/>
    <n v="126025.21008403364"/>
    <n v="20"/>
    <n v="62"/>
    <n v="2"/>
    <n v="0"/>
    <n v="0"/>
    <n v="0"/>
    <n v="1062494"/>
    <n v="36225"/>
    <n v="0"/>
    <n v="0"/>
    <n v="62"/>
    <n v="1028220"/>
    <n v="84016.806722689085"/>
    <n v="20"/>
    <n v="60"/>
    <n v="0"/>
    <n v="0"/>
    <n v="0"/>
    <n v="0"/>
    <n v="1028220"/>
    <n v="0"/>
    <n v="0"/>
    <n v="0"/>
    <n v="60"/>
    <n v="1028220"/>
    <n v="0"/>
    <n v="20"/>
    <n v="60"/>
    <n v="0"/>
    <n v="0"/>
    <n v="0"/>
    <n v="0"/>
    <n v="1086750"/>
    <n v="0"/>
    <n v="0"/>
    <n v="0"/>
    <n v="60"/>
    <n v="1028220"/>
    <n v="0"/>
    <n v="0"/>
    <n v="60"/>
    <n v="0"/>
    <n v="0"/>
    <n v="0"/>
    <n v="0"/>
    <m/>
    <n v="1086750"/>
    <n v="0"/>
    <n v="0"/>
    <n v="0"/>
    <n v="60"/>
    <n v="1086750"/>
    <n v="0"/>
    <n v="0"/>
    <n v="60"/>
    <n v="0"/>
    <m/>
    <n v="0"/>
    <n v="0"/>
    <n v="1086750"/>
    <n v="0"/>
    <n v="0"/>
    <n v="0"/>
    <n v="60"/>
    <n v="1086750"/>
    <n v="0"/>
    <n v="0"/>
    <n v="60"/>
    <n v="0"/>
    <n v="0"/>
    <n v="0"/>
    <n v="1086750"/>
    <n v="0"/>
    <n v="0"/>
    <n v="0"/>
    <n v="60"/>
    <n v="1086750"/>
    <n v="0"/>
    <n v="0"/>
    <n v="60"/>
    <n v="0"/>
    <n v="0"/>
    <m/>
    <n v="1086750"/>
    <n v="0"/>
    <n v="0"/>
    <n v="60"/>
    <n v="1086750"/>
    <n v="0"/>
  </r>
  <r>
    <m/>
    <x v="4"/>
    <x v="21"/>
    <x v="52"/>
    <s v="LTW25-MKF07"/>
    <x v="487"/>
    <x v="380"/>
    <x v="0"/>
    <x v="2"/>
    <n v="1"/>
    <x v="319"/>
    <n v="26"/>
    <m/>
    <n v="0"/>
    <n v="17136"/>
    <n v="445536"/>
    <n v="17.5"/>
    <n v="19118.75"/>
    <n v="42008.403361344543"/>
    <n v="25201.680672268907"/>
    <s v="Shenzhen"/>
    <x v="0"/>
    <n v="30"/>
    <m/>
    <n v="1"/>
    <n v="0"/>
    <s v=""/>
    <n v="0"/>
    <s v=""/>
    <n v="0"/>
    <s v=""/>
    <n v="0"/>
    <s v=""/>
    <n v="0"/>
    <s v=""/>
    <n v="1"/>
    <n v="5.0025500304894943E-2"/>
    <n v="3"/>
    <n v="0.25595527896374554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s v=""/>
    <n v="0"/>
    <n v="2"/>
    <n v="0.16048907002593554"/>
    <n v="0.16666666666666666"/>
    <n v="4"/>
    <n v="0.21762432740909829"/>
    <n v="0.36363636363636365"/>
    <n v="0"/>
    <s v=""/>
    <n v="0"/>
    <n v="1"/>
    <n v="-0.43141433930804507"/>
    <n v="9.0909090909090912E-2"/>
    <m/>
    <m/>
    <m/>
    <m/>
    <m/>
    <m/>
    <m/>
    <m/>
    <m/>
    <n v="1"/>
    <n v="34"/>
    <n v="1"/>
    <n v="0"/>
    <n v="0"/>
    <n v="0"/>
    <n v="17136"/>
    <n v="615825"/>
    <n v="17136"/>
    <n v="0"/>
    <n v="26"/>
    <n v="445536"/>
    <n v="35301.179295247515"/>
    <n v="1"/>
    <n v="34"/>
    <n v="0"/>
    <n v="0"/>
    <n v="0"/>
    <n v="0"/>
    <n v="0"/>
    <n v="615825"/>
    <n v="0"/>
    <n v="0"/>
    <n v="26"/>
    <n v="445536"/>
    <n v="0"/>
    <n v="1"/>
    <n v="34"/>
    <n v="0"/>
    <n v="0"/>
    <n v="0"/>
    <n v="36225"/>
    <n v="582624"/>
    <n v="0"/>
    <n v="0"/>
    <n v="26"/>
    <n v="445536"/>
    <n v="0"/>
    <n v="1"/>
    <n v="34"/>
    <n v="0"/>
    <n v="0"/>
    <n v="0"/>
    <n v="615825"/>
    <n v="0"/>
    <x v="0"/>
    <x v="0"/>
    <n v="26"/>
    <n v="445536"/>
    <n v="0"/>
    <n v="2"/>
    <n v="26"/>
    <n v="2"/>
    <m/>
    <n v="0"/>
    <n v="0"/>
    <n v="445536"/>
    <n v="36225"/>
    <x v="0"/>
    <n v="0"/>
    <n v="26"/>
    <n v="445536"/>
    <n v="84016.806722689085"/>
    <n v="12"/>
    <n v="28"/>
    <n v="2"/>
    <m/>
    <n v="0"/>
    <n v="0"/>
    <n v="479808"/>
    <n v="36225"/>
    <n v="0"/>
    <n v="0"/>
    <n v="28"/>
    <n v="445536"/>
    <n v="84016.806722689085"/>
    <n v="11"/>
    <n v="30"/>
    <n v="4"/>
    <n v="0"/>
    <n v="0"/>
    <n v="0"/>
    <n v="514080"/>
    <n v="72450"/>
    <n v="0"/>
    <n v="0"/>
    <n v="30"/>
    <n v="445536"/>
    <n v="168033.61344537817"/>
    <n v="11"/>
    <n v="26"/>
    <n v="0"/>
    <n v="0"/>
    <n v="0"/>
    <n v="0"/>
    <n v="445536"/>
    <n v="0"/>
    <n v="0"/>
    <n v="0"/>
    <n v="26"/>
    <n v="445536"/>
    <n v="0"/>
    <n v="11"/>
    <n v="27"/>
    <n v="3"/>
    <n v="0"/>
    <n v="0"/>
    <n v="0"/>
    <n v="489037.5"/>
    <n v="54337.5"/>
    <n v="0"/>
    <n v="0"/>
    <n v="26"/>
    <n v="445536"/>
    <n v="126025.21008403364"/>
    <n v="0"/>
    <n v="24"/>
    <n v="0"/>
    <n v="0"/>
    <n v="0"/>
    <n v="0"/>
    <m/>
    <n v="434700"/>
    <n v="0"/>
    <n v="0"/>
    <n v="0"/>
    <n v="24"/>
    <n v="434700"/>
    <n v="0"/>
    <n v="0"/>
    <n v="24"/>
    <n v="0"/>
    <m/>
    <n v="0"/>
    <n v="0"/>
    <n v="434700"/>
    <n v="0"/>
    <n v="0"/>
    <n v="0"/>
    <n v="24"/>
    <n v="434700"/>
    <n v="0"/>
    <n v="0"/>
    <n v="24"/>
    <n v="0"/>
    <n v="0"/>
    <n v="0"/>
    <n v="434700"/>
    <n v="0"/>
    <n v="0"/>
    <n v="0"/>
    <n v="24"/>
    <n v="434700"/>
    <n v="0"/>
    <n v="0"/>
    <n v="24"/>
    <n v="0"/>
    <n v="0"/>
    <m/>
    <n v="434700"/>
    <n v="0"/>
    <n v="0"/>
    <n v="24"/>
    <n v="434700"/>
    <n v="0"/>
  </r>
  <r>
    <s v="Lhotse-Vestuario"/>
    <x v="4"/>
    <x v="21"/>
    <x v="52"/>
    <s v="LTW25-MKF07"/>
    <x v="488"/>
    <x v="380"/>
    <x v="0"/>
    <x v="2"/>
    <n v="1"/>
    <x v="320"/>
    <n v="34"/>
    <m/>
    <n v="0"/>
    <n v="17137"/>
    <n v="582658"/>
    <n v="17.5"/>
    <n v="19118.75"/>
    <n v="42008.403361344543"/>
    <n v="25201.680672268907"/>
    <s v="Shenzhen"/>
    <x v="0"/>
    <n v="30"/>
    <m/>
    <n v="1"/>
    <n v="0"/>
    <s v=""/>
    <n v="0"/>
    <s v=""/>
    <n v="0"/>
    <s v=""/>
    <n v="0"/>
    <s v=""/>
    <n v="0"/>
    <s v=""/>
    <n v="1"/>
    <n v="0.41717035676631642"/>
    <n v="2"/>
    <n v="0.35239879841200367"/>
    <n v="0"/>
    <s v=""/>
    <n v="0"/>
    <s v=""/>
    <n v="1"/>
    <n v="0.49004612408867726"/>
    <n v="0"/>
    <s v=""/>
    <n v="0"/>
    <s v=""/>
    <n v="0"/>
    <s v=""/>
    <n v="0"/>
    <s v=""/>
    <n v="0"/>
    <s v=""/>
    <n v="0"/>
    <s v=""/>
    <n v="0"/>
    <n v="1"/>
    <n v="0.63578457636805263"/>
    <n v="0.5"/>
    <n v="0"/>
    <s v=""/>
    <n v="0"/>
    <n v="1"/>
    <n v="0"/>
    <n v="7.1428571428571425E-2"/>
    <n v="0"/>
    <s v=""/>
    <n v="0"/>
    <n v="0"/>
    <s v=""/>
    <n v="0"/>
    <m/>
    <m/>
    <m/>
    <m/>
    <m/>
    <m/>
    <m/>
    <m/>
    <m/>
    <n v="1"/>
    <n v="34"/>
    <n v="1"/>
    <n v="0"/>
    <n v="0"/>
    <n v="0"/>
    <n v="17137"/>
    <n v="615825"/>
    <n v="17137"/>
    <n v="0"/>
    <n v="34"/>
    <n v="582658"/>
    <n v="35301.179295247515"/>
    <n v="1"/>
    <n v="44"/>
    <n v="0"/>
    <n v="0"/>
    <n v="0"/>
    <n v="0"/>
    <n v="0"/>
    <n v="796950"/>
    <n v="0"/>
    <n v="0"/>
    <n v="34"/>
    <n v="582658"/>
    <n v="0"/>
    <n v="1"/>
    <n v="44"/>
    <n v="0"/>
    <n v="0"/>
    <n v="0"/>
    <n v="36225"/>
    <n v="754028"/>
    <n v="0"/>
    <n v="0"/>
    <n v="34"/>
    <n v="582658"/>
    <n v="0"/>
    <n v="1"/>
    <n v="44"/>
    <n v="0"/>
    <n v="0"/>
    <n v="0"/>
    <n v="796950"/>
    <n v="0"/>
    <x v="0"/>
    <x v="0"/>
    <n v="34"/>
    <n v="582658"/>
    <n v="0"/>
    <n v="2"/>
    <n v="35"/>
    <n v="2"/>
    <m/>
    <n v="0"/>
    <n v="0"/>
    <n v="599795"/>
    <n v="36225"/>
    <x v="0"/>
    <n v="0"/>
    <n v="34"/>
    <n v="582658"/>
    <n v="84016.806722689085"/>
    <n v="12"/>
    <n v="34"/>
    <n v="0"/>
    <m/>
    <n v="0"/>
    <n v="0"/>
    <n v="582658"/>
    <n v="0"/>
    <n v="0"/>
    <n v="0"/>
    <n v="34"/>
    <n v="582658"/>
    <n v="0"/>
    <n v="14"/>
    <n v="35"/>
    <n v="1"/>
    <n v="0"/>
    <n v="0"/>
    <n v="0"/>
    <n v="599795"/>
    <n v="18112.5"/>
    <n v="0"/>
    <n v="0"/>
    <n v="35"/>
    <n v="582658"/>
    <n v="42008.403361344543"/>
    <n v="14"/>
    <n v="34"/>
    <n v="0"/>
    <n v="0"/>
    <n v="0"/>
    <n v="0"/>
    <n v="582658"/>
    <n v="0"/>
    <n v="0"/>
    <n v="0"/>
    <n v="34"/>
    <n v="582658"/>
    <n v="0"/>
    <n v="14"/>
    <n v="34"/>
    <n v="0"/>
    <n v="0"/>
    <n v="0"/>
    <n v="0"/>
    <n v="615825"/>
    <n v="0"/>
    <n v="0"/>
    <n v="0"/>
    <n v="34"/>
    <n v="582658"/>
    <n v="0"/>
    <n v="0"/>
    <n v="34"/>
    <n v="0"/>
    <n v="0"/>
    <n v="0"/>
    <n v="0"/>
    <m/>
    <n v="615825"/>
    <n v="0"/>
    <n v="0"/>
    <n v="0"/>
    <n v="34"/>
    <n v="615825"/>
    <n v="0"/>
    <n v="0"/>
    <n v="34"/>
    <n v="0"/>
    <m/>
    <n v="0"/>
    <n v="0"/>
    <n v="615825"/>
    <n v="0"/>
    <n v="0"/>
    <n v="0"/>
    <n v="34"/>
    <n v="615825"/>
    <n v="0"/>
    <n v="0"/>
    <n v="34"/>
    <n v="0"/>
    <n v="0"/>
    <n v="0"/>
    <n v="615825"/>
    <n v="0"/>
    <n v="0"/>
    <n v="0"/>
    <n v="34"/>
    <n v="615825"/>
    <n v="0"/>
    <n v="0"/>
    <n v="34"/>
    <n v="0"/>
    <n v="0"/>
    <m/>
    <n v="615825"/>
    <n v="0"/>
    <n v="0"/>
    <n v="34"/>
    <n v="615825"/>
    <n v="0"/>
  </r>
  <r>
    <s v="Lhotse-Vestuario"/>
    <x v="4"/>
    <x v="21"/>
    <x v="52"/>
    <s v="LTW25-MKF07"/>
    <x v="489"/>
    <x v="380"/>
    <x v="0"/>
    <x v="2"/>
    <n v="1"/>
    <x v="321"/>
    <n v="16"/>
    <m/>
    <n v="0"/>
    <n v="17137"/>
    <n v="274192"/>
    <n v="17.5"/>
    <n v="19118.75"/>
    <n v="42008.403361344543"/>
    <n v="25201.680672268907"/>
    <s v="Shenzhen"/>
    <x v="0"/>
    <n v="30"/>
    <m/>
    <n v="1"/>
    <n v="0"/>
    <s v=""/>
    <n v="0"/>
    <s v=""/>
    <n v="0"/>
    <s v=""/>
    <n v="0"/>
    <s v=""/>
    <n v="0"/>
    <s v=""/>
    <n v="0"/>
    <s v=""/>
    <n v="4"/>
    <n v="0.3419610187355473"/>
    <n v="2"/>
    <n v="0.41718192021222328"/>
    <n v="1"/>
    <n v="0.61151186778808009"/>
    <n v="2"/>
    <n v="0.47361858979281535"/>
    <n v="0"/>
    <s v=""/>
    <n v="0"/>
    <s v=""/>
    <n v="1"/>
    <n v="0.63578595138064453"/>
    <n v="0"/>
    <s v=""/>
    <n v="0"/>
    <s v=""/>
    <n v="0"/>
    <s v=""/>
    <n v="0"/>
    <n v="0"/>
    <s v=""/>
    <n v="0"/>
    <n v="2"/>
    <n v="-5.5046869210818819E-2"/>
    <n v="0.16666666666666666"/>
    <n v="3"/>
    <n v="0.17741277076358355"/>
    <n v="0.375"/>
    <n v="1"/>
    <n v="0"/>
    <n v="0.125"/>
    <n v="1"/>
    <n v="-6.6020008003201291E-2"/>
    <n v="0.125"/>
    <m/>
    <m/>
    <m/>
    <m/>
    <m/>
    <m/>
    <m/>
    <m/>
    <m/>
    <n v="1"/>
    <n v="27"/>
    <n v="1"/>
    <n v="0"/>
    <n v="0"/>
    <n v="0"/>
    <n v="17137"/>
    <n v="489037.5"/>
    <n v="17137"/>
    <n v="0"/>
    <n v="16"/>
    <n v="274192"/>
    <n v="35301.179295247515"/>
    <n v="1"/>
    <n v="25"/>
    <n v="0"/>
    <n v="0"/>
    <n v="0"/>
    <n v="0"/>
    <n v="0"/>
    <n v="452812.5"/>
    <n v="0"/>
    <n v="0"/>
    <n v="16"/>
    <n v="274192"/>
    <n v="0"/>
    <n v="1"/>
    <n v="25"/>
    <n v="0"/>
    <n v="0"/>
    <n v="0"/>
    <n v="36225"/>
    <n v="428425"/>
    <n v="0"/>
    <n v="0"/>
    <n v="16"/>
    <n v="274192"/>
    <n v="0"/>
    <n v="1"/>
    <n v="24"/>
    <n v="0"/>
    <n v="0"/>
    <n v="0"/>
    <n v="434700"/>
    <n v="0"/>
    <x v="0"/>
    <x v="0"/>
    <n v="16"/>
    <n v="274192"/>
    <n v="0"/>
    <n v="2"/>
    <n v="16"/>
    <n v="2"/>
    <m/>
    <n v="0"/>
    <n v="0"/>
    <n v="274192"/>
    <n v="36225"/>
    <x v="0"/>
    <n v="0"/>
    <n v="16"/>
    <n v="274192"/>
    <n v="84016.806722689085"/>
    <n v="12"/>
    <n v="18"/>
    <n v="2"/>
    <m/>
    <n v="0"/>
    <n v="0"/>
    <n v="308466"/>
    <n v="36225"/>
    <n v="0"/>
    <n v="0"/>
    <n v="18"/>
    <n v="274192"/>
    <n v="84016.806722689085"/>
    <n v="8"/>
    <n v="19"/>
    <n v="3"/>
    <n v="0"/>
    <n v="0"/>
    <n v="0"/>
    <n v="325603"/>
    <n v="54337.5"/>
    <n v="0"/>
    <n v="0"/>
    <n v="19"/>
    <n v="274192"/>
    <n v="126025.21008403364"/>
    <n v="8"/>
    <n v="17"/>
    <n v="1"/>
    <n v="0"/>
    <n v="0"/>
    <n v="0"/>
    <n v="291329"/>
    <n v="18112.5"/>
    <n v="0"/>
    <n v="0"/>
    <n v="17"/>
    <n v="291329"/>
    <n v="42008.403361344543"/>
    <n v="8"/>
    <n v="17"/>
    <n v="1.5"/>
    <n v="0"/>
    <n v="0"/>
    <n v="0"/>
    <n v="307912.5"/>
    <n v="27168.75"/>
    <n v="0"/>
    <n v="0"/>
    <n v="16"/>
    <n v="274192"/>
    <n v="63012.605042016818"/>
    <n v="0"/>
    <n v="15.5"/>
    <n v="0"/>
    <n v="0"/>
    <n v="0"/>
    <n v="0"/>
    <m/>
    <n v="280743.75"/>
    <n v="0"/>
    <n v="0"/>
    <n v="0"/>
    <n v="15.5"/>
    <n v="280743.75"/>
    <n v="0"/>
    <n v="0"/>
    <n v="15.5"/>
    <n v="0"/>
    <m/>
    <n v="0"/>
    <n v="0"/>
    <n v="280743.75"/>
    <n v="0"/>
    <n v="0"/>
    <n v="0"/>
    <n v="15.5"/>
    <n v="280743.75"/>
    <n v="0"/>
    <n v="0"/>
    <n v="15.5"/>
    <n v="0"/>
    <n v="0"/>
    <n v="0"/>
    <n v="280743.75"/>
    <n v="0"/>
    <n v="0"/>
    <n v="0"/>
    <n v="15.5"/>
    <n v="280743.75"/>
    <n v="0"/>
    <n v="0"/>
    <n v="15.5"/>
    <n v="0"/>
    <n v="0"/>
    <m/>
    <n v="280743.75"/>
    <n v="0"/>
    <n v="0"/>
    <n v="15.5"/>
    <n v="280743.75"/>
    <n v="0"/>
  </r>
  <r>
    <s v="Lhotse-Vestuario"/>
    <x v="4"/>
    <x v="21"/>
    <x v="52"/>
    <s v="LTW25-MKF07"/>
    <x v="490"/>
    <x v="380"/>
    <x v="0"/>
    <x v="2"/>
    <n v="1"/>
    <x v="322"/>
    <n v="0"/>
    <m/>
    <n v="0"/>
    <n v="17137"/>
    <n v="0"/>
    <n v="17.5"/>
    <n v="19118.75"/>
    <n v="42008.403361344543"/>
    <n v="25201.680672268907"/>
    <s v="Shenzhen"/>
    <x v="0"/>
    <n v="30"/>
    <m/>
    <n v="1"/>
    <n v="0"/>
    <s v=""/>
    <n v="0"/>
    <s v=""/>
    <n v="0"/>
    <s v=""/>
    <n v="0"/>
    <s v=""/>
    <n v="0"/>
    <s v=""/>
    <n v="4"/>
    <n v="0.45208300251995837"/>
    <n v="12"/>
    <n v="0.33215725260837264"/>
    <n v="0"/>
    <s v=""/>
    <n v="4"/>
    <n v="0.42741675346753655"/>
    <n v="0"/>
    <s v=""/>
    <n v="0"/>
    <s v=""/>
    <n v="0"/>
    <s v=""/>
    <n v="0"/>
    <s v=""/>
    <n v="1"/>
    <n v="0.61150280157538617"/>
    <n v="2"/>
    <n v="0.44040622253862099"/>
    <n v="1"/>
    <n v="0.52784129090688903"/>
    <n v="1"/>
    <n v="0"/>
    <s v=""/>
    <n v="0"/>
    <n v="13"/>
    <n v="9.2625228979490118E-2"/>
    <n v="1.0833333333333333"/>
    <n v="3"/>
    <n v="3.8902873582855771E-6"/>
    <n v="0.75"/>
    <n v="1"/>
    <n v="0.61150384820544079"/>
    <n v="0.25"/>
    <n v="0"/>
    <s v=""/>
    <n v="0"/>
    <m/>
    <m/>
    <m/>
    <m/>
    <m/>
    <m/>
    <m/>
    <m/>
    <m/>
    <n v="1"/>
    <n v="17"/>
    <n v="1"/>
    <n v="0"/>
    <n v="0"/>
    <n v="0"/>
    <n v="77116.5"/>
    <n v="307912.5"/>
    <n v="17137"/>
    <n v="0"/>
    <n v="0"/>
    <n v="0"/>
    <n v="35301.179295247515"/>
    <n v="1"/>
    <n v="17"/>
    <n v="1.5"/>
    <n v="0"/>
    <n v="0"/>
    <n v="0"/>
    <n v="77116.5"/>
    <n v="307912.5"/>
    <n v="25705.5"/>
    <n v="0"/>
    <n v="0"/>
    <n v="0"/>
    <n v="52951.768942871277"/>
    <n v="1"/>
    <n v="16"/>
    <n v="2"/>
    <n v="0"/>
    <n v="0"/>
    <n v="87636"/>
    <n v="274192"/>
    <n v="34274"/>
    <n v="0"/>
    <n v="0"/>
    <n v="0"/>
    <n v="84016.806722689085"/>
    <n v="1"/>
    <n v="28"/>
    <n v="1"/>
    <n v="0"/>
    <n v="0"/>
    <n v="507150"/>
    <n v="17137"/>
    <x v="0"/>
    <x v="0"/>
    <n v="0"/>
    <n v="0"/>
    <n v="42008.403361344543"/>
    <n v="2"/>
    <n v="0"/>
    <n v="2"/>
    <m/>
    <n v="0"/>
    <n v="0"/>
    <n v="0"/>
    <n v="36225"/>
    <x v="0"/>
    <n v="0"/>
    <n v="0"/>
    <n v="0"/>
    <n v="84016.806722689085"/>
    <n v="12"/>
    <n v="13"/>
    <n v="13"/>
    <m/>
    <n v="0"/>
    <n v="0"/>
    <n v="222781"/>
    <n v="235462.5"/>
    <n v="0"/>
    <n v="0"/>
    <n v="13"/>
    <n v="0"/>
    <n v="546109.24369747902"/>
    <n v="4"/>
    <n v="3"/>
    <n v="3"/>
    <n v="0"/>
    <n v="0"/>
    <n v="0"/>
    <n v="51411"/>
    <n v="54337.5"/>
    <n v="0"/>
    <n v="0"/>
    <n v="3"/>
    <n v="0"/>
    <n v="126025.21008403364"/>
    <n v="4"/>
    <n v="1"/>
    <n v="1"/>
    <n v="0"/>
    <n v="0"/>
    <n v="0"/>
    <n v="17137"/>
    <n v="18112.5"/>
    <n v="0"/>
    <n v="0"/>
    <n v="1"/>
    <n v="17137"/>
    <n v="42008.40336134454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2"/>
    <s v="LTW25-MSW06"/>
    <x v="491"/>
    <x v="381"/>
    <x v="0"/>
    <x v="2"/>
    <n v="1"/>
    <x v="323"/>
    <n v="89"/>
    <m/>
    <n v="0"/>
    <n v="14101"/>
    <n v="1254989"/>
    <n v="14.4"/>
    <n v="15731.999999999998"/>
    <n v="25201.680672268907"/>
    <n v="21000"/>
    <s v="Shenzhen"/>
    <x v="0"/>
    <n v="30"/>
    <m/>
    <n v="1"/>
    <n v="0"/>
    <s v=""/>
    <n v="0"/>
    <s v=""/>
    <n v="0"/>
    <s v=""/>
    <n v="0"/>
    <n v="2.127508687373579E-6"/>
    <n v="1"/>
    <n v="0.44054870065463203"/>
    <n v="3"/>
    <n v="0.33572123424802736"/>
    <n v="5"/>
    <n v="0.36178100637043575"/>
    <n v="0"/>
    <n v="2.127508687373579E-6"/>
    <n v="2"/>
    <n v="0.55243540912841993"/>
    <n v="9"/>
    <n v="0.55243540912841993"/>
    <n v="0"/>
    <s v=""/>
    <n v="4"/>
    <n v="0.55243185767677327"/>
    <n v="2"/>
    <n v="0.37860554030587718"/>
    <n v="2"/>
    <n v="0.11737757900397171"/>
    <n v="0"/>
    <s v=""/>
    <n v="0"/>
    <s v=""/>
    <n v="0"/>
    <n v="1"/>
    <n v="0.16065476190476191"/>
    <n v="0.33333333333333331"/>
    <n v="0"/>
    <s v=""/>
    <n v="0"/>
    <n v="2"/>
    <n v="-0.45979860809047407"/>
    <n v="6.25E-2"/>
    <n v="2"/>
    <n v="-0.10156140323869099"/>
    <n v="6.25E-2"/>
    <n v="4"/>
    <n v="0.10601689322997233"/>
    <n v="0.125"/>
    <m/>
    <m/>
    <m/>
    <m/>
    <m/>
    <m/>
    <m/>
    <m/>
    <m/>
    <n v="5"/>
    <n v="99"/>
    <n v="5"/>
    <n v="0"/>
    <n v="0"/>
    <n v="0"/>
    <n v="112808"/>
    <n v="1475495.9999999998"/>
    <n v="70505"/>
    <n v="0"/>
    <n v="89"/>
    <n v="1254989"/>
    <n v="105889.41458936517"/>
    <n v="3"/>
    <n v="99"/>
    <n v="3"/>
    <n v="0"/>
    <n v="0"/>
    <n v="0"/>
    <n v="42303"/>
    <n v="1475495.9999999998"/>
    <n v="42303"/>
    <n v="0"/>
    <n v="89"/>
    <n v="1254989"/>
    <n v="63533.648753619098"/>
    <n v="4"/>
    <n v="97"/>
    <n v="0"/>
    <n v="0"/>
    <n v="0"/>
    <n v="44711.999999999993"/>
    <n v="1367797"/>
    <n v="0"/>
    <n v="0"/>
    <n v="89"/>
    <n v="1254989"/>
    <n v="0"/>
    <n v="3"/>
    <n v="194"/>
    <n v="0"/>
    <n v="0"/>
    <n v="0"/>
    <n v="2891375.9999999995"/>
    <n v="0"/>
    <x v="0"/>
    <x v="0"/>
    <n v="89"/>
    <n v="1254989"/>
    <n v="0"/>
    <n v="3"/>
    <n v="90"/>
    <n v="3"/>
    <m/>
    <n v="0"/>
    <n v="0"/>
    <n v="1269090"/>
    <n v="44711.999999999993"/>
    <x v="0"/>
    <n v="0"/>
    <n v="89"/>
    <n v="1254989"/>
    <n v="75605.042016806721"/>
    <n v="39"/>
    <n v="89"/>
    <n v="0"/>
    <m/>
    <n v="0"/>
    <n v="0"/>
    <n v="1254989"/>
    <n v="0"/>
    <n v="0"/>
    <n v="0"/>
    <n v="89"/>
    <n v="1254989"/>
    <n v="0"/>
    <n v="32"/>
    <n v="91"/>
    <n v="2"/>
    <n v="0"/>
    <n v="0"/>
    <n v="0"/>
    <n v="1283191"/>
    <n v="29807.999999999996"/>
    <n v="0"/>
    <n v="0"/>
    <n v="91"/>
    <n v="1254989"/>
    <n v="50403.361344537814"/>
    <n v="32"/>
    <n v="91"/>
    <n v="2"/>
    <n v="0"/>
    <n v="0"/>
    <n v="0"/>
    <n v="1283191"/>
    <n v="29807.999999999996"/>
    <n v="0"/>
    <n v="0"/>
    <n v="91"/>
    <n v="1283191"/>
    <n v="50403.361344537814"/>
    <n v="32"/>
    <n v="93"/>
    <n v="6"/>
    <n v="0"/>
    <n v="0"/>
    <n v="0"/>
    <n v="1386071.9999999998"/>
    <n v="89423.999999999985"/>
    <n v="0"/>
    <n v="0"/>
    <n v="89"/>
    <n v="1254989"/>
    <n v="151210.08403361344"/>
    <n v="0"/>
    <n v="87"/>
    <n v="0"/>
    <n v="0"/>
    <n v="0"/>
    <n v="0"/>
    <m/>
    <n v="1296647.9999999998"/>
    <n v="0"/>
    <n v="0"/>
    <n v="0"/>
    <n v="87"/>
    <n v="1296647.9999999998"/>
    <n v="0"/>
    <n v="0"/>
    <n v="87"/>
    <n v="0"/>
    <m/>
    <n v="0"/>
    <n v="0"/>
    <n v="1296647.9999999998"/>
    <n v="0"/>
    <n v="0"/>
    <n v="0"/>
    <n v="87"/>
    <n v="1296647.9999999998"/>
    <n v="0"/>
    <n v="0"/>
    <n v="87"/>
    <n v="0"/>
    <n v="0"/>
    <n v="0"/>
    <n v="1296647.9999999998"/>
    <n v="0"/>
    <n v="0"/>
    <n v="0"/>
    <n v="87"/>
    <n v="1296647.9999999998"/>
    <n v="0"/>
    <n v="0"/>
    <n v="87"/>
    <n v="0"/>
    <n v="0"/>
    <m/>
    <n v="1296647.9999999998"/>
    <n v="0"/>
    <n v="0"/>
    <n v="87"/>
    <n v="1296647.9999999998"/>
    <n v="0"/>
  </r>
  <r>
    <s v="Lhotse-Vestuario"/>
    <x v="4"/>
    <x v="21"/>
    <x v="52"/>
    <s v="LTW25-MSW06"/>
    <x v="492"/>
    <x v="381"/>
    <x v="0"/>
    <x v="2"/>
    <n v="1"/>
    <x v="324"/>
    <n v="65"/>
    <m/>
    <n v="0"/>
    <n v="14101"/>
    <n v="916565"/>
    <n v="14.4"/>
    <n v="15731.999999999998"/>
    <n v="25201.680672268907"/>
    <n v="21000"/>
    <s v="Shenzhen"/>
    <x v="0"/>
    <n v="30"/>
    <m/>
    <n v="1"/>
    <n v="0"/>
    <s v=""/>
    <n v="0"/>
    <s v=""/>
    <n v="0"/>
    <s v=""/>
    <n v="0"/>
    <s v=""/>
    <n v="1"/>
    <n v="0.43580322490297285"/>
    <n v="2"/>
    <n v="2.127508687373579E-6"/>
    <n v="9"/>
    <n v="0.34397692446367406"/>
    <n v="1"/>
    <n v="0.44048210459487347"/>
    <n v="2"/>
    <n v="0.11152605380883376"/>
    <n v="8"/>
    <n v="0.55243540912841993"/>
    <n v="0"/>
    <s v=""/>
    <n v="1"/>
    <n v="0.58041568720802206"/>
    <n v="12"/>
    <n v="6.8043711465985549E-2"/>
    <n v="2"/>
    <n v="0.5204475580979866"/>
    <n v="0"/>
    <s v=""/>
    <n v="1"/>
    <n v="0.27646364429676362"/>
    <n v="0.33333333333333331"/>
    <n v="1"/>
    <n v="-4.048291215403129"/>
    <n v="0.33333333333333331"/>
    <n v="1"/>
    <n v="8.760656807307525E-2"/>
    <n v="2.564102564102564E-2"/>
    <n v="3"/>
    <n v="0.27009221400608957"/>
    <n v="0.13636363636363635"/>
    <n v="4"/>
    <n v="-1.3623796620569525E-2"/>
    <n v="0.18181818181818182"/>
    <n v="2"/>
    <n v="2.6079285313411291E-2"/>
    <n v="9.0909090909090912E-2"/>
    <m/>
    <m/>
    <m/>
    <m/>
    <m/>
    <m/>
    <m/>
    <m/>
    <m/>
    <n v="5"/>
    <n v="76"/>
    <n v="5"/>
    <n v="0"/>
    <n v="0"/>
    <n v="0"/>
    <n v="112808"/>
    <n v="1132703.9999999998"/>
    <n v="70505"/>
    <n v="0"/>
    <n v="65"/>
    <n v="916565"/>
    <n v="105889.41458936517"/>
    <n v="3"/>
    <n v="68"/>
    <n v="3"/>
    <n v="0"/>
    <n v="0"/>
    <n v="0"/>
    <n v="56404"/>
    <n v="1013471.9999999999"/>
    <n v="42303"/>
    <n v="0"/>
    <n v="65"/>
    <n v="916565"/>
    <n v="63533.648753619098"/>
    <n v="4"/>
    <n v="66"/>
    <n v="0"/>
    <n v="0"/>
    <n v="0"/>
    <n v="58812.999999999993"/>
    <n v="930666"/>
    <n v="0"/>
    <n v="0"/>
    <n v="65"/>
    <n v="916565"/>
    <n v="0"/>
    <n v="3"/>
    <n v="66"/>
    <n v="1"/>
    <n v="0"/>
    <n v="0"/>
    <n v="983663.99999999988"/>
    <n v="14101"/>
    <x v="0"/>
    <x v="0"/>
    <n v="65"/>
    <n v="916565"/>
    <n v="25201.680672268907"/>
    <n v="3"/>
    <n v="66"/>
    <n v="3"/>
    <m/>
    <n v="0"/>
    <n v="0"/>
    <n v="930666"/>
    <n v="44711.999999999993"/>
    <x v="0"/>
    <n v="0"/>
    <n v="65"/>
    <n v="916565"/>
    <n v="75605.042016806721"/>
    <n v="39"/>
    <n v="66"/>
    <n v="1"/>
    <m/>
    <n v="0"/>
    <n v="0"/>
    <n v="930666"/>
    <n v="14903.999999999998"/>
    <n v="0"/>
    <n v="0"/>
    <n v="66"/>
    <n v="916565"/>
    <n v="25201.680672268907"/>
    <n v="22"/>
    <n v="68"/>
    <n v="3"/>
    <n v="0"/>
    <n v="0"/>
    <n v="0"/>
    <n v="958868"/>
    <n v="44711.999999999993"/>
    <n v="0"/>
    <n v="0"/>
    <n v="68"/>
    <n v="916565"/>
    <n v="75605.042016806721"/>
    <n v="22"/>
    <n v="69"/>
    <n v="4"/>
    <n v="0"/>
    <n v="0"/>
    <n v="0"/>
    <n v="972969"/>
    <n v="59615.999999999993"/>
    <n v="0"/>
    <n v="0"/>
    <n v="69"/>
    <n v="972969"/>
    <n v="100806.72268907563"/>
    <n v="22"/>
    <n v="67"/>
    <n v="1.5"/>
    <n v="0"/>
    <n v="0"/>
    <n v="0"/>
    <n v="998567.99999999988"/>
    <n v="22355.999999999996"/>
    <n v="0"/>
    <n v="0"/>
    <n v="65"/>
    <n v="916565"/>
    <n v="37802.521008403361"/>
    <n v="0"/>
    <n v="65.5"/>
    <n v="0"/>
    <n v="0"/>
    <n v="0"/>
    <n v="0"/>
    <m/>
    <n v="976211.99999999988"/>
    <n v="0"/>
    <n v="0"/>
    <n v="0"/>
    <n v="65.5"/>
    <n v="976211.99999999988"/>
    <n v="0"/>
    <n v="0"/>
    <n v="65.5"/>
    <n v="0"/>
    <m/>
    <n v="0"/>
    <n v="0"/>
    <n v="976211.99999999988"/>
    <n v="0"/>
    <n v="0"/>
    <n v="0"/>
    <n v="65.5"/>
    <n v="976211.99999999988"/>
    <n v="0"/>
    <n v="0"/>
    <n v="65.5"/>
    <n v="0"/>
    <n v="0"/>
    <n v="0"/>
    <n v="976211.99999999988"/>
    <n v="0"/>
    <n v="0"/>
    <n v="0"/>
    <n v="65.5"/>
    <n v="976211.99999999988"/>
    <n v="0"/>
    <n v="0"/>
    <n v="65.5"/>
    <n v="0"/>
    <n v="0"/>
    <m/>
    <n v="976211.99999999988"/>
    <n v="0"/>
    <n v="0"/>
    <n v="65.5"/>
    <n v="976211.99999999988"/>
    <n v="0"/>
  </r>
  <r>
    <m/>
    <x v="4"/>
    <x v="21"/>
    <x v="52"/>
    <s v="LTW25-MSW06"/>
    <x v="493"/>
    <x v="381"/>
    <x v="0"/>
    <x v="2"/>
    <n v="1"/>
    <x v="325"/>
    <n v="67"/>
    <m/>
    <n v="0"/>
    <n v="14101"/>
    <n v="944767"/>
    <n v="14.4"/>
    <n v="15731.999999999998"/>
    <n v="25201.680672268907"/>
    <n v="21000"/>
    <s v="Shenzhen"/>
    <x v="0"/>
    <n v="30"/>
    <m/>
    <n v="1"/>
    <n v="0"/>
    <s v=""/>
    <n v="0"/>
    <s v=""/>
    <n v="0"/>
    <s v=""/>
    <n v="0"/>
    <n v="2.127508687373579E-6"/>
    <n v="1"/>
    <n v="0.52047303271441203"/>
    <n v="0"/>
    <n v="2.127508687373579E-6"/>
    <n v="3"/>
    <n v="0.21724333176052629"/>
    <n v="1"/>
    <n v="0.32852523809523815"/>
    <n v="1"/>
    <n v="0.55243540912841993"/>
    <n v="4"/>
    <n v="0.46288157543899738"/>
    <n v="0"/>
    <s v=""/>
    <n v="0"/>
    <s v=""/>
    <n v="2"/>
    <n v="0.14424465361095609"/>
    <n v="0"/>
    <s v=""/>
    <n v="0"/>
    <s v=""/>
    <n v="0"/>
    <s v=""/>
    <n v="0"/>
    <n v="0"/>
    <s v=""/>
    <n v="0"/>
    <n v="0"/>
    <s v=""/>
    <n v="0"/>
    <n v="1"/>
    <n v="0.27009221400608957"/>
    <n v="4.1666666666666664E-2"/>
    <n v="4"/>
    <n v="-1.4522564940793818E-2"/>
    <n v="0.16666666666666666"/>
    <n v="-1"/>
    <n v="0.14009441931274466"/>
    <n v="-4.1666666666666664E-2"/>
    <m/>
    <m/>
    <m/>
    <m/>
    <m/>
    <m/>
    <m/>
    <m/>
    <m/>
    <n v="5"/>
    <n v="68"/>
    <n v="5"/>
    <n v="0"/>
    <n v="0"/>
    <n v="0"/>
    <n v="70505"/>
    <n v="1013471.9999999999"/>
    <n v="70505"/>
    <n v="0"/>
    <n v="67"/>
    <n v="944767"/>
    <n v="105889.41458936517"/>
    <n v="3"/>
    <n v="72"/>
    <n v="0"/>
    <n v="0"/>
    <n v="0"/>
    <n v="0"/>
    <n v="0"/>
    <n v="1073087.9999999998"/>
    <n v="0"/>
    <n v="0"/>
    <n v="67"/>
    <n v="944767"/>
    <n v="0"/>
    <n v="4"/>
    <n v="72"/>
    <n v="0"/>
    <n v="0"/>
    <n v="0"/>
    <n v="29807.999999999996"/>
    <n v="1015272"/>
    <n v="0"/>
    <n v="0"/>
    <n v="67"/>
    <n v="944767"/>
    <n v="0"/>
    <n v="2"/>
    <n v="72"/>
    <n v="0"/>
    <n v="0"/>
    <n v="0"/>
    <n v="1073087.9999999998"/>
    <n v="0"/>
    <x v="0"/>
    <x v="0"/>
    <n v="67"/>
    <n v="944767"/>
    <n v="0"/>
    <n v="2"/>
    <n v="67"/>
    <n v="2"/>
    <m/>
    <n v="0"/>
    <n v="0"/>
    <n v="944767"/>
    <n v="29807.999999999996"/>
    <x v="0"/>
    <n v="0"/>
    <n v="67"/>
    <n v="944767"/>
    <n v="50403.361344537814"/>
    <n v="27"/>
    <n v="67"/>
    <n v="0"/>
    <m/>
    <n v="0"/>
    <n v="0"/>
    <n v="944767"/>
    <n v="0"/>
    <n v="0"/>
    <n v="0"/>
    <n v="67"/>
    <n v="944767"/>
    <n v="0"/>
    <n v="24"/>
    <n v="68"/>
    <n v="1"/>
    <n v="0"/>
    <n v="0"/>
    <n v="0"/>
    <n v="958868"/>
    <n v="14903.999999999998"/>
    <n v="0"/>
    <n v="0"/>
    <n v="68"/>
    <n v="944767"/>
    <n v="25201.680672268907"/>
    <n v="24"/>
    <n v="71"/>
    <n v="4"/>
    <n v="0"/>
    <n v="0"/>
    <n v="0"/>
    <n v="1001171"/>
    <n v="59615.999999999993"/>
    <n v="0"/>
    <n v="0"/>
    <n v="71"/>
    <n v="1001171"/>
    <n v="100806.72268907563"/>
    <n v="24"/>
    <n v="66"/>
    <n v="0"/>
    <n v="0"/>
    <n v="0"/>
    <n v="0"/>
    <n v="983663.99999999988"/>
    <n v="0"/>
    <n v="0"/>
    <n v="0"/>
    <n v="67"/>
    <n v="944767"/>
    <n v="0"/>
    <n v="0"/>
    <n v="66"/>
    <n v="0"/>
    <n v="0"/>
    <n v="0"/>
    <n v="0"/>
    <m/>
    <n v="983663.99999999988"/>
    <n v="0"/>
    <n v="0"/>
    <n v="0"/>
    <n v="66"/>
    <n v="983663.99999999988"/>
    <n v="0"/>
    <n v="0"/>
    <n v="66"/>
    <n v="0"/>
    <m/>
    <n v="0"/>
    <n v="0"/>
    <n v="983663.99999999988"/>
    <n v="0"/>
    <n v="0"/>
    <n v="0"/>
    <n v="66"/>
    <n v="983663.99999999988"/>
    <n v="0"/>
    <n v="0"/>
    <n v="66"/>
    <n v="0"/>
    <n v="0"/>
    <n v="0"/>
    <n v="983663.99999999988"/>
    <n v="0"/>
    <n v="0"/>
    <n v="0"/>
    <n v="66"/>
    <n v="983663.99999999988"/>
    <n v="0"/>
    <n v="0"/>
    <n v="66"/>
    <n v="0"/>
    <n v="0"/>
    <m/>
    <n v="983663.99999999988"/>
    <n v="0"/>
    <n v="0"/>
    <n v="66"/>
    <n v="983663.99999999988"/>
    <n v="0"/>
  </r>
  <r>
    <m/>
    <x v="4"/>
    <x v="21"/>
    <x v="52"/>
    <s v="LTW25-MSW06"/>
    <x v="494"/>
    <x v="381"/>
    <x v="0"/>
    <x v="2"/>
    <n v="1"/>
    <x v="326"/>
    <n v="55"/>
    <m/>
    <n v="0"/>
    <n v="14101"/>
    <n v="775555"/>
    <n v="14.4"/>
    <n v="15731.999999999998"/>
    <n v="25201.680672268907"/>
    <n v="21000"/>
    <s v="Shenzhen"/>
    <x v="0"/>
    <n v="30"/>
    <m/>
    <n v="1"/>
    <n v="0"/>
    <s v=""/>
    <n v="0"/>
    <s v=""/>
    <n v="0"/>
    <s v=""/>
    <n v="0"/>
    <s v=""/>
    <n v="0"/>
    <s v=""/>
    <n v="0"/>
    <s v=""/>
    <n v="6"/>
    <n v="0.36968425904211172"/>
    <n v="2"/>
    <n v="0.38959482273494656"/>
    <n v="0"/>
    <s v=""/>
    <n v="9"/>
    <n v="0.50875307733993957"/>
    <n v="0"/>
    <s v=""/>
    <n v="0"/>
    <s v=""/>
    <n v="5"/>
    <n v="-2.5145173770614343E-2"/>
    <n v="0"/>
    <s v=""/>
    <n v="1"/>
    <n v="0"/>
    <n v="0"/>
    <s v=""/>
    <n v="0"/>
    <n v="0"/>
    <s v=""/>
    <n v="0"/>
    <n v="3"/>
    <n v="0.24833052125483401"/>
    <n v="0.1111111111111111"/>
    <n v="1"/>
    <n v="0.58041958391678339"/>
    <n v="5.2631578947368418E-2"/>
    <n v="3"/>
    <n v="-7.1149879225832269E-2"/>
    <n v="0.15789473684210525"/>
    <n v="3"/>
    <n v="-3.329666256968962E-2"/>
    <n v="0.15789473684210525"/>
    <m/>
    <m/>
    <m/>
    <m/>
    <m/>
    <m/>
    <m/>
    <m/>
    <m/>
    <n v="5"/>
    <n v="60"/>
    <n v="5"/>
    <n v="0"/>
    <n v="0"/>
    <n v="0"/>
    <n v="84606"/>
    <n v="894239.99999999988"/>
    <n v="70505"/>
    <n v="0"/>
    <n v="55"/>
    <n v="775555"/>
    <n v="105889.41458936517"/>
    <n v="3"/>
    <n v="57"/>
    <n v="0"/>
    <n v="0"/>
    <n v="0"/>
    <n v="0"/>
    <n v="14101"/>
    <n v="849527.99999999988"/>
    <n v="0"/>
    <n v="0"/>
    <n v="55"/>
    <n v="775555"/>
    <n v="0"/>
    <n v="4"/>
    <n v="57"/>
    <n v="1"/>
    <n v="0"/>
    <n v="0"/>
    <n v="43909"/>
    <n v="803757"/>
    <n v="14101"/>
    <n v="0"/>
    <n v="55"/>
    <n v="775555"/>
    <n v="25201.680672268907"/>
    <n v="2"/>
    <n v="56"/>
    <n v="0"/>
    <n v="0"/>
    <n v="0"/>
    <n v="834623.99999999988"/>
    <n v="0"/>
    <x v="0"/>
    <x v="0"/>
    <n v="55"/>
    <n v="775555"/>
    <n v="0"/>
    <n v="2"/>
    <n v="55"/>
    <n v="2"/>
    <m/>
    <n v="0"/>
    <n v="0"/>
    <n v="775555"/>
    <n v="29807.999999999996"/>
    <x v="0"/>
    <n v="0"/>
    <n v="55"/>
    <n v="775555"/>
    <n v="50403.361344537814"/>
    <n v="27"/>
    <n v="58"/>
    <n v="3"/>
    <m/>
    <n v="0"/>
    <n v="0"/>
    <n v="817858"/>
    <n v="44711.999999999993"/>
    <n v="0"/>
    <n v="0"/>
    <n v="58"/>
    <n v="775555"/>
    <n v="75605.042016806721"/>
    <n v="19"/>
    <n v="56"/>
    <n v="1"/>
    <n v="0"/>
    <n v="0"/>
    <n v="0"/>
    <n v="789656"/>
    <n v="14903.999999999998"/>
    <n v="0"/>
    <n v="0"/>
    <n v="56"/>
    <n v="775555"/>
    <n v="25201.680672268907"/>
    <n v="19"/>
    <n v="58"/>
    <n v="3"/>
    <n v="0"/>
    <n v="0"/>
    <n v="0"/>
    <n v="817858"/>
    <n v="44711.999999999993"/>
    <n v="0"/>
    <n v="0"/>
    <n v="58"/>
    <n v="817858"/>
    <n v="75605.042016806721"/>
    <n v="19"/>
    <n v="58"/>
    <n v="4.5"/>
    <n v="0"/>
    <n v="0"/>
    <n v="0"/>
    <n v="864431.99999999988"/>
    <n v="67067.999999999985"/>
    <n v="0"/>
    <n v="0"/>
    <n v="55"/>
    <n v="775555"/>
    <n v="113407.56302521008"/>
    <n v="0"/>
    <n v="53.5"/>
    <n v="0"/>
    <n v="0"/>
    <n v="0"/>
    <n v="0"/>
    <m/>
    <n v="797363.99999999988"/>
    <n v="0"/>
    <n v="0"/>
    <n v="0"/>
    <n v="53.5"/>
    <n v="797363.99999999988"/>
    <n v="0"/>
    <n v="0"/>
    <n v="53.5"/>
    <n v="0"/>
    <m/>
    <n v="0"/>
    <n v="0"/>
    <n v="797363.99999999988"/>
    <n v="0"/>
    <n v="0"/>
    <n v="0"/>
    <n v="53.5"/>
    <n v="797363.99999999988"/>
    <n v="0"/>
    <n v="0"/>
    <n v="53.5"/>
    <n v="0"/>
    <n v="0"/>
    <n v="0"/>
    <n v="797363.99999999988"/>
    <n v="0"/>
    <n v="0"/>
    <n v="0"/>
    <n v="53.5"/>
    <n v="797363.99999999988"/>
    <n v="0"/>
    <n v="0"/>
    <n v="53.5"/>
    <n v="0"/>
    <n v="0"/>
    <m/>
    <n v="797363.99999999988"/>
    <n v="0"/>
    <n v="0"/>
    <n v="53.5"/>
    <n v="797363.99999999988"/>
    <n v="0"/>
  </r>
  <r>
    <m/>
    <x v="4"/>
    <x v="21"/>
    <x v="52"/>
    <s v="LTW25-MSW06"/>
    <x v="495"/>
    <x v="381"/>
    <x v="0"/>
    <x v="2"/>
    <n v="1"/>
    <x v="31"/>
    <n v="29"/>
    <m/>
    <n v="0"/>
    <n v="14101"/>
    <n v="408929"/>
    <n v="14.4"/>
    <n v="15731.999999999998"/>
    <n v="25201.680672268907"/>
    <n v="21000"/>
    <s v="Shenzhen"/>
    <x v="0"/>
    <n v="30"/>
    <m/>
    <n v="1"/>
    <n v="0"/>
    <s v=""/>
    <n v="0"/>
    <s v=""/>
    <n v="0"/>
    <s v=""/>
    <n v="0"/>
    <s v=""/>
    <n v="1"/>
    <n v="0.58039041809254577"/>
    <n v="0"/>
    <s v=""/>
    <n v="3"/>
    <n v="0.3932713738651521"/>
    <n v="0"/>
    <s v=""/>
    <n v="0"/>
    <s v=""/>
    <n v="1"/>
    <n v="0.32852476190476193"/>
    <n v="0"/>
    <s v=""/>
    <n v="1"/>
    <n v="0.58041538965096562"/>
    <n v="2"/>
    <n v="-2.5145173770614343E-2"/>
    <n v="1"/>
    <n v="6.7270803308401447E-2"/>
    <n v="0"/>
    <s v=""/>
    <n v="0"/>
    <s v=""/>
    <n v="0"/>
    <n v="0"/>
    <s v=""/>
    <n v="0"/>
    <n v="0"/>
    <s v=""/>
    <n v="0"/>
    <n v="0"/>
    <s v=""/>
    <n v="0"/>
    <n v="2"/>
    <n v="-0.10156140323869099"/>
    <n v="0.2"/>
    <n v="0"/>
    <s v=""/>
    <n v="0"/>
    <m/>
    <m/>
    <m/>
    <m/>
    <m/>
    <m/>
    <m/>
    <m/>
    <m/>
    <n v="3"/>
    <n v="31"/>
    <n v="3"/>
    <n v="0"/>
    <n v="0"/>
    <n v="0"/>
    <n v="63454.5"/>
    <n v="462023.99999999994"/>
    <n v="42303"/>
    <n v="0"/>
    <n v="29"/>
    <n v="408929"/>
    <n v="63533.648753619098"/>
    <n v="3"/>
    <n v="31"/>
    <n v="1.5"/>
    <n v="0"/>
    <n v="0"/>
    <n v="0"/>
    <n v="21151.5"/>
    <n v="462023.99999999994"/>
    <n v="21151.5"/>
    <n v="0"/>
    <n v="29"/>
    <n v="408929"/>
    <n v="31766.824376809549"/>
    <n v="4"/>
    <n v="30"/>
    <n v="0"/>
    <n v="0"/>
    <n v="0"/>
    <n v="29807.999999999996"/>
    <n v="423030"/>
    <n v="0"/>
    <n v="0"/>
    <n v="29"/>
    <n v="408929"/>
    <n v="0"/>
    <n v="2"/>
    <n v="30"/>
    <n v="0"/>
    <n v="0"/>
    <n v="0"/>
    <n v="447119.99999999994"/>
    <n v="0"/>
    <x v="0"/>
    <x v="0"/>
    <n v="29"/>
    <n v="408929"/>
    <n v="0"/>
    <n v="2"/>
    <n v="29"/>
    <n v="2"/>
    <m/>
    <n v="0"/>
    <n v="0"/>
    <n v="408929"/>
    <n v="29807.999999999996"/>
    <x v="0"/>
    <n v="0"/>
    <n v="29"/>
    <n v="408929"/>
    <n v="50403.361344537814"/>
    <n v="12"/>
    <n v="29"/>
    <n v="0"/>
    <m/>
    <n v="0"/>
    <n v="0"/>
    <n v="408929"/>
    <n v="0"/>
    <n v="0"/>
    <n v="0"/>
    <n v="29"/>
    <n v="408929"/>
    <n v="0"/>
    <n v="10"/>
    <n v="29"/>
    <n v="0"/>
    <n v="0"/>
    <n v="0"/>
    <n v="0"/>
    <n v="408929"/>
    <n v="0"/>
    <n v="0"/>
    <n v="0"/>
    <n v="29"/>
    <n v="408929"/>
    <n v="0"/>
    <n v="10"/>
    <n v="31"/>
    <n v="2"/>
    <n v="0"/>
    <n v="0"/>
    <n v="0"/>
    <n v="437131"/>
    <n v="29807.999999999996"/>
    <n v="0"/>
    <n v="0"/>
    <n v="31"/>
    <n v="437131"/>
    <n v="50403.361344537814"/>
    <n v="10"/>
    <n v="29"/>
    <n v="0"/>
    <n v="0"/>
    <n v="0"/>
    <n v="0"/>
    <n v="432215.99999999994"/>
    <n v="0"/>
    <n v="0"/>
    <n v="0"/>
    <n v="29"/>
    <n v="408929"/>
    <n v="0"/>
    <n v="0"/>
    <n v="29"/>
    <n v="0"/>
    <n v="0"/>
    <n v="0"/>
    <n v="0"/>
    <m/>
    <n v="432215.99999999994"/>
    <n v="0"/>
    <n v="0"/>
    <n v="0"/>
    <n v="29"/>
    <n v="432215.99999999994"/>
    <n v="0"/>
    <n v="0"/>
    <n v="29"/>
    <n v="0"/>
    <m/>
    <n v="0"/>
    <n v="0"/>
    <n v="432215.99999999994"/>
    <n v="0"/>
    <n v="0"/>
    <n v="0"/>
    <n v="29"/>
    <n v="432215.99999999994"/>
    <n v="0"/>
    <n v="0"/>
    <n v="29"/>
    <n v="0"/>
    <n v="0"/>
    <n v="0"/>
    <n v="432215.99999999994"/>
    <n v="0"/>
    <n v="0"/>
    <n v="0"/>
    <n v="29"/>
    <n v="432215.99999999994"/>
    <n v="0"/>
    <n v="0"/>
    <n v="29"/>
    <n v="0"/>
    <n v="0"/>
    <m/>
    <n v="432215.99999999994"/>
    <n v="0"/>
    <n v="0"/>
    <n v="29"/>
    <n v="432215.99999999994"/>
    <n v="0"/>
  </r>
  <r>
    <m/>
    <x v="4"/>
    <x v="21"/>
    <x v="52"/>
    <s v="LTW25-MSW06"/>
    <x v="496"/>
    <x v="381"/>
    <x v="0"/>
    <x v="2"/>
    <n v="1"/>
    <x v="327"/>
    <n v="20"/>
    <m/>
    <n v="0"/>
    <n v="14101"/>
    <n v="282020"/>
    <n v="14.4"/>
    <n v="15731.999999999998"/>
    <n v="25201.680672268907"/>
    <n v="21000"/>
    <s v="Shenzhen"/>
    <x v="0"/>
    <n v="30"/>
    <m/>
    <n v="1"/>
    <n v="0"/>
    <s v=""/>
    <n v="0"/>
    <s v=""/>
    <n v="0"/>
    <s v=""/>
    <n v="0"/>
    <s v=""/>
    <n v="0"/>
    <s v=""/>
    <n v="0"/>
    <s v=""/>
    <n v="5"/>
    <n v="0.27009834877581657"/>
    <n v="2"/>
    <n v="0.29318446115288221"/>
    <n v="0"/>
    <s v=""/>
    <n v="2"/>
    <n v="0.55243540912841993"/>
    <n v="1"/>
    <n v="0.20067059690493741"/>
    <n v="0"/>
    <s v=""/>
    <n v="3"/>
    <n v="-2.514517377061434E-2"/>
    <n v="0"/>
    <s v=""/>
    <n v="1"/>
    <n v="0.37831760758147309"/>
    <n v="0"/>
    <s v=""/>
    <n v="0"/>
    <n v="0"/>
    <s v=""/>
    <n v="0"/>
    <n v="0"/>
    <s v=""/>
    <n v="0"/>
    <n v="0"/>
    <s v=""/>
    <n v="0"/>
    <n v="2"/>
    <n v="-0.10156140323869099"/>
    <n v="0.2857142857142857"/>
    <n v="1"/>
    <n v="-3.1734667246628989E-2"/>
    <n v="0.14285714285714285"/>
    <m/>
    <m/>
    <m/>
    <m/>
    <m/>
    <m/>
    <m/>
    <m/>
    <m/>
    <n v="3"/>
    <n v="22"/>
    <n v="3"/>
    <n v="0"/>
    <n v="0"/>
    <n v="0"/>
    <n v="56404"/>
    <n v="327887.99999999994"/>
    <n v="42303"/>
    <n v="0"/>
    <n v="20"/>
    <n v="282020"/>
    <n v="63533.648753619098"/>
    <n v="3"/>
    <n v="21"/>
    <n v="0"/>
    <n v="0"/>
    <n v="0"/>
    <n v="0"/>
    <n v="14101"/>
    <n v="312983.99999999994"/>
    <n v="0"/>
    <n v="0"/>
    <n v="20"/>
    <n v="282020"/>
    <n v="0"/>
    <n v="4"/>
    <n v="21"/>
    <n v="1"/>
    <n v="0"/>
    <n v="0"/>
    <n v="43909"/>
    <n v="296121"/>
    <n v="14101"/>
    <n v="0"/>
    <n v="20"/>
    <n v="282020"/>
    <n v="25201.680672268907"/>
    <n v="2"/>
    <n v="20"/>
    <n v="0"/>
    <n v="0"/>
    <n v="0"/>
    <n v="298079.99999999994"/>
    <n v="0"/>
    <x v="0"/>
    <x v="0"/>
    <n v="20"/>
    <n v="282020"/>
    <n v="0"/>
    <n v="2"/>
    <n v="20"/>
    <n v="2"/>
    <m/>
    <n v="0"/>
    <n v="0"/>
    <n v="282020"/>
    <n v="29807.999999999996"/>
    <x v="0"/>
    <n v="0"/>
    <n v="20"/>
    <n v="282020"/>
    <n v="50403.361344537814"/>
    <n v="12"/>
    <n v="20"/>
    <n v="0"/>
    <m/>
    <n v="0"/>
    <n v="0"/>
    <n v="282020"/>
    <n v="0"/>
    <n v="0"/>
    <n v="0"/>
    <n v="20"/>
    <n v="282020"/>
    <n v="0"/>
    <n v="7"/>
    <n v="20"/>
    <n v="0"/>
    <n v="0"/>
    <n v="0"/>
    <n v="0"/>
    <n v="282020"/>
    <n v="0"/>
    <n v="0"/>
    <n v="0"/>
    <n v="20"/>
    <n v="282020"/>
    <n v="0"/>
    <n v="7"/>
    <n v="22"/>
    <n v="2"/>
    <n v="0"/>
    <n v="0"/>
    <n v="0"/>
    <n v="310222"/>
    <n v="29807.999999999996"/>
    <n v="0"/>
    <n v="0"/>
    <n v="22"/>
    <n v="310222"/>
    <n v="50403.361344537814"/>
    <n v="7"/>
    <n v="21"/>
    <n v="1.5"/>
    <n v="0"/>
    <n v="0"/>
    <n v="0"/>
    <n v="312983.99999999994"/>
    <n v="22355.999999999996"/>
    <n v="0"/>
    <n v="0"/>
    <n v="20"/>
    <n v="282020"/>
    <n v="37802.521008403361"/>
    <n v="0"/>
    <n v="19.5"/>
    <n v="0"/>
    <n v="0"/>
    <n v="0"/>
    <n v="0"/>
    <m/>
    <n v="290627.99999999994"/>
    <n v="0"/>
    <n v="0"/>
    <n v="0"/>
    <n v="19.5"/>
    <n v="290627.99999999994"/>
    <n v="0"/>
    <n v="0"/>
    <n v="19.5"/>
    <n v="0"/>
    <m/>
    <n v="0"/>
    <n v="0"/>
    <n v="290627.99999999994"/>
    <n v="0"/>
    <n v="0"/>
    <n v="0"/>
    <n v="19.5"/>
    <n v="290627.99999999994"/>
    <n v="0"/>
    <n v="0"/>
    <n v="19.5"/>
    <n v="0"/>
    <n v="0"/>
    <n v="0"/>
    <n v="290627.99999999994"/>
    <n v="0"/>
    <n v="0"/>
    <n v="0"/>
    <n v="19.5"/>
    <n v="290627.99999999994"/>
    <n v="0"/>
    <n v="0"/>
    <n v="19.5"/>
    <n v="0"/>
    <n v="0"/>
    <m/>
    <n v="290627.99999999994"/>
    <n v="0"/>
    <n v="0"/>
    <n v="19.5"/>
    <n v="290627.99999999994"/>
    <n v="0"/>
  </r>
  <r>
    <m/>
    <x v="4"/>
    <x v="21"/>
    <x v="52"/>
    <s v="LTW25-MSW06"/>
    <x v="497"/>
    <x v="381"/>
    <x v="0"/>
    <x v="2"/>
    <n v="1"/>
    <x v="328"/>
    <n v="6"/>
    <m/>
    <n v="0"/>
    <n v="14101"/>
    <n v="84606"/>
    <n v="14.4"/>
    <n v="15731.999999999998"/>
    <n v="25201.680672268907"/>
    <n v="21000"/>
    <s v="Shenzhen"/>
    <x v="0"/>
    <n v="30"/>
    <m/>
    <n v="1"/>
    <n v="0"/>
    <s v=""/>
    <n v="0"/>
    <s v=""/>
    <n v="0"/>
    <s v=""/>
    <n v="0"/>
    <s v=""/>
    <n v="0"/>
    <s v=""/>
    <n v="5"/>
    <n v="0.50633424124241166"/>
    <n v="5"/>
    <n v="0.27009834877581657"/>
    <n v="2"/>
    <n v="4.0685080617729144E-2"/>
    <n v="1"/>
    <n v="0.55243540912841993"/>
    <n v="2"/>
    <n v="0.46288157543899738"/>
    <n v="1"/>
    <n v="0.19999035515715424"/>
    <n v="2"/>
    <n v="0.58041568720802206"/>
    <n v="3"/>
    <n v="-2.514517377061434E-2"/>
    <n v="0"/>
    <s v=""/>
    <n v="0"/>
    <s v=""/>
    <n v="0"/>
    <s v=""/>
    <n v="0"/>
    <n v="2"/>
    <n v="-0.66943789484156591"/>
    <n v="0.66666666666666663"/>
    <n v="2"/>
    <n v="0.21919012609929736"/>
    <n v="0.16666666666666666"/>
    <n v="1"/>
    <n v="0"/>
    <n v="0.25"/>
    <n v="3"/>
    <n v="0.27630173754078408"/>
    <n v="0.75"/>
    <n v="1"/>
    <n v="0.28041710842168432"/>
    <n v="0.25"/>
    <m/>
    <m/>
    <m/>
    <m/>
    <m/>
    <m/>
    <m/>
    <m/>
    <m/>
    <n v="3"/>
    <n v="16"/>
    <n v="3"/>
    <n v="0"/>
    <n v="0"/>
    <n v="0"/>
    <n v="42303"/>
    <n v="238463.99999999997"/>
    <n v="42303"/>
    <n v="0"/>
    <n v="6"/>
    <n v="84606"/>
    <n v="63533.648753619098"/>
    <n v="3"/>
    <n v="14"/>
    <n v="0"/>
    <n v="0"/>
    <n v="0"/>
    <n v="0"/>
    <n v="0"/>
    <n v="208655.99999999997"/>
    <n v="0"/>
    <n v="0"/>
    <n v="6"/>
    <n v="84606"/>
    <n v="0"/>
    <n v="0"/>
    <n v="14"/>
    <n v="0"/>
    <n v="0"/>
    <n v="0"/>
    <n v="44711.999999999993"/>
    <n v="197414"/>
    <n v="0"/>
    <n v="0"/>
    <n v="6"/>
    <n v="84606"/>
    <n v="0"/>
    <n v="3"/>
    <n v="28"/>
    <n v="0"/>
    <n v="0"/>
    <n v="0"/>
    <n v="417311.99999999994"/>
    <n v="0"/>
    <x v="0"/>
    <x v="0"/>
    <n v="6"/>
    <n v="84606"/>
    <n v="0"/>
    <n v="3"/>
    <n v="8"/>
    <n v="3"/>
    <m/>
    <n v="0"/>
    <n v="0"/>
    <n v="112808"/>
    <n v="44711.999999999993"/>
    <x v="0"/>
    <n v="0"/>
    <n v="6"/>
    <n v="84606"/>
    <n v="75605.042016806721"/>
    <n v="12"/>
    <n v="8"/>
    <n v="2"/>
    <m/>
    <n v="0"/>
    <n v="0"/>
    <n v="112808"/>
    <n v="29807.999999999996"/>
    <n v="0"/>
    <n v="0"/>
    <n v="8"/>
    <n v="84606"/>
    <n v="50403.361344537814"/>
    <n v="4"/>
    <n v="7"/>
    <n v="1"/>
    <n v="0"/>
    <n v="0"/>
    <n v="0"/>
    <n v="98707"/>
    <n v="14903.999999999998"/>
    <n v="0"/>
    <n v="0"/>
    <n v="7"/>
    <n v="84606"/>
    <n v="25201.680672268907"/>
    <n v="4"/>
    <n v="9"/>
    <n v="3"/>
    <n v="0"/>
    <n v="0"/>
    <n v="0"/>
    <n v="126909"/>
    <n v="44711.999999999993"/>
    <n v="0"/>
    <n v="0"/>
    <n v="9"/>
    <n v="126909"/>
    <n v="75605.042016806721"/>
    <n v="4"/>
    <n v="7"/>
    <n v="0"/>
    <n v="0"/>
    <n v="0"/>
    <n v="0"/>
    <n v="104327.99999999999"/>
    <n v="0"/>
    <n v="0"/>
    <n v="0"/>
    <n v="6"/>
    <n v="84606"/>
    <n v="0"/>
    <n v="0"/>
    <n v="7"/>
    <n v="0"/>
    <n v="0"/>
    <n v="0"/>
    <n v="0"/>
    <m/>
    <n v="104327.99999999999"/>
    <n v="0"/>
    <n v="0"/>
    <n v="0"/>
    <n v="7"/>
    <n v="104327.99999999999"/>
    <n v="0"/>
    <n v="0"/>
    <n v="7"/>
    <n v="0"/>
    <m/>
    <n v="0"/>
    <n v="0"/>
    <n v="104327.99999999999"/>
    <n v="0"/>
    <n v="0"/>
    <n v="0"/>
    <n v="7"/>
    <n v="104327.99999999999"/>
    <n v="0"/>
    <n v="0"/>
    <n v="7"/>
    <n v="0"/>
    <n v="0"/>
    <n v="0"/>
    <n v="104327.99999999999"/>
    <n v="0"/>
    <n v="0"/>
    <n v="0"/>
    <n v="7"/>
    <n v="104327.99999999999"/>
    <n v="0"/>
    <n v="0"/>
    <n v="7"/>
    <n v="0"/>
    <n v="0"/>
    <m/>
    <n v="104327.99999999999"/>
    <n v="0"/>
    <n v="0"/>
    <n v="7"/>
    <n v="104327.99999999999"/>
    <n v="0"/>
  </r>
  <r>
    <s v="Lhotse-Vestuario"/>
    <x v="4"/>
    <x v="21"/>
    <x v="52"/>
    <s v="LTW25-MSW06"/>
    <x v="498"/>
    <x v="381"/>
    <x v="0"/>
    <x v="2"/>
    <n v="1"/>
    <x v="329"/>
    <n v="2"/>
    <m/>
    <n v="0"/>
    <n v="14101"/>
    <n v="28202"/>
    <n v="14.4"/>
    <n v="15731.999999999998"/>
    <n v="25201.680672268907"/>
    <n v="21000"/>
    <s v="Shenzhen"/>
    <x v="0"/>
    <n v="30"/>
    <m/>
    <n v="1"/>
    <n v="0"/>
    <s v=""/>
    <n v="0"/>
    <s v=""/>
    <n v="0"/>
    <s v=""/>
    <n v="0"/>
    <n v="2.127508687373579E-6"/>
    <n v="0"/>
    <n v="0.5204241063837024"/>
    <n v="1"/>
    <n v="1"/>
    <n v="11"/>
    <n v="0.37618623038902221"/>
    <n v="1"/>
    <n v="0.25391693121693126"/>
    <n v="0"/>
    <s v=""/>
    <n v="5"/>
    <n v="0.35439257556750026"/>
    <n v="0"/>
    <s v=""/>
    <n v="2"/>
    <n v="0.36054236673242185"/>
    <n v="4"/>
    <n v="-2.5145173770614343E-2"/>
    <n v="1"/>
    <n v="6.7270803308401447E-2"/>
    <n v="0"/>
    <s v=""/>
    <n v="0"/>
    <s v=""/>
    <n v="0"/>
    <n v="0"/>
    <s v=""/>
    <n v="0"/>
    <n v="2"/>
    <n v="0.44051663777007199"/>
    <n v="0.16666666666666666"/>
    <n v="1"/>
    <n v="2.6846256451893521E-2"/>
    <n v="0.33333333333333331"/>
    <n v="3"/>
    <n v="0.27779959983833868"/>
    <n v="1"/>
    <n v="0"/>
    <s v=""/>
    <n v="0"/>
    <m/>
    <m/>
    <m/>
    <m/>
    <m/>
    <m/>
    <m/>
    <m/>
    <m/>
    <n v="3"/>
    <n v="5"/>
    <n v="3"/>
    <n v="0"/>
    <n v="0"/>
    <n v="0"/>
    <n v="63454.5"/>
    <n v="74519.999999999985"/>
    <n v="42303"/>
    <n v="0"/>
    <n v="2"/>
    <n v="28202"/>
    <n v="63533.648753619098"/>
    <n v="3"/>
    <n v="8"/>
    <n v="1.5"/>
    <n v="0"/>
    <n v="0"/>
    <n v="0"/>
    <n v="21151.5"/>
    <n v="119231.99999999999"/>
    <n v="21151.5"/>
    <n v="0"/>
    <n v="2"/>
    <n v="28202"/>
    <n v="31766.824376809549"/>
    <n v="4"/>
    <n v="7"/>
    <n v="0"/>
    <n v="0"/>
    <n v="0"/>
    <n v="44711.999999999993"/>
    <n v="98707"/>
    <n v="0"/>
    <n v="0"/>
    <n v="2"/>
    <n v="28202"/>
    <n v="0"/>
    <n v="3"/>
    <n v="7"/>
    <n v="0"/>
    <n v="0"/>
    <n v="0"/>
    <n v="104327.99999999999"/>
    <n v="0"/>
    <x v="0"/>
    <x v="0"/>
    <n v="2"/>
    <n v="28202"/>
    <n v="0"/>
    <n v="3"/>
    <n v="2"/>
    <n v="3"/>
    <m/>
    <n v="0"/>
    <n v="0"/>
    <n v="28202"/>
    <n v="44711.999999999993"/>
    <x v="0"/>
    <n v="0"/>
    <n v="2"/>
    <n v="28202"/>
    <n v="75605.042016806721"/>
    <n v="12"/>
    <n v="4"/>
    <n v="2"/>
    <m/>
    <n v="0"/>
    <n v="0"/>
    <n v="56404"/>
    <n v="29807.999999999996"/>
    <n v="0"/>
    <n v="0"/>
    <n v="4"/>
    <n v="28202"/>
    <n v="50403.361344537814"/>
    <n v="3"/>
    <n v="3"/>
    <n v="1"/>
    <n v="0"/>
    <n v="0"/>
    <n v="0"/>
    <n v="42303"/>
    <n v="14903.999999999998"/>
    <n v="0"/>
    <n v="0"/>
    <n v="3"/>
    <n v="28202"/>
    <n v="25201.680672268907"/>
    <n v="3"/>
    <n v="5"/>
    <n v="3"/>
    <n v="0"/>
    <n v="0"/>
    <n v="0"/>
    <n v="70505"/>
    <n v="44711.999999999993"/>
    <n v="0"/>
    <n v="0"/>
    <n v="5"/>
    <n v="70505"/>
    <n v="75605.042016806721"/>
    <n v="3"/>
    <n v="2"/>
    <n v="0"/>
    <n v="0"/>
    <n v="0"/>
    <n v="0"/>
    <n v="29807.999999999996"/>
    <n v="0"/>
    <n v="0"/>
    <n v="0"/>
    <n v="2"/>
    <n v="28202"/>
    <n v="0"/>
    <n v="0"/>
    <n v="2"/>
    <n v="0"/>
    <n v="0"/>
    <n v="0"/>
    <n v="0"/>
    <m/>
    <n v="29807.999999999996"/>
    <n v="0"/>
    <n v="0"/>
    <n v="0"/>
    <n v="2"/>
    <n v="29807.999999999996"/>
    <n v="0"/>
    <n v="0"/>
    <n v="2"/>
    <n v="0"/>
    <m/>
    <n v="0"/>
    <n v="0"/>
    <n v="29807.999999999996"/>
    <n v="0"/>
    <n v="0"/>
    <n v="0"/>
    <n v="2"/>
    <n v="29807.999999999996"/>
    <n v="0"/>
    <n v="0"/>
    <n v="2"/>
    <n v="0"/>
    <n v="0"/>
    <n v="0"/>
    <n v="29807.999999999996"/>
    <n v="0"/>
    <n v="0"/>
    <n v="0"/>
    <n v="2"/>
    <n v="29807.999999999996"/>
    <n v="0"/>
    <n v="0"/>
    <n v="2"/>
    <n v="0"/>
    <n v="0"/>
    <m/>
    <n v="29807.999999999996"/>
    <n v="0"/>
    <n v="0"/>
    <n v="2"/>
    <n v="29807.999999999996"/>
    <n v="0"/>
  </r>
  <r>
    <s v="Lhotse-Vestuario"/>
    <x v="4"/>
    <x v="21"/>
    <x v="53"/>
    <s v="LTS26-MTS01"/>
    <x v="499"/>
    <x v="382"/>
    <x v="0"/>
    <x v="0"/>
    <n v="1"/>
    <x v="330"/>
    <n v="2"/>
    <m/>
    <n v="0"/>
    <n v="3853"/>
    <n v="7706"/>
    <n v="3.6"/>
    <n v="3932.9999999999995"/>
    <n v="10915.966386554623"/>
    <n v="6714.2857142857147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34856734499421493"/>
    <n v="2"/>
    <n v="0.37083605486610061"/>
    <n v="29"/>
    <n v="0.21887170461575267"/>
    <n v="3"/>
    <n v="0.49147868266253075"/>
    <n v="7"/>
    <n v="0.3846609245700085"/>
    <n v="3"/>
    <n v="0.2956795503928013"/>
    <n v="0.75"/>
    <n v="1"/>
    <n v="0.54103903903903905"/>
    <n v="0.33333333333333331"/>
    <n v="8"/>
    <n v="0.18869621661721067"/>
    <n v="1"/>
    <n v="1"/>
    <n v="0.23462270450751252"/>
    <n v="0.25"/>
    <n v="0"/>
    <s v=""/>
    <n v="0"/>
    <n v="-1"/>
    <n v="0.42610638297872339"/>
    <n v="-0.25"/>
    <m/>
    <m/>
    <m/>
    <m/>
    <m/>
    <m/>
    <m/>
    <m/>
    <m/>
    <n v="5"/>
    <n v="52"/>
    <n v="5"/>
    <n v="0"/>
    <n v="0"/>
    <n v="0"/>
    <n v="63574.5"/>
    <n v="193751.99999999997"/>
    <n v="19265"/>
    <n v="0"/>
    <n v="2"/>
    <n v="7706"/>
    <n v="45865.40498552363"/>
    <n v="4"/>
    <n v="23"/>
    <n v="4.5"/>
    <n v="0"/>
    <n v="0"/>
    <n v="0"/>
    <n v="55868.5"/>
    <n v="85697.999999999985"/>
    <n v="17338.5"/>
    <n v="0"/>
    <n v="2"/>
    <n v="7706"/>
    <n v="41278.864486971266"/>
    <n v="2.9000000000000004"/>
    <n v="20"/>
    <n v="7"/>
    <n v="0"/>
    <n v="0"/>
    <n v="49708"/>
    <n v="77060"/>
    <n v="26971"/>
    <n v="0"/>
    <n v="2"/>
    <n v="7706"/>
    <n v="76411.764705882364"/>
    <n v="4"/>
    <n v="12"/>
    <n v="3"/>
    <n v="0"/>
    <n v="0"/>
    <n v="44711.999999999993"/>
    <n v="11559"/>
    <x v="0"/>
    <x v="0"/>
    <n v="2"/>
    <n v="7706"/>
    <n v="32747.899159663866"/>
    <n v="3"/>
    <n v="3"/>
    <n v="3"/>
    <m/>
    <n v="0"/>
    <n v="0"/>
    <n v="11559"/>
    <n v="11177.999999999998"/>
    <x v="0"/>
    <n v="0"/>
    <n v="2"/>
    <n v="7706"/>
    <n v="32747.899159663866"/>
    <n v="8"/>
    <n v="10"/>
    <n v="8"/>
    <m/>
    <n v="0"/>
    <n v="0"/>
    <n v="38530"/>
    <n v="29807.999999999996"/>
    <n v="0"/>
    <n v="0"/>
    <n v="10"/>
    <n v="7706"/>
    <n v="87327.731092436981"/>
    <n v="4"/>
    <n v="3"/>
    <n v="1"/>
    <n v="0"/>
    <n v="0"/>
    <n v="0"/>
    <n v="11559"/>
    <n v="3725.9999999999995"/>
    <n v="0"/>
    <n v="0"/>
    <n v="3"/>
    <n v="7706"/>
    <n v="10915.966386554623"/>
    <n v="4"/>
    <n v="2"/>
    <n v="0"/>
    <n v="0"/>
    <n v="0"/>
    <n v="0"/>
    <n v="7706"/>
    <n v="0"/>
    <n v="0"/>
    <n v="0"/>
    <n v="2"/>
    <n v="7706"/>
    <n v="0"/>
    <n v="4"/>
    <n v="1"/>
    <n v="0"/>
    <n v="0"/>
    <n v="0"/>
    <n v="0"/>
    <n v="3725.9999999999995"/>
    <n v="0"/>
    <n v="0"/>
    <n v="0"/>
    <n v="2"/>
    <n v="7706"/>
    <n v="0"/>
    <n v="0"/>
    <n v="1"/>
    <n v="0"/>
    <n v="0"/>
    <n v="0"/>
    <n v="0"/>
    <m/>
    <n v="3725.9999999999995"/>
    <n v="0"/>
    <n v="0"/>
    <n v="0"/>
    <n v="1"/>
    <n v="3725.9999999999995"/>
    <n v="0"/>
    <n v="0"/>
    <n v="1"/>
    <n v="0"/>
    <m/>
    <n v="0"/>
    <n v="0"/>
    <n v="3725.9999999999995"/>
    <n v="0"/>
    <n v="0"/>
    <n v="0"/>
    <n v="1"/>
    <n v="3725.9999999999995"/>
    <n v="0"/>
    <n v="0"/>
    <n v="1"/>
    <n v="0"/>
    <n v="0"/>
    <n v="0"/>
    <n v="3725.9999999999995"/>
    <n v="0"/>
    <n v="0"/>
    <n v="0"/>
    <n v="1"/>
    <n v="3725.9999999999995"/>
    <n v="0"/>
    <n v="0"/>
    <n v="1"/>
    <n v="0"/>
    <n v="0"/>
    <m/>
    <n v="3725.9999999999995"/>
    <n v="0"/>
    <n v="0"/>
    <n v="1"/>
    <n v="3725.9999999999995"/>
    <n v="0"/>
  </r>
  <r>
    <s v="Lhotse-Vestuario"/>
    <x v="4"/>
    <x v="21"/>
    <x v="53"/>
    <s v="LTS26-MTS01"/>
    <x v="500"/>
    <x v="382"/>
    <x v="0"/>
    <x v="0"/>
    <n v="1"/>
    <x v="331"/>
    <n v="2"/>
    <m/>
    <n v="0"/>
    <n v="3853"/>
    <n v="7706"/>
    <n v="3.6"/>
    <n v="3932.9999999999995"/>
    <n v="8394.957983193277"/>
    <n v="6714.2857142857147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30904168922577152"/>
    <n v="1"/>
    <n v="0.51692577733199596"/>
    <n v="17"/>
    <n v="0.15835855862359796"/>
    <n v="4"/>
    <n v="0.29857127208371481"/>
    <n v="1"/>
    <n v="0.54103634172713455"/>
    <n v="2"/>
    <n v="0.54103634172713455"/>
    <n v="0.5"/>
    <n v="1"/>
    <n v="0.42610638297872339"/>
    <n v="0.33333333333333331"/>
    <n v="7"/>
    <n v="0.22704060498049225"/>
    <n v="0.875"/>
    <n v="0"/>
    <s v=""/>
    <n v="0"/>
    <n v="11"/>
    <n v="-3.2041191160861265E-2"/>
    <n v="1"/>
    <n v="11"/>
    <n v="-0.14057047604127579"/>
    <n v="1"/>
    <m/>
    <m/>
    <m/>
    <m/>
    <m/>
    <m/>
    <m/>
    <m/>
    <m/>
    <n v="5"/>
    <n v="61"/>
    <n v="5"/>
    <n v="0"/>
    <n v="0"/>
    <n v="0"/>
    <n v="46236"/>
    <n v="227285.99999999997"/>
    <n v="19265"/>
    <n v="0"/>
    <n v="2"/>
    <n v="7706"/>
    <n v="35272.932702492762"/>
    <n v="4"/>
    <n v="40"/>
    <n v="6"/>
    <n v="0"/>
    <n v="0"/>
    <n v="0"/>
    <n v="34677"/>
    <n v="149039.99999999997"/>
    <n v="23118"/>
    <n v="0"/>
    <n v="2"/>
    <n v="7706"/>
    <n v="42327.519242991315"/>
    <n v="6"/>
    <n v="36"/>
    <n v="1"/>
    <n v="0"/>
    <n v="0"/>
    <n v="22737"/>
    <n v="138708"/>
    <n v="3853"/>
    <n v="0"/>
    <n v="2"/>
    <n v="7706"/>
    <n v="8394.957983193277"/>
    <n v="4"/>
    <n v="35"/>
    <n v="2"/>
    <n v="0"/>
    <n v="0"/>
    <n v="130409.99999999999"/>
    <n v="7706"/>
    <x v="0"/>
    <x v="0"/>
    <n v="2"/>
    <n v="7706"/>
    <n v="16789.915966386554"/>
    <n v="3"/>
    <n v="3"/>
    <n v="3"/>
    <m/>
    <n v="0"/>
    <n v="0"/>
    <n v="11559"/>
    <n v="11177.999999999998"/>
    <x v="0"/>
    <n v="0"/>
    <n v="2"/>
    <n v="7706"/>
    <n v="25184.873949579829"/>
    <n v="8"/>
    <n v="9"/>
    <n v="7"/>
    <m/>
    <n v="0"/>
    <n v="0"/>
    <n v="34677"/>
    <n v="26081.999999999996"/>
    <n v="0"/>
    <n v="0"/>
    <n v="9"/>
    <n v="7706"/>
    <n v="58764.705882352937"/>
    <n v="11"/>
    <n v="2"/>
    <n v="0"/>
    <n v="0"/>
    <n v="0"/>
    <n v="0"/>
    <n v="7706"/>
    <n v="0"/>
    <n v="0"/>
    <n v="0"/>
    <n v="2"/>
    <n v="7706"/>
    <n v="0"/>
    <n v="11"/>
    <n v="13"/>
    <n v="11"/>
    <n v="0"/>
    <n v="0"/>
    <n v="0"/>
    <n v="50089"/>
    <n v="40985.999999999993"/>
    <n v="0"/>
    <n v="0"/>
    <n v="13"/>
    <n v="50089"/>
    <n v="92344.537815126052"/>
    <n v="11"/>
    <n v="13"/>
    <n v="10.5"/>
    <n v="0"/>
    <n v="0"/>
    <n v="0"/>
    <n v="48437.999999999993"/>
    <n v="39122.999999999993"/>
    <n v="0"/>
    <n v="0"/>
    <n v="2"/>
    <n v="7706"/>
    <n v="88147.058823529413"/>
    <n v="0"/>
    <n v="2.5"/>
    <n v="0"/>
    <n v="0"/>
    <n v="0"/>
    <n v="0"/>
    <m/>
    <n v="9314.9999999999982"/>
    <n v="0"/>
    <n v="0"/>
    <n v="0"/>
    <n v="2.5"/>
    <n v="9314.9999999999982"/>
    <n v="0"/>
    <n v="0"/>
    <n v="2.5"/>
    <n v="0"/>
    <m/>
    <n v="0"/>
    <n v="0"/>
    <n v="9314.9999999999982"/>
    <n v="0"/>
    <n v="0"/>
    <n v="0"/>
    <n v="2.5"/>
    <n v="9314.9999999999982"/>
    <n v="0"/>
    <n v="0"/>
    <n v="2.5"/>
    <n v="0"/>
    <n v="0"/>
    <n v="0"/>
    <n v="9314.9999999999982"/>
    <n v="0"/>
    <n v="0"/>
    <n v="0"/>
    <n v="2.5"/>
    <n v="9314.9999999999982"/>
    <n v="0"/>
    <n v="0"/>
    <n v="2.5"/>
    <n v="0"/>
    <n v="0"/>
    <m/>
    <n v="9314.9999999999982"/>
    <n v="0"/>
    <n v="0"/>
    <n v="2.5"/>
    <n v="9314.9999999999982"/>
    <n v="0"/>
  </r>
  <r>
    <s v="Lhotse-Vestuario"/>
    <x v="4"/>
    <x v="21"/>
    <x v="53"/>
    <s v="LTS26-MTS01"/>
    <x v="501"/>
    <x v="382"/>
    <x v="0"/>
    <x v="0"/>
    <n v="1"/>
    <x v="332"/>
    <n v="1"/>
    <m/>
    <n v="0"/>
    <n v="3853"/>
    <n v="3853"/>
    <n v="3.6"/>
    <n v="3932.9999999999995"/>
    <n v="8394.957983193277"/>
    <n v="6714.2857142857147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30904168922577152"/>
    <n v="8"/>
    <n v="0.1497985211846172"/>
    <n v="24"/>
    <n v="0.22324212283162115"/>
    <n v="1"/>
    <n v="0.24097773629444375"/>
    <n v="4"/>
    <n v="0.48350409702706137"/>
    <n v="1"/>
    <n v="0.33960258234487417"/>
    <n v="0.25"/>
    <n v="2"/>
    <n v="0.54103903903903905"/>
    <n v="0.66666666666666663"/>
    <n v="1"/>
    <n v="0.23462270450751252"/>
    <n v="0.12048192771084336"/>
    <n v="3"/>
    <n v="0.16494262643433913"/>
    <n v="0.6"/>
    <n v="9"/>
    <n v="-0.1409546912177802"/>
    <n v="1.8"/>
    <n v="2"/>
    <n v="-0.14426827081584143"/>
    <n v="0.4"/>
    <m/>
    <m/>
    <m/>
    <m/>
    <m/>
    <m/>
    <m/>
    <m/>
    <m/>
    <n v="5"/>
    <n v="49"/>
    <n v="5"/>
    <n v="0"/>
    <n v="0"/>
    <n v="0"/>
    <n v="40456.5"/>
    <n v="182573.99999999997"/>
    <n v="19265"/>
    <n v="0"/>
    <n v="1"/>
    <n v="3853"/>
    <n v="35272.932702492762"/>
    <n v="4"/>
    <n v="25"/>
    <n v="1.5"/>
    <n v="0"/>
    <n v="0"/>
    <n v="0"/>
    <n v="25044.5"/>
    <n v="93149.999999999985"/>
    <n v="5779.5"/>
    <n v="0"/>
    <n v="1"/>
    <n v="3853"/>
    <n v="10581.879810747829"/>
    <n v="2.9159999999999999"/>
    <n v="24"/>
    <n v="4"/>
    <n v="0"/>
    <n v="0"/>
    <n v="30443"/>
    <n v="92472"/>
    <n v="15412"/>
    <n v="0"/>
    <n v="1"/>
    <n v="3853"/>
    <n v="33579.831932773108"/>
    <n v="4"/>
    <n v="19"/>
    <n v="1"/>
    <n v="0"/>
    <n v="0"/>
    <n v="70793.999999999985"/>
    <n v="3853"/>
    <x v="0"/>
    <x v="0"/>
    <n v="1"/>
    <n v="3853"/>
    <n v="8394.957983193277"/>
    <n v="3"/>
    <n v="3"/>
    <n v="3"/>
    <m/>
    <n v="0"/>
    <n v="0"/>
    <n v="11559"/>
    <n v="11177.999999999998"/>
    <x v="0"/>
    <n v="0"/>
    <n v="1"/>
    <n v="3853"/>
    <n v="25184.873949579829"/>
    <n v="8.3000000000000007"/>
    <n v="2"/>
    <n v="1"/>
    <m/>
    <n v="0"/>
    <n v="0"/>
    <n v="7706"/>
    <n v="3725.9999999999995"/>
    <n v="0"/>
    <n v="0"/>
    <n v="2"/>
    <n v="3853"/>
    <n v="8394.957983193277"/>
    <n v="5"/>
    <n v="4"/>
    <n v="3"/>
    <n v="0"/>
    <n v="0"/>
    <n v="0"/>
    <n v="15412"/>
    <n v="11177.999999999998"/>
    <n v="0"/>
    <n v="0"/>
    <n v="4"/>
    <n v="3853"/>
    <n v="25184.873949579829"/>
    <n v="5"/>
    <n v="10"/>
    <n v="9"/>
    <n v="0"/>
    <n v="0"/>
    <n v="0"/>
    <n v="38530"/>
    <n v="33533.999999999993"/>
    <n v="0"/>
    <n v="0"/>
    <n v="10"/>
    <n v="38530"/>
    <n v="75554.621848739494"/>
    <n v="5"/>
    <n v="3"/>
    <n v="3"/>
    <n v="0"/>
    <n v="0"/>
    <n v="0"/>
    <n v="11177.999999999998"/>
    <n v="11177.999999999998"/>
    <n v="0"/>
    <n v="0"/>
    <n v="1"/>
    <n v="3853"/>
    <n v="25184.873949579829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3"/>
    <s v="LTS26-MTS01"/>
    <x v="502"/>
    <x v="382"/>
    <x v="0"/>
    <x v="0"/>
    <n v="1"/>
    <x v="333"/>
    <n v="25"/>
    <m/>
    <n v="0"/>
    <n v="3853"/>
    <n v="96325"/>
    <n v="3.6"/>
    <n v="3932.9999999999995"/>
    <n v="10915.966386554623"/>
    <n v="6714.2857142857147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1544521802858192"/>
    <n v="0"/>
    <s v=""/>
    <n v="10"/>
    <n v="0.17926332970561384"/>
    <n v="0"/>
    <s v=""/>
    <n v="2"/>
    <n v="0.36843960762691508"/>
    <n v="1"/>
    <n v="0.54103634172713455"/>
    <n v="0.33333333333333331"/>
    <n v="0"/>
    <s v=""/>
    <n v="0"/>
    <n v="5"/>
    <n v="0.23345322793148879"/>
    <n v="0.83333333333333337"/>
    <n v="3"/>
    <n v="0.23462270450751249"/>
    <n v="0.17647058823529413"/>
    <n v="5"/>
    <n v="-2.6085423468326856E-3"/>
    <n v="0.29411764705882354"/>
    <n v="10"/>
    <n v="-0.12042389574127467"/>
    <n v="0.58823529411764708"/>
    <m/>
    <m/>
    <m/>
    <m/>
    <m/>
    <m/>
    <m/>
    <m/>
    <m/>
    <n v="5"/>
    <n v="62"/>
    <n v="5"/>
    <n v="0"/>
    <n v="0"/>
    <n v="0"/>
    <n v="26971"/>
    <n v="231011.99999999997"/>
    <n v="19265"/>
    <n v="0"/>
    <n v="25"/>
    <n v="96325"/>
    <n v="45865.40498552363"/>
    <n v="4"/>
    <n v="52"/>
    <n v="0"/>
    <n v="0"/>
    <n v="0"/>
    <n v="0"/>
    <n v="11559"/>
    <n v="193751.99999999997"/>
    <n v="0"/>
    <n v="0"/>
    <n v="25"/>
    <n v="96325"/>
    <n v="0"/>
    <n v="3"/>
    <n v="52"/>
    <n v="2"/>
    <n v="0"/>
    <n v="0"/>
    <n v="19011"/>
    <n v="200356"/>
    <n v="7706"/>
    <n v="0"/>
    <n v="25"/>
    <n v="96325"/>
    <n v="21831.932773109245"/>
    <n v="3"/>
    <n v="49"/>
    <n v="1"/>
    <n v="0"/>
    <n v="0"/>
    <n v="182573.99999999997"/>
    <n v="3853"/>
    <x v="0"/>
    <x v="0"/>
    <n v="25"/>
    <n v="96325"/>
    <n v="10915.966386554623"/>
    <n v="2"/>
    <n v="25"/>
    <n v="2"/>
    <m/>
    <n v="0"/>
    <n v="0"/>
    <n v="96325"/>
    <n v="7451.9999999999991"/>
    <x v="0"/>
    <n v="0"/>
    <n v="25"/>
    <n v="96325"/>
    <n v="21831.932773109245"/>
    <n v="6"/>
    <n v="30"/>
    <n v="5"/>
    <m/>
    <n v="0"/>
    <n v="0"/>
    <n v="115590"/>
    <n v="18629.999999999996"/>
    <n v="0"/>
    <n v="0"/>
    <n v="30"/>
    <n v="96325"/>
    <n v="54579.831932773115"/>
    <n v="17"/>
    <n v="28"/>
    <n v="3"/>
    <n v="0"/>
    <n v="0"/>
    <n v="0"/>
    <n v="107884"/>
    <n v="11177.999999999998"/>
    <n v="0"/>
    <n v="0"/>
    <n v="28"/>
    <n v="96325"/>
    <n v="32747.899159663866"/>
    <n v="17"/>
    <n v="30"/>
    <n v="5"/>
    <n v="0"/>
    <n v="0"/>
    <n v="0"/>
    <n v="115590"/>
    <n v="18629.999999999996"/>
    <n v="0"/>
    <n v="0"/>
    <n v="30"/>
    <n v="115590"/>
    <n v="54579.831932773115"/>
    <n v="17"/>
    <n v="35"/>
    <n v="13.5"/>
    <n v="0"/>
    <n v="0"/>
    <n v="0"/>
    <n v="130409.99999999999"/>
    <n v="50300.999999999993"/>
    <n v="0"/>
    <n v="0"/>
    <n v="25"/>
    <n v="96325"/>
    <n v="147365.5462184874"/>
    <n v="0"/>
    <n v="21.5"/>
    <n v="0"/>
    <n v="0"/>
    <n v="0"/>
    <n v="0"/>
    <m/>
    <n v="80108.999999999985"/>
    <n v="0"/>
    <n v="0"/>
    <n v="0"/>
    <n v="21.5"/>
    <n v="80108.999999999985"/>
    <n v="0"/>
    <n v="0"/>
    <n v="21.5"/>
    <n v="0"/>
    <m/>
    <n v="0"/>
    <n v="0"/>
    <n v="80108.999999999985"/>
    <n v="0"/>
    <n v="0"/>
    <n v="0"/>
    <n v="21.5"/>
    <n v="80108.999999999985"/>
    <n v="0"/>
    <n v="0"/>
    <n v="21.5"/>
    <n v="0"/>
    <n v="0"/>
    <n v="0"/>
    <n v="80108.999999999985"/>
    <n v="0"/>
    <n v="0"/>
    <n v="0"/>
    <n v="21.5"/>
    <n v="80108.999999999985"/>
    <n v="0"/>
    <n v="0"/>
    <n v="21.5"/>
    <n v="0"/>
    <n v="0"/>
    <m/>
    <n v="80108.999999999985"/>
    <n v="0"/>
    <n v="0"/>
    <n v="21.5"/>
    <n v="80108.999999999985"/>
    <n v="0"/>
  </r>
  <r>
    <s v="Lhotse-Vestuario"/>
    <x v="4"/>
    <x v="21"/>
    <x v="53"/>
    <s v="LTS26-MTS01"/>
    <x v="503"/>
    <x v="382"/>
    <x v="0"/>
    <x v="0"/>
    <n v="1"/>
    <x v="334"/>
    <n v="32"/>
    <m/>
    <n v="0"/>
    <n v="3853"/>
    <n v="123296"/>
    <n v="3.6"/>
    <n v="3932.9999999999995"/>
    <n v="8394.957983193277"/>
    <n v="6714.2857142857147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4"/>
    <n v="0.28712733351908609"/>
    <n v="8"/>
    <n v="0.15835855862359796"/>
    <n v="1"/>
    <n v="0"/>
    <n v="0"/>
    <s v=""/>
    <n v="0"/>
    <s v=""/>
    <n v="0"/>
    <n v="0"/>
    <s v=""/>
    <n v="0"/>
    <n v="3"/>
    <n v="0.32477910858040443"/>
    <n v="0.5"/>
    <n v="2"/>
    <n v="0.23462270450751252"/>
    <n v="0.11764705882352941"/>
    <n v="6"/>
    <n v="5.6122704507512521E-2"/>
    <n v="0.35294117647058826"/>
    <n v="7"/>
    <n v="-0.15475698709173943"/>
    <n v="0.41176470588235292"/>
    <m/>
    <m/>
    <m/>
    <m/>
    <m/>
    <m/>
    <m/>
    <m/>
    <m/>
    <n v="5"/>
    <n v="61"/>
    <n v="5"/>
    <n v="0"/>
    <n v="0"/>
    <n v="0"/>
    <n v="25044.5"/>
    <n v="227285.99999999997"/>
    <n v="19265"/>
    <n v="0"/>
    <n v="32"/>
    <n v="123296"/>
    <n v="35272.932702492762"/>
    <n v="4"/>
    <n v="53"/>
    <n v="1.5"/>
    <n v="0"/>
    <n v="0"/>
    <n v="0"/>
    <n v="5779.5"/>
    <n v="197477.99999999997"/>
    <n v="5779.5"/>
    <n v="0"/>
    <n v="32"/>
    <n v="123296"/>
    <n v="10581.879810747829"/>
    <n v="3"/>
    <n v="52"/>
    <n v="0"/>
    <n v="0"/>
    <n v="0"/>
    <n v="7451.9999999999991"/>
    <n v="200356"/>
    <n v="0"/>
    <n v="0"/>
    <n v="32"/>
    <n v="123296"/>
    <n v="0"/>
    <n v="3"/>
    <n v="52"/>
    <n v="0"/>
    <n v="0"/>
    <n v="0"/>
    <n v="193751.99999999997"/>
    <n v="0"/>
    <x v="0"/>
    <x v="0"/>
    <n v="32"/>
    <n v="123296"/>
    <n v="0"/>
    <n v="2"/>
    <n v="32"/>
    <n v="2"/>
    <m/>
    <n v="0"/>
    <n v="0"/>
    <n v="123296"/>
    <n v="7451.9999999999991"/>
    <x v="0"/>
    <n v="0"/>
    <n v="32"/>
    <n v="123296"/>
    <n v="16789.915966386554"/>
    <n v="6"/>
    <n v="35"/>
    <n v="3"/>
    <m/>
    <n v="0"/>
    <n v="0"/>
    <n v="134855"/>
    <n v="11177.999999999998"/>
    <n v="0"/>
    <n v="0"/>
    <n v="35"/>
    <n v="123296"/>
    <n v="25184.873949579829"/>
    <n v="17"/>
    <n v="34"/>
    <n v="2"/>
    <n v="0"/>
    <n v="0"/>
    <n v="0"/>
    <n v="131002"/>
    <n v="7451.9999999999991"/>
    <n v="0"/>
    <n v="0"/>
    <n v="34"/>
    <n v="123296"/>
    <n v="16789.915966386554"/>
    <n v="17"/>
    <n v="38"/>
    <n v="6"/>
    <n v="0"/>
    <n v="0"/>
    <n v="0"/>
    <n v="146414"/>
    <n v="22355.999999999996"/>
    <n v="0"/>
    <n v="0"/>
    <n v="38"/>
    <n v="146414"/>
    <n v="50369.747899159658"/>
    <n v="17"/>
    <n v="39"/>
    <n v="9"/>
    <n v="0"/>
    <n v="0"/>
    <n v="0"/>
    <n v="145313.99999999997"/>
    <n v="33533.999999999993"/>
    <n v="0"/>
    <n v="0"/>
    <n v="32"/>
    <n v="123296"/>
    <n v="75554.621848739494"/>
    <n v="0"/>
    <n v="30"/>
    <n v="0"/>
    <n v="0"/>
    <n v="0"/>
    <n v="0"/>
    <m/>
    <n v="111779.99999999999"/>
    <n v="0"/>
    <n v="0"/>
    <n v="0"/>
    <n v="30"/>
    <n v="111779.99999999999"/>
    <n v="0"/>
    <n v="0"/>
    <n v="30"/>
    <n v="0"/>
    <m/>
    <n v="0"/>
    <n v="0"/>
    <n v="111779.99999999999"/>
    <n v="0"/>
    <n v="0"/>
    <n v="0"/>
    <n v="30"/>
    <n v="111779.99999999999"/>
    <n v="0"/>
    <n v="0"/>
    <n v="30"/>
    <n v="0"/>
    <n v="0"/>
    <n v="0"/>
    <n v="111779.99999999999"/>
    <n v="0"/>
    <n v="0"/>
    <n v="0"/>
    <n v="30"/>
    <n v="111779.99999999999"/>
    <n v="0"/>
    <n v="0"/>
    <n v="30"/>
    <n v="0"/>
    <n v="0"/>
    <m/>
    <n v="111779.99999999999"/>
    <n v="0"/>
    <n v="0"/>
    <n v="30"/>
    <n v="111779.99999999999"/>
    <n v="0"/>
  </r>
  <r>
    <s v="Lhotse-Vestuario"/>
    <x v="4"/>
    <x v="21"/>
    <x v="53"/>
    <s v="LTS26-MTS01"/>
    <x v="504"/>
    <x v="382"/>
    <x v="0"/>
    <x v="0"/>
    <n v="1"/>
    <x v="335"/>
    <n v="20"/>
    <m/>
    <n v="0"/>
    <n v="3853"/>
    <n v="77060"/>
    <n v="3.6"/>
    <n v="3932.9999999999995"/>
    <n v="8394.957983193277"/>
    <n v="6714.2857142857147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54103633114949379"/>
    <n v="14"/>
    <n v="0.17346819180901538"/>
    <n v="1"/>
    <n v="0"/>
    <n v="0"/>
    <s v=""/>
    <n v="0"/>
    <s v=""/>
    <n v="0"/>
    <n v="0"/>
    <s v=""/>
    <n v="0"/>
    <n v="1"/>
    <n v="0.19995986738789043"/>
    <n v="0.16666666666666666"/>
    <n v="3"/>
    <n v="0.23462270450751249"/>
    <n v="0.21428571428571427"/>
    <n v="7"/>
    <n v="3.6241568215659353E-2"/>
    <n v="0.5"/>
    <n v="10"/>
    <n v="-0.32416064846311804"/>
    <n v="0.7142857142857143"/>
    <m/>
    <m/>
    <m/>
    <m/>
    <m/>
    <m/>
    <m/>
    <m/>
    <m/>
    <n v="5"/>
    <n v="58"/>
    <n v="5"/>
    <n v="0"/>
    <n v="0"/>
    <n v="0"/>
    <n v="25044.5"/>
    <n v="216107.99999999997"/>
    <n v="19265"/>
    <n v="0"/>
    <n v="20"/>
    <n v="77060"/>
    <n v="35272.932702492762"/>
    <n v="4"/>
    <n v="44"/>
    <n v="1.5"/>
    <n v="0"/>
    <n v="0"/>
    <n v="0"/>
    <n v="5779.5"/>
    <n v="163943.99999999997"/>
    <n v="5779.5"/>
    <n v="0"/>
    <n v="20"/>
    <n v="77060"/>
    <n v="10581.879810747829"/>
    <n v="3.4019999999999997"/>
    <n v="43"/>
    <n v="0"/>
    <n v="0"/>
    <n v="0"/>
    <n v="7451.9999999999991"/>
    <n v="165679"/>
    <n v="0"/>
    <n v="0"/>
    <n v="20"/>
    <n v="77060"/>
    <n v="0"/>
    <n v="2.9"/>
    <n v="43"/>
    <n v="0"/>
    <n v="0"/>
    <n v="0"/>
    <n v="160217.99999999997"/>
    <n v="0"/>
    <x v="0"/>
    <x v="0"/>
    <n v="20"/>
    <n v="77060"/>
    <n v="0"/>
    <n v="2"/>
    <n v="20"/>
    <n v="2"/>
    <m/>
    <n v="0"/>
    <n v="0"/>
    <n v="77060"/>
    <n v="7451.9999999999991"/>
    <x v="0"/>
    <n v="0"/>
    <n v="20"/>
    <n v="77060"/>
    <n v="16789.915966386554"/>
    <n v="6"/>
    <n v="21"/>
    <n v="1"/>
    <m/>
    <n v="0"/>
    <n v="0"/>
    <n v="80913"/>
    <n v="3725.9999999999995"/>
    <n v="0"/>
    <n v="0"/>
    <n v="21"/>
    <n v="77060"/>
    <n v="8394.957983193277"/>
    <n v="14"/>
    <n v="23"/>
    <n v="3"/>
    <n v="0"/>
    <n v="0"/>
    <n v="0"/>
    <n v="88619"/>
    <n v="11177.999999999998"/>
    <n v="0"/>
    <n v="0"/>
    <n v="23"/>
    <n v="77060"/>
    <n v="25184.873949579829"/>
    <n v="14"/>
    <n v="27"/>
    <n v="7"/>
    <n v="0"/>
    <n v="0"/>
    <n v="0"/>
    <n v="104031"/>
    <n v="26081.999999999996"/>
    <n v="0"/>
    <n v="0"/>
    <n v="27"/>
    <n v="104031"/>
    <n v="58764.705882352937"/>
    <n v="14"/>
    <n v="30"/>
    <n v="12"/>
    <n v="0"/>
    <n v="0"/>
    <n v="0"/>
    <n v="111779.99999999999"/>
    <n v="44711.999999999993"/>
    <n v="0"/>
    <n v="0"/>
    <n v="20"/>
    <n v="77060"/>
    <n v="100739.49579831932"/>
    <n v="0"/>
    <n v="18"/>
    <n v="0"/>
    <n v="0"/>
    <n v="0"/>
    <n v="0"/>
    <m/>
    <n v="67067.999999999985"/>
    <n v="0"/>
    <n v="0"/>
    <n v="0"/>
    <n v="18"/>
    <n v="67067.999999999985"/>
    <n v="0"/>
    <n v="0"/>
    <n v="18"/>
    <n v="0"/>
    <m/>
    <n v="0"/>
    <n v="0"/>
    <n v="67067.999999999985"/>
    <n v="0"/>
    <n v="0"/>
    <n v="0"/>
    <n v="18"/>
    <n v="67067.999999999985"/>
    <n v="0"/>
    <n v="0"/>
    <n v="18"/>
    <n v="0"/>
    <n v="0"/>
    <n v="0"/>
    <n v="67067.999999999985"/>
    <n v="0"/>
    <n v="0"/>
    <n v="0"/>
    <n v="18"/>
    <n v="67067.999999999985"/>
    <n v="0"/>
    <n v="0"/>
    <n v="18"/>
    <n v="0"/>
    <n v="0"/>
    <m/>
    <n v="67067.999999999985"/>
    <n v="0"/>
    <n v="0"/>
    <n v="18"/>
    <n v="67067.999999999985"/>
    <n v="0"/>
  </r>
  <r>
    <s v="Lhotse-Vestuario"/>
    <x v="4"/>
    <x v="21"/>
    <x v="53"/>
    <s v="LTS26-MTS01"/>
    <x v="505"/>
    <x v="382"/>
    <x v="0"/>
    <x v="0"/>
    <n v="1"/>
    <x v="336"/>
    <n v="13"/>
    <m/>
    <n v="0"/>
    <n v="3853"/>
    <n v="50089"/>
    <n v="3.6"/>
    <n v="3932.9999999999995"/>
    <n v="10915.966386554623"/>
    <n v="6714.2857142857147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54103633114949379"/>
    <n v="4"/>
    <n v="0.15835855862359796"/>
    <n v="0"/>
    <s v=""/>
    <n v="1"/>
    <n v="0.4259718523269882"/>
    <n v="1"/>
    <n v="0.34428182725525902"/>
    <n v="0.33333333333333331"/>
    <n v="0"/>
    <s v=""/>
    <n v="0"/>
    <n v="0"/>
    <s v=""/>
    <n v="0"/>
    <n v="0"/>
    <s v=""/>
    <n v="0"/>
    <n v="7"/>
    <n v="-9.3547673933836919E-3"/>
    <n v="0.875"/>
    <n v="4"/>
    <n v="-0.14156747513186296"/>
    <n v="0.5"/>
    <m/>
    <m/>
    <m/>
    <m/>
    <m/>
    <m/>
    <m/>
    <m/>
    <m/>
    <n v="4"/>
    <n v="32"/>
    <n v="4"/>
    <n v="0"/>
    <n v="0"/>
    <n v="0"/>
    <n v="19265"/>
    <n v="119231.99999999999"/>
    <n v="15412"/>
    <n v="0"/>
    <n v="13"/>
    <n v="50089"/>
    <n v="36692.323988418902"/>
    <n v="2"/>
    <n v="26"/>
    <n v="0"/>
    <n v="0"/>
    <n v="0"/>
    <n v="0"/>
    <n v="7706"/>
    <n v="96875.999999999985"/>
    <n v="0"/>
    <n v="0"/>
    <n v="13"/>
    <n v="50089"/>
    <n v="0"/>
    <n v="2"/>
    <n v="26"/>
    <n v="1"/>
    <n v="0"/>
    <n v="0"/>
    <n v="15158"/>
    <n v="100178"/>
    <n v="3853"/>
    <n v="0"/>
    <n v="13"/>
    <n v="50089"/>
    <n v="10915.966386554623"/>
    <n v="3"/>
    <n v="24"/>
    <n v="1"/>
    <n v="0"/>
    <n v="0"/>
    <n v="89423.999999999985"/>
    <n v="3853"/>
    <x v="0"/>
    <x v="0"/>
    <n v="13"/>
    <n v="50089"/>
    <n v="10915.966386554623"/>
    <n v="2"/>
    <n v="13"/>
    <n v="2"/>
    <m/>
    <n v="0"/>
    <n v="0"/>
    <n v="50089"/>
    <n v="7451.9999999999991"/>
    <x v="0"/>
    <n v="0"/>
    <n v="13"/>
    <n v="50089"/>
    <n v="21831.932773109245"/>
    <n v="6"/>
    <n v="13"/>
    <n v="0"/>
    <m/>
    <n v="0"/>
    <n v="0"/>
    <n v="50089"/>
    <n v="0"/>
    <n v="0"/>
    <n v="0"/>
    <n v="13"/>
    <n v="50089"/>
    <n v="0"/>
    <n v="8"/>
    <n v="13"/>
    <n v="0"/>
    <n v="0"/>
    <n v="0"/>
    <n v="0"/>
    <n v="50089"/>
    <n v="0"/>
    <n v="0"/>
    <n v="0"/>
    <n v="13"/>
    <n v="50089"/>
    <n v="0"/>
    <n v="8"/>
    <n v="20"/>
    <n v="7"/>
    <n v="0"/>
    <n v="0"/>
    <n v="0"/>
    <n v="77060"/>
    <n v="26081.999999999996"/>
    <n v="0"/>
    <n v="0"/>
    <n v="20"/>
    <n v="77060"/>
    <n v="76411.764705882364"/>
    <n v="8"/>
    <n v="17"/>
    <n v="4.5"/>
    <n v="0"/>
    <n v="0"/>
    <n v="0"/>
    <n v="63341.999999999993"/>
    <n v="16766.999999999996"/>
    <n v="0"/>
    <n v="0"/>
    <n v="13"/>
    <n v="50089"/>
    <n v="49121.848739495799"/>
    <n v="0"/>
    <n v="12.5"/>
    <n v="0"/>
    <n v="0"/>
    <n v="0"/>
    <n v="0"/>
    <m/>
    <n v="46574.999999999993"/>
    <n v="0"/>
    <n v="0"/>
    <n v="0"/>
    <n v="12.5"/>
    <n v="46574.999999999993"/>
    <n v="0"/>
    <n v="0"/>
    <n v="12.5"/>
    <n v="0"/>
    <m/>
    <n v="0"/>
    <n v="0"/>
    <n v="46574.999999999993"/>
    <n v="0"/>
    <n v="0"/>
    <n v="0"/>
    <n v="12.5"/>
    <n v="46574.999999999993"/>
    <n v="0"/>
    <n v="0"/>
    <n v="12.5"/>
    <n v="0"/>
    <n v="0"/>
    <n v="0"/>
    <n v="46574.999999999993"/>
    <n v="0"/>
    <n v="0"/>
    <n v="0"/>
    <n v="12.5"/>
    <n v="46574.999999999993"/>
    <n v="0"/>
    <n v="0"/>
    <n v="12.5"/>
    <n v="0"/>
    <n v="0"/>
    <m/>
    <n v="46574.999999999993"/>
    <n v="0"/>
    <n v="0"/>
    <n v="12.5"/>
    <n v="46574.999999999993"/>
    <n v="0"/>
  </r>
  <r>
    <s v="Lhotse-Vestuario"/>
    <x v="4"/>
    <x v="21"/>
    <x v="53"/>
    <s v="LTS26-MTS01"/>
    <x v="506"/>
    <x v="382"/>
    <x v="0"/>
    <x v="0"/>
    <n v="1"/>
    <x v="337"/>
    <n v="17"/>
    <m/>
    <n v="0"/>
    <n v="3853"/>
    <n v="65501"/>
    <n v="3.6"/>
    <n v="3932.9999999999995"/>
    <n v="8394.957983193277"/>
    <n v="6714.2857142857147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1544521802858192"/>
    <n v="1"/>
    <n v="0.54103633114949379"/>
    <n v="4"/>
    <n v="0.21884671093285674"/>
    <n v="1"/>
    <n v="0.54103634172713455"/>
    <n v="0"/>
    <s v=""/>
    <n v="1"/>
    <n v="0.30690336935354917"/>
    <n v="0.33333333333333331"/>
    <n v="0"/>
    <s v=""/>
    <n v="0"/>
    <n v="0"/>
    <s v=""/>
    <n v="0"/>
    <n v="0"/>
    <s v=""/>
    <n v="0"/>
    <n v="6"/>
    <n v="1.2084263099707754E-2"/>
    <n v="0.75"/>
    <n v="1"/>
    <n v="-1.3345777975814272"/>
    <n v="0.125"/>
    <m/>
    <m/>
    <m/>
    <m/>
    <m/>
    <m/>
    <m/>
    <m/>
    <m/>
    <n v="4"/>
    <n v="33"/>
    <n v="4"/>
    <n v="0"/>
    <n v="0"/>
    <n v="0"/>
    <n v="21191.5"/>
    <n v="122957.99999999999"/>
    <n v="15412"/>
    <n v="0"/>
    <n v="17"/>
    <n v="65501"/>
    <n v="28218.34616199421"/>
    <n v="2"/>
    <n v="29"/>
    <n v="1.5"/>
    <n v="0"/>
    <n v="0"/>
    <n v="0"/>
    <n v="9632.5"/>
    <n v="108053.99999999999"/>
    <n v="5779.5"/>
    <n v="0"/>
    <n v="17"/>
    <n v="65501"/>
    <n v="10581.879810747829"/>
    <n v="2"/>
    <n v="28"/>
    <n v="0"/>
    <n v="0"/>
    <n v="0"/>
    <n v="11305"/>
    <n v="107884"/>
    <n v="0"/>
    <n v="0"/>
    <n v="17"/>
    <n v="65501"/>
    <n v="0"/>
    <n v="3"/>
    <n v="28"/>
    <n v="1"/>
    <n v="0"/>
    <n v="0"/>
    <n v="104327.99999999999"/>
    <n v="3853"/>
    <x v="0"/>
    <x v="0"/>
    <n v="17"/>
    <n v="65501"/>
    <n v="8394.957983193277"/>
    <n v="2"/>
    <n v="17"/>
    <n v="2"/>
    <m/>
    <n v="0"/>
    <n v="0"/>
    <n v="65501"/>
    <n v="7451.9999999999991"/>
    <x v="0"/>
    <n v="0"/>
    <n v="17"/>
    <n v="65501"/>
    <n v="16789.915966386554"/>
    <n v="6"/>
    <n v="17"/>
    <n v="0"/>
    <m/>
    <n v="0"/>
    <n v="0"/>
    <n v="65501"/>
    <n v="0"/>
    <n v="0"/>
    <n v="0"/>
    <n v="17"/>
    <n v="65501"/>
    <n v="0"/>
    <n v="8"/>
    <n v="17"/>
    <n v="0"/>
    <n v="0"/>
    <n v="0"/>
    <n v="0"/>
    <n v="65501"/>
    <n v="0"/>
    <n v="0"/>
    <n v="0"/>
    <n v="17"/>
    <n v="65501"/>
    <n v="0"/>
    <n v="8"/>
    <n v="23"/>
    <n v="6"/>
    <n v="0"/>
    <n v="0"/>
    <n v="0"/>
    <n v="88619"/>
    <n v="22355.999999999996"/>
    <n v="0"/>
    <n v="0"/>
    <n v="23"/>
    <n v="88619"/>
    <n v="50369.747899159658"/>
    <n v="8"/>
    <n v="18"/>
    <n v="1.5"/>
    <n v="0"/>
    <n v="0"/>
    <n v="0"/>
    <n v="67067.999999999985"/>
    <n v="5588.9999999999991"/>
    <n v="0"/>
    <n v="0"/>
    <n v="17"/>
    <n v="65501"/>
    <n v="12592.436974789915"/>
    <n v="0"/>
    <n v="16.5"/>
    <n v="0"/>
    <n v="0"/>
    <n v="0"/>
    <n v="0"/>
    <m/>
    <n v="61478.999999999993"/>
    <n v="0"/>
    <n v="0"/>
    <n v="0"/>
    <n v="16.5"/>
    <n v="61478.999999999993"/>
    <n v="0"/>
    <n v="0"/>
    <n v="16.5"/>
    <n v="0"/>
    <m/>
    <n v="0"/>
    <n v="0"/>
    <n v="61478.999999999993"/>
    <n v="0"/>
    <n v="0"/>
    <n v="0"/>
    <n v="16.5"/>
    <n v="61478.999999999993"/>
    <n v="0"/>
    <n v="0"/>
    <n v="16.5"/>
    <n v="0"/>
    <n v="0"/>
    <n v="0"/>
    <n v="61478.999999999993"/>
    <n v="0"/>
    <n v="0"/>
    <n v="0"/>
    <n v="16.5"/>
    <n v="61478.999999999993"/>
    <n v="0"/>
    <n v="0"/>
    <n v="16.5"/>
    <n v="0"/>
    <n v="0"/>
    <m/>
    <n v="61478.999999999993"/>
    <n v="0"/>
    <n v="0"/>
    <n v="16.5"/>
    <n v="61478.999999999993"/>
    <n v="0"/>
  </r>
  <r>
    <s v="Lhotse-Vestuario"/>
    <x v="4"/>
    <x v="21"/>
    <x v="53"/>
    <s v="LTS26-MTS01"/>
    <x v="507"/>
    <x v="382"/>
    <x v="0"/>
    <x v="0"/>
    <n v="1"/>
    <x v="338"/>
    <n v="12"/>
    <m/>
    <n v="0"/>
    <n v="3853"/>
    <n v="46236"/>
    <n v="3.6"/>
    <n v="3932.9999999999995"/>
    <n v="8394.957983193277"/>
    <n v="6714.2857142857147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2384945850058785"/>
    <n v="1"/>
    <n v="0.54103634172713455"/>
    <n v="0"/>
    <s v=""/>
    <n v="0"/>
    <s v=""/>
    <n v="0"/>
    <n v="0"/>
    <s v=""/>
    <n v="0"/>
    <n v="1"/>
    <n v="0.19227659574468084"/>
    <n v="0.23809523809523808"/>
    <n v="1"/>
    <n v="0.23462270450751252"/>
    <n v="0.125"/>
    <n v="7"/>
    <n v="9.3196225863691282E-3"/>
    <n v="0.875"/>
    <n v="4"/>
    <n v="-0.24997166940386464"/>
    <n v="0.5"/>
    <m/>
    <m/>
    <m/>
    <m/>
    <m/>
    <m/>
    <m/>
    <m/>
    <m/>
    <n v="4"/>
    <n v="33"/>
    <n v="4"/>
    <n v="0"/>
    <n v="0"/>
    <n v="0"/>
    <n v="21191.5"/>
    <n v="122957.99999999999"/>
    <n v="15412"/>
    <n v="0"/>
    <n v="12"/>
    <n v="46236"/>
    <n v="28218.34616199421"/>
    <n v="2"/>
    <n v="27"/>
    <n v="1.5"/>
    <n v="0"/>
    <n v="0"/>
    <n v="0"/>
    <n v="5779.5"/>
    <n v="100601.99999999999"/>
    <n v="5779.5"/>
    <n v="0"/>
    <n v="12"/>
    <n v="46236"/>
    <n v="10581.879810747829"/>
    <n v="1.62"/>
    <n v="26"/>
    <n v="0"/>
    <n v="0"/>
    <n v="0"/>
    <n v="5216.3999999999987"/>
    <n v="100178"/>
    <n v="0"/>
    <n v="0"/>
    <n v="12"/>
    <n v="46236"/>
    <n v="0"/>
    <n v="1.4"/>
    <n v="26"/>
    <n v="0"/>
    <n v="0"/>
    <n v="0"/>
    <n v="96875.999999999985"/>
    <n v="0"/>
    <x v="0"/>
    <x v="0"/>
    <n v="12"/>
    <n v="46236"/>
    <n v="0"/>
    <n v="1.4"/>
    <n v="12"/>
    <n v="1.4"/>
    <m/>
    <n v="0"/>
    <n v="0"/>
    <n v="46236"/>
    <n v="5216.3999999999987"/>
    <x v="0"/>
    <n v="0"/>
    <n v="12"/>
    <n v="46236"/>
    <n v="11752.941176470587"/>
    <n v="4.2"/>
    <n v="13"/>
    <n v="1"/>
    <m/>
    <n v="0"/>
    <n v="0"/>
    <n v="50089"/>
    <n v="3725.9999999999995"/>
    <n v="0"/>
    <n v="0"/>
    <n v="13"/>
    <n v="46236"/>
    <n v="8394.957983193277"/>
    <n v="8"/>
    <n v="13"/>
    <n v="1"/>
    <n v="0"/>
    <n v="0"/>
    <n v="0"/>
    <n v="50089"/>
    <n v="3725.9999999999995"/>
    <n v="0"/>
    <n v="0"/>
    <n v="13"/>
    <n v="46236"/>
    <n v="8394.957983193277"/>
    <n v="8"/>
    <n v="19"/>
    <n v="7"/>
    <n v="0"/>
    <n v="0"/>
    <n v="0"/>
    <n v="73207"/>
    <n v="26081.999999999996"/>
    <n v="0"/>
    <n v="0"/>
    <n v="19"/>
    <n v="73207"/>
    <n v="58764.705882352937"/>
    <n v="8"/>
    <n v="16"/>
    <n v="4.5"/>
    <n v="0"/>
    <n v="0"/>
    <n v="0"/>
    <n v="59615.999999999993"/>
    <n v="16766.999999999996"/>
    <n v="0"/>
    <n v="0"/>
    <n v="12"/>
    <n v="46236"/>
    <n v="37777.310924369747"/>
    <n v="0"/>
    <n v="11.5"/>
    <n v="0"/>
    <n v="0"/>
    <n v="0"/>
    <n v="0"/>
    <m/>
    <n v="42848.999999999993"/>
    <n v="0"/>
    <n v="0"/>
    <n v="0"/>
    <n v="11.5"/>
    <n v="42848.999999999993"/>
    <n v="0"/>
    <n v="0"/>
    <n v="11.5"/>
    <n v="0"/>
    <m/>
    <n v="0"/>
    <n v="0"/>
    <n v="42848.999999999993"/>
    <n v="0"/>
    <n v="0"/>
    <n v="0"/>
    <n v="11.5"/>
    <n v="42848.999999999993"/>
    <n v="0"/>
    <n v="0"/>
    <n v="11.5"/>
    <n v="0"/>
    <n v="0"/>
    <n v="0"/>
    <n v="42848.999999999993"/>
    <n v="0"/>
    <n v="0"/>
    <n v="0"/>
    <n v="11.5"/>
    <n v="42848.999999999993"/>
    <n v="0"/>
    <n v="0"/>
    <n v="11.5"/>
    <n v="0"/>
    <n v="0"/>
    <m/>
    <n v="42848.999999999993"/>
    <n v="0"/>
    <n v="0"/>
    <n v="11.5"/>
    <n v="42848.999999999993"/>
    <n v="0"/>
  </r>
  <r>
    <s v="Lhotse-Vestuario"/>
    <x v="4"/>
    <x v="21"/>
    <x v="53"/>
    <s v="LTS26-MTS01"/>
    <x v="508"/>
    <x v="382"/>
    <x v="0"/>
    <x v="0"/>
    <n v="1"/>
    <x v="339"/>
    <n v="0"/>
    <m/>
    <n v="0"/>
    <n v="3853"/>
    <n v="0"/>
    <n v="3.6"/>
    <n v="3932.9999999999995"/>
    <n v="10915.966386554623"/>
    <n v="6714.2857142857147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4"/>
    <n v="0.51686520376175549"/>
    <n v="21"/>
    <n v="0.1838805439693903"/>
    <n v="0"/>
    <s v=""/>
    <n v="0"/>
    <s v=""/>
    <n v="0"/>
    <s v=""/>
    <n v="0"/>
    <n v="0"/>
    <s v=""/>
    <n v="0"/>
    <n v="3"/>
    <n v="0.26572089264065379"/>
    <n v="0.375"/>
    <n v="0"/>
    <s v=""/>
    <n v="0"/>
    <n v="0"/>
    <s v=""/>
    <n v="0"/>
    <n v="0"/>
    <s v=""/>
    <n v="0"/>
    <m/>
    <m/>
    <m/>
    <m/>
    <m/>
    <m/>
    <m/>
    <m/>
    <m/>
    <n v="4"/>
    <n v="29"/>
    <n v="4"/>
    <n v="0"/>
    <n v="0"/>
    <n v="0"/>
    <n v="15412"/>
    <n v="108053.99999999999"/>
    <n v="15412"/>
    <n v="0"/>
    <n v="0"/>
    <n v="0"/>
    <n v="36692.323988418902"/>
    <n v="2"/>
    <n v="6"/>
    <n v="0"/>
    <n v="0"/>
    <n v="0"/>
    <n v="0"/>
    <n v="0"/>
    <n v="22355.999999999996"/>
    <n v="0"/>
    <n v="0"/>
    <n v="0"/>
    <n v="0"/>
    <n v="0"/>
    <n v="2"/>
    <n v="3"/>
    <n v="0"/>
    <n v="0"/>
    <n v="0"/>
    <n v="11177.999999999998"/>
    <n v="11559"/>
    <n v="0"/>
    <n v="0"/>
    <n v="0"/>
    <n v="0"/>
    <n v="0"/>
    <n v="4"/>
    <n v="0"/>
    <n v="0"/>
    <n v="0"/>
    <n v="0"/>
    <n v="0"/>
    <n v="0"/>
    <x v="0"/>
    <x v="0"/>
    <n v="0"/>
    <n v="0"/>
    <n v="0"/>
    <n v="3"/>
    <n v="0"/>
    <n v="3"/>
    <m/>
    <n v="0"/>
    <n v="0"/>
    <n v="0"/>
    <n v="11177.999999999998"/>
    <x v="0"/>
    <n v="0"/>
    <n v="0"/>
    <n v="0"/>
    <n v="32747.899159663866"/>
    <n v="8"/>
    <n v="3"/>
    <n v="3"/>
    <m/>
    <n v="0"/>
    <n v="0"/>
    <n v="11559"/>
    <n v="11177.999999999998"/>
    <n v="0"/>
    <n v="0"/>
    <n v="3"/>
    <n v="0"/>
    <n v="32747.899159663866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3"/>
    <s v="LTS26-MTS01"/>
    <x v="509"/>
    <x v="382"/>
    <x v="0"/>
    <x v="0"/>
    <n v="1"/>
    <x v="340"/>
    <n v="0"/>
    <m/>
    <n v="0"/>
    <n v="3853"/>
    <n v="0"/>
    <n v="3.6"/>
    <n v="3932.9999999999995"/>
    <n v="8394.957983193277"/>
    <n v="6714.2857142857147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49000661813368629"/>
    <n v="22"/>
    <n v="0.1827426520063383"/>
    <n v="2"/>
    <n v="0.37083606430787158"/>
    <n v="0"/>
    <s v=""/>
    <n v="0"/>
    <s v=""/>
    <n v="0"/>
    <n v="0"/>
    <s v=""/>
    <n v="0"/>
    <n v="2"/>
    <n v="0.26354255319148934"/>
    <n v="0.25"/>
    <n v="-1"/>
    <n v="0.42610638297872339"/>
    <n v="-1"/>
    <n v="0"/>
    <s v=""/>
    <n v="0"/>
    <n v="0"/>
    <s v=""/>
    <n v="0"/>
    <m/>
    <m/>
    <m/>
    <m/>
    <m/>
    <m/>
    <m/>
    <m/>
    <m/>
    <n v="4"/>
    <n v="29"/>
    <n v="4"/>
    <n v="0"/>
    <n v="0"/>
    <n v="0"/>
    <n v="26971"/>
    <n v="108053.99999999999"/>
    <n v="15412"/>
    <n v="0"/>
    <n v="0"/>
    <n v="0"/>
    <n v="28218.34616199421"/>
    <n v="2"/>
    <n v="4"/>
    <n v="3"/>
    <n v="0"/>
    <n v="0"/>
    <n v="0"/>
    <n v="11559"/>
    <n v="14903.999999999998"/>
    <n v="11559"/>
    <n v="0"/>
    <n v="0"/>
    <n v="0"/>
    <n v="21163.759621495657"/>
    <n v="2"/>
    <n v="2"/>
    <n v="0"/>
    <n v="0"/>
    <n v="0"/>
    <n v="11177.999999999998"/>
    <n v="7706"/>
    <n v="0"/>
    <n v="0"/>
    <n v="0"/>
    <n v="0"/>
    <n v="0"/>
    <n v="4"/>
    <n v="0"/>
    <n v="0"/>
    <n v="0"/>
    <n v="0"/>
    <n v="0"/>
    <n v="0"/>
    <x v="0"/>
    <x v="0"/>
    <n v="0"/>
    <n v="0"/>
    <n v="0"/>
    <n v="3"/>
    <n v="0"/>
    <n v="3"/>
    <m/>
    <n v="0"/>
    <n v="0"/>
    <n v="0"/>
    <n v="11177.999999999998"/>
    <x v="0"/>
    <n v="0"/>
    <n v="0"/>
    <n v="0"/>
    <n v="25184.873949579829"/>
    <n v="8"/>
    <n v="2"/>
    <n v="2"/>
    <m/>
    <n v="0"/>
    <n v="0"/>
    <n v="7706"/>
    <n v="7451.9999999999991"/>
    <n v="0"/>
    <n v="0"/>
    <n v="2"/>
    <n v="0"/>
    <n v="16789.915966386554"/>
    <n v="1"/>
    <n v="-1"/>
    <n v="-1"/>
    <n v="0"/>
    <n v="0"/>
    <n v="0"/>
    <n v="-3853"/>
    <n v="-3725.9999999999995"/>
    <n v="0"/>
    <n v="0"/>
    <n v="-1"/>
    <n v="0"/>
    <n v="-8394.957983193277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3"/>
    <s v="LTS26-MTS01"/>
    <x v="510"/>
    <x v="382"/>
    <x v="0"/>
    <x v="0"/>
    <n v="1"/>
    <x v="341"/>
    <n v="0"/>
    <m/>
    <n v="0"/>
    <n v="3853"/>
    <n v="0"/>
    <n v="3.6"/>
    <n v="3932.9999999999995"/>
    <n v="8394.957983193277"/>
    <n v="6714.2857142857147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5"/>
    <n v="0.25280382934906631"/>
    <n v="14"/>
    <n v="0.2039036534449723"/>
    <n v="0"/>
    <s v=""/>
    <n v="0"/>
    <s v=""/>
    <n v="2"/>
    <n v="0.41456349804507625"/>
    <n v="0.5"/>
    <n v="2"/>
    <n v="0.54103903903903905"/>
    <n v="0.66666666666666663"/>
    <n v="6"/>
    <n v="0.27640789244800079"/>
    <n v="0.75"/>
    <n v="0"/>
    <s v=""/>
    <n v="0"/>
    <n v="0"/>
    <s v=""/>
    <n v="0"/>
    <n v="0"/>
    <s v=""/>
    <n v="0"/>
    <m/>
    <m/>
    <m/>
    <m/>
    <m/>
    <m/>
    <m/>
    <m/>
    <m/>
    <n v="4"/>
    <n v="26"/>
    <n v="4"/>
    <n v="0"/>
    <n v="0"/>
    <n v="0"/>
    <n v="15412"/>
    <n v="96875.999999999985"/>
    <n v="15412"/>
    <n v="0"/>
    <n v="0"/>
    <n v="0"/>
    <n v="28218.34616199421"/>
    <n v="2"/>
    <n v="12"/>
    <n v="0"/>
    <n v="0"/>
    <n v="0"/>
    <n v="0"/>
    <n v="7706"/>
    <n v="44711.999999999993"/>
    <n v="0"/>
    <n v="0"/>
    <n v="0"/>
    <n v="0"/>
    <n v="0"/>
    <n v="2"/>
    <n v="12"/>
    <n v="0"/>
    <n v="0"/>
    <n v="0"/>
    <n v="18884"/>
    <n v="46236"/>
    <n v="0"/>
    <n v="0"/>
    <n v="0"/>
    <n v="0"/>
    <n v="0"/>
    <n v="4"/>
    <n v="12"/>
    <n v="2"/>
    <n v="0"/>
    <n v="0"/>
    <n v="44711.999999999993"/>
    <n v="7706"/>
    <x v="0"/>
    <x v="0"/>
    <n v="0"/>
    <n v="0"/>
    <n v="16789.915966386554"/>
    <n v="3"/>
    <n v="2"/>
    <n v="3"/>
    <m/>
    <n v="0"/>
    <n v="0"/>
    <n v="7706"/>
    <n v="11177.999999999998"/>
    <x v="0"/>
    <n v="0"/>
    <n v="0"/>
    <n v="0"/>
    <n v="25184.873949579829"/>
    <n v="8"/>
    <n v="6"/>
    <n v="6"/>
    <m/>
    <n v="0"/>
    <n v="0"/>
    <n v="23118"/>
    <n v="22355.999999999996"/>
    <n v="0"/>
    <n v="0"/>
    <n v="6"/>
    <n v="0"/>
    <n v="50369.747899159658"/>
    <n v="2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3"/>
    <s v="LTS26-MTS02BD"/>
    <x v="511"/>
    <x v="383"/>
    <x v="0"/>
    <x v="0"/>
    <n v="1"/>
    <x v="342"/>
    <n v="0"/>
    <m/>
    <n v="0"/>
    <n v="6238"/>
    <n v="0"/>
    <n v="4.8"/>
    <n v="5244"/>
    <n v="12596.638655462186"/>
    <n v="8394.957983193277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8"/>
    <n v="0.26147814154087434"/>
    <n v="39"/>
    <n v="0.44407581529352386"/>
    <n v="4"/>
    <n v="0.49210226906470117"/>
    <n v="2"/>
    <n v="0.40643997960938616"/>
    <n v="1"/>
    <n v="0.50480274133236047"/>
    <n v="1"/>
    <n v="0.50480274133236047"/>
    <n v="0.33333333333333331"/>
    <n v="0"/>
    <s v=""/>
    <n v="0"/>
    <n v="2"/>
    <n v="0.1402032032032032"/>
    <n v="0.2"/>
    <n v="0"/>
    <s v=""/>
    <n v="0"/>
    <n v="7"/>
    <n v="0.10927709153829733"/>
    <n v="3.5"/>
    <n v="0"/>
    <s v=""/>
    <n v="0"/>
    <m/>
    <m/>
    <m/>
    <m/>
    <m/>
    <m/>
    <m/>
    <m/>
    <m/>
    <n v="8"/>
    <n v="6"/>
    <n v="5"/>
    <n v="0"/>
    <n v="0"/>
    <n v="0"/>
    <n v="56142"/>
    <n v="29808"/>
    <n v="31190"/>
    <n v="0"/>
    <n v="0"/>
    <n v="0"/>
    <n v="52927.053174210872"/>
    <n v="5"/>
    <n v="9"/>
    <n v="3"/>
    <n v="0"/>
    <n v="0"/>
    <n v="0"/>
    <n v="31190"/>
    <n v="44712"/>
    <n v="18714"/>
    <n v="0"/>
    <n v="0"/>
    <n v="0"/>
    <n v="31756.231904526521"/>
    <n v="5"/>
    <n v="7"/>
    <n v="1"/>
    <n v="0"/>
    <n v="0"/>
    <n v="27380"/>
    <n v="43666"/>
    <n v="6238"/>
    <n v="0"/>
    <n v="0"/>
    <n v="0"/>
    <n v="12596.638655462186"/>
    <n v="3"/>
    <n v="4"/>
    <n v="1"/>
    <n v="0"/>
    <n v="0"/>
    <n v="19872"/>
    <n v="6238"/>
    <x v="0"/>
    <x v="0"/>
    <n v="0"/>
    <n v="0"/>
    <n v="12596.638655462186"/>
    <n v="3"/>
    <n v="0"/>
    <n v="3"/>
    <m/>
    <n v="0"/>
    <n v="0"/>
    <n v="0"/>
    <n v="14904"/>
    <x v="0"/>
    <n v="0"/>
    <n v="0"/>
    <n v="0"/>
    <n v="37789.915966386558"/>
    <n v="10"/>
    <n v="2"/>
    <n v="2"/>
    <m/>
    <n v="0"/>
    <n v="0"/>
    <n v="12476"/>
    <n v="9936"/>
    <n v="0"/>
    <n v="0"/>
    <n v="2"/>
    <n v="0"/>
    <n v="25193.277310924372"/>
    <n v="2"/>
    <n v="0"/>
    <n v="0"/>
    <n v="0"/>
    <n v="0"/>
    <n v="0"/>
    <n v="0"/>
    <n v="0"/>
    <n v="0"/>
    <n v="0"/>
    <n v="0"/>
    <n v="0"/>
    <n v="0"/>
    <n v="2"/>
    <n v="7"/>
    <n v="7"/>
    <n v="0"/>
    <n v="0"/>
    <n v="0"/>
    <n v="43666"/>
    <n v="34776"/>
    <n v="0"/>
    <n v="0"/>
    <n v="7"/>
    <n v="43666"/>
    <n v="88176.47058823530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3"/>
    <s v="LTS26-MTS02BD"/>
    <x v="512"/>
    <x v="383"/>
    <x v="0"/>
    <x v="0"/>
    <n v="1"/>
    <x v="343"/>
    <n v="25"/>
    <m/>
    <n v="0"/>
    <n v="5381"/>
    <n v="134525"/>
    <n v="4.8"/>
    <n v="5244"/>
    <n v="12596.638655462186"/>
    <n v="8394.957983193277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4"/>
    <n v="0.24159731113956467"/>
    <n v="23"/>
    <n v="0.47230931389625819"/>
    <n v="4"/>
    <n v="0.42459968242757506"/>
    <n v="1"/>
    <n v="0.41116500298041714"/>
    <n v="0"/>
    <s v=""/>
    <n v="2"/>
    <n v="0.43979660167294232"/>
    <n v="0.66666666666666663"/>
    <n v="1"/>
    <n v="0.35902502502502504"/>
    <n v="0.33333333333333331"/>
    <n v="3"/>
    <n v="0.2604127204127204"/>
    <n v="0.3"/>
    <n v="0"/>
    <s v=""/>
    <n v="0"/>
    <n v="3"/>
    <n v="0.28265629903600398"/>
    <n v="0.27272727272727271"/>
    <n v="3"/>
    <n v="1.1461663731673113E-2"/>
    <n v="0.27272727272727271"/>
    <m/>
    <m/>
    <m/>
    <m/>
    <m/>
    <m/>
    <m/>
    <m/>
    <m/>
    <n v="8"/>
    <n v="37"/>
    <n v="2"/>
    <n v="0"/>
    <n v="0"/>
    <n v="0"/>
    <n v="18833.5"/>
    <n v="183816"/>
    <n v="10762"/>
    <n v="0"/>
    <n v="25"/>
    <n v="134525"/>
    <n v="21170.821269684347"/>
    <n v="5"/>
    <n v="38"/>
    <n v="1.5"/>
    <n v="0"/>
    <n v="0"/>
    <n v="0"/>
    <n v="18833.5"/>
    <n v="188784"/>
    <n v="8071.5"/>
    <n v="0"/>
    <n v="25"/>
    <n v="134525"/>
    <n v="15878.115952263261"/>
    <n v="5"/>
    <n v="37"/>
    <n v="0"/>
    <n v="0"/>
    <n v="0"/>
    <n v="25666"/>
    <n v="199097"/>
    <n v="0"/>
    <n v="0"/>
    <n v="25"/>
    <n v="134525"/>
    <n v="0"/>
    <n v="3"/>
    <n v="37"/>
    <n v="2"/>
    <n v="0"/>
    <n v="0"/>
    <n v="183816"/>
    <n v="10762"/>
    <x v="0"/>
    <x v="0"/>
    <n v="25"/>
    <n v="134525"/>
    <n v="25193.277310924372"/>
    <n v="3"/>
    <n v="26"/>
    <n v="3"/>
    <m/>
    <n v="0"/>
    <n v="0"/>
    <n v="139906"/>
    <n v="14904"/>
    <x v="0"/>
    <n v="0"/>
    <n v="25"/>
    <n v="134525"/>
    <n v="37789.915966386558"/>
    <n v="10"/>
    <n v="28"/>
    <n v="3"/>
    <m/>
    <n v="0"/>
    <n v="0"/>
    <n v="150668"/>
    <n v="14904"/>
    <n v="0"/>
    <n v="0"/>
    <n v="28"/>
    <n v="134525"/>
    <n v="37789.915966386558"/>
    <n v="11"/>
    <n v="25"/>
    <n v="0"/>
    <n v="0"/>
    <n v="0"/>
    <n v="0"/>
    <n v="134525"/>
    <n v="0"/>
    <n v="0"/>
    <n v="0"/>
    <n v="25"/>
    <n v="134525"/>
    <n v="0"/>
    <n v="11"/>
    <n v="28"/>
    <n v="3"/>
    <n v="0"/>
    <n v="0"/>
    <n v="0"/>
    <n v="150668"/>
    <n v="14904"/>
    <n v="0"/>
    <n v="0"/>
    <n v="28"/>
    <n v="150668"/>
    <n v="37789.915966386558"/>
    <n v="11"/>
    <n v="28"/>
    <n v="1.5"/>
    <n v="0"/>
    <n v="0"/>
    <n v="0"/>
    <n v="139104"/>
    <n v="7452"/>
    <n v="0"/>
    <n v="0"/>
    <n v="25"/>
    <n v="134525"/>
    <n v="18894.957983193279"/>
    <n v="0"/>
    <n v="26.5"/>
    <n v="0"/>
    <n v="0"/>
    <n v="0"/>
    <n v="0"/>
    <m/>
    <n v="131652"/>
    <n v="0"/>
    <n v="0"/>
    <n v="0"/>
    <n v="26.5"/>
    <n v="131652"/>
    <n v="0"/>
    <n v="0"/>
    <n v="26.5"/>
    <n v="0"/>
    <m/>
    <n v="0"/>
    <n v="0"/>
    <n v="131652"/>
    <n v="0"/>
    <n v="0"/>
    <n v="0"/>
    <n v="26.5"/>
    <n v="131652"/>
    <n v="0"/>
    <n v="0"/>
    <n v="26.5"/>
    <n v="0"/>
    <n v="0"/>
    <n v="0"/>
    <n v="131652"/>
    <n v="0"/>
    <n v="0"/>
    <n v="0"/>
    <n v="26.5"/>
    <n v="131652"/>
    <n v="0"/>
    <n v="0"/>
    <n v="26.5"/>
    <n v="0"/>
    <n v="0"/>
    <m/>
    <n v="131652"/>
    <n v="0"/>
    <n v="0"/>
    <n v="26.5"/>
    <n v="131652"/>
    <n v="0"/>
  </r>
  <r>
    <s v="Lhotse-Vestuario"/>
    <x v="4"/>
    <x v="21"/>
    <x v="53"/>
    <s v="LTS26-MTS02BD"/>
    <x v="513"/>
    <x v="383"/>
    <x v="0"/>
    <x v="0"/>
    <n v="1"/>
    <x v="31"/>
    <n v="18"/>
    <m/>
    <n v="0"/>
    <n v="5500"/>
    <n v="99000"/>
    <n v="4.8"/>
    <n v="5244"/>
    <n v="12596.638655462186"/>
    <n v="8394.957983193277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3378988326848249"/>
    <n v="4"/>
    <n v="0.43754961267894782"/>
    <n v="6"/>
    <n v="0.45862590865913744"/>
    <n v="1"/>
    <n v="0.36666259657854616"/>
    <n v="0"/>
    <s v=""/>
    <n v="0"/>
    <s v=""/>
    <n v="0"/>
    <n v="0"/>
    <s v=""/>
    <n v="0"/>
    <n v="0"/>
    <s v=""/>
    <n v="0"/>
    <n v="0"/>
    <s v=""/>
    <n v="0"/>
    <n v="2"/>
    <n v="0.22129768336924074"/>
    <n v="0.2857142857142857"/>
    <n v="0"/>
    <s v=""/>
    <n v="0"/>
    <m/>
    <m/>
    <m/>
    <m/>
    <m/>
    <m/>
    <m/>
    <m/>
    <m/>
    <n v="3"/>
    <n v="22"/>
    <n v="4"/>
    <n v="0"/>
    <n v="0"/>
    <n v="0"/>
    <n v="30250"/>
    <n v="109296"/>
    <n v="22000"/>
    <n v="0"/>
    <n v="18"/>
    <n v="99000"/>
    <n v="42341.642539368695"/>
    <n v="2"/>
    <n v="21"/>
    <n v="1.5"/>
    <n v="0"/>
    <n v="0"/>
    <n v="0"/>
    <n v="8250"/>
    <n v="104328"/>
    <n v="8250"/>
    <n v="0"/>
    <n v="18"/>
    <n v="99000"/>
    <n v="15878.115952263261"/>
    <n v="2"/>
    <n v="20"/>
    <n v="0"/>
    <n v="0"/>
    <n v="0"/>
    <n v="9936"/>
    <n v="110000"/>
    <n v="0"/>
    <n v="0"/>
    <n v="18"/>
    <n v="99000"/>
    <n v="0"/>
    <n v="2"/>
    <n v="20"/>
    <n v="0"/>
    <n v="0"/>
    <n v="0"/>
    <n v="99360"/>
    <n v="0"/>
    <x v="0"/>
    <x v="0"/>
    <n v="18"/>
    <n v="99000"/>
    <n v="0"/>
    <n v="2"/>
    <n v="18"/>
    <n v="2"/>
    <m/>
    <n v="0"/>
    <n v="0"/>
    <n v="99000"/>
    <n v="9936"/>
    <x v="0"/>
    <n v="0"/>
    <n v="18"/>
    <n v="99000"/>
    <n v="25193.277310924372"/>
    <n v="6"/>
    <n v="18"/>
    <n v="0"/>
    <m/>
    <n v="0"/>
    <n v="0"/>
    <n v="99000"/>
    <n v="0"/>
    <n v="0"/>
    <n v="0"/>
    <n v="18"/>
    <n v="99000"/>
    <n v="0"/>
    <n v="7"/>
    <n v="18"/>
    <n v="0"/>
    <n v="0"/>
    <n v="0"/>
    <n v="0"/>
    <n v="99000"/>
    <n v="0"/>
    <n v="0"/>
    <n v="0"/>
    <n v="18"/>
    <n v="99000"/>
    <n v="0"/>
    <n v="7"/>
    <n v="20"/>
    <n v="2"/>
    <n v="0"/>
    <n v="0"/>
    <n v="0"/>
    <n v="110000"/>
    <n v="9936"/>
    <n v="0"/>
    <n v="0"/>
    <n v="20"/>
    <n v="110000"/>
    <n v="25193.277310924372"/>
    <n v="7"/>
    <n v="18"/>
    <n v="0"/>
    <n v="0"/>
    <n v="0"/>
    <n v="0"/>
    <n v="89424"/>
    <n v="0"/>
    <n v="0"/>
    <n v="0"/>
    <n v="18"/>
    <n v="99000"/>
    <n v="0"/>
    <n v="0"/>
    <n v="18"/>
    <n v="0"/>
    <n v="0"/>
    <n v="0"/>
    <n v="0"/>
    <m/>
    <n v="89424"/>
    <n v="0"/>
    <n v="0"/>
    <n v="0"/>
    <n v="18"/>
    <n v="89424"/>
    <n v="0"/>
    <n v="0"/>
    <n v="18"/>
    <n v="0"/>
    <m/>
    <n v="0"/>
    <n v="0"/>
    <n v="89424"/>
    <n v="0"/>
    <n v="0"/>
    <n v="0"/>
    <n v="18"/>
    <n v="89424"/>
    <n v="0"/>
    <n v="0"/>
    <n v="18"/>
    <n v="0"/>
    <n v="0"/>
    <n v="0"/>
    <n v="89424"/>
    <n v="0"/>
    <n v="0"/>
    <n v="0"/>
    <n v="18"/>
    <n v="89424"/>
    <n v="0"/>
    <n v="0"/>
    <n v="18"/>
    <n v="0"/>
    <n v="0"/>
    <m/>
    <n v="89424"/>
    <n v="0"/>
    <n v="0"/>
    <n v="18"/>
    <n v="89424"/>
    <n v="0"/>
  </r>
  <r>
    <s v="Lhotse-Vestuario"/>
    <x v="4"/>
    <x v="21"/>
    <x v="53"/>
    <s v="LTS26-MTS02BD"/>
    <x v="514"/>
    <x v="383"/>
    <x v="0"/>
    <x v="0"/>
    <n v="1"/>
    <x v="344"/>
    <n v="0"/>
    <m/>
    <n v="0"/>
    <n v="6151"/>
    <n v="0"/>
    <n v="4.8"/>
    <n v="5244"/>
    <n v="12596.638655462186"/>
    <n v="8394.957983193277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4"/>
    <n v="0.44944738428561859"/>
    <n v="6"/>
    <n v="0.37930589748921151"/>
    <n v="2"/>
    <n v="0.51170914776354703"/>
    <n v="0"/>
    <s v=""/>
    <n v="1"/>
    <n v="0.34896273980051168"/>
    <n v="0.33333333333333331"/>
    <n v="1"/>
    <n v="0.26730330330330332"/>
    <n v="0.33333333333333331"/>
    <n v="1"/>
    <n v="0.26730330330330332"/>
    <n v="0.1"/>
    <n v="0"/>
    <s v=""/>
    <n v="0"/>
    <n v="0"/>
    <s v=""/>
    <n v="0"/>
    <n v="0"/>
    <s v=""/>
    <n v="0"/>
    <m/>
    <m/>
    <m/>
    <m/>
    <m/>
    <m/>
    <m/>
    <m/>
    <m/>
    <n v="10"/>
    <n v="7"/>
    <n v="7"/>
    <n v="0"/>
    <n v="0"/>
    <n v="0"/>
    <n v="61510"/>
    <n v="34776"/>
    <n v="43057"/>
    <n v="0"/>
    <n v="0"/>
    <n v="0"/>
    <n v="74097.874443895213"/>
    <n v="5"/>
    <n v="5"/>
    <n v="3"/>
    <n v="0"/>
    <n v="0"/>
    <n v="0"/>
    <n v="24604"/>
    <n v="24840"/>
    <n v="18453"/>
    <n v="0"/>
    <n v="0"/>
    <n v="0"/>
    <n v="31756.231904526521"/>
    <n v="5"/>
    <n v="3"/>
    <n v="0"/>
    <n v="0"/>
    <n v="0"/>
    <n v="21055"/>
    <n v="18453"/>
    <n v="0"/>
    <n v="0"/>
    <n v="0"/>
    <n v="0"/>
    <n v="0"/>
    <n v="3"/>
    <n v="1"/>
    <n v="1"/>
    <n v="0"/>
    <n v="0"/>
    <n v="4968"/>
    <n v="6151"/>
    <x v="0"/>
    <x v="0"/>
    <n v="0"/>
    <n v="0"/>
    <n v="12596.638655462186"/>
    <n v="3"/>
    <n v="1"/>
    <n v="3"/>
    <m/>
    <n v="0"/>
    <n v="0"/>
    <n v="6151"/>
    <n v="14904"/>
    <x v="0"/>
    <n v="0"/>
    <n v="0"/>
    <n v="0"/>
    <n v="37789.915966386558"/>
    <n v="10"/>
    <n v="1"/>
    <n v="1"/>
    <m/>
    <n v="0"/>
    <n v="0"/>
    <n v="6151"/>
    <n v="4968"/>
    <n v="0"/>
    <n v="0"/>
    <n v="1"/>
    <n v="0"/>
    <n v="12596.6386554621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3"/>
    <s v="LTS26-MTS02BE"/>
    <x v="515"/>
    <x v="384"/>
    <x v="0"/>
    <x v="0"/>
    <n v="1"/>
    <x v="345"/>
    <n v="31"/>
    <m/>
    <n v="0"/>
    <n v="5548"/>
    <n v="171988"/>
    <n v="4.8"/>
    <n v="5244"/>
    <n v="12596.638655462186"/>
    <n v="8394.957983193277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"/>
    <n v="24"/>
    <n v="0.42528435577102369"/>
    <n v="1"/>
    <n v="0.51062890382534976"/>
    <n v="4"/>
    <n v="0.51039630802855984"/>
    <n v="3"/>
    <n v="0.50363829434361329"/>
    <n v="0"/>
    <s v=""/>
    <n v="0"/>
    <n v="0"/>
    <s v=""/>
    <n v="0"/>
    <n v="0"/>
    <s v=""/>
    <n v="0"/>
    <n v="1"/>
    <n v="0.17391391391391392"/>
    <n v="8.3333333333333329E-2"/>
    <n v="2"/>
    <n v="0.21501592817293591"/>
    <n v="0.16666666666666666"/>
    <n v="1"/>
    <n v="0.20368512702078528"/>
    <n v="8.3333333333333329E-2"/>
    <m/>
    <m/>
    <m/>
    <m/>
    <m/>
    <m/>
    <m/>
    <m/>
    <m/>
    <n v="6"/>
    <n v="28"/>
    <n v="6"/>
    <n v="0"/>
    <n v="0"/>
    <n v="0"/>
    <n v="83220"/>
    <n v="139104"/>
    <n v="33288"/>
    <n v="0"/>
    <n v="31"/>
    <n v="171988"/>
    <n v="63512.463809053042"/>
    <n v="2.0699999999999998"/>
    <n v="42"/>
    <n v="6"/>
    <n v="0"/>
    <n v="0"/>
    <n v="0"/>
    <n v="49932"/>
    <n v="208656"/>
    <n v="33288"/>
    <n v="0"/>
    <n v="31"/>
    <n v="171988"/>
    <n v="63512.463809053042"/>
    <n v="3.726"/>
    <n v="38"/>
    <n v="3"/>
    <n v="0"/>
    <n v="0"/>
    <n v="31548"/>
    <n v="210824"/>
    <n v="16644"/>
    <n v="0"/>
    <n v="31"/>
    <n v="171988"/>
    <n v="37789.915966386558"/>
    <n v="3"/>
    <n v="35"/>
    <n v="0"/>
    <n v="0"/>
    <n v="0"/>
    <n v="173880"/>
    <n v="0"/>
    <x v="0"/>
    <x v="0"/>
    <n v="31"/>
    <n v="171988"/>
    <n v="0"/>
    <n v="3"/>
    <n v="31"/>
    <n v="3"/>
    <m/>
    <n v="0"/>
    <n v="0"/>
    <n v="171988"/>
    <n v="14904"/>
    <x v="0"/>
    <n v="0"/>
    <n v="31"/>
    <n v="171988"/>
    <n v="37789.915966386558"/>
    <n v="9"/>
    <n v="31"/>
    <n v="0"/>
    <m/>
    <n v="0"/>
    <n v="0"/>
    <n v="171988"/>
    <n v="0"/>
    <n v="0"/>
    <n v="0"/>
    <n v="31"/>
    <n v="171988"/>
    <n v="0"/>
    <n v="12"/>
    <n v="32"/>
    <n v="1"/>
    <n v="0"/>
    <n v="0"/>
    <n v="0"/>
    <n v="177536"/>
    <n v="4968"/>
    <n v="0"/>
    <n v="0"/>
    <n v="32"/>
    <n v="171988"/>
    <n v="12596.638655462186"/>
    <n v="12"/>
    <n v="33"/>
    <n v="2"/>
    <n v="0"/>
    <n v="0"/>
    <n v="0"/>
    <n v="183084"/>
    <n v="9936"/>
    <n v="0"/>
    <n v="0"/>
    <n v="33"/>
    <n v="183084"/>
    <n v="25193.277310924372"/>
    <n v="12"/>
    <n v="32"/>
    <n v="1.5"/>
    <n v="0"/>
    <n v="0"/>
    <n v="0"/>
    <n v="158976"/>
    <n v="7452"/>
    <n v="0"/>
    <n v="0"/>
    <n v="31"/>
    <n v="171988"/>
    <n v="18894.957983193279"/>
    <n v="0"/>
    <n v="30.5"/>
    <n v="0"/>
    <n v="0"/>
    <n v="0"/>
    <n v="0"/>
    <m/>
    <n v="151524"/>
    <n v="0"/>
    <n v="0"/>
    <n v="0"/>
    <n v="30.5"/>
    <n v="151524"/>
    <n v="0"/>
    <n v="0"/>
    <n v="30.5"/>
    <n v="0"/>
    <m/>
    <n v="0"/>
    <n v="0"/>
    <n v="151524"/>
    <n v="0"/>
    <n v="0"/>
    <n v="0"/>
    <n v="30.5"/>
    <n v="151524"/>
    <n v="0"/>
    <n v="0"/>
    <n v="30.5"/>
    <n v="0"/>
    <n v="0"/>
    <n v="0"/>
    <n v="151524"/>
    <n v="0"/>
    <n v="0"/>
    <n v="0"/>
    <n v="30.5"/>
    <n v="151524"/>
    <n v="0"/>
    <n v="0"/>
    <n v="30.5"/>
    <n v="0"/>
    <n v="0"/>
    <m/>
    <n v="151524"/>
    <n v="0"/>
    <n v="0"/>
    <n v="30.5"/>
    <n v="151524"/>
    <n v="0"/>
  </r>
  <r>
    <s v="Lhotse-Vestuario"/>
    <x v="4"/>
    <x v="21"/>
    <x v="53"/>
    <s v="LTS26-MTS02BE"/>
    <x v="516"/>
    <x v="384"/>
    <x v="0"/>
    <x v="0"/>
    <n v="1"/>
    <x v="346"/>
    <n v="44"/>
    <m/>
    <n v="0"/>
    <n v="5356"/>
    <n v="235664"/>
    <n v="4.8"/>
    <n v="5244"/>
    <n v="12596.638655462186"/>
    <n v="8394.957983193277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14917184265010353"/>
    <n v="10"/>
    <n v="0.47413678380951407"/>
    <n v="5"/>
    <n v="0.35721528399012276"/>
    <n v="3"/>
    <n v="0.56015439395271927"/>
    <n v="0"/>
    <s v=""/>
    <n v="0"/>
    <s v=""/>
    <n v="0"/>
    <n v="0"/>
    <s v=""/>
    <n v="0"/>
    <n v="2"/>
    <n v="0.29111389166944723"/>
    <n v="0.2040816326530612"/>
    <n v="0"/>
    <s v=""/>
    <n v="0"/>
    <n v="2"/>
    <n v="0.2401429489581553"/>
    <n v="0.11764705882352941"/>
    <n v="2"/>
    <n v="-7.1564928987290999E-2"/>
    <n v="0.11764705882352941"/>
    <m/>
    <m/>
    <m/>
    <m/>
    <m/>
    <m/>
    <m/>
    <m/>
    <m/>
    <n v="4"/>
    <n v="56"/>
    <n v="4"/>
    <n v="0"/>
    <n v="0"/>
    <n v="0"/>
    <n v="45526"/>
    <n v="278208"/>
    <n v="21424"/>
    <n v="0"/>
    <n v="44"/>
    <n v="235664"/>
    <n v="42341.642539368695"/>
    <n v="4"/>
    <n v="52"/>
    <n v="4.5"/>
    <n v="0"/>
    <n v="0"/>
    <n v="0"/>
    <n v="24102"/>
    <n v="258336"/>
    <n v="24102"/>
    <n v="0"/>
    <n v="44"/>
    <n v="235664"/>
    <n v="47634.347856789784"/>
    <n v="4.5360000000000005"/>
    <n v="49"/>
    <n v="0"/>
    <n v="0"/>
    <n v="0"/>
    <n v="16394.399999999998"/>
    <n v="262444"/>
    <n v="0"/>
    <n v="0"/>
    <n v="44"/>
    <n v="235664"/>
    <n v="0"/>
    <n v="3.25"/>
    <n v="49"/>
    <n v="0"/>
    <n v="0"/>
    <n v="0"/>
    <n v="243432"/>
    <n v="0"/>
    <x v="0"/>
    <x v="0"/>
    <n v="44"/>
    <n v="235664"/>
    <n v="0"/>
    <n v="3.3"/>
    <n v="44"/>
    <n v="3.3"/>
    <m/>
    <n v="0"/>
    <n v="0"/>
    <n v="235664"/>
    <n v="16394.399999999998"/>
    <x v="0"/>
    <n v="0"/>
    <n v="44"/>
    <n v="235664"/>
    <n v="41568.907563025212"/>
    <n v="9.8000000000000007"/>
    <n v="46"/>
    <n v="2"/>
    <m/>
    <n v="0"/>
    <n v="0"/>
    <n v="246376"/>
    <n v="9936"/>
    <n v="0"/>
    <n v="0"/>
    <n v="46"/>
    <n v="235664"/>
    <n v="25193.277310924372"/>
    <n v="17"/>
    <n v="44"/>
    <n v="0"/>
    <n v="0"/>
    <n v="0"/>
    <n v="0"/>
    <n v="235664"/>
    <n v="0"/>
    <n v="0"/>
    <n v="0"/>
    <n v="44"/>
    <n v="235664"/>
    <n v="0"/>
    <n v="17"/>
    <n v="46"/>
    <n v="2"/>
    <n v="0"/>
    <n v="0"/>
    <n v="0"/>
    <n v="246376"/>
    <n v="9936"/>
    <n v="0"/>
    <n v="0"/>
    <n v="46"/>
    <n v="246376"/>
    <n v="25193.277310924372"/>
    <n v="17"/>
    <n v="46"/>
    <n v="1.5"/>
    <n v="0"/>
    <n v="0"/>
    <n v="0"/>
    <n v="228528"/>
    <n v="7452"/>
    <n v="0"/>
    <n v="0"/>
    <n v="44"/>
    <n v="235664"/>
    <n v="18894.957983193279"/>
    <n v="0"/>
    <n v="44.5"/>
    <n v="0"/>
    <n v="0"/>
    <n v="0"/>
    <n v="0"/>
    <m/>
    <n v="221076"/>
    <n v="0"/>
    <n v="0"/>
    <n v="0"/>
    <n v="44.5"/>
    <n v="221076"/>
    <n v="0"/>
    <n v="0"/>
    <n v="44.5"/>
    <n v="0"/>
    <m/>
    <n v="0"/>
    <n v="0"/>
    <n v="221076"/>
    <n v="0"/>
    <n v="0"/>
    <n v="0"/>
    <n v="44.5"/>
    <n v="221076"/>
    <n v="0"/>
    <n v="0"/>
    <n v="44.5"/>
    <n v="0"/>
    <n v="0"/>
    <n v="0"/>
    <n v="221076"/>
    <n v="0"/>
    <n v="0"/>
    <n v="0"/>
    <n v="44.5"/>
    <n v="221076"/>
    <n v="0"/>
    <n v="0"/>
    <n v="44.5"/>
    <n v="0"/>
    <n v="0"/>
    <m/>
    <n v="221076"/>
    <n v="0"/>
    <n v="0"/>
    <n v="44.5"/>
    <n v="221076"/>
    <n v="0"/>
  </r>
  <r>
    <s v="Lhotse-Vestuario"/>
    <x v="4"/>
    <x v="21"/>
    <x v="53"/>
    <s v="LTS26-MTS02BE"/>
    <x v="517"/>
    <x v="384"/>
    <x v="0"/>
    <x v="0"/>
    <n v="1"/>
    <x v="347"/>
    <n v="22"/>
    <m/>
    <n v="0"/>
    <n v="5676"/>
    <n v="124872"/>
    <n v="4.8"/>
    <n v="5244"/>
    <n v="12596.638655462186"/>
    <n v="8394.957983193277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8"/>
    <n v="0.41610070756727574"/>
    <n v="2"/>
    <n v="0.43183184602117369"/>
    <n v="1"/>
    <n v="0.35269101575223771"/>
    <n v="0"/>
    <s v=""/>
    <n v="0"/>
    <s v=""/>
    <n v="0"/>
    <n v="0"/>
    <s v=""/>
    <n v="0"/>
    <n v="0"/>
    <s v=""/>
    <n v="0"/>
    <n v="1"/>
    <n v="0.32388488488488487"/>
    <n v="0.125"/>
    <n v="2"/>
    <n v="0.19826458098278962"/>
    <n v="0.25"/>
    <n v="0"/>
    <s v=""/>
    <n v="0"/>
    <m/>
    <m/>
    <m/>
    <m/>
    <m/>
    <m/>
    <m/>
    <m/>
    <m/>
    <n v="1.3"/>
    <n v="19"/>
    <n v="1.3"/>
    <n v="0"/>
    <n v="0"/>
    <n v="0"/>
    <n v="15892.8"/>
    <n v="94392"/>
    <n v="7378.8"/>
    <n v="0"/>
    <n v="22"/>
    <n v="124872"/>
    <n v="13761.033825294826"/>
    <n v="1.17"/>
    <n v="23"/>
    <n v="1.5"/>
    <n v="0"/>
    <n v="0"/>
    <n v="0"/>
    <n v="8514"/>
    <n v="114264"/>
    <n v="8514"/>
    <n v="0"/>
    <n v="22"/>
    <n v="124872"/>
    <n v="15878.115952263261"/>
    <n v="2.1059999999999999"/>
    <n v="22"/>
    <n v="0"/>
    <n v="0"/>
    <n v="0"/>
    <n v="7948.8"/>
    <n v="124872"/>
    <n v="0"/>
    <n v="0"/>
    <n v="22"/>
    <n v="124872"/>
    <n v="0"/>
    <n v="1.55"/>
    <n v="24"/>
    <n v="0"/>
    <n v="0"/>
    <n v="0"/>
    <n v="119232"/>
    <n v="0"/>
    <x v="0"/>
    <x v="0"/>
    <n v="22"/>
    <n v="124872"/>
    <n v="0"/>
    <n v="1.6"/>
    <n v="22"/>
    <n v="1.6"/>
    <m/>
    <n v="0"/>
    <n v="0"/>
    <n v="124872"/>
    <n v="7948.8"/>
    <x v="0"/>
    <n v="0"/>
    <n v="22"/>
    <n v="124872"/>
    <n v="20154.621848739498"/>
    <n v="4.7"/>
    <n v="22"/>
    <n v="0"/>
    <m/>
    <n v="0"/>
    <n v="0"/>
    <n v="124872"/>
    <n v="0"/>
    <n v="0"/>
    <n v="0"/>
    <n v="22"/>
    <n v="124872"/>
    <n v="0"/>
    <n v="8"/>
    <n v="23"/>
    <n v="1"/>
    <n v="0"/>
    <n v="0"/>
    <n v="0"/>
    <n v="130548"/>
    <n v="4968"/>
    <n v="0"/>
    <n v="0"/>
    <n v="23"/>
    <n v="124872"/>
    <n v="12596.638655462186"/>
    <n v="8"/>
    <n v="24"/>
    <n v="2"/>
    <n v="0"/>
    <n v="0"/>
    <n v="0"/>
    <n v="136224"/>
    <n v="9936"/>
    <n v="0"/>
    <n v="0"/>
    <n v="24"/>
    <n v="136224"/>
    <n v="25193.277310924372"/>
    <n v="8"/>
    <n v="22"/>
    <n v="0"/>
    <n v="0"/>
    <n v="0"/>
    <n v="0"/>
    <n v="109296"/>
    <n v="0"/>
    <n v="0"/>
    <n v="0"/>
    <n v="22"/>
    <n v="124872"/>
    <n v="0"/>
    <n v="0"/>
    <n v="22"/>
    <n v="0"/>
    <n v="0"/>
    <n v="0"/>
    <n v="0"/>
    <m/>
    <n v="109296"/>
    <n v="0"/>
    <n v="0"/>
    <n v="0"/>
    <n v="22"/>
    <n v="109296"/>
    <n v="0"/>
    <n v="0"/>
    <n v="22"/>
    <n v="0"/>
    <m/>
    <n v="0"/>
    <n v="0"/>
    <n v="109296"/>
    <n v="0"/>
    <n v="0"/>
    <n v="0"/>
    <n v="22"/>
    <n v="109296"/>
    <n v="0"/>
    <n v="0"/>
    <n v="22"/>
    <n v="0"/>
    <n v="0"/>
    <n v="0"/>
    <n v="109296"/>
    <n v="0"/>
    <n v="0"/>
    <n v="0"/>
    <n v="22"/>
    <n v="109296"/>
    <n v="0"/>
    <n v="0"/>
    <n v="22"/>
    <n v="0"/>
    <n v="0"/>
    <m/>
    <n v="109296"/>
    <n v="0"/>
    <n v="0"/>
    <n v="22"/>
    <n v="109296"/>
    <n v="0"/>
  </r>
  <r>
    <s v="Lhotse-Vestuario"/>
    <x v="4"/>
    <x v="21"/>
    <x v="53"/>
    <s v="LTS26-MTS02BE"/>
    <x v="518"/>
    <x v="384"/>
    <x v="0"/>
    <x v="0"/>
    <n v="1"/>
    <x v="348"/>
    <n v="1"/>
    <m/>
    <n v="0"/>
    <n v="6077"/>
    <n v="6077"/>
    <n v="4.8"/>
    <n v="5244"/>
    <n v="12596.638655462186"/>
    <n v="8394.957983193277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25934744268077603"/>
    <n v="13"/>
    <n v="0.44621903790498463"/>
    <n v="7"/>
    <n v="0.36612079993968422"/>
    <n v="1"/>
    <n v="0.33820245061953585"/>
    <n v="0"/>
    <s v=""/>
    <n v="2"/>
    <n v="0.41922080070617967"/>
    <n v="1.3333333333333333"/>
    <n v="1"/>
    <n v="0"/>
    <n v="0.66666666666666663"/>
    <n v="0"/>
    <s v=""/>
    <n v="0"/>
    <n v="1"/>
    <n v="0.27611811811811815"/>
    <n v="0.5"/>
    <n v="4"/>
    <n v="0.17295370977768931"/>
    <n v="2"/>
    <n v="0"/>
    <s v=""/>
    <n v="0"/>
    <m/>
    <m/>
    <m/>
    <m/>
    <m/>
    <m/>
    <m/>
    <m/>
    <m/>
    <n v="4"/>
    <n v="11"/>
    <n v="4"/>
    <n v="0"/>
    <n v="0"/>
    <n v="0"/>
    <n v="33423.5"/>
    <n v="54648"/>
    <n v="24308"/>
    <n v="0"/>
    <n v="1"/>
    <n v="6077"/>
    <n v="42341.642539368695"/>
    <n v="4"/>
    <n v="8"/>
    <n v="1.5"/>
    <n v="0"/>
    <n v="0"/>
    <n v="0"/>
    <n v="21269.5"/>
    <n v="39744"/>
    <n v="9115.5"/>
    <n v="0"/>
    <n v="1"/>
    <n v="6077"/>
    <n v="15878.115952263261"/>
    <n v="1.9440000000000002"/>
    <n v="7"/>
    <n v="0"/>
    <n v="0"/>
    <n v="0"/>
    <n v="19606"/>
    <n v="42539"/>
    <n v="0"/>
    <n v="0"/>
    <n v="1"/>
    <n v="6077"/>
    <n v="0"/>
    <n v="1.5"/>
    <n v="9"/>
    <n v="2"/>
    <n v="0"/>
    <n v="0"/>
    <n v="44712"/>
    <n v="12154"/>
    <x v="0"/>
    <x v="0"/>
    <n v="1"/>
    <n v="6077"/>
    <n v="25193.277310924372"/>
    <n v="1.5"/>
    <n v="2"/>
    <n v="1.5"/>
    <m/>
    <n v="0"/>
    <n v="0"/>
    <n v="12154"/>
    <n v="7452"/>
    <x v="0"/>
    <n v="0"/>
    <n v="1"/>
    <n v="6077"/>
    <n v="18894.957983193279"/>
    <n v="4.5"/>
    <n v="1"/>
    <n v="0"/>
    <m/>
    <n v="0"/>
    <n v="0"/>
    <n v="6077"/>
    <n v="0"/>
    <n v="0"/>
    <n v="0"/>
    <n v="1"/>
    <n v="6077"/>
    <n v="0"/>
    <n v="2"/>
    <n v="2"/>
    <n v="1"/>
    <n v="0"/>
    <n v="0"/>
    <n v="0"/>
    <n v="12154"/>
    <n v="4968"/>
    <n v="0"/>
    <n v="0"/>
    <n v="2"/>
    <n v="6077"/>
    <n v="12596.638655462186"/>
    <n v="2"/>
    <n v="5"/>
    <n v="4"/>
    <n v="0"/>
    <n v="0"/>
    <n v="0"/>
    <n v="30385"/>
    <n v="19872"/>
    <n v="0"/>
    <n v="0"/>
    <n v="5"/>
    <n v="30385"/>
    <n v="50386.554621848743"/>
    <n v="2"/>
    <n v="1"/>
    <n v="0"/>
    <n v="0"/>
    <n v="0"/>
    <n v="0"/>
    <n v="4968"/>
    <n v="0"/>
    <n v="0"/>
    <n v="0"/>
    <n v="1"/>
    <n v="6077"/>
    <n v="0"/>
    <n v="0"/>
    <n v="1"/>
    <n v="0"/>
    <n v="0"/>
    <n v="0"/>
    <n v="0"/>
    <m/>
    <n v="4968"/>
    <n v="0"/>
    <n v="0"/>
    <n v="0"/>
    <n v="1"/>
    <n v="4968"/>
    <n v="0"/>
    <n v="0"/>
    <n v="1"/>
    <n v="0"/>
    <m/>
    <n v="0"/>
    <n v="0"/>
    <n v="4968"/>
    <n v="0"/>
    <n v="0"/>
    <n v="0"/>
    <n v="1"/>
    <n v="4968"/>
    <n v="0"/>
    <n v="0"/>
    <n v="1"/>
    <n v="0"/>
    <n v="0"/>
    <n v="0"/>
    <n v="4968"/>
    <n v="0"/>
    <n v="0"/>
    <n v="0"/>
    <n v="1"/>
    <n v="4968"/>
    <n v="0"/>
    <n v="0"/>
    <n v="1"/>
    <n v="0"/>
    <n v="0"/>
    <m/>
    <n v="4968"/>
    <n v="0"/>
    <n v="0"/>
    <n v="1"/>
    <n v="4968"/>
    <n v="0"/>
  </r>
  <r>
    <s v="Lhotse-Vestuario"/>
    <x v="4"/>
    <x v="21"/>
    <x v="53"/>
    <s v="LTS26-MTS02BL"/>
    <x v="519"/>
    <x v="385"/>
    <x v="0"/>
    <x v="0"/>
    <n v="1"/>
    <x v="349"/>
    <n v="31"/>
    <m/>
    <n v="0"/>
    <n v="5239"/>
    <n v="162409"/>
    <n v="4.8"/>
    <n v="5244"/>
    <n v="12596.638655462186"/>
    <n v="8394.957983193277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36984789008832186"/>
    <n v="23"/>
    <n v="0.37383207288183201"/>
    <n v="4"/>
    <n v="0.47786663735967377"/>
    <n v="1"/>
    <n v="0.38730243189013819"/>
    <n v="0"/>
    <s v=""/>
    <n v="0"/>
    <s v=""/>
    <n v="0"/>
    <n v="1"/>
    <n v="0.37593993993993996"/>
    <n v="0.30303030303030304"/>
    <n v="1"/>
    <n v="0.2001398332264272"/>
    <n v="0.10101010101010101"/>
    <n v="1"/>
    <s v=""/>
    <n v="8.3333333333333329E-2"/>
    <n v="3"/>
    <n v="0.30020756356680472"/>
    <n v="0.25"/>
    <n v="0"/>
    <s v=""/>
    <n v="0"/>
    <m/>
    <m/>
    <m/>
    <m/>
    <m/>
    <m/>
    <m/>
    <m/>
    <m/>
    <n v="5"/>
    <n v="25"/>
    <n v="5"/>
    <n v="0"/>
    <n v="0"/>
    <n v="0"/>
    <n v="34053.5"/>
    <n v="124200"/>
    <n v="26195"/>
    <n v="0"/>
    <n v="31"/>
    <n v="162409"/>
    <n v="52927.053174210872"/>
    <n v="2.6100000000000003"/>
    <n v="33"/>
    <n v="1.5"/>
    <n v="0"/>
    <n v="0"/>
    <n v="0"/>
    <n v="7858.5"/>
    <n v="163944"/>
    <n v="7858.5"/>
    <n v="0"/>
    <n v="31"/>
    <n v="162409"/>
    <n v="15878.115952263261"/>
    <n v="4.6980000000000004"/>
    <n v="32"/>
    <n v="0"/>
    <n v="0"/>
    <n v="0"/>
    <n v="16394.399999999998"/>
    <n v="167648"/>
    <n v="0"/>
    <n v="0"/>
    <n v="31"/>
    <n v="162409"/>
    <n v="0"/>
    <n v="3.3"/>
    <n v="35"/>
    <n v="0"/>
    <n v="0"/>
    <n v="0"/>
    <n v="173880"/>
    <n v="0"/>
    <x v="0"/>
    <x v="0"/>
    <n v="31"/>
    <n v="162409"/>
    <n v="0"/>
    <n v="3.3"/>
    <n v="32"/>
    <n v="3.3"/>
    <m/>
    <n v="0"/>
    <n v="0"/>
    <n v="167648"/>
    <n v="16394.399999999998"/>
    <x v="0"/>
    <n v="0"/>
    <n v="31"/>
    <n v="162409"/>
    <n v="41568.907563025212"/>
    <n v="9.9"/>
    <n v="32"/>
    <n v="1"/>
    <m/>
    <n v="0"/>
    <n v="0"/>
    <n v="167648"/>
    <n v="4968"/>
    <n v="0"/>
    <n v="0"/>
    <n v="32"/>
    <n v="162409"/>
    <n v="12596.638655462186"/>
    <n v="12"/>
    <n v="32"/>
    <n v="1"/>
    <n v="0"/>
    <n v="0"/>
    <n v="0"/>
    <n v="167648"/>
    <n v="4968"/>
    <n v="0"/>
    <n v="0"/>
    <n v="32"/>
    <n v="162409"/>
    <n v="12596.638655462186"/>
    <n v="12"/>
    <n v="34"/>
    <n v="3"/>
    <n v="0"/>
    <n v="0"/>
    <n v="0"/>
    <n v="178126"/>
    <n v="14904"/>
    <n v="0"/>
    <n v="0"/>
    <n v="34"/>
    <n v="178126"/>
    <n v="37789.915966386558"/>
    <n v="12"/>
    <n v="31"/>
    <n v="0"/>
    <n v="0"/>
    <n v="0"/>
    <n v="0"/>
    <n v="154008"/>
    <n v="0"/>
    <n v="0"/>
    <n v="0"/>
    <n v="31"/>
    <n v="162409"/>
    <n v="0"/>
    <n v="0"/>
    <n v="31"/>
    <n v="0"/>
    <n v="0"/>
    <n v="0"/>
    <n v="0"/>
    <m/>
    <n v="154008"/>
    <n v="0"/>
    <n v="0"/>
    <n v="0"/>
    <n v="31"/>
    <n v="154008"/>
    <n v="0"/>
    <n v="0"/>
    <n v="31"/>
    <n v="0"/>
    <m/>
    <n v="0"/>
    <n v="0"/>
    <n v="154008"/>
    <n v="0"/>
    <n v="0"/>
    <n v="0"/>
    <n v="31"/>
    <n v="154008"/>
    <n v="0"/>
    <n v="0"/>
    <n v="31"/>
    <n v="0"/>
    <n v="0"/>
    <n v="0"/>
    <n v="154008"/>
    <n v="0"/>
    <n v="0"/>
    <n v="0"/>
    <n v="31"/>
    <n v="154008"/>
    <n v="0"/>
    <n v="0"/>
    <n v="31"/>
    <n v="0"/>
    <n v="0"/>
    <m/>
    <n v="154008"/>
    <n v="0"/>
    <n v="0"/>
    <n v="31"/>
    <n v="154008"/>
    <n v="0"/>
  </r>
  <r>
    <s v="Lhotse-Vestuario"/>
    <x v="4"/>
    <x v="21"/>
    <x v="53"/>
    <s v="LTS26-MTS02BL"/>
    <x v="520"/>
    <x v="385"/>
    <x v="0"/>
    <x v="0"/>
    <n v="1"/>
    <x v="350"/>
    <n v="48"/>
    <m/>
    <n v="0"/>
    <n v="5262"/>
    <n v="252576"/>
    <n v="4.8"/>
    <n v="5244"/>
    <n v="12596.638655462186"/>
    <n v="8394.957983193277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17237823739916297"/>
    <n v="9"/>
    <n v="0.3924225300286488"/>
    <n v="2"/>
    <n v="0.18065721296042342"/>
    <n v="1"/>
    <n v="0"/>
    <n v="2"/>
    <n v="0.41079629083972252"/>
    <n v="0"/>
    <s v=""/>
    <n v="0"/>
    <n v="1"/>
    <n v="0.37320020020020023"/>
    <n v="0.29411764705882354"/>
    <n v="1"/>
    <n v="0.21649899899899899"/>
    <n v="9.9009900990099015E-2"/>
    <n v="1"/>
    <n v="0.37320020020020023"/>
    <n v="5.5555555555555552E-2"/>
    <n v="3"/>
    <n v="0.29635946814044334"/>
    <n v="0.16666666666666666"/>
    <n v="0"/>
    <s v=""/>
    <n v="0"/>
    <m/>
    <m/>
    <m/>
    <m/>
    <m/>
    <m/>
    <m/>
    <m/>
    <m/>
    <n v="3"/>
    <n v="50"/>
    <n v="3"/>
    <n v="0"/>
    <n v="0"/>
    <n v="0"/>
    <n v="34203"/>
    <n v="248400"/>
    <n v="15786"/>
    <n v="0"/>
    <n v="48"/>
    <n v="252576"/>
    <n v="31756.231904526521"/>
    <n v="2.7"/>
    <n v="52"/>
    <n v="1.5"/>
    <n v="0"/>
    <n v="0"/>
    <n v="0"/>
    <n v="18417"/>
    <n v="258336"/>
    <n v="7893"/>
    <n v="0"/>
    <n v="48"/>
    <n v="252576"/>
    <n v="15878.115952263261"/>
    <n v="4.8600000000000003"/>
    <n v="51"/>
    <n v="2"/>
    <n v="0"/>
    <n v="0"/>
    <n v="27415.200000000001"/>
    <n v="268362"/>
    <n v="10524"/>
    <n v="0"/>
    <n v="48"/>
    <n v="252576"/>
    <n v="25193.277310924372"/>
    <n v="3.35"/>
    <n v="53"/>
    <n v="0"/>
    <n v="0"/>
    <n v="0"/>
    <n v="263304"/>
    <n v="0"/>
    <x v="0"/>
    <x v="0"/>
    <n v="48"/>
    <n v="252576"/>
    <n v="0"/>
    <n v="3.4"/>
    <n v="49"/>
    <n v="3.4"/>
    <m/>
    <n v="0"/>
    <n v="0"/>
    <n v="257838"/>
    <n v="16891.2"/>
    <x v="0"/>
    <n v="0"/>
    <n v="48"/>
    <n v="252576"/>
    <n v="42828.571428571428"/>
    <n v="10.1"/>
    <n v="49"/>
    <n v="1"/>
    <m/>
    <n v="0"/>
    <n v="0"/>
    <n v="257838"/>
    <n v="4968"/>
    <n v="0"/>
    <n v="0"/>
    <n v="49"/>
    <n v="252576"/>
    <n v="12596.638655462186"/>
    <n v="18"/>
    <n v="49"/>
    <n v="1"/>
    <n v="0"/>
    <n v="0"/>
    <n v="0"/>
    <n v="257838"/>
    <n v="4968"/>
    <n v="0"/>
    <n v="0"/>
    <n v="49"/>
    <n v="252576"/>
    <n v="12596.638655462186"/>
    <n v="18"/>
    <n v="51"/>
    <n v="3"/>
    <n v="0"/>
    <n v="0"/>
    <n v="0"/>
    <n v="268362"/>
    <n v="14904"/>
    <n v="0"/>
    <n v="0"/>
    <n v="51"/>
    <n v="268362"/>
    <n v="37789.915966386558"/>
    <n v="18"/>
    <n v="48"/>
    <n v="0"/>
    <n v="0"/>
    <n v="0"/>
    <n v="0"/>
    <n v="238464"/>
    <n v="0"/>
    <n v="0"/>
    <n v="0"/>
    <n v="48"/>
    <n v="252576"/>
    <n v="0"/>
    <n v="0"/>
    <n v="48"/>
    <n v="0"/>
    <n v="0"/>
    <n v="0"/>
    <n v="0"/>
    <m/>
    <n v="238464"/>
    <n v="0"/>
    <n v="0"/>
    <n v="0"/>
    <n v="48"/>
    <n v="238464"/>
    <n v="0"/>
    <n v="0"/>
    <n v="48"/>
    <n v="0"/>
    <m/>
    <n v="0"/>
    <n v="0"/>
    <n v="238464"/>
    <n v="0"/>
    <n v="0"/>
    <n v="0"/>
    <n v="48"/>
    <n v="238464"/>
    <n v="0"/>
    <n v="0"/>
    <n v="48"/>
    <n v="0"/>
    <n v="0"/>
    <n v="0"/>
    <n v="238464"/>
    <n v="0"/>
    <n v="0"/>
    <n v="0"/>
    <n v="48"/>
    <n v="238464"/>
    <n v="0"/>
    <n v="0"/>
    <n v="48"/>
    <n v="0"/>
    <n v="0"/>
    <m/>
    <n v="238464"/>
    <n v="0"/>
    <n v="0"/>
    <n v="48"/>
    <n v="238464"/>
    <n v="0"/>
  </r>
  <r>
    <s v="Lhotse-Vestuario"/>
    <x v="4"/>
    <x v="21"/>
    <x v="53"/>
    <s v="LTS26-MTS02BL"/>
    <x v="521"/>
    <x v="385"/>
    <x v="0"/>
    <x v="0"/>
    <n v="1"/>
    <x v="31"/>
    <n v="27"/>
    <m/>
    <n v="0"/>
    <n v="5355"/>
    <n v="144585"/>
    <n v="4.8"/>
    <n v="5244"/>
    <n v="12596.638655462186"/>
    <n v="8394.957983193277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48599159495697419"/>
    <n v="3"/>
    <n v="0.48154009064550762"/>
    <n v="0"/>
    <s v=""/>
    <n v="0"/>
    <s v=""/>
    <n v="0"/>
    <s v=""/>
    <n v="0"/>
    <n v="0"/>
    <s v=""/>
    <n v="0"/>
    <n v="0"/>
    <s v=""/>
    <n v="0"/>
    <n v="0"/>
    <s v=""/>
    <n v="0"/>
    <n v="2"/>
    <n v="0.2402738188580783"/>
    <n v="0.2"/>
    <n v="0"/>
    <s v=""/>
    <n v="0"/>
    <m/>
    <m/>
    <m/>
    <m/>
    <m/>
    <m/>
    <m/>
    <m/>
    <m/>
    <n v="1.3"/>
    <n v="25"/>
    <n v="1.3"/>
    <n v="0"/>
    <n v="0"/>
    <n v="0"/>
    <n v="6961.5"/>
    <n v="124200"/>
    <n v="6961.5"/>
    <n v="0"/>
    <n v="27"/>
    <n v="144585"/>
    <n v="13761.033825294826"/>
    <n v="1.17"/>
    <n v="26"/>
    <n v="0"/>
    <n v="0"/>
    <n v="0"/>
    <n v="0"/>
    <n v="0"/>
    <n v="129168"/>
    <n v="0"/>
    <n v="0"/>
    <n v="27"/>
    <n v="144585"/>
    <n v="0"/>
    <n v="2.1059999999999999"/>
    <n v="26"/>
    <n v="0"/>
    <n v="0"/>
    <n v="0"/>
    <n v="7948.8"/>
    <n v="139230"/>
    <n v="0"/>
    <n v="0"/>
    <n v="27"/>
    <n v="144585"/>
    <n v="0"/>
    <n v="1.55"/>
    <n v="29"/>
    <n v="0"/>
    <n v="0"/>
    <n v="0"/>
    <n v="144072"/>
    <n v="0"/>
    <x v="0"/>
    <x v="0"/>
    <n v="27"/>
    <n v="144585"/>
    <n v="0"/>
    <n v="1.6"/>
    <n v="27"/>
    <n v="1.6"/>
    <m/>
    <n v="0"/>
    <n v="0"/>
    <n v="144585"/>
    <n v="7948.8"/>
    <x v="0"/>
    <n v="0"/>
    <n v="27"/>
    <n v="144585"/>
    <n v="20154.621848739498"/>
    <n v="4.7"/>
    <n v="27"/>
    <n v="0"/>
    <m/>
    <n v="0"/>
    <n v="0"/>
    <n v="144585"/>
    <n v="0"/>
    <n v="0"/>
    <n v="0"/>
    <n v="27"/>
    <n v="144585"/>
    <n v="0"/>
    <n v="10"/>
    <n v="27"/>
    <n v="0"/>
    <n v="0"/>
    <n v="0"/>
    <n v="0"/>
    <n v="144585"/>
    <n v="0"/>
    <n v="0"/>
    <n v="0"/>
    <n v="27"/>
    <n v="144585"/>
    <n v="0"/>
    <n v="10"/>
    <n v="29"/>
    <n v="2"/>
    <n v="0"/>
    <n v="0"/>
    <n v="0"/>
    <n v="155295"/>
    <n v="9936"/>
    <n v="0"/>
    <n v="0"/>
    <n v="29"/>
    <n v="155295"/>
    <n v="25193.277310924372"/>
    <n v="10"/>
    <n v="27"/>
    <n v="0"/>
    <n v="0"/>
    <n v="0"/>
    <n v="0"/>
    <n v="134136"/>
    <n v="0"/>
    <n v="0"/>
    <n v="0"/>
    <n v="27"/>
    <n v="144585"/>
    <n v="0"/>
    <n v="0"/>
    <n v="27"/>
    <n v="0"/>
    <n v="0"/>
    <n v="0"/>
    <n v="0"/>
    <m/>
    <n v="134136"/>
    <n v="0"/>
    <n v="0"/>
    <n v="0"/>
    <n v="27"/>
    <n v="134136"/>
    <n v="0"/>
    <n v="0"/>
    <n v="27"/>
    <n v="0"/>
    <m/>
    <n v="0"/>
    <n v="0"/>
    <n v="134136"/>
    <n v="0"/>
    <n v="0"/>
    <n v="0"/>
    <n v="27"/>
    <n v="134136"/>
    <n v="0"/>
    <n v="0"/>
    <n v="27"/>
    <n v="0"/>
    <n v="0"/>
    <n v="0"/>
    <n v="134136"/>
    <n v="0"/>
    <n v="0"/>
    <n v="0"/>
    <n v="27"/>
    <n v="134136"/>
    <n v="0"/>
    <n v="0"/>
    <n v="27"/>
    <n v="0"/>
    <n v="0"/>
    <m/>
    <n v="134136"/>
    <n v="0"/>
    <n v="0"/>
    <n v="27"/>
    <n v="134136"/>
    <n v="0"/>
  </r>
  <r>
    <s v="Lhotse-Vestuario"/>
    <x v="4"/>
    <x v="21"/>
    <x v="53"/>
    <s v="LTS26-MTS02BL"/>
    <x v="522"/>
    <x v="385"/>
    <x v="0"/>
    <x v="0"/>
    <n v="1"/>
    <x v="351"/>
    <n v="13"/>
    <m/>
    <n v="0"/>
    <n v="5290"/>
    <n v="68770"/>
    <n v="4.8"/>
    <n v="5244"/>
    <n v="12596.638655462186"/>
    <n v="8394.957983193277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0.54700176366843034"/>
    <n v="9"/>
    <n v="0.39361785845443575"/>
    <n v="4"/>
    <n v="0.41411292386159093"/>
    <n v="0"/>
    <s v=""/>
    <n v="2"/>
    <n v="0.57997937225573604"/>
    <n v="1"/>
    <n v="0.57997937225573604"/>
    <n v="0.64516129032258063"/>
    <n v="0"/>
    <s v=""/>
    <n v="0"/>
    <n v="3"/>
    <n v="0.22749171914243074"/>
    <n v="0.63829787234042545"/>
    <n v="0"/>
    <s v=""/>
    <n v="0"/>
    <n v="3"/>
    <n v="0.32610349039993453"/>
    <n v="0.42857142857142855"/>
    <n v="1"/>
    <n v="0.27128055853604555"/>
    <n v="0.14285714285714285"/>
    <m/>
    <m/>
    <m/>
    <m/>
    <m/>
    <m/>
    <m/>
    <m/>
    <m/>
    <n v="4"/>
    <n v="16"/>
    <n v="4"/>
    <n v="0"/>
    <n v="0"/>
    <n v="0"/>
    <n v="31740"/>
    <n v="79488"/>
    <n v="21160"/>
    <n v="0"/>
    <n v="13"/>
    <n v="68770"/>
    <n v="42341.642539368695"/>
    <n v="3"/>
    <n v="19"/>
    <n v="0"/>
    <n v="0"/>
    <n v="0"/>
    <n v="0"/>
    <n v="15870"/>
    <n v="94392"/>
    <n v="0"/>
    <n v="0"/>
    <n v="13"/>
    <n v="68770"/>
    <n v="0"/>
    <n v="2.1059999999999999"/>
    <n v="19"/>
    <n v="2"/>
    <n v="0"/>
    <n v="0"/>
    <n v="23818.799999999999"/>
    <n v="100510"/>
    <n v="10580"/>
    <n v="0"/>
    <n v="13"/>
    <n v="68770"/>
    <n v="25193.277310924372"/>
    <n v="1.55"/>
    <n v="20"/>
    <n v="1"/>
    <n v="0"/>
    <n v="0"/>
    <n v="99360"/>
    <n v="5290"/>
    <x v="0"/>
    <x v="0"/>
    <n v="13"/>
    <n v="68770"/>
    <n v="12596.638655462186"/>
    <n v="1.6"/>
    <n v="13"/>
    <n v="1.6"/>
    <m/>
    <n v="0"/>
    <n v="0"/>
    <n v="68770"/>
    <n v="7948.8"/>
    <x v="0"/>
    <n v="0"/>
    <n v="13"/>
    <n v="68770"/>
    <n v="20154.621848739498"/>
    <n v="4.7"/>
    <n v="16"/>
    <n v="3"/>
    <m/>
    <n v="0"/>
    <n v="0"/>
    <n v="84640"/>
    <n v="14904"/>
    <n v="0"/>
    <n v="0"/>
    <n v="16"/>
    <n v="68770"/>
    <n v="37789.915966386558"/>
    <n v="7"/>
    <n v="13"/>
    <n v="0"/>
    <n v="0"/>
    <n v="0"/>
    <n v="0"/>
    <n v="68770"/>
    <n v="0"/>
    <n v="0"/>
    <n v="0"/>
    <n v="13"/>
    <n v="68770"/>
    <n v="0"/>
    <n v="7"/>
    <n v="16"/>
    <n v="3"/>
    <n v="0"/>
    <n v="0"/>
    <n v="0"/>
    <n v="84640"/>
    <n v="14904"/>
    <n v="0"/>
    <n v="0"/>
    <n v="16"/>
    <n v="84640"/>
    <n v="37789.915966386558"/>
    <n v="7"/>
    <n v="14"/>
    <n v="1.5"/>
    <n v="0"/>
    <n v="0"/>
    <n v="0"/>
    <n v="69552"/>
    <n v="7452"/>
    <n v="0"/>
    <n v="0"/>
    <n v="13"/>
    <n v="68770"/>
    <n v="18894.957983193279"/>
    <n v="0"/>
    <n v="12.5"/>
    <n v="0"/>
    <n v="0"/>
    <n v="0"/>
    <n v="0"/>
    <m/>
    <n v="62100"/>
    <n v="0"/>
    <n v="0"/>
    <n v="0"/>
    <n v="12.5"/>
    <n v="62100"/>
    <n v="0"/>
    <n v="0"/>
    <n v="12.5"/>
    <n v="0"/>
    <m/>
    <n v="0"/>
    <n v="0"/>
    <n v="62100"/>
    <n v="0"/>
    <n v="0"/>
    <n v="0"/>
    <n v="12.5"/>
    <n v="62100"/>
    <n v="0"/>
    <n v="0"/>
    <n v="12.5"/>
    <n v="0"/>
    <n v="0"/>
    <n v="0"/>
    <n v="62100"/>
    <n v="0"/>
    <n v="0"/>
    <n v="0"/>
    <n v="12.5"/>
    <n v="62100"/>
    <n v="0"/>
    <n v="0"/>
    <n v="12.5"/>
    <n v="0"/>
    <n v="0"/>
    <m/>
    <n v="62100"/>
    <n v="0"/>
    <n v="0"/>
    <n v="12.5"/>
    <n v="62100"/>
    <n v="0"/>
  </r>
  <r>
    <s v="Lhotse-Vestuario"/>
    <x v="4"/>
    <x v="21"/>
    <x v="53"/>
    <s v="LTS26-MTS02BMU"/>
    <x v="523"/>
    <x v="386"/>
    <x v="0"/>
    <x v="0"/>
    <n v="1"/>
    <x v="352"/>
    <n v="1"/>
    <m/>
    <n v="0"/>
    <n v="5137"/>
    <n v="5137"/>
    <n v="4.8"/>
    <n v="5244"/>
    <n v="12596.638655462186"/>
    <n v="8394.957983193277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6"/>
    <n v="0.5114907915174185"/>
    <n v="16"/>
    <n v="0.45584428481578337"/>
    <n v="6"/>
    <n v="0.50459649871828871"/>
    <n v="2"/>
    <n v="0.39980514025934"/>
    <n v="1"/>
    <n v="0.5468818800686075"/>
    <n v="1"/>
    <n v="0.45622950352579311"/>
    <n v="0.29850746268656714"/>
    <n v="1"/>
    <n v="0.3880900900900901"/>
    <n v="0.29411764705882354"/>
    <n v="1"/>
    <n v="0.28012364578426752"/>
    <n v="9.9009900990099015E-2"/>
    <n v="0"/>
    <s v=""/>
    <n v="0"/>
    <n v="1"/>
    <n v="0"/>
    <n v="1"/>
    <n v="0"/>
    <s v=""/>
    <n v="0"/>
    <m/>
    <m/>
    <m/>
    <m/>
    <m/>
    <m/>
    <m/>
    <m/>
    <m/>
    <n v="5"/>
    <n v="3"/>
    <n v="5"/>
    <n v="0"/>
    <n v="0"/>
    <n v="0"/>
    <n v="46233"/>
    <n v="14904"/>
    <n v="25685"/>
    <n v="0"/>
    <n v="1"/>
    <n v="5137"/>
    <n v="52927.053174210872"/>
    <n v="2.7"/>
    <n v="9"/>
    <n v="3"/>
    <n v="0"/>
    <n v="0"/>
    <n v="0"/>
    <n v="25685"/>
    <n v="44712"/>
    <n v="15411"/>
    <n v="0"/>
    <n v="1"/>
    <n v="5137"/>
    <n v="31756.231904526521"/>
    <n v="4.8600000000000003"/>
    <n v="7"/>
    <n v="1"/>
    <n v="0"/>
    <n v="0"/>
    <n v="27165.200000000001"/>
    <n v="35959"/>
    <n v="5137"/>
    <n v="0"/>
    <n v="1"/>
    <n v="5137"/>
    <n v="12596.638655462186"/>
    <n v="3.35"/>
    <n v="6"/>
    <n v="1"/>
    <n v="0"/>
    <n v="0"/>
    <n v="29808"/>
    <n v="5137"/>
    <x v="0"/>
    <x v="0"/>
    <n v="1"/>
    <n v="5137"/>
    <n v="12596.638655462186"/>
    <n v="3.4"/>
    <n v="2"/>
    <n v="3.4"/>
    <m/>
    <n v="0"/>
    <n v="0"/>
    <n v="10274"/>
    <n v="16891.2"/>
    <x v="0"/>
    <n v="0"/>
    <n v="1"/>
    <n v="5137"/>
    <n v="42828.571428571428"/>
    <n v="10.1"/>
    <n v="2"/>
    <n v="1"/>
    <m/>
    <n v="0"/>
    <n v="0"/>
    <n v="10274"/>
    <n v="4968"/>
    <n v="0"/>
    <n v="0"/>
    <n v="2"/>
    <n v="5137"/>
    <n v="12596.638655462186"/>
    <n v="1"/>
    <n v="1"/>
    <n v="0"/>
    <n v="0"/>
    <n v="0"/>
    <n v="0"/>
    <n v="5137"/>
    <n v="0"/>
    <n v="0"/>
    <n v="0"/>
    <n v="1"/>
    <n v="5137"/>
    <n v="0"/>
    <n v="1"/>
    <n v="2"/>
    <n v="1"/>
    <n v="0"/>
    <n v="0"/>
    <n v="0"/>
    <n v="10274"/>
    <n v="4968"/>
    <n v="0"/>
    <n v="0"/>
    <n v="2"/>
    <n v="10274"/>
    <n v="12596.638655462186"/>
    <n v="1"/>
    <n v="1"/>
    <n v="0"/>
    <n v="0"/>
    <n v="0"/>
    <n v="0"/>
    <n v="4968"/>
    <n v="0"/>
    <n v="0"/>
    <n v="0"/>
    <n v="1"/>
    <n v="5137"/>
    <n v="0"/>
    <n v="0"/>
    <n v="1"/>
    <n v="0"/>
    <n v="0"/>
    <n v="0"/>
    <n v="0"/>
    <m/>
    <n v="4968"/>
    <n v="0"/>
    <n v="0"/>
    <n v="0"/>
    <n v="1"/>
    <n v="4968"/>
    <n v="0"/>
    <n v="0"/>
    <n v="1"/>
    <n v="0"/>
    <m/>
    <n v="0"/>
    <n v="0"/>
    <n v="4968"/>
    <n v="0"/>
    <n v="0"/>
    <n v="0"/>
    <n v="1"/>
    <n v="4968"/>
    <n v="0"/>
    <n v="0"/>
    <n v="1"/>
    <n v="0"/>
    <n v="0"/>
    <n v="0"/>
    <n v="4968"/>
    <n v="0"/>
    <n v="0"/>
    <n v="0"/>
    <n v="1"/>
    <n v="4968"/>
    <n v="0"/>
    <n v="0"/>
    <n v="1"/>
    <n v="0"/>
    <n v="0"/>
    <m/>
    <n v="4968"/>
    <n v="0"/>
    <n v="0"/>
    <n v="1"/>
    <n v="4968"/>
    <n v="0"/>
  </r>
  <r>
    <s v="Lhotse-Vestuario"/>
    <x v="4"/>
    <x v="21"/>
    <x v="53"/>
    <s v="LTS26-MTS02BMU"/>
    <x v="524"/>
    <x v="386"/>
    <x v="0"/>
    <x v="0"/>
    <n v="1"/>
    <x v="353"/>
    <n v="11"/>
    <m/>
    <n v="0"/>
    <n v="5187"/>
    <n v="57057"/>
    <n v="4.8"/>
    <n v="5244"/>
    <n v="12596.638655462186"/>
    <n v="8394.957983193277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1"/>
    <n v="0.44662341063167388"/>
    <n v="6"/>
    <n v="0.35920201080759778"/>
    <n v="1"/>
    <n v="0.5882353063803728"/>
    <n v="0"/>
    <s v=""/>
    <n v="0"/>
    <s v=""/>
    <n v="0"/>
    <n v="0"/>
    <s v=""/>
    <n v="0"/>
    <n v="1"/>
    <n v="0.22766641641641641"/>
    <n v="9.9009900990099015E-2"/>
    <n v="1"/>
    <n v="0.38225325325325327"/>
    <n v="0.2"/>
    <n v="2"/>
    <n v="0.26225996204514529"/>
    <n v="0.4"/>
    <n v="0"/>
    <s v=""/>
    <n v="0"/>
    <m/>
    <m/>
    <m/>
    <m/>
    <m/>
    <m/>
    <m/>
    <m/>
    <m/>
    <n v="4"/>
    <n v="17"/>
    <n v="4"/>
    <n v="0"/>
    <n v="0"/>
    <n v="0"/>
    <n v="28528.5"/>
    <n v="84456"/>
    <n v="20748"/>
    <n v="0"/>
    <n v="11"/>
    <n v="57057"/>
    <n v="42341.642539368695"/>
    <n v="2.7"/>
    <n v="14"/>
    <n v="1.5"/>
    <n v="0"/>
    <n v="0"/>
    <n v="0"/>
    <n v="7780.5"/>
    <n v="69552"/>
    <n v="7780.5"/>
    <n v="0"/>
    <n v="11"/>
    <n v="57057"/>
    <n v="15878.115952263261"/>
    <n v="4.8600000000000003"/>
    <n v="13"/>
    <n v="0"/>
    <n v="0"/>
    <n v="0"/>
    <n v="16891.2"/>
    <n v="67431"/>
    <n v="0"/>
    <n v="0"/>
    <n v="11"/>
    <n v="57057"/>
    <n v="0"/>
    <n v="3.35"/>
    <n v="14"/>
    <n v="0"/>
    <n v="0"/>
    <n v="0"/>
    <n v="69552"/>
    <n v="0"/>
    <x v="0"/>
    <x v="0"/>
    <n v="11"/>
    <n v="57057"/>
    <n v="0"/>
    <n v="3.4"/>
    <n v="11"/>
    <n v="3.4"/>
    <m/>
    <n v="0"/>
    <n v="0"/>
    <n v="57057"/>
    <n v="16891.2"/>
    <x v="0"/>
    <n v="0"/>
    <n v="11"/>
    <n v="57057"/>
    <n v="42828.571428571428"/>
    <n v="10.1"/>
    <n v="12"/>
    <n v="1"/>
    <m/>
    <n v="0"/>
    <n v="0"/>
    <n v="62244"/>
    <n v="4968"/>
    <n v="0"/>
    <n v="0"/>
    <n v="12"/>
    <n v="57057"/>
    <n v="12596.638655462186"/>
    <n v="5"/>
    <n v="12"/>
    <n v="1"/>
    <n v="0"/>
    <n v="0"/>
    <n v="0"/>
    <n v="62244"/>
    <n v="4968"/>
    <n v="0"/>
    <n v="0"/>
    <n v="12"/>
    <n v="57057"/>
    <n v="12596.638655462186"/>
    <n v="5"/>
    <n v="13"/>
    <n v="2"/>
    <n v="0"/>
    <n v="0"/>
    <n v="0"/>
    <n v="67431"/>
    <n v="9936"/>
    <n v="0"/>
    <n v="0"/>
    <n v="13"/>
    <n v="67431"/>
    <n v="25193.277310924372"/>
    <n v="5"/>
    <n v="11"/>
    <n v="0"/>
    <n v="0"/>
    <n v="0"/>
    <n v="0"/>
    <n v="54648"/>
    <n v="0"/>
    <n v="0"/>
    <n v="0"/>
    <n v="11"/>
    <n v="57057"/>
    <n v="0"/>
    <n v="0"/>
    <n v="11"/>
    <n v="0"/>
    <n v="0"/>
    <n v="0"/>
    <n v="0"/>
    <m/>
    <n v="54648"/>
    <n v="0"/>
    <n v="0"/>
    <n v="0"/>
    <n v="11"/>
    <n v="54648"/>
    <n v="0"/>
    <n v="0"/>
    <n v="11"/>
    <n v="0"/>
    <m/>
    <n v="0"/>
    <n v="0"/>
    <n v="54648"/>
    <n v="0"/>
    <n v="0"/>
    <n v="0"/>
    <n v="11"/>
    <n v="54648"/>
    <n v="0"/>
    <n v="0"/>
    <n v="11"/>
    <n v="0"/>
    <n v="0"/>
    <n v="0"/>
    <n v="54648"/>
    <n v="0"/>
    <n v="0"/>
    <n v="0"/>
    <n v="11"/>
    <n v="54648"/>
    <n v="0"/>
    <n v="0"/>
    <n v="11"/>
    <n v="0"/>
    <n v="0"/>
    <m/>
    <n v="54648"/>
    <n v="0"/>
    <n v="0"/>
    <n v="11"/>
    <n v="54648"/>
    <n v="0"/>
  </r>
  <r>
    <m/>
    <x v="4"/>
    <x v="21"/>
    <x v="53"/>
    <s v="LTS26-MTS02BMU"/>
    <x v="525"/>
    <x v="386"/>
    <x v="0"/>
    <x v="0"/>
    <n v="1"/>
    <x v="31"/>
    <n v="6"/>
    <m/>
    <n v="0"/>
    <n v="5341"/>
    <n v="32046"/>
    <n v="4.8"/>
    <n v="5244"/>
    <n v="12596.638655462186"/>
    <n v="8394.957983193277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6"/>
    <n v="0.40194834278889219"/>
    <n v="2"/>
    <n v="0.46536538065656852"/>
    <n v="1"/>
    <n v="0.37928464971140435"/>
    <n v="0"/>
    <s v=""/>
    <n v="0"/>
    <s v=""/>
    <n v="0"/>
    <n v="0"/>
    <s v=""/>
    <n v="0"/>
    <n v="0"/>
    <s v=""/>
    <n v="0"/>
    <n v="0"/>
    <s v=""/>
    <n v="0"/>
    <n v="2"/>
    <n v="0.24210599745700057"/>
    <n v="0.66666666666666663"/>
    <n v="0"/>
    <s v=""/>
    <n v="0"/>
    <m/>
    <m/>
    <m/>
    <m/>
    <m/>
    <m/>
    <m/>
    <m/>
    <m/>
    <n v="3"/>
    <n v="7"/>
    <n v="3"/>
    <n v="0"/>
    <n v="0"/>
    <n v="0"/>
    <n v="24034.5"/>
    <n v="34776"/>
    <n v="16023"/>
    <n v="0"/>
    <n v="6"/>
    <n v="32046"/>
    <n v="31756.231904526521"/>
    <n v="2"/>
    <n v="7"/>
    <n v="1.5"/>
    <n v="0"/>
    <n v="0"/>
    <n v="0"/>
    <n v="8011.5"/>
    <n v="34776"/>
    <n v="8011.5"/>
    <n v="0"/>
    <n v="6"/>
    <n v="32046"/>
    <n v="15878.115952263261"/>
    <n v="2.1059999999999999"/>
    <n v="6"/>
    <n v="0"/>
    <n v="0"/>
    <n v="0"/>
    <n v="7948.8"/>
    <n v="32046"/>
    <n v="0"/>
    <n v="0"/>
    <n v="6"/>
    <n v="32046"/>
    <n v="0"/>
    <n v="1.55"/>
    <n v="8"/>
    <n v="0"/>
    <n v="0"/>
    <n v="0"/>
    <n v="39744"/>
    <n v="0"/>
    <x v="0"/>
    <x v="0"/>
    <n v="6"/>
    <n v="32046"/>
    <n v="0"/>
    <n v="1.6"/>
    <n v="6"/>
    <n v="1.6"/>
    <m/>
    <n v="0"/>
    <n v="0"/>
    <n v="32046"/>
    <n v="7948.8"/>
    <x v="0"/>
    <n v="0"/>
    <n v="6"/>
    <n v="32046"/>
    <n v="20154.621848739498"/>
    <n v="4.7"/>
    <n v="6"/>
    <n v="0"/>
    <m/>
    <n v="0"/>
    <n v="0"/>
    <n v="32046"/>
    <n v="0"/>
    <n v="0"/>
    <n v="0"/>
    <n v="6"/>
    <n v="32046"/>
    <n v="0"/>
    <n v="3"/>
    <n v="6"/>
    <n v="0"/>
    <n v="0"/>
    <n v="0"/>
    <n v="0"/>
    <n v="32046"/>
    <n v="0"/>
    <n v="0"/>
    <n v="0"/>
    <n v="6"/>
    <n v="32046"/>
    <n v="0"/>
    <n v="3"/>
    <n v="8"/>
    <n v="2"/>
    <n v="0"/>
    <n v="0"/>
    <n v="0"/>
    <n v="42728"/>
    <n v="9936"/>
    <n v="0"/>
    <n v="0"/>
    <n v="8"/>
    <n v="42728"/>
    <n v="25193.277310924372"/>
    <n v="3"/>
    <n v="6"/>
    <n v="0"/>
    <n v="0"/>
    <n v="0"/>
    <n v="0"/>
    <n v="29808"/>
    <n v="0"/>
    <n v="0"/>
    <n v="0"/>
    <n v="6"/>
    <n v="32046"/>
    <n v="0"/>
    <n v="0"/>
    <n v="6"/>
    <n v="0"/>
    <n v="0"/>
    <n v="0"/>
    <n v="0"/>
    <m/>
    <n v="29808"/>
    <n v="0"/>
    <n v="0"/>
    <n v="0"/>
    <n v="6"/>
    <n v="29808"/>
    <n v="0"/>
    <n v="0"/>
    <n v="6"/>
    <n v="0"/>
    <m/>
    <n v="0"/>
    <n v="0"/>
    <n v="29808"/>
    <n v="0"/>
    <n v="0"/>
    <n v="0"/>
    <n v="6"/>
    <n v="29808"/>
    <n v="0"/>
    <n v="0"/>
    <n v="6"/>
    <n v="0"/>
    <n v="0"/>
    <n v="0"/>
    <n v="29808"/>
    <n v="0"/>
    <n v="0"/>
    <n v="0"/>
    <n v="6"/>
    <n v="29808"/>
    <n v="0"/>
    <n v="0"/>
    <n v="6"/>
    <n v="0"/>
    <n v="0"/>
    <m/>
    <n v="29808"/>
    <n v="0"/>
    <n v="0"/>
    <n v="6"/>
    <n v="29808"/>
    <n v="0"/>
  </r>
  <r>
    <m/>
    <x v="4"/>
    <x v="21"/>
    <x v="53"/>
    <s v="LTS26-MTS02BMU"/>
    <x v="526"/>
    <x v="386"/>
    <x v="0"/>
    <x v="0"/>
    <n v="1"/>
    <x v="354"/>
    <n v="0"/>
    <m/>
    <n v="0"/>
    <n v="5242"/>
    <n v="0"/>
    <n v="4.8"/>
    <n v="5244"/>
    <n v="12596.638655462186"/>
    <n v="8394.957983193277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8"/>
    <n v="0.40896919130704401"/>
    <n v="2"/>
    <n v="0.53583917462007902"/>
    <n v="0"/>
    <s v=""/>
    <n v="0"/>
    <s v=""/>
    <n v="2"/>
    <n v="0.47997356948117936"/>
    <n v="1.2903225806451613"/>
    <n v="1"/>
    <n v="0"/>
    <n v="0.625"/>
    <n v="1"/>
    <n v="0.30613613613613611"/>
    <n v="0.21276595744680851"/>
    <n v="1"/>
    <n v="0"/>
    <n v="1"/>
    <n v="0"/>
    <s v=""/>
    <n v="0"/>
    <n v="0"/>
    <s v=""/>
    <n v="0"/>
    <m/>
    <m/>
    <m/>
    <m/>
    <m/>
    <m/>
    <m/>
    <m/>
    <m/>
    <n v="5"/>
    <n v="3"/>
    <n v="5"/>
    <n v="0"/>
    <n v="0"/>
    <n v="0"/>
    <n v="26210"/>
    <n v="14904"/>
    <n v="26210"/>
    <n v="0"/>
    <n v="0"/>
    <n v="0"/>
    <n v="52927.053174210872"/>
    <n v="2"/>
    <n v="3"/>
    <n v="0"/>
    <n v="0"/>
    <n v="0"/>
    <n v="0"/>
    <n v="10484"/>
    <n v="14904"/>
    <n v="0"/>
    <n v="0"/>
    <n v="0"/>
    <n v="0"/>
    <n v="0"/>
    <n v="2.1059999999999999"/>
    <n v="3"/>
    <n v="0"/>
    <n v="0"/>
    <n v="0"/>
    <n v="18432.8"/>
    <n v="15726"/>
    <n v="0"/>
    <n v="0"/>
    <n v="0"/>
    <n v="0"/>
    <n v="0"/>
    <n v="1.55"/>
    <n v="3"/>
    <n v="2"/>
    <n v="0"/>
    <n v="0"/>
    <n v="14904"/>
    <n v="10484"/>
    <x v="0"/>
    <x v="0"/>
    <n v="0"/>
    <n v="0"/>
    <n v="25193.277310924372"/>
    <n v="1.6"/>
    <n v="1"/>
    <n v="1.6"/>
    <m/>
    <n v="0"/>
    <n v="0"/>
    <n v="5242"/>
    <n v="7948.8"/>
    <x v="0"/>
    <n v="0"/>
    <n v="0"/>
    <n v="0"/>
    <n v="20154.621848739498"/>
    <n v="4.7"/>
    <n v="1"/>
    <n v="1"/>
    <m/>
    <n v="0"/>
    <n v="0"/>
    <n v="5242"/>
    <n v="4968"/>
    <n v="0"/>
    <n v="0"/>
    <n v="1"/>
    <n v="0"/>
    <n v="12596.638655462186"/>
    <n v="1"/>
    <n v="1"/>
    <n v="1"/>
    <n v="0"/>
    <n v="0"/>
    <n v="0"/>
    <n v="5242"/>
    <n v="4968"/>
    <n v="0"/>
    <n v="0"/>
    <n v="1"/>
    <n v="0"/>
    <n v="12596.638655462186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4"/>
    <x v="21"/>
    <x v="53"/>
    <s v="LTS26-MTS02BMY"/>
    <x v="527"/>
    <x v="387"/>
    <x v="0"/>
    <x v="0"/>
    <n v="1"/>
    <x v="355"/>
    <n v="26"/>
    <m/>
    <n v="0"/>
    <n v="5559"/>
    <n v="144534"/>
    <n v="4.8"/>
    <n v="5244"/>
    <n v="12596.638655462186"/>
    <n v="8394.957983193277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14268440145102781"/>
    <n v="19"/>
    <n v="0.41207616271014919"/>
    <n v="3"/>
    <n v="0.48421118333388324"/>
    <n v="1"/>
    <n v="0.55870446508840266"/>
    <n v="0"/>
    <s v=""/>
    <n v="2"/>
    <n v="0.43118798060607422"/>
    <n v="0.59701492537313428"/>
    <n v="1"/>
    <n v="0.55872048032021349"/>
    <n v="0.29411764705882354"/>
    <n v="1"/>
    <n v="0.33782182182182185"/>
    <n v="9.9009900990099015E-2"/>
    <n v="1"/>
    <n v="0.33782182182182185"/>
    <n v="9.0909090909090912E-2"/>
    <n v="3"/>
    <n v="0.16086214326439904"/>
    <n v="0.27272727272727271"/>
    <n v="1"/>
    <n v="9.8293302540415711E-2"/>
    <n v="9.0909090909090912E-2"/>
    <m/>
    <m/>
    <m/>
    <m/>
    <m/>
    <m/>
    <m/>
    <m/>
    <m/>
    <n v="3"/>
    <n v="26"/>
    <n v="3"/>
    <n v="0"/>
    <n v="0"/>
    <n v="0"/>
    <n v="25015.5"/>
    <n v="129168"/>
    <n v="16677"/>
    <n v="0"/>
    <n v="26"/>
    <n v="144534"/>
    <n v="31756.231904526521"/>
    <n v="2.7"/>
    <n v="32"/>
    <n v="1.5"/>
    <n v="0"/>
    <n v="0"/>
    <n v="0"/>
    <n v="19456.5"/>
    <n v="158976"/>
    <n v="8338.5"/>
    <n v="0"/>
    <n v="26"/>
    <n v="144534"/>
    <n v="15878.115952263261"/>
    <n v="4.8600000000000003"/>
    <n v="30"/>
    <n v="0"/>
    <n v="0"/>
    <n v="0"/>
    <n v="28009.200000000001"/>
    <n v="166770"/>
    <n v="0"/>
    <n v="0"/>
    <n v="26"/>
    <n v="144534"/>
    <n v="0"/>
    <n v="3.35"/>
    <n v="35"/>
    <n v="2"/>
    <n v="0"/>
    <n v="0"/>
    <n v="173880"/>
    <n v="11118"/>
    <x v="0"/>
    <x v="0"/>
    <n v="26"/>
    <n v="144534"/>
    <n v="25193.277310924372"/>
    <n v="3.4"/>
    <n v="27"/>
    <n v="3.4"/>
    <m/>
    <n v="0"/>
    <n v="0"/>
    <n v="150093"/>
    <n v="16891.2"/>
    <x v="0"/>
    <n v="0"/>
    <n v="26"/>
    <n v="144534"/>
    <n v="42828.571428571428"/>
    <n v="10.1"/>
    <n v="27"/>
    <n v="1"/>
    <m/>
    <n v="0"/>
    <n v="0"/>
    <n v="150093"/>
    <n v="4968"/>
    <n v="0"/>
    <n v="0"/>
    <n v="27"/>
    <n v="144534"/>
    <n v="12596.638655462186"/>
    <n v="11"/>
    <n v="27"/>
    <n v="1"/>
    <n v="0"/>
    <n v="0"/>
    <n v="0"/>
    <n v="150093"/>
    <n v="4968"/>
    <n v="0"/>
    <n v="0"/>
    <n v="27"/>
    <n v="144534"/>
    <n v="12596.638655462186"/>
    <n v="11"/>
    <n v="29"/>
    <n v="3"/>
    <n v="0"/>
    <n v="0"/>
    <n v="0"/>
    <n v="161211"/>
    <n v="14904"/>
    <n v="0"/>
    <n v="0"/>
    <n v="29"/>
    <n v="161211"/>
    <n v="37789.915966386558"/>
    <n v="11"/>
    <n v="27"/>
    <n v="1.5"/>
    <n v="0"/>
    <n v="0"/>
    <n v="0"/>
    <n v="134136"/>
    <n v="7452"/>
    <n v="0"/>
    <n v="0"/>
    <n v="26"/>
    <n v="144534"/>
    <n v="18894.957983193279"/>
    <n v="0"/>
    <n v="25.5"/>
    <n v="0"/>
    <n v="0"/>
    <n v="0"/>
    <n v="0"/>
    <m/>
    <n v="126684"/>
    <n v="0"/>
    <n v="0"/>
    <n v="0"/>
    <n v="25.5"/>
    <n v="126684"/>
    <n v="0"/>
    <n v="0"/>
    <n v="25.5"/>
    <n v="0"/>
    <m/>
    <n v="0"/>
    <n v="0"/>
    <n v="126684"/>
    <n v="0"/>
    <n v="0"/>
    <n v="0"/>
    <n v="25.5"/>
    <n v="126684"/>
    <n v="0"/>
    <n v="0"/>
    <n v="25.5"/>
    <n v="0"/>
    <n v="0"/>
    <n v="0"/>
    <n v="126684"/>
    <n v="0"/>
    <n v="0"/>
    <n v="0"/>
    <n v="25.5"/>
    <n v="126684"/>
    <n v="0"/>
    <n v="0"/>
    <n v="25.5"/>
    <n v="0"/>
    <n v="0"/>
    <m/>
    <n v="126684"/>
    <n v="0"/>
    <n v="0"/>
    <n v="25.5"/>
    <n v="126684"/>
    <n v="0"/>
  </r>
  <r>
    <s v="Lhotse-Vestuario"/>
    <x v="4"/>
    <x v="21"/>
    <x v="53"/>
    <s v="LTS26-MTS02BMY"/>
    <x v="528"/>
    <x v="387"/>
    <x v="0"/>
    <x v="0"/>
    <n v="1"/>
    <x v="356"/>
    <n v="40"/>
    <m/>
    <n v="0"/>
    <n v="5401"/>
    <n v="216040"/>
    <n v="4.8"/>
    <n v="5244"/>
    <n v="12596.638655462186"/>
    <n v="8394.957983193277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16156688839615668"/>
    <n v="10"/>
    <n v="0.42870805947575041"/>
    <n v="5"/>
    <n v="0.47659657853159204"/>
    <n v="3"/>
    <n v="0.38762474070468261"/>
    <n v="0"/>
    <s v=""/>
    <n v="1"/>
    <n v="0"/>
    <n v="0.29850746268656714"/>
    <n v="1"/>
    <n v="0.35664264264264267"/>
    <n v="0.29411764705882354"/>
    <n v="0"/>
    <s v=""/>
    <n v="0"/>
    <n v="1"/>
    <n v="0.35664264264264267"/>
    <n v="6.6666666666666666E-2"/>
    <n v="3"/>
    <n v="0.32553650814398905"/>
    <n v="0.2"/>
    <n v="1"/>
    <n v="-0.47313080831408777"/>
    <n v="6.6666666666666666E-2"/>
    <m/>
    <m/>
    <m/>
    <m/>
    <m/>
    <m/>
    <m/>
    <m/>
    <m/>
    <n v="2"/>
    <n v="48"/>
    <n v="2"/>
    <n v="0"/>
    <n v="0"/>
    <n v="0"/>
    <n v="35106.5"/>
    <n v="238464"/>
    <n v="10802"/>
    <n v="0"/>
    <n v="40"/>
    <n v="216040"/>
    <n v="21170.821269684347"/>
    <n v="2.7"/>
    <n v="48"/>
    <n v="4.5"/>
    <n v="0"/>
    <n v="0"/>
    <n v="0"/>
    <n v="29705.5"/>
    <n v="238464"/>
    <n v="24304.5"/>
    <n v="0"/>
    <n v="40"/>
    <n v="216040"/>
    <n v="47634.347856789784"/>
    <n v="4.8600000000000003"/>
    <n v="45"/>
    <n v="0"/>
    <n v="0"/>
    <n v="0"/>
    <n v="22292.2"/>
    <n v="243045"/>
    <n v="0"/>
    <n v="0"/>
    <n v="40"/>
    <n v="216040"/>
    <n v="0"/>
    <n v="3.35"/>
    <n v="47"/>
    <n v="1"/>
    <n v="0"/>
    <n v="0"/>
    <n v="233496"/>
    <n v="5401"/>
    <x v="0"/>
    <x v="0"/>
    <n v="40"/>
    <n v="216040"/>
    <n v="12596.638655462186"/>
    <n v="3.4"/>
    <n v="41"/>
    <n v="3.4"/>
    <m/>
    <n v="0"/>
    <n v="0"/>
    <n v="221441"/>
    <n v="16891.2"/>
    <x v="0"/>
    <n v="0"/>
    <n v="40"/>
    <n v="216040"/>
    <n v="42828.571428571428"/>
    <n v="10.1"/>
    <n v="40"/>
    <n v="0"/>
    <m/>
    <n v="0"/>
    <n v="0"/>
    <n v="216040"/>
    <n v="0"/>
    <n v="0"/>
    <n v="0"/>
    <n v="40"/>
    <n v="216040"/>
    <n v="0"/>
    <n v="15"/>
    <n v="41"/>
    <n v="1"/>
    <n v="0"/>
    <n v="0"/>
    <n v="0"/>
    <n v="221441"/>
    <n v="4968"/>
    <n v="0"/>
    <n v="0"/>
    <n v="41"/>
    <n v="216040"/>
    <n v="12596.638655462186"/>
    <n v="15"/>
    <n v="43"/>
    <n v="3"/>
    <n v="0"/>
    <n v="0"/>
    <n v="0"/>
    <n v="232243"/>
    <n v="14904"/>
    <n v="0"/>
    <n v="0"/>
    <n v="43"/>
    <n v="232243"/>
    <n v="37789.915966386558"/>
    <n v="15"/>
    <n v="41"/>
    <n v="0"/>
    <n v="0"/>
    <n v="0"/>
    <n v="0"/>
    <n v="203688"/>
    <n v="0"/>
    <n v="0"/>
    <n v="0"/>
    <n v="40"/>
    <n v="216040"/>
    <n v="0"/>
    <n v="0"/>
    <n v="41"/>
    <n v="0"/>
    <n v="0"/>
    <n v="0"/>
    <n v="0"/>
    <m/>
    <n v="203688"/>
    <n v="0"/>
    <n v="0"/>
    <n v="0"/>
    <n v="41"/>
    <n v="203688"/>
    <n v="0"/>
    <n v="0"/>
    <n v="41"/>
    <n v="0"/>
    <m/>
    <n v="0"/>
    <n v="0"/>
    <n v="203688"/>
    <n v="0"/>
    <n v="0"/>
    <n v="0"/>
    <n v="41"/>
    <n v="203688"/>
    <n v="0"/>
    <n v="0"/>
    <n v="41"/>
    <n v="0"/>
    <n v="0"/>
    <n v="0"/>
    <n v="203688"/>
    <n v="0"/>
    <n v="0"/>
    <n v="0"/>
    <n v="41"/>
    <n v="203688"/>
    <n v="0"/>
    <n v="0"/>
    <n v="41"/>
    <n v="0"/>
    <n v="0"/>
    <m/>
    <n v="203688"/>
    <n v="0"/>
    <n v="0"/>
    <n v="41"/>
    <n v="203688"/>
    <n v="0"/>
  </r>
  <r>
    <s v="Lhotse-Vestuario"/>
    <x v="4"/>
    <x v="21"/>
    <x v="53"/>
    <s v="LTS26-MTS02BMY"/>
    <x v="529"/>
    <x v="387"/>
    <x v="0"/>
    <x v="0"/>
    <n v="1"/>
    <x v="31"/>
    <n v="24"/>
    <m/>
    <n v="0"/>
    <n v="5602"/>
    <n v="134448"/>
    <n v="4.8"/>
    <n v="5244"/>
    <n v="12596.638655462186"/>
    <n v="8394.957983193277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6"/>
    <n v="0.49715311199934742"/>
    <n v="1"/>
    <n v="0.43933935377536659"/>
    <n v="0"/>
    <s v=""/>
    <n v="0"/>
    <s v=""/>
    <n v="0"/>
    <s v=""/>
    <n v="0"/>
    <n v="0"/>
    <s v=""/>
    <n v="0"/>
    <n v="0"/>
    <s v=""/>
    <n v="0"/>
    <n v="0"/>
    <s v=""/>
    <n v="0"/>
    <n v="2"/>
    <n v="0.20807982347701595"/>
    <n v="0.22222222222222221"/>
    <n v="0"/>
    <s v=""/>
    <n v="0"/>
    <m/>
    <m/>
    <m/>
    <m/>
    <m/>
    <m/>
    <m/>
    <m/>
    <m/>
    <n v="3"/>
    <n v="24"/>
    <n v="3"/>
    <n v="0"/>
    <n v="0"/>
    <n v="0"/>
    <n v="16806"/>
    <n v="119232"/>
    <n v="16806"/>
    <n v="0"/>
    <n v="24"/>
    <n v="134448"/>
    <n v="31756.231904526521"/>
    <n v="2"/>
    <n v="26"/>
    <n v="0"/>
    <n v="0"/>
    <n v="0"/>
    <n v="0"/>
    <n v="0"/>
    <n v="129168"/>
    <n v="0"/>
    <n v="0"/>
    <n v="24"/>
    <n v="134448"/>
    <n v="0"/>
    <n v="2.1059999999999999"/>
    <n v="26"/>
    <n v="0"/>
    <n v="0"/>
    <n v="0"/>
    <n v="7948.8"/>
    <n v="145652"/>
    <n v="0"/>
    <n v="0"/>
    <n v="24"/>
    <n v="134448"/>
    <n v="0"/>
    <n v="1.55"/>
    <n v="26"/>
    <n v="0"/>
    <n v="0"/>
    <n v="0"/>
    <n v="129168"/>
    <n v="0"/>
    <x v="0"/>
    <x v="0"/>
    <n v="24"/>
    <n v="134448"/>
    <n v="0"/>
    <n v="1.6"/>
    <n v="24"/>
    <n v="1.6"/>
    <m/>
    <n v="0"/>
    <n v="0"/>
    <n v="134448"/>
    <n v="7948.8"/>
    <x v="0"/>
    <n v="0"/>
    <n v="24"/>
    <n v="134448"/>
    <n v="20154.621848739498"/>
    <n v="4.7"/>
    <n v="24"/>
    <n v="0"/>
    <m/>
    <n v="0"/>
    <n v="0"/>
    <n v="134448"/>
    <n v="0"/>
    <n v="0"/>
    <n v="0"/>
    <n v="24"/>
    <n v="134448"/>
    <n v="0"/>
    <n v="9"/>
    <n v="24"/>
    <n v="0"/>
    <n v="0"/>
    <n v="0"/>
    <n v="0"/>
    <n v="134448"/>
    <n v="0"/>
    <n v="0"/>
    <n v="0"/>
    <n v="24"/>
    <n v="134448"/>
    <n v="0"/>
    <n v="9"/>
    <n v="26"/>
    <n v="2"/>
    <n v="0"/>
    <n v="0"/>
    <n v="0"/>
    <n v="145652"/>
    <n v="9936"/>
    <n v="0"/>
    <n v="0"/>
    <n v="26"/>
    <n v="145652"/>
    <n v="25193.277310924372"/>
    <n v="9"/>
    <n v="24"/>
    <n v="0"/>
    <n v="0"/>
    <n v="0"/>
    <n v="0"/>
    <n v="119232"/>
    <n v="0"/>
    <n v="0"/>
    <n v="0"/>
    <n v="24"/>
    <n v="134448"/>
    <n v="0"/>
    <n v="0"/>
    <n v="24"/>
    <n v="0"/>
    <n v="0"/>
    <n v="0"/>
    <n v="0"/>
    <m/>
    <n v="119232"/>
    <n v="0"/>
    <n v="0"/>
    <n v="0"/>
    <n v="24"/>
    <n v="119232"/>
    <n v="0"/>
    <n v="0"/>
    <n v="24"/>
    <n v="0"/>
    <m/>
    <n v="0"/>
    <n v="0"/>
    <n v="119232"/>
    <n v="0"/>
    <n v="0"/>
    <n v="0"/>
    <n v="24"/>
    <n v="119232"/>
    <n v="0"/>
    <n v="0"/>
    <n v="24"/>
    <n v="0"/>
    <n v="0"/>
    <n v="0"/>
    <n v="119232"/>
    <n v="0"/>
    <n v="0"/>
    <n v="0"/>
    <n v="24"/>
    <n v="119232"/>
    <n v="0"/>
    <n v="0"/>
    <n v="24"/>
    <n v="0"/>
    <n v="0"/>
    <m/>
    <n v="119232"/>
    <n v="0"/>
    <n v="0"/>
    <n v="24"/>
    <n v="119232"/>
    <n v="0"/>
  </r>
  <r>
    <s v="Lhotse-Vestuario"/>
    <x v="4"/>
    <x v="21"/>
    <x v="53"/>
    <s v="LTS26-MTS02BMY"/>
    <x v="530"/>
    <x v="387"/>
    <x v="0"/>
    <x v="0"/>
    <n v="1"/>
    <x v="357"/>
    <n v="11"/>
    <m/>
    <n v="0"/>
    <n v="5699"/>
    <n v="62689"/>
    <n v="4.8"/>
    <n v="5244"/>
    <n v="12596.638655462186"/>
    <n v="8394.957983193277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8"/>
    <n v="0.44347543470017875"/>
    <n v="7"/>
    <n v="0.27759879323603837"/>
    <n v="2"/>
    <n v="0.54759070761293005"/>
    <n v="1"/>
    <n v="0.53778440441736908"/>
    <n v="0"/>
    <s v=""/>
    <n v="0"/>
    <n v="0"/>
    <s v=""/>
    <n v="0"/>
    <n v="0"/>
    <s v=""/>
    <n v="0"/>
    <n v="1"/>
    <n v="0.32114514514514514"/>
    <n v="0.2"/>
    <n v="2"/>
    <n v="0.19525457328456022"/>
    <n v="0.4"/>
    <n v="0"/>
    <s v=""/>
    <n v="0"/>
    <m/>
    <m/>
    <m/>
    <m/>
    <m/>
    <m/>
    <m/>
    <m/>
    <m/>
    <n v="3"/>
    <n v="18"/>
    <n v="3"/>
    <n v="0"/>
    <n v="0"/>
    <n v="0"/>
    <n v="39893"/>
    <n v="89424"/>
    <n v="17097"/>
    <n v="0"/>
    <n v="11"/>
    <n v="62689"/>
    <n v="31756.231904526521"/>
    <n v="2"/>
    <n v="17"/>
    <n v="3"/>
    <n v="0"/>
    <n v="0"/>
    <n v="0"/>
    <n v="22796"/>
    <n v="84456"/>
    <n v="17097"/>
    <n v="0"/>
    <n v="11"/>
    <n v="62689"/>
    <n v="31756.231904526521"/>
    <n v="2.1059999999999999"/>
    <n v="15"/>
    <n v="1"/>
    <n v="0"/>
    <n v="0"/>
    <n v="13647.8"/>
    <n v="85485"/>
    <n v="5699"/>
    <n v="0"/>
    <n v="11"/>
    <n v="62689"/>
    <n v="12596.638655462186"/>
    <n v="1.55"/>
    <n v="15"/>
    <n v="0"/>
    <n v="0"/>
    <n v="0"/>
    <n v="74520"/>
    <n v="0"/>
    <x v="0"/>
    <x v="0"/>
    <n v="11"/>
    <n v="62689"/>
    <n v="0"/>
    <n v="1.6"/>
    <n v="11"/>
    <n v="1.6"/>
    <m/>
    <n v="0"/>
    <n v="0"/>
    <n v="62689"/>
    <n v="7948.8"/>
    <x v="0"/>
    <n v="0"/>
    <n v="11"/>
    <n v="62689"/>
    <n v="20154.621848739498"/>
    <n v="4.7"/>
    <n v="11"/>
    <n v="0"/>
    <m/>
    <n v="0"/>
    <n v="0"/>
    <n v="62689"/>
    <n v="0"/>
    <n v="0"/>
    <n v="0"/>
    <n v="11"/>
    <n v="62689"/>
    <n v="0"/>
    <n v="5"/>
    <n v="12"/>
    <n v="1"/>
    <n v="0"/>
    <n v="0"/>
    <n v="0"/>
    <n v="68388"/>
    <n v="4968"/>
    <n v="0"/>
    <n v="0"/>
    <n v="12"/>
    <n v="62689"/>
    <n v="12596.638655462186"/>
    <n v="5"/>
    <n v="13"/>
    <n v="2"/>
    <n v="0"/>
    <n v="0"/>
    <n v="0"/>
    <n v="74087"/>
    <n v="9936"/>
    <n v="0"/>
    <n v="0"/>
    <n v="13"/>
    <n v="74087"/>
    <n v="25193.277310924372"/>
    <n v="5"/>
    <n v="11"/>
    <n v="0"/>
    <n v="0"/>
    <n v="0"/>
    <n v="0"/>
    <n v="54648"/>
    <n v="0"/>
    <n v="0"/>
    <n v="0"/>
    <n v="11"/>
    <n v="62689"/>
    <n v="0"/>
    <n v="0"/>
    <n v="11"/>
    <n v="0"/>
    <n v="0"/>
    <n v="0"/>
    <n v="0"/>
    <m/>
    <n v="54648"/>
    <n v="0"/>
    <n v="0"/>
    <n v="0"/>
    <n v="11"/>
    <n v="54648"/>
    <n v="0"/>
    <n v="0"/>
    <n v="11"/>
    <n v="0"/>
    <m/>
    <n v="0"/>
    <n v="0"/>
    <n v="54648"/>
    <n v="0"/>
    <n v="0"/>
    <n v="0"/>
    <n v="11"/>
    <n v="54648"/>
    <n v="0"/>
    <n v="0"/>
    <n v="11"/>
    <n v="0"/>
    <n v="0"/>
    <n v="0"/>
    <n v="54648"/>
    <n v="0"/>
    <n v="0"/>
    <n v="0"/>
    <n v="11"/>
    <n v="54648"/>
    <n v="0"/>
    <n v="0"/>
    <n v="11"/>
    <n v="0"/>
    <n v="0"/>
    <m/>
    <n v="54648"/>
    <n v="0"/>
    <n v="0"/>
    <n v="11"/>
    <n v="54648"/>
    <n v="0"/>
  </r>
  <r>
    <m/>
    <x v="4"/>
    <x v="21"/>
    <x v="53"/>
    <s v="LTS27-MTS02"/>
    <x v="531"/>
    <x v="388"/>
    <x v="0"/>
    <x v="4"/>
    <n v="1"/>
    <x v="31"/>
    <n v="0"/>
    <m/>
    <n v="0"/>
    <n v="4416"/>
    <n v="0"/>
    <n v="4.8"/>
    <n v="4416"/>
    <n v="11132.773109243699"/>
    <n v="9462.8571428571431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49"/>
    <n v="49"/>
    <n v="0"/>
    <n v="0"/>
    <n v="0"/>
    <n v="0"/>
    <n v="243432"/>
    <n v="0"/>
    <n v="0"/>
    <n v="0"/>
    <n v="0"/>
    <n v="11"/>
    <n v="0"/>
    <n v="0"/>
    <m/>
    <n v="0"/>
    <n v="0"/>
    <n v="0"/>
    <n v="0"/>
    <n v="0"/>
    <n v="0"/>
    <n v="0"/>
    <n v="0"/>
    <n v="0"/>
    <n v="14"/>
    <n v="0"/>
    <n v="0"/>
    <n v="0"/>
    <n v="0"/>
    <n v="0"/>
    <n v="0"/>
    <n v="0"/>
    <n v="0"/>
    <n v="0"/>
    <n v="0"/>
    <n v="0"/>
    <n v="6.6"/>
    <n v="0"/>
    <n v="6.6"/>
    <n v="0"/>
    <m/>
    <n v="0"/>
    <n v="29145.599999999999"/>
    <n v="0"/>
    <n v="0"/>
    <n v="0"/>
    <n v="73476.302521008402"/>
  </r>
  <r>
    <s v="Lhotse-Vestuario"/>
    <x v="4"/>
    <x v="21"/>
    <x v="53"/>
    <s v="LTS27-MTS02"/>
    <x v="532"/>
    <x v="389"/>
    <x v="0"/>
    <x v="4"/>
    <n v="1"/>
    <x v="31"/>
    <n v="0"/>
    <m/>
    <n v="0"/>
    <n v="4416"/>
    <n v="0"/>
    <n v="4.8"/>
    <n v="4416"/>
    <n v="11132.773109243699"/>
    <n v="9462.8571428571431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49"/>
    <n v="49"/>
    <n v="0"/>
    <n v="0"/>
    <n v="0"/>
    <n v="0"/>
    <n v="243432"/>
    <n v="0"/>
    <n v="0"/>
    <n v="0"/>
    <n v="0"/>
    <n v="11"/>
    <n v="0"/>
    <n v="0"/>
    <m/>
    <n v="0"/>
    <n v="0"/>
    <n v="0"/>
    <n v="0"/>
    <n v="0"/>
    <n v="0"/>
    <n v="0"/>
    <n v="0"/>
    <n v="0"/>
    <n v="14"/>
    <n v="0"/>
    <n v="0"/>
    <n v="0"/>
    <n v="0"/>
    <n v="0"/>
    <n v="0"/>
    <n v="0"/>
    <n v="0"/>
    <n v="0"/>
    <n v="0"/>
    <n v="0"/>
    <n v="6.6"/>
    <n v="0"/>
    <n v="6.6"/>
    <n v="0"/>
    <m/>
    <n v="0"/>
    <n v="29145.599999999999"/>
    <n v="0"/>
    <n v="0"/>
    <n v="0"/>
    <n v="73476.302521008402"/>
  </r>
  <r>
    <s v="Lhotse-Vestuario"/>
    <x v="4"/>
    <x v="21"/>
    <x v="53"/>
    <s v="LTS27-MTS02"/>
    <x v="533"/>
    <x v="390"/>
    <x v="0"/>
    <x v="4"/>
    <n v="1"/>
    <x v="31"/>
    <n v="0"/>
    <m/>
    <n v="0"/>
    <n v="4416"/>
    <n v="0"/>
    <n v="4.8"/>
    <n v="4416"/>
    <n v="11132.773109243699"/>
    <n v="9462.8571428571431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49"/>
    <n v="49"/>
    <n v="0"/>
    <n v="0"/>
    <n v="0"/>
    <n v="0"/>
    <n v="243432"/>
    <n v="0"/>
    <n v="0"/>
    <n v="0"/>
    <n v="0"/>
    <n v="11"/>
    <n v="0"/>
    <n v="0"/>
    <m/>
    <n v="0"/>
    <n v="0"/>
    <n v="0"/>
    <n v="0"/>
    <n v="0"/>
    <n v="0"/>
    <n v="0"/>
    <n v="0"/>
    <n v="0"/>
    <n v="14"/>
    <n v="0"/>
    <n v="0"/>
    <n v="0"/>
    <n v="0"/>
    <n v="0"/>
    <n v="0"/>
    <n v="0"/>
    <n v="0"/>
    <n v="0"/>
    <n v="0"/>
    <n v="0"/>
    <n v="6.6"/>
    <n v="0"/>
    <n v="6.6"/>
    <n v="0"/>
    <m/>
    <n v="0"/>
    <n v="29145.599999999999"/>
    <n v="0"/>
    <n v="0"/>
    <n v="0"/>
    <n v="73476.302521008402"/>
  </r>
  <r>
    <s v="Lhotse-Vestuario"/>
    <x v="4"/>
    <x v="21"/>
    <x v="53"/>
    <s v="LTS27-MTS02"/>
    <x v="534"/>
    <x v="391"/>
    <x v="0"/>
    <x v="4"/>
    <n v="1"/>
    <x v="31"/>
    <n v="0"/>
    <m/>
    <n v="0"/>
    <n v="4416"/>
    <n v="0"/>
    <n v="4.8"/>
    <n v="4416"/>
    <n v="11132.773109243699"/>
    <n v="9462.8571428571431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49"/>
    <n v="49"/>
    <n v="0"/>
    <n v="0"/>
    <n v="0"/>
    <n v="0"/>
    <n v="243432"/>
    <n v="0"/>
    <n v="0"/>
    <n v="0"/>
    <n v="0"/>
    <n v="11"/>
    <n v="0"/>
    <n v="0"/>
    <m/>
    <n v="0"/>
    <n v="0"/>
    <n v="0"/>
    <n v="0"/>
    <n v="0"/>
    <n v="0"/>
    <n v="0"/>
    <n v="0"/>
    <n v="0"/>
    <n v="14"/>
    <n v="0"/>
    <n v="0"/>
    <n v="0"/>
    <n v="0"/>
    <n v="0"/>
    <n v="0"/>
    <n v="0"/>
    <n v="0"/>
    <n v="0"/>
    <n v="0"/>
    <n v="0"/>
    <n v="6.6"/>
    <n v="0"/>
    <n v="6.6"/>
    <n v="0"/>
    <m/>
    <n v="0"/>
    <n v="29145.599999999999"/>
    <n v="0"/>
    <n v="0"/>
    <n v="0"/>
    <n v="73476.302521008402"/>
  </r>
  <r>
    <s v="Lhotse-Vestuario"/>
    <x v="4"/>
    <x v="21"/>
    <x v="53"/>
    <s v="LTS27-MTS02"/>
    <x v="535"/>
    <x v="392"/>
    <x v="0"/>
    <x v="4"/>
    <n v="1"/>
    <x v="31"/>
    <n v="0"/>
    <m/>
    <n v="0"/>
    <n v="4416"/>
    <n v="0"/>
    <n v="4.8"/>
    <n v="4416"/>
    <n v="11132.773109243699"/>
    <n v="9462.8571428571431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49"/>
    <n v="49"/>
    <n v="0"/>
    <n v="0"/>
    <n v="0"/>
    <n v="0"/>
    <n v="243432"/>
    <n v="0"/>
    <n v="0"/>
    <n v="0"/>
    <n v="0"/>
    <n v="11"/>
    <n v="0"/>
    <n v="0"/>
    <m/>
    <n v="0"/>
    <n v="0"/>
    <n v="0"/>
    <n v="0"/>
    <n v="0"/>
    <n v="0"/>
    <n v="0"/>
    <n v="0"/>
    <n v="0"/>
    <n v="14"/>
    <n v="0"/>
    <n v="0"/>
    <n v="0"/>
    <n v="0"/>
    <n v="0"/>
    <n v="0"/>
    <n v="0"/>
    <n v="0"/>
    <n v="0"/>
    <n v="0"/>
    <n v="0"/>
    <n v="6.6"/>
    <n v="0"/>
    <n v="6.6"/>
    <n v="0"/>
    <m/>
    <n v="0"/>
    <n v="29145.599999999999"/>
    <n v="0"/>
    <n v="0"/>
    <n v="0"/>
    <n v="73476.302521008402"/>
  </r>
  <r>
    <m/>
    <x v="4"/>
    <x v="21"/>
    <x v="53"/>
    <s v="LTS27-MTS02"/>
    <x v="536"/>
    <x v="393"/>
    <x v="0"/>
    <x v="4"/>
    <n v="1"/>
    <x v="31"/>
    <n v="0"/>
    <m/>
    <n v="0"/>
    <n v="4416"/>
    <n v="0"/>
    <n v="4.8"/>
    <n v="4416"/>
    <n v="11132.773109243699"/>
    <n v="9462.8571428571431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44"/>
    <n v="44"/>
    <n v="0"/>
    <n v="0"/>
    <n v="0"/>
    <n v="0"/>
    <n v="218592"/>
    <n v="0"/>
    <n v="0"/>
    <n v="0"/>
    <n v="0"/>
    <n v="10"/>
    <n v="0"/>
    <n v="0"/>
    <m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6"/>
    <n v="0"/>
    <n v="6"/>
    <n v="0"/>
    <m/>
    <n v="0"/>
    <n v="26496"/>
    <n v="0"/>
    <n v="0"/>
    <n v="0"/>
    <n v="66796.638655462186"/>
  </r>
  <r>
    <m/>
    <x v="4"/>
    <x v="21"/>
    <x v="53"/>
    <s v="LTS27-MTS02"/>
    <x v="537"/>
    <x v="394"/>
    <x v="0"/>
    <x v="4"/>
    <n v="1"/>
    <x v="31"/>
    <n v="0"/>
    <m/>
    <n v="0"/>
    <n v="4416"/>
    <n v="0"/>
    <n v="4.8"/>
    <n v="4416"/>
    <n v="11132.773109243699"/>
    <n v="9462.8571428571431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44"/>
    <n v="44"/>
    <n v="0"/>
    <n v="0"/>
    <n v="0"/>
    <n v="0"/>
    <n v="218592"/>
    <n v="0"/>
    <n v="0"/>
    <n v="0"/>
    <n v="0"/>
    <n v="10"/>
    <n v="0"/>
    <n v="0"/>
    <m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6"/>
    <n v="0"/>
    <n v="6"/>
    <n v="0"/>
    <m/>
    <n v="0"/>
    <n v="26496"/>
    <n v="0"/>
    <n v="0"/>
    <n v="0"/>
    <n v="66796.638655462186"/>
  </r>
  <r>
    <m/>
    <x v="4"/>
    <x v="21"/>
    <x v="53"/>
    <s v="LTS27-MTS02"/>
    <x v="538"/>
    <x v="395"/>
    <x v="0"/>
    <x v="4"/>
    <n v="1"/>
    <x v="31"/>
    <n v="0"/>
    <m/>
    <n v="0"/>
    <n v="4416"/>
    <n v="0"/>
    <n v="4.8"/>
    <n v="4416"/>
    <n v="11132.773109243699"/>
    <n v="9462.8571428571431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44"/>
    <n v="44"/>
    <n v="0"/>
    <n v="0"/>
    <n v="0"/>
    <n v="0"/>
    <n v="218592"/>
    <n v="0"/>
    <n v="0"/>
    <n v="0"/>
    <n v="0"/>
    <n v="10"/>
    <n v="0"/>
    <n v="0"/>
    <m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6"/>
    <n v="0"/>
    <n v="6"/>
    <n v="0"/>
    <m/>
    <n v="0"/>
    <n v="26496"/>
    <n v="0"/>
    <n v="0"/>
    <n v="0"/>
    <n v="66796.638655462186"/>
  </r>
  <r>
    <m/>
    <x v="4"/>
    <x v="21"/>
    <x v="53"/>
    <s v="LTS27-MTS02"/>
    <x v="539"/>
    <x v="396"/>
    <x v="0"/>
    <x v="4"/>
    <n v="1"/>
    <x v="31"/>
    <n v="0"/>
    <m/>
    <n v="0"/>
    <n v="4416"/>
    <n v="0"/>
    <n v="4.8"/>
    <n v="4416"/>
    <n v="11132.773109243699"/>
    <n v="9462.8571428571431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44"/>
    <n v="44"/>
    <n v="0"/>
    <n v="0"/>
    <n v="0"/>
    <n v="0"/>
    <n v="218592"/>
    <n v="0"/>
    <n v="0"/>
    <n v="0"/>
    <n v="0"/>
    <n v="10"/>
    <n v="0"/>
    <n v="0"/>
    <m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6"/>
    <n v="0"/>
    <n v="6"/>
    <n v="0"/>
    <m/>
    <n v="0"/>
    <n v="26496"/>
    <n v="0"/>
    <n v="0"/>
    <n v="0"/>
    <n v="66796.638655462186"/>
  </r>
  <r>
    <s v="Lhotse-Vestuario"/>
    <x v="4"/>
    <x v="21"/>
    <x v="53"/>
    <s v="LTS27-MTS02"/>
    <x v="540"/>
    <x v="397"/>
    <x v="0"/>
    <x v="4"/>
    <n v="1"/>
    <x v="31"/>
    <n v="0"/>
    <m/>
    <n v="0"/>
    <n v="4416"/>
    <n v="0"/>
    <n v="4.8"/>
    <n v="4416"/>
    <n v="11132.773109243699"/>
    <n v="9462.8571428571431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44"/>
    <n v="44"/>
    <n v="0"/>
    <n v="0"/>
    <n v="0"/>
    <n v="0"/>
    <n v="218592"/>
    <n v="0"/>
    <n v="0"/>
    <n v="0"/>
    <n v="0"/>
    <n v="10"/>
    <n v="0"/>
    <n v="0"/>
    <m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6"/>
    <n v="0"/>
    <n v="6"/>
    <n v="0"/>
    <m/>
    <n v="0"/>
    <n v="26496"/>
    <n v="0"/>
    <n v="0"/>
    <n v="0"/>
    <n v="66796.638655462186"/>
  </r>
  <r>
    <s v="Lhotse-Vestuario"/>
    <x v="4"/>
    <x v="21"/>
    <x v="53"/>
    <s v="LTS27-MTS02"/>
    <x v="541"/>
    <x v="398"/>
    <x v="0"/>
    <x v="4"/>
    <n v="1"/>
    <x v="31"/>
    <n v="0"/>
    <m/>
    <n v="0"/>
    <n v="4416"/>
    <n v="0"/>
    <n v="4.8"/>
    <n v="4416"/>
    <n v="11132.773109243699"/>
    <n v="9462.8571428571431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6"/>
    <n v="16"/>
    <n v="0"/>
    <n v="0"/>
    <n v="0"/>
    <n v="0"/>
    <n v="79488"/>
    <n v="0"/>
    <n v="0"/>
    <n v="0"/>
    <n v="0"/>
    <n v="4"/>
    <n v="0"/>
    <n v="0"/>
    <m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2.4"/>
    <n v="0"/>
    <n v="2.4"/>
    <n v="0"/>
    <m/>
    <n v="0"/>
    <n v="10598.4"/>
    <n v="0"/>
    <n v="0"/>
    <n v="0"/>
    <n v="26718.655462184877"/>
  </r>
  <r>
    <s v="Lhotse-Vestuario"/>
    <x v="4"/>
    <x v="21"/>
    <x v="53"/>
    <s v="LTS27-MTS02"/>
    <x v="542"/>
    <x v="399"/>
    <x v="0"/>
    <x v="4"/>
    <n v="1"/>
    <x v="31"/>
    <n v="0"/>
    <m/>
    <n v="0"/>
    <n v="4416"/>
    <n v="0"/>
    <n v="4.8"/>
    <n v="4416"/>
    <n v="11132.773109243699"/>
    <n v="9462.8571428571431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6"/>
    <n v="16"/>
    <n v="0"/>
    <n v="0"/>
    <n v="0"/>
    <n v="0"/>
    <n v="79488"/>
    <n v="0"/>
    <n v="0"/>
    <n v="0"/>
    <n v="0"/>
    <n v="4"/>
    <n v="0"/>
    <n v="0"/>
    <m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2.4"/>
    <n v="0"/>
    <n v="2.4"/>
    <n v="0"/>
    <m/>
    <n v="0"/>
    <n v="10598.4"/>
    <n v="0"/>
    <n v="0"/>
    <n v="0"/>
    <n v="26718.655462184877"/>
  </r>
  <r>
    <m/>
    <x v="4"/>
    <x v="21"/>
    <x v="53"/>
    <s v="LTS27-MTS02"/>
    <x v="543"/>
    <x v="400"/>
    <x v="0"/>
    <x v="4"/>
    <n v="1"/>
    <x v="31"/>
    <n v="0"/>
    <m/>
    <n v="0"/>
    <n v="4416"/>
    <n v="0"/>
    <n v="4.8"/>
    <n v="4416"/>
    <n v="11132.773109243699"/>
    <n v="9462.8571428571431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6"/>
    <n v="16"/>
    <n v="0"/>
    <n v="0"/>
    <n v="0"/>
    <n v="0"/>
    <n v="79488"/>
    <n v="0"/>
    <n v="0"/>
    <n v="0"/>
    <n v="0"/>
    <n v="4"/>
    <n v="0"/>
    <n v="0"/>
    <m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2.4"/>
    <n v="0"/>
    <n v="2.4"/>
    <n v="0"/>
    <m/>
    <n v="0"/>
    <n v="10598.4"/>
    <n v="0"/>
    <n v="0"/>
    <n v="0"/>
    <n v="26718.655462184877"/>
  </r>
  <r>
    <m/>
    <x v="4"/>
    <x v="21"/>
    <x v="53"/>
    <s v="LTS27-MTS02"/>
    <x v="544"/>
    <x v="401"/>
    <x v="0"/>
    <x v="4"/>
    <n v="1"/>
    <x v="31"/>
    <n v="0"/>
    <m/>
    <n v="0"/>
    <n v="4416"/>
    <n v="0"/>
    <n v="4.8"/>
    <n v="4416"/>
    <n v="11132.773109243699"/>
    <n v="9462.8571428571431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6"/>
    <n v="16"/>
    <n v="0"/>
    <n v="0"/>
    <n v="0"/>
    <n v="0"/>
    <n v="79488"/>
    <n v="0"/>
    <n v="0"/>
    <n v="0"/>
    <n v="0"/>
    <n v="4"/>
    <n v="0"/>
    <n v="0"/>
    <m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2.4"/>
    <n v="0"/>
    <n v="2.4"/>
    <n v="0"/>
    <m/>
    <n v="0"/>
    <n v="10598.4"/>
    <n v="0"/>
    <n v="0"/>
    <n v="0"/>
    <n v="26718.655462184877"/>
  </r>
  <r>
    <s v="Lhotse-Vestuario"/>
    <x v="4"/>
    <x v="21"/>
    <x v="53"/>
    <s v="LTS27-MTS02"/>
    <x v="545"/>
    <x v="402"/>
    <x v="0"/>
    <x v="4"/>
    <n v="1"/>
    <x v="31"/>
    <n v="0"/>
    <m/>
    <n v="0"/>
    <n v="4416"/>
    <n v="0"/>
    <n v="4.8"/>
    <n v="4416"/>
    <n v="11132.773109243699"/>
    <n v="9462.8571428571431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6"/>
    <n v="16"/>
    <n v="0"/>
    <n v="0"/>
    <n v="0"/>
    <n v="0"/>
    <n v="79488"/>
    <n v="0"/>
    <n v="0"/>
    <n v="0"/>
    <n v="0"/>
    <n v="4"/>
    <n v="0"/>
    <n v="0"/>
    <m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2.4"/>
    <n v="0"/>
    <n v="2.4"/>
    <n v="0"/>
    <m/>
    <n v="0"/>
    <n v="10598.4"/>
    <n v="0"/>
    <n v="0"/>
    <n v="0"/>
    <n v="26718.655462184877"/>
  </r>
  <r>
    <s v="Lhotse-Vestuario"/>
    <x v="4"/>
    <x v="21"/>
    <x v="53"/>
    <s v="LTS27-MTS02"/>
    <x v="546"/>
    <x v="403"/>
    <x v="0"/>
    <x v="4"/>
    <n v="1"/>
    <x v="31"/>
    <n v="0"/>
    <m/>
    <n v="0"/>
    <n v="4416"/>
    <n v="0"/>
    <n v="4.8"/>
    <n v="4416"/>
    <n v="11132.773109243699"/>
    <n v="9462.8571428571431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32"/>
    <n v="32"/>
    <n v="0"/>
    <n v="0"/>
    <n v="0"/>
    <n v="0"/>
    <n v="158976"/>
    <n v="0"/>
    <n v="0"/>
    <n v="0"/>
    <n v="0"/>
    <n v="7"/>
    <n v="0"/>
    <n v="0"/>
    <m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4.2"/>
    <n v="0"/>
    <n v="4.2"/>
    <n v="0"/>
    <m/>
    <n v="0"/>
    <n v="18547.2"/>
    <n v="0"/>
    <n v="0"/>
    <n v="0"/>
    <n v="46757.647058823539"/>
  </r>
  <r>
    <s v="Lhotse-Vestuario"/>
    <x v="4"/>
    <x v="21"/>
    <x v="53"/>
    <s v="LTS27-MTS02"/>
    <x v="547"/>
    <x v="404"/>
    <x v="0"/>
    <x v="4"/>
    <n v="1"/>
    <x v="31"/>
    <n v="0"/>
    <m/>
    <n v="0"/>
    <n v="4416"/>
    <n v="0"/>
    <n v="4.8"/>
    <n v="4416"/>
    <n v="11132.773109243699"/>
    <n v="9462.8571428571431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32"/>
    <n v="32"/>
    <n v="0"/>
    <n v="0"/>
    <n v="0"/>
    <n v="0"/>
    <n v="158976"/>
    <n v="0"/>
    <n v="0"/>
    <n v="0"/>
    <n v="0"/>
    <n v="7"/>
    <n v="0"/>
    <n v="0"/>
    <m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4.2"/>
    <n v="0"/>
    <n v="4.2"/>
    <n v="0"/>
    <m/>
    <n v="0"/>
    <n v="18547.2"/>
    <n v="0"/>
    <n v="0"/>
    <n v="0"/>
    <n v="46757.647058823539"/>
  </r>
  <r>
    <s v="Lhotse-Vestuario"/>
    <x v="4"/>
    <x v="21"/>
    <x v="53"/>
    <s v="LTS27-MTS02"/>
    <x v="548"/>
    <x v="405"/>
    <x v="0"/>
    <x v="4"/>
    <n v="1"/>
    <x v="31"/>
    <n v="0"/>
    <m/>
    <n v="0"/>
    <n v="4416"/>
    <n v="0"/>
    <n v="4.8"/>
    <n v="4416"/>
    <n v="11132.773109243699"/>
    <n v="9462.8571428571431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32"/>
    <n v="32"/>
    <n v="0"/>
    <n v="0"/>
    <n v="0"/>
    <n v="0"/>
    <n v="158976"/>
    <n v="0"/>
    <n v="0"/>
    <n v="0"/>
    <n v="0"/>
    <n v="7"/>
    <n v="0"/>
    <n v="0"/>
    <m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4.2"/>
    <n v="0"/>
    <n v="4.2"/>
    <n v="0"/>
    <m/>
    <n v="0"/>
    <n v="18547.2"/>
    <n v="0"/>
    <n v="0"/>
    <n v="0"/>
    <n v="46757.647058823539"/>
  </r>
  <r>
    <s v="Lhotse-Vestuario"/>
    <x v="4"/>
    <x v="21"/>
    <x v="53"/>
    <s v="LTS27-MTS02"/>
    <x v="549"/>
    <x v="406"/>
    <x v="0"/>
    <x v="4"/>
    <n v="1"/>
    <x v="31"/>
    <n v="0"/>
    <m/>
    <n v="0"/>
    <n v="4416"/>
    <n v="0"/>
    <n v="4.8"/>
    <n v="4416"/>
    <n v="11132.773109243699"/>
    <n v="9462.8571428571431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32"/>
    <n v="32"/>
    <n v="0"/>
    <n v="0"/>
    <n v="0"/>
    <n v="0"/>
    <n v="158976"/>
    <n v="0"/>
    <n v="0"/>
    <n v="0"/>
    <n v="0"/>
    <n v="7"/>
    <n v="0"/>
    <n v="0"/>
    <m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4.2"/>
    <n v="0"/>
    <n v="4.2"/>
    <n v="0"/>
    <m/>
    <n v="0"/>
    <n v="18547.2"/>
    <n v="0"/>
    <n v="0"/>
    <n v="0"/>
    <n v="46757.647058823539"/>
  </r>
  <r>
    <s v="Lhotse-Vestuario"/>
    <x v="4"/>
    <x v="21"/>
    <x v="53"/>
    <s v="LTS27-MTS02"/>
    <x v="550"/>
    <x v="407"/>
    <x v="0"/>
    <x v="4"/>
    <n v="1"/>
    <x v="31"/>
    <n v="0"/>
    <m/>
    <n v="0"/>
    <n v="4416"/>
    <n v="0"/>
    <n v="4.8"/>
    <n v="4416"/>
    <n v="11132.773109243699"/>
    <n v="9462.8571428571431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32"/>
    <n v="32"/>
    <n v="0"/>
    <n v="0"/>
    <n v="0"/>
    <n v="0"/>
    <n v="158976"/>
    <n v="0"/>
    <n v="0"/>
    <n v="0"/>
    <n v="0"/>
    <n v="7"/>
    <n v="0"/>
    <n v="0"/>
    <m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4.2"/>
    <n v="0"/>
    <n v="4.2"/>
    <n v="0"/>
    <m/>
    <n v="0"/>
    <n v="18547.2"/>
    <n v="0"/>
    <n v="0"/>
    <n v="0"/>
    <n v="46757.647058823539"/>
  </r>
  <r>
    <s v="Lhotse-Vestuario"/>
    <x v="4"/>
    <x v="21"/>
    <x v="53"/>
    <s v="LTS27-MTS02"/>
    <x v="551"/>
    <x v="408"/>
    <x v="0"/>
    <x v="4"/>
    <n v="1"/>
    <x v="31"/>
    <n v="0"/>
    <m/>
    <n v="0"/>
    <n v="4416"/>
    <n v="0"/>
    <n v="4.8"/>
    <n v="4416"/>
    <n v="11132.773109243699"/>
    <n v="9462.8571428571431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0"/>
    <n v="10"/>
    <n v="0"/>
    <n v="0"/>
    <n v="0"/>
    <n v="0"/>
    <n v="49680"/>
    <n v="0"/>
    <n v="0"/>
    <n v="0"/>
    <n v="0"/>
    <n v="2"/>
    <n v="0"/>
    <n v="0"/>
    <m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1.2"/>
    <n v="0"/>
    <n v="1.2"/>
    <n v="0"/>
    <m/>
    <n v="0"/>
    <n v="5299.2"/>
    <n v="0"/>
    <n v="0"/>
    <n v="0"/>
    <n v="13359.327731092439"/>
  </r>
  <r>
    <s v="Lhotse-Vestuario"/>
    <x v="4"/>
    <x v="21"/>
    <x v="53"/>
    <s v="LTS27-MTS02"/>
    <x v="552"/>
    <x v="409"/>
    <x v="0"/>
    <x v="4"/>
    <n v="1"/>
    <x v="31"/>
    <n v="0"/>
    <m/>
    <n v="0"/>
    <n v="4416"/>
    <n v="0"/>
    <n v="4.8"/>
    <n v="4416"/>
    <n v="11132.773109243699"/>
    <n v="9462.8571428571431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0"/>
    <n v="10"/>
    <n v="0"/>
    <n v="0"/>
    <n v="0"/>
    <n v="0"/>
    <n v="49680"/>
    <n v="0"/>
    <n v="0"/>
    <n v="0"/>
    <n v="0"/>
    <n v="2"/>
    <n v="0"/>
    <n v="0"/>
    <m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1.2"/>
    <n v="0"/>
    <n v="1.2"/>
    <n v="0"/>
    <m/>
    <n v="0"/>
    <n v="5299.2"/>
    <n v="0"/>
    <n v="0"/>
    <n v="0"/>
    <n v="13359.327731092439"/>
  </r>
  <r>
    <s v="Lhotse-Vestuario"/>
    <x v="4"/>
    <x v="21"/>
    <x v="53"/>
    <s v="LTS27-MTS02"/>
    <x v="553"/>
    <x v="410"/>
    <x v="0"/>
    <x v="4"/>
    <n v="1"/>
    <x v="31"/>
    <n v="0"/>
    <m/>
    <n v="0"/>
    <n v="4416"/>
    <n v="0"/>
    <n v="4.8"/>
    <n v="4416"/>
    <n v="11132.773109243699"/>
    <n v="9462.8571428571431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0"/>
    <n v="10"/>
    <n v="0"/>
    <n v="0"/>
    <n v="0"/>
    <n v="0"/>
    <n v="49680"/>
    <n v="0"/>
    <n v="0"/>
    <n v="0"/>
    <n v="0"/>
    <n v="2"/>
    <n v="0"/>
    <n v="0"/>
    <m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1.2"/>
    <n v="0"/>
    <n v="1.2"/>
    <n v="0"/>
    <m/>
    <n v="0"/>
    <n v="5299.2"/>
    <n v="0"/>
    <n v="0"/>
    <n v="0"/>
    <n v="13359.327731092439"/>
  </r>
  <r>
    <s v="Lhotse-Vestuario"/>
    <x v="4"/>
    <x v="21"/>
    <x v="53"/>
    <s v="LTS27-MTS02"/>
    <x v="554"/>
    <x v="411"/>
    <x v="0"/>
    <x v="4"/>
    <n v="1"/>
    <x v="31"/>
    <n v="0"/>
    <m/>
    <n v="0"/>
    <n v="4416"/>
    <n v="0"/>
    <n v="4.8"/>
    <n v="4416"/>
    <n v="11132.773109243699"/>
    <n v="9462.8571428571431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0"/>
    <n v="10"/>
    <n v="0"/>
    <n v="0"/>
    <n v="0"/>
    <n v="0"/>
    <n v="49680"/>
    <n v="0"/>
    <n v="0"/>
    <n v="0"/>
    <n v="0"/>
    <n v="2"/>
    <n v="0"/>
    <n v="0"/>
    <m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1.2"/>
    <n v="0"/>
    <n v="1.2"/>
    <n v="0"/>
    <m/>
    <n v="0"/>
    <n v="5299.2"/>
    <n v="0"/>
    <n v="0"/>
    <n v="0"/>
    <n v="13359.327731092439"/>
  </r>
  <r>
    <m/>
    <x v="4"/>
    <x v="21"/>
    <x v="53"/>
    <s v="LTS27-MTS02"/>
    <x v="555"/>
    <x v="412"/>
    <x v="0"/>
    <x v="4"/>
    <n v="1"/>
    <x v="31"/>
    <n v="0"/>
    <m/>
    <n v="0"/>
    <n v="4416"/>
    <n v="0"/>
    <n v="4.8"/>
    <n v="4416"/>
    <n v="11132.773109243699"/>
    <n v="9462.8571428571431"/>
    <s v="Shenzhen"/>
    <x v="0"/>
    <n v="90"/>
    <m/>
    <n v="3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0"/>
    <n v="10"/>
    <n v="0"/>
    <n v="0"/>
    <n v="0"/>
    <n v="0"/>
    <n v="49680"/>
    <n v="0"/>
    <n v="0"/>
    <n v="0"/>
    <n v="0"/>
    <n v="2"/>
    <n v="0"/>
    <n v="0"/>
    <m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1.2"/>
    <n v="0"/>
    <n v="1.2"/>
    <n v="0"/>
    <m/>
    <n v="0"/>
    <n v="5299.2"/>
    <n v="0"/>
    <n v="0"/>
    <n v="0"/>
    <n v="13359.327731092439"/>
  </r>
  <r>
    <s v="Lhotse-Vestuario"/>
    <x v="4"/>
    <x v="21"/>
    <x v="53"/>
    <s v="LTW25-MFL01"/>
    <x v="556"/>
    <x v="413"/>
    <x v="0"/>
    <x v="0"/>
    <n v="1"/>
    <x v="358"/>
    <n v="147"/>
    <m/>
    <n v="0"/>
    <n v="7834"/>
    <n v="1151598"/>
    <n v="8"/>
    <n v="8740"/>
    <n v="16798.319327731093"/>
    <n v="12596.638655462186"/>
    <s v="Shenzhen"/>
    <x v="0"/>
    <n v="30"/>
    <m/>
    <n v="1"/>
    <n v="0"/>
    <s v=""/>
    <n v="0"/>
    <s v=""/>
    <n v="0"/>
    <s v=""/>
    <n v="0"/>
    <s v=""/>
    <n v="4"/>
    <n v="0.59888531892832919"/>
    <n v="26"/>
    <n v="0.38743772497225987"/>
    <n v="64"/>
    <n v="0.32732124424851428"/>
    <n v="6"/>
    <n v="0.34870429194945468"/>
    <n v="5"/>
    <n v="0.40776579625955556"/>
    <n v="32"/>
    <n v="0.40142857615821709"/>
    <n v="0"/>
    <s v=""/>
    <n v="7"/>
    <n v="0.55886914268385823"/>
    <n v="1"/>
    <n v="0.24226613632652635"/>
    <n v="8"/>
    <n v="0.49154265095551253"/>
    <n v="11"/>
    <n v="0.3242503301361242"/>
    <n v="7"/>
    <n v="0.33442947398686129"/>
    <n v="1.1666666666666667"/>
    <n v="15"/>
    <n v="0.4121331881584368"/>
    <n v="0.5"/>
    <n v="37"/>
    <n v="0.14147193310126349"/>
    <n v="0.56923076923076921"/>
    <n v="27"/>
    <n v="0.22725398876973663"/>
    <n v="0.36486486486486486"/>
    <n v="36"/>
    <n v="1.4529611978461776E-2"/>
    <n v="0.48648648648648651"/>
    <n v="1"/>
    <n v="-0.31635596854896353"/>
    <n v="0.04"/>
    <m/>
    <m/>
    <m/>
    <m/>
    <m/>
    <m/>
    <m/>
    <m/>
    <m/>
    <n v="5"/>
    <n v="282"/>
    <n v="2"/>
    <n v="0"/>
    <n v="0"/>
    <n v="0"/>
    <n v="195850"/>
    <n v="2334960"/>
    <n v="15668"/>
    <n v="0"/>
    <n v="147"/>
    <n v="1151598"/>
    <n v="28232.469458371586"/>
    <n v="2"/>
    <n v="281"/>
    <n v="12"/>
    <n v="0"/>
    <n v="0"/>
    <n v="0"/>
    <n v="235020"/>
    <n v="2326680"/>
    <n v="94008"/>
    <n v="0"/>
    <n v="147"/>
    <n v="1151598"/>
    <n v="169394.81675022951"/>
    <n v="3"/>
    <n v="274"/>
    <n v="11"/>
    <n v="0"/>
    <n v="0"/>
    <n v="389412"/>
    <n v="2146516"/>
    <n v="86174"/>
    <n v="0"/>
    <n v="147"/>
    <n v="1151598"/>
    <n v="184781.51260504202"/>
    <n v="6"/>
    <n v="263"/>
    <n v="7"/>
    <n v="0"/>
    <n v="0"/>
    <n v="2177640"/>
    <n v="54838"/>
    <x v="0"/>
    <x v="0"/>
    <n v="147"/>
    <n v="1151598"/>
    <n v="117588.23529411765"/>
    <n v="30"/>
    <n v="162"/>
    <n v="30"/>
    <m/>
    <n v="0"/>
    <n v="0"/>
    <n v="1269108"/>
    <n v="248400"/>
    <x v="0"/>
    <n v="0"/>
    <n v="147"/>
    <n v="1151598"/>
    <n v="503949.57983193279"/>
    <n v="65"/>
    <n v="184"/>
    <n v="37"/>
    <m/>
    <n v="0"/>
    <n v="0"/>
    <n v="1441456"/>
    <n v="306360"/>
    <n v="0"/>
    <n v="0"/>
    <n v="184"/>
    <n v="1151598"/>
    <n v="621537.8151260505"/>
    <n v="74"/>
    <n v="174"/>
    <n v="27"/>
    <n v="0"/>
    <n v="0"/>
    <n v="0"/>
    <n v="1363116"/>
    <n v="223560"/>
    <n v="0"/>
    <n v="0"/>
    <n v="174"/>
    <n v="1151598"/>
    <n v="453554.62184873951"/>
    <n v="74"/>
    <n v="183"/>
    <n v="37"/>
    <n v="0"/>
    <n v="0"/>
    <n v="0"/>
    <n v="1433622"/>
    <n v="306360"/>
    <n v="0"/>
    <n v="0"/>
    <n v="183"/>
    <n v="1433622"/>
    <n v="621537.8151260505"/>
    <n v="25"/>
    <n v="148"/>
    <n v="0"/>
    <n v="0"/>
    <n v="0"/>
    <n v="0"/>
    <n v="1225440"/>
    <n v="0"/>
    <n v="0"/>
    <n v="0"/>
    <n v="147"/>
    <n v="1151598"/>
    <n v="0"/>
    <n v="0"/>
    <n v="148"/>
    <n v="0"/>
    <n v="0"/>
    <n v="0"/>
    <n v="0"/>
    <m/>
    <n v="1225440"/>
    <n v="0"/>
    <n v="0"/>
    <n v="0"/>
    <n v="148"/>
    <n v="1225440"/>
    <n v="0"/>
    <n v="0"/>
    <n v="148"/>
    <n v="0"/>
    <m/>
    <n v="0"/>
    <n v="0"/>
    <n v="1225440"/>
    <n v="0"/>
    <n v="0"/>
    <n v="0"/>
    <n v="148"/>
    <n v="1225440"/>
    <n v="0"/>
    <n v="0"/>
    <n v="148"/>
    <n v="0"/>
    <n v="0"/>
    <n v="0"/>
    <n v="1225440"/>
    <n v="0"/>
    <n v="0"/>
    <n v="0"/>
    <n v="148"/>
    <n v="1225440"/>
    <n v="0"/>
    <n v="0"/>
    <n v="148"/>
    <n v="0"/>
    <n v="0"/>
    <m/>
    <n v="1225440"/>
    <n v="0"/>
    <n v="0"/>
    <n v="148"/>
    <n v="1225440"/>
    <n v="0"/>
  </r>
  <r>
    <n v="3"/>
    <x v="4"/>
    <x v="21"/>
    <x v="53"/>
    <s v="LTW25-MFL01"/>
    <x v="557"/>
    <x v="413"/>
    <x v="0"/>
    <x v="0"/>
    <n v="1"/>
    <x v="359"/>
    <n v="152"/>
    <m/>
    <n v="0"/>
    <n v="7834"/>
    <n v="1190768"/>
    <n v="8"/>
    <n v="8740"/>
    <n v="16798.319327731093"/>
    <n v="12596.638655462186"/>
    <s v="Shenzhen"/>
    <x v="0"/>
    <n v="30"/>
    <m/>
    <n v="1"/>
    <n v="0"/>
    <s v=""/>
    <n v="0"/>
    <s v=""/>
    <n v="0"/>
    <s v=""/>
    <n v="0"/>
    <s v=""/>
    <n v="4"/>
    <n v="0.56624290578887637"/>
    <n v="29"/>
    <n v="0.45683517078312696"/>
    <n v="37"/>
    <n v="0.36321112200964722"/>
    <n v="8"/>
    <n v="0.33144742335041311"/>
    <n v="4"/>
    <n v="0.37809941611171433"/>
    <n v="21"/>
    <n v="0.46508331838257733"/>
    <n v="5"/>
    <n v="0.57609148466206783"/>
    <n v="3"/>
    <n v="0.62191727932304819"/>
    <n v="2"/>
    <n v="0.38218437536182109"/>
    <n v="4"/>
    <n v="0.35608285117373284"/>
    <n v="11"/>
    <n v="0.25413399039763729"/>
    <n v="5"/>
    <n v="0.23014795224347018"/>
    <n v="0.83333333333333337"/>
    <n v="16"/>
    <n v="0.41589536545728661"/>
    <n v="0.8"/>
    <n v="35"/>
    <n v="0.21445853242938034"/>
    <n v="0.7"/>
    <n v="43"/>
    <n v="0.2656891606122756"/>
    <n v="0.4942528735632184"/>
    <n v="39"/>
    <n v="4.6742335413064273E-2"/>
    <n v="0.44827586206896552"/>
    <n v="16"/>
    <n v="-9.3835875363345157E-4"/>
    <n v="0.55172413793103448"/>
    <m/>
    <m/>
    <m/>
    <m/>
    <m/>
    <m/>
    <m/>
    <m/>
    <m/>
    <n v="5"/>
    <n v="318"/>
    <n v="2"/>
    <n v="0"/>
    <n v="0"/>
    <n v="0"/>
    <n v="148846"/>
    <n v="2633040"/>
    <n v="15668"/>
    <n v="0"/>
    <n v="152"/>
    <n v="1190768"/>
    <n v="28232.469458371586"/>
    <n v="2"/>
    <n v="316"/>
    <n v="6"/>
    <n v="0"/>
    <n v="0"/>
    <n v="0"/>
    <n v="172348"/>
    <n v="2616480"/>
    <n v="47004"/>
    <n v="0"/>
    <n v="152"/>
    <n v="1190768"/>
    <n v="84697.408375114755"/>
    <n v="8"/>
    <n v="313"/>
    <n v="11"/>
    <n v="0"/>
    <n v="0"/>
    <n v="290944"/>
    <n v="2452042"/>
    <n v="86174"/>
    <n v="0"/>
    <n v="152"/>
    <n v="1190768"/>
    <n v="184781.51260504202"/>
    <n v="6"/>
    <n v="308"/>
    <n v="5"/>
    <n v="0"/>
    <n v="0"/>
    <n v="2550240"/>
    <n v="39170"/>
    <x v="0"/>
    <x v="0"/>
    <n v="152"/>
    <n v="1190768"/>
    <n v="83991.596638655465"/>
    <n v="20"/>
    <n v="168"/>
    <n v="20"/>
    <m/>
    <n v="0"/>
    <n v="0"/>
    <n v="1316112"/>
    <n v="165600"/>
    <x v="0"/>
    <n v="0"/>
    <n v="152"/>
    <n v="1190768"/>
    <n v="335966.38655462186"/>
    <n v="50"/>
    <n v="187"/>
    <n v="35"/>
    <m/>
    <n v="0"/>
    <n v="0"/>
    <n v="1464958"/>
    <n v="289800"/>
    <n v="0"/>
    <n v="0"/>
    <n v="187"/>
    <n v="1190768"/>
    <n v="587941.17647058819"/>
    <n v="87"/>
    <n v="195"/>
    <n v="43"/>
    <n v="0"/>
    <n v="0"/>
    <n v="0"/>
    <n v="1527630"/>
    <n v="356040"/>
    <n v="0"/>
    <n v="0"/>
    <n v="195"/>
    <n v="1190768"/>
    <n v="722327.73109243694"/>
    <n v="87"/>
    <n v="191"/>
    <n v="40"/>
    <n v="0"/>
    <n v="0"/>
    <n v="0"/>
    <n v="1496294"/>
    <n v="331200"/>
    <n v="0"/>
    <n v="0"/>
    <n v="191"/>
    <n v="1496294"/>
    <n v="671932.77310924372"/>
    <n v="29"/>
    <n v="168"/>
    <n v="22.5"/>
    <n v="0"/>
    <n v="0"/>
    <n v="0"/>
    <n v="1391040"/>
    <n v="186300"/>
    <n v="0"/>
    <n v="0"/>
    <n v="152"/>
    <n v="1190768"/>
    <n v="377962.18487394962"/>
    <n v="5"/>
    <n v="145.5"/>
    <n v="5"/>
    <n v="0"/>
    <n v="0"/>
    <n v="0"/>
    <m/>
    <n v="1204740"/>
    <n v="41400"/>
    <n v="0"/>
    <n v="0"/>
    <n v="145.5"/>
    <n v="1204740"/>
    <n v="62983.193277310929"/>
    <n v="0"/>
    <n v="140.5"/>
    <n v="0"/>
    <m/>
    <n v="0"/>
    <n v="0"/>
    <n v="1163340"/>
    <n v="0"/>
    <n v="0"/>
    <n v="0"/>
    <n v="140.5"/>
    <n v="1163340"/>
    <n v="0"/>
    <n v="0"/>
    <n v="140.5"/>
    <n v="0"/>
    <n v="0"/>
    <n v="0"/>
    <n v="1163340"/>
    <n v="0"/>
    <n v="0"/>
    <n v="0"/>
    <n v="140.5"/>
    <n v="1163340"/>
    <n v="0"/>
    <n v="0"/>
    <n v="140.5"/>
    <n v="0"/>
    <n v="0"/>
    <m/>
    <n v="1163340"/>
    <n v="0"/>
    <n v="0"/>
    <n v="140.5"/>
    <n v="1163340"/>
    <n v="0"/>
  </r>
  <r>
    <s v="Lhotse-Vestuario"/>
    <x v="4"/>
    <x v="21"/>
    <x v="53"/>
    <s v="LTW25-MFL01"/>
    <x v="558"/>
    <x v="413"/>
    <x v="0"/>
    <x v="0"/>
    <n v="1"/>
    <x v="360"/>
    <n v="176"/>
    <m/>
    <n v="0"/>
    <n v="7834"/>
    <n v="1378784"/>
    <n v="8"/>
    <n v="8740"/>
    <n v="16798.319327731093"/>
    <n v="12596.638655462186"/>
    <s v="Shenzhen"/>
    <x v="0"/>
    <n v="30"/>
    <m/>
    <n v="1"/>
    <n v="0"/>
    <s v=""/>
    <n v="0"/>
    <s v=""/>
    <n v="0"/>
    <s v=""/>
    <n v="0"/>
    <s v=""/>
    <n v="1"/>
    <n v="0.62695857142857148"/>
    <n v="6"/>
    <n v="0.34260420607102576"/>
    <n v="26"/>
    <n v="0.35305708620176623"/>
    <n v="1"/>
    <n v="0.37809837891927955"/>
    <n v="7"/>
    <n v="0.37809897160109451"/>
    <n v="19"/>
    <n v="0.46595868504796328"/>
    <n v="0"/>
    <s v=""/>
    <n v="2"/>
    <n v="0.57607078113585319"/>
    <n v="0"/>
    <s v=""/>
    <n v="2"/>
    <n v="0.45023992958462261"/>
    <n v="10"/>
    <n v="0.36791947492915789"/>
    <n v="3"/>
    <n v="0.18223429061972254"/>
    <n v="1"/>
    <n v="12"/>
    <n v="0.3090558777569839"/>
    <n v="1.2"/>
    <n v="13"/>
    <n v="0.224"/>
    <n v="0.26"/>
    <n v="24"/>
    <n v="0.24859790234449775"/>
    <n v="0.20512820512820512"/>
    <n v="22"/>
    <n v="3.271704481393379E-3"/>
    <n v="0.18803418803418803"/>
    <n v="10"/>
    <n v="5.516864954436871E-2"/>
    <n v="0.25641025641025639"/>
    <m/>
    <m/>
    <m/>
    <m/>
    <m/>
    <m/>
    <m/>
    <m/>
    <m/>
    <n v="5"/>
    <n v="415"/>
    <n v="2"/>
    <n v="0"/>
    <n v="0"/>
    <n v="0"/>
    <n v="117510"/>
    <n v="3436200"/>
    <n v="15668"/>
    <n v="0"/>
    <n v="176"/>
    <n v="1378784"/>
    <n v="28232.469458371586"/>
    <n v="2"/>
    <n v="416"/>
    <n v="3"/>
    <n v="0"/>
    <n v="0"/>
    <n v="0"/>
    <n v="125344"/>
    <n v="3444480"/>
    <n v="23502"/>
    <n v="0"/>
    <n v="176"/>
    <n v="1378784"/>
    <n v="42348.704187557378"/>
    <n v="3"/>
    <n v="415"/>
    <n v="10"/>
    <n v="0"/>
    <n v="0"/>
    <n v="184642"/>
    <n v="3251110"/>
    <n v="78340"/>
    <n v="0"/>
    <n v="176"/>
    <n v="1378784"/>
    <n v="167983.19327731093"/>
    <n v="3"/>
    <n v="408"/>
    <n v="3"/>
    <n v="0"/>
    <n v="0"/>
    <n v="3378240"/>
    <n v="23502"/>
    <x v="0"/>
    <x v="0"/>
    <n v="176"/>
    <n v="1378784"/>
    <n v="50394.957983193279"/>
    <n v="10"/>
    <n v="188"/>
    <n v="10"/>
    <m/>
    <n v="0"/>
    <n v="0"/>
    <n v="1472792"/>
    <n v="82800"/>
    <x v="0"/>
    <n v="0"/>
    <n v="176"/>
    <n v="1378784"/>
    <n v="167983.19327731093"/>
    <n v="50"/>
    <n v="189"/>
    <n v="13"/>
    <m/>
    <n v="0"/>
    <n v="0"/>
    <n v="1480626"/>
    <n v="107640"/>
    <n v="0"/>
    <n v="0"/>
    <n v="189"/>
    <n v="1378784"/>
    <n v="218378.15126050421"/>
    <n v="117"/>
    <n v="200"/>
    <n v="24"/>
    <n v="0"/>
    <n v="0"/>
    <n v="0"/>
    <n v="1566800"/>
    <n v="198720"/>
    <n v="0"/>
    <n v="0"/>
    <n v="200"/>
    <n v="1378784"/>
    <n v="403159.66386554623"/>
    <n v="117"/>
    <n v="198"/>
    <n v="22"/>
    <n v="0"/>
    <n v="0"/>
    <n v="0"/>
    <n v="1551132"/>
    <n v="182160"/>
    <n v="0"/>
    <n v="0"/>
    <n v="198"/>
    <n v="1551132"/>
    <n v="369563.02521008404"/>
    <n v="39"/>
    <n v="186"/>
    <n v="15"/>
    <n v="0"/>
    <n v="0"/>
    <n v="0"/>
    <n v="1540080"/>
    <n v="124200"/>
    <n v="0"/>
    <n v="0"/>
    <n v="176"/>
    <n v="1378784"/>
    <n v="251974.78991596639"/>
    <n v="5"/>
    <n v="171"/>
    <n v="5"/>
    <n v="0"/>
    <n v="0"/>
    <n v="0"/>
    <m/>
    <n v="1415880"/>
    <n v="41400"/>
    <n v="0"/>
    <n v="0"/>
    <n v="171"/>
    <n v="1415880"/>
    <n v="62983.193277310929"/>
    <n v="0"/>
    <n v="166"/>
    <n v="0"/>
    <m/>
    <n v="0"/>
    <n v="0"/>
    <n v="1374480"/>
    <n v="0"/>
    <n v="0"/>
    <n v="0"/>
    <n v="166"/>
    <n v="1374480"/>
    <n v="0"/>
    <n v="0"/>
    <n v="166"/>
    <n v="0"/>
    <n v="0"/>
    <n v="0"/>
    <n v="1374480"/>
    <n v="0"/>
    <n v="0"/>
    <n v="0"/>
    <n v="166"/>
    <n v="1374480"/>
    <n v="0"/>
    <n v="0"/>
    <n v="166"/>
    <n v="0"/>
    <n v="0"/>
    <m/>
    <n v="1374480"/>
    <n v="0"/>
    <n v="0"/>
    <n v="166"/>
    <n v="1374480"/>
    <n v="0"/>
  </r>
  <r>
    <s v="Lhotse-Vestuario"/>
    <x v="4"/>
    <x v="21"/>
    <x v="53"/>
    <s v="LTW25-MFL01"/>
    <x v="559"/>
    <x v="413"/>
    <x v="0"/>
    <x v="5"/>
    <n v="1"/>
    <x v="361"/>
    <n v="150"/>
    <m/>
    <n v="0"/>
    <n v="7834"/>
    <n v="1175100"/>
    <n v="8"/>
    <n v="8740"/>
    <n v="16798.319327731093"/>
    <n v="12596.638655462186"/>
    <s v="Shenzhen"/>
    <x v="0"/>
    <n v="30"/>
    <m/>
    <n v="1"/>
    <n v="0"/>
    <s v=""/>
    <n v="0"/>
    <s v=""/>
    <n v="0"/>
    <s v=""/>
    <n v="0"/>
    <s v=""/>
    <n v="2"/>
    <n v="0.58548759193608135"/>
    <n v="13"/>
    <n v="0.45202013539001057"/>
    <n v="44"/>
    <n v="0.30391605142127598"/>
    <n v="6"/>
    <n v="0.37810432544229627"/>
    <n v="4"/>
    <n v="0.50257699312517445"/>
    <n v="32"/>
    <n v="0.4751593466181504"/>
    <n v="3"/>
    <n v="0.52579911624059239"/>
    <n v="3"/>
    <n v="0.61142800456326574"/>
    <n v="0"/>
    <s v=""/>
    <n v="2"/>
    <n v="0.26028710554990703"/>
    <n v="2"/>
    <n v="0.19159743729289178"/>
    <n v="1"/>
    <n v="0.2495875383560901"/>
    <n v="0.25"/>
    <n v="11"/>
    <n v="0.3781817575434171"/>
    <n v="1.1000000000000001"/>
    <n v="11"/>
    <n v="0.18533666017204131"/>
    <n v="0.22"/>
    <n v="15"/>
    <n v="0.25691155370864371"/>
    <n v="0.14423076923076922"/>
    <n v="20"/>
    <n v="6.6492966759802551E-3"/>
    <n v="0.19230769230769232"/>
    <n v="2"/>
    <n v="0.20040108701530471"/>
    <n v="5.7142857142857141E-2"/>
    <m/>
    <m/>
    <m/>
    <m/>
    <m/>
    <m/>
    <m/>
    <m/>
    <m/>
    <n v="5"/>
    <n v="360"/>
    <n v="2"/>
    <n v="0"/>
    <n v="0"/>
    <n v="0"/>
    <n v="54838"/>
    <n v="2980800"/>
    <n v="15668"/>
    <n v="0"/>
    <n v="150"/>
    <n v="1175100"/>
    <n v="28232.469458371586"/>
    <n v="2"/>
    <n v="360"/>
    <n v="3"/>
    <n v="0"/>
    <n v="0"/>
    <n v="0"/>
    <n v="47004"/>
    <n v="2980800"/>
    <n v="23502"/>
    <n v="0"/>
    <n v="150"/>
    <n v="1175100"/>
    <n v="42348.704187557378"/>
    <n v="3"/>
    <n v="359"/>
    <n v="2"/>
    <n v="0"/>
    <n v="0"/>
    <n v="106302"/>
    <n v="2812406"/>
    <n v="15668"/>
    <n v="0"/>
    <n v="150"/>
    <n v="1175100"/>
    <n v="33596.638655462186"/>
    <n v="4"/>
    <n v="362"/>
    <n v="1"/>
    <n v="0"/>
    <n v="0"/>
    <n v="2997360"/>
    <n v="7834"/>
    <x v="0"/>
    <x v="0"/>
    <n v="150"/>
    <n v="1175100"/>
    <n v="16798.319327731093"/>
    <n v="10"/>
    <n v="161"/>
    <n v="10"/>
    <m/>
    <n v="0"/>
    <n v="0"/>
    <n v="1261274"/>
    <n v="82800"/>
    <x v="0"/>
    <n v="0"/>
    <n v="150"/>
    <n v="1175100"/>
    <n v="167983.19327731093"/>
    <n v="50"/>
    <n v="161"/>
    <n v="11"/>
    <m/>
    <n v="0"/>
    <n v="0"/>
    <n v="1261274"/>
    <n v="91080"/>
    <n v="0"/>
    <n v="0"/>
    <n v="161"/>
    <n v="1175100"/>
    <n v="184781.51260504202"/>
    <n v="104"/>
    <n v="165"/>
    <n v="15"/>
    <n v="0"/>
    <n v="0"/>
    <n v="0"/>
    <n v="1292610"/>
    <n v="124200"/>
    <n v="0"/>
    <n v="0"/>
    <n v="165"/>
    <n v="1175100"/>
    <n v="251974.78991596639"/>
    <n v="104"/>
    <n v="170"/>
    <n v="20"/>
    <n v="0"/>
    <n v="0"/>
    <n v="0"/>
    <n v="1331780"/>
    <n v="165600"/>
    <n v="0"/>
    <n v="0"/>
    <n v="170"/>
    <n v="1331780"/>
    <n v="335966.38655462186"/>
    <n v="35"/>
    <n v="152"/>
    <n v="1.5"/>
    <n v="0"/>
    <n v="0"/>
    <n v="0"/>
    <n v="1258560"/>
    <n v="12420"/>
    <n v="0"/>
    <n v="0"/>
    <n v="150"/>
    <n v="1175100"/>
    <n v="25197.478991596639"/>
    <n v="5"/>
    <n v="150.5"/>
    <n v="5"/>
    <n v="0"/>
    <n v="0"/>
    <n v="0"/>
    <m/>
    <n v="1246140"/>
    <n v="41400"/>
    <n v="0"/>
    <n v="0"/>
    <n v="150.5"/>
    <n v="1246140"/>
    <n v="62983.193277310929"/>
    <n v="0"/>
    <n v="145.5"/>
    <n v="0"/>
    <m/>
    <n v="0"/>
    <n v="0"/>
    <n v="1204740"/>
    <n v="0"/>
    <n v="0"/>
    <n v="0"/>
    <n v="145.5"/>
    <n v="1204740"/>
    <n v="0"/>
    <n v="0"/>
    <n v="145.5"/>
    <n v="0"/>
    <n v="0"/>
    <n v="0"/>
    <n v="1204740"/>
    <n v="0"/>
    <n v="0"/>
    <n v="0"/>
    <n v="145.5"/>
    <n v="1204740"/>
    <n v="0"/>
    <n v="0"/>
    <n v="145.5"/>
    <n v="0"/>
    <n v="0"/>
    <m/>
    <n v="1204740"/>
    <n v="0"/>
    <n v="0"/>
    <n v="145.5"/>
    <n v="1204740"/>
    <n v="0"/>
  </r>
  <r>
    <s v="Lhotse-Vestuario"/>
    <x v="4"/>
    <x v="21"/>
    <x v="53"/>
    <s v="LTW25-MTS02"/>
    <x v="560"/>
    <x v="414"/>
    <x v="0"/>
    <x v="2"/>
    <n v="1"/>
    <x v="362"/>
    <n v="30"/>
    <m/>
    <n v="0"/>
    <n v="5875"/>
    <n v="176250"/>
    <n v="6"/>
    <n v="6554.9999999999991"/>
    <n v="8394.957983193277"/>
    <n v="7554.6218487394963"/>
    <s v="Shenzhen"/>
    <x v="0"/>
    <n v="30"/>
    <m/>
    <n v="1"/>
    <n v="0"/>
    <s v=""/>
    <n v="0"/>
    <s v=""/>
    <n v="0"/>
    <s v=""/>
    <n v="0"/>
    <n v="0"/>
    <n v="2"/>
    <n v="0.55346963593524356"/>
    <n v="2"/>
    <n v="0.22240360010588547"/>
    <n v="8"/>
    <n v="0.24631173829377806"/>
    <n v="3"/>
    <n v="0.46179864141926319"/>
    <n v="2"/>
    <n v="0.31226221832016388"/>
    <n v="12"/>
    <n v="0.43492862467237881"/>
    <n v="0"/>
    <s v=""/>
    <n v="9"/>
    <n v="0.53363556982456761"/>
    <n v="13"/>
    <n v="0.1472137661297887"/>
    <n v="0"/>
    <s v=""/>
    <n v="2"/>
    <n v="0.50733754366213268"/>
    <n v="2"/>
    <n v="0.30017868365309974"/>
    <n v="0.66666666666666663"/>
    <n v="1"/>
    <n v="0.30018018018018017"/>
    <n v="0.2"/>
    <n v="1"/>
    <n v="0.22238042269187985"/>
    <n v="3.1746031746031744E-2"/>
    <n v="2"/>
    <n v="0.61987928878255671"/>
    <n v="0.13333333333333333"/>
    <n v="4"/>
    <n v="0.22504672274623988"/>
    <n v="0.26666666666666666"/>
    <n v="4"/>
    <n v="-0.20249257052351388"/>
    <n v="0.26666666666666666"/>
    <m/>
    <m/>
    <m/>
    <m/>
    <m/>
    <m/>
    <m/>
    <m/>
    <m/>
    <n v="6"/>
    <n v="47"/>
    <n v="3"/>
    <n v="0"/>
    <n v="0"/>
    <n v="0"/>
    <n v="29375"/>
    <n v="291869.99999999994"/>
    <n v="17625"/>
    <n v="0"/>
    <n v="30"/>
    <n v="176250"/>
    <n v="21163.759621495657"/>
    <n v="4"/>
    <n v="47"/>
    <n v="0"/>
    <n v="0"/>
    <n v="0"/>
    <n v="0"/>
    <n v="23500"/>
    <n v="291869.99999999994"/>
    <n v="0"/>
    <n v="0"/>
    <n v="30"/>
    <n v="176250"/>
    <n v="0"/>
    <n v="3"/>
    <n v="48"/>
    <n v="2"/>
    <n v="0"/>
    <n v="0"/>
    <n v="54550"/>
    <n v="282000"/>
    <n v="11750"/>
    <n v="0"/>
    <n v="30"/>
    <n v="176250"/>
    <n v="16789.915966386554"/>
    <n v="3"/>
    <n v="46"/>
    <n v="2"/>
    <n v="0"/>
    <n v="0"/>
    <n v="285659.99999999994"/>
    <n v="11750"/>
    <x v="0"/>
    <x v="0"/>
    <n v="30"/>
    <n v="176250"/>
    <n v="16789.915966386554"/>
    <n v="5"/>
    <n v="31"/>
    <n v="5"/>
    <m/>
    <n v="0"/>
    <n v="0"/>
    <n v="182125"/>
    <n v="31049.999999999996"/>
    <x v="0"/>
    <n v="0"/>
    <n v="30"/>
    <n v="176250"/>
    <n v="41974.789915966387"/>
    <n v="31.5"/>
    <n v="31"/>
    <n v="1"/>
    <m/>
    <n v="0"/>
    <n v="0"/>
    <n v="182125"/>
    <n v="6209.9999999999991"/>
    <n v="0"/>
    <n v="0"/>
    <n v="31"/>
    <n v="176250"/>
    <n v="8394.957983193277"/>
    <n v="15"/>
    <n v="32"/>
    <n v="2"/>
    <n v="0"/>
    <n v="0"/>
    <n v="0"/>
    <n v="188000"/>
    <n v="12419.999999999998"/>
    <n v="0"/>
    <n v="0"/>
    <n v="32"/>
    <n v="176250"/>
    <n v="16789.915966386554"/>
    <n v="15"/>
    <n v="34"/>
    <n v="4"/>
    <n v="0"/>
    <n v="0"/>
    <n v="0"/>
    <n v="199750"/>
    <n v="24839.999999999996"/>
    <n v="0"/>
    <n v="0"/>
    <n v="34"/>
    <n v="199750"/>
    <n v="33579.831932773108"/>
    <n v="15"/>
    <n v="34"/>
    <n v="4.5"/>
    <n v="0"/>
    <n v="0"/>
    <n v="0"/>
    <n v="211139.99999999997"/>
    <n v="27944.999999999996"/>
    <n v="0"/>
    <n v="0"/>
    <n v="30"/>
    <n v="176250"/>
    <n v="37777.310924369747"/>
    <n v="0"/>
    <n v="29.5"/>
    <n v="0"/>
    <n v="0"/>
    <n v="0"/>
    <n v="0"/>
    <m/>
    <n v="183194.99999999997"/>
    <n v="0"/>
    <n v="0"/>
    <n v="0"/>
    <n v="29.5"/>
    <n v="183194.99999999997"/>
    <n v="0"/>
    <n v="0"/>
    <n v="29.5"/>
    <n v="0"/>
    <m/>
    <n v="0"/>
    <n v="0"/>
    <n v="183194.99999999997"/>
    <n v="0"/>
    <n v="0"/>
    <n v="0"/>
    <n v="29.5"/>
    <n v="183194.99999999997"/>
    <n v="0"/>
    <n v="0"/>
    <n v="29.5"/>
    <n v="0"/>
    <n v="0"/>
    <n v="0"/>
    <n v="183194.99999999997"/>
    <n v="0"/>
    <n v="0"/>
    <n v="0"/>
    <n v="29.5"/>
    <n v="183194.99999999997"/>
    <n v="0"/>
    <n v="0"/>
    <n v="29.5"/>
    <n v="0"/>
    <n v="0"/>
    <m/>
    <n v="183194.99999999997"/>
    <n v="0"/>
    <n v="0"/>
    <n v="29.5"/>
    <n v="183194.99999999997"/>
    <n v="0"/>
  </r>
  <r>
    <m/>
    <x v="4"/>
    <x v="21"/>
    <x v="53"/>
    <s v="LTW25-MTS02"/>
    <x v="561"/>
    <x v="414"/>
    <x v="0"/>
    <x v="2"/>
    <n v="1"/>
    <x v="363"/>
    <n v="19"/>
    <m/>
    <n v="0"/>
    <n v="5875"/>
    <n v="111625"/>
    <n v="6"/>
    <n v="6554.9999999999991"/>
    <n v="8394.957983193277"/>
    <n v="7554.6218487394963"/>
    <s v="Shenzhen"/>
    <x v="0"/>
    <n v="30"/>
    <m/>
    <n v="1"/>
    <n v="0"/>
    <s v=""/>
    <n v="0"/>
    <s v=""/>
    <n v="0"/>
    <s v=""/>
    <n v="1"/>
    <n v="0.48176244872756141"/>
    <n v="0"/>
    <n v="1"/>
    <n v="1"/>
    <n v="0.46179919384389884"/>
    <n v="11"/>
    <n v="0.22903021843646731"/>
    <n v="2"/>
    <n v="0.41690238697831372"/>
    <n v="4"/>
    <n v="0.59451998067499479"/>
    <n v="10"/>
    <n v="0.53519098705655244"/>
    <n v="1"/>
    <n v="0.46179919384389884"/>
    <n v="5"/>
    <n v="0.46594793105955928"/>
    <n v="11"/>
    <n v="-2.0624848421565131E-2"/>
    <n v="1"/>
    <n v="0.61986414797467659"/>
    <n v="3"/>
    <n v="0.38784291414796923"/>
    <n v="3"/>
    <n v="0.30017868365309974"/>
    <n v="1"/>
    <n v="0"/>
    <s v=""/>
    <n v="0"/>
    <n v="2"/>
    <n v="-4.2689098998887648E-2"/>
    <n v="6.535947712418301E-2"/>
    <n v="2"/>
    <n v="0.61987928878255671"/>
    <n v="0.15384615384615385"/>
    <n v="8"/>
    <n v="0.23897178565072158"/>
    <n v="0.61538461538461542"/>
    <n v="7"/>
    <n v="6.1048853910886103E-2"/>
    <n v="0.53846153846153844"/>
    <m/>
    <m/>
    <m/>
    <m/>
    <m/>
    <m/>
    <m/>
    <m/>
    <m/>
    <n v="5"/>
    <n v="49"/>
    <n v="2"/>
    <n v="0"/>
    <n v="0"/>
    <n v="0"/>
    <n v="38187.5"/>
    <n v="304289.99999999994"/>
    <n v="11750"/>
    <n v="0"/>
    <n v="19"/>
    <n v="111625"/>
    <n v="14109.173080997105"/>
    <n v="2"/>
    <n v="45"/>
    <n v="1.5"/>
    <n v="0"/>
    <n v="0"/>
    <n v="0"/>
    <n v="44062.5"/>
    <n v="279449.99999999994"/>
    <n v="8812.5"/>
    <n v="0"/>
    <n v="19"/>
    <n v="111625"/>
    <n v="10581.879810747829"/>
    <n v="2"/>
    <n v="44"/>
    <n v="3"/>
    <n v="0"/>
    <n v="0"/>
    <n v="66300"/>
    <n v="258500"/>
    <n v="17625"/>
    <n v="0"/>
    <n v="19"/>
    <n v="111625"/>
    <n v="25184.873949579829"/>
    <n v="3"/>
    <n v="41"/>
    <n v="3"/>
    <n v="0"/>
    <n v="0"/>
    <n v="254609.99999999997"/>
    <n v="17625"/>
    <x v="0"/>
    <x v="0"/>
    <n v="19"/>
    <n v="111625"/>
    <n v="25184.873949579829"/>
    <n v="5"/>
    <n v="19"/>
    <n v="5"/>
    <m/>
    <n v="0"/>
    <n v="0"/>
    <n v="111625"/>
    <n v="31049.999999999996"/>
    <x v="0"/>
    <n v="0"/>
    <n v="19"/>
    <n v="111625"/>
    <n v="41974.789915966387"/>
    <n v="30.6"/>
    <n v="21"/>
    <n v="2"/>
    <m/>
    <n v="0"/>
    <n v="0"/>
    <n v="123375"/>
    <n v="12419.999999999998"/>
    <n v="0"/>
    <n v="0"/>
    <n v="21"/>
    <n v="111625"/>
    <n v="16789.915966386554"/>
    <n v="13"/>
    <n v="21"/>
    <n v="2"/>
    <n v="0"/>
    <n v="0"/>
    <n v="0"/>
    <n v="123375"/>
    <n v="12419.999999999998"/>
    <n v="0"/>
    <n v="0"/>
    <n v="21"/>
    <n v="111625"/>
    <n v="16789.915966386554"/>
    <n v="13"/>
    <n v="27"/>
    <n v="8"/>
    <n v="0"/>
    <n v="0"/>
    <n v="0"/>
    <n v="158625"/>
    <n v="49679.999999999993"/>
    <n v="0"/>
    <n v="0"/>
    <n v="27"/>
    <n v="158625"/>
    <n v="67159.663865546216"/>
    <n v="13"/>
    <n v="26"/>
    <n v="6"/>
    <n v="0"/>
    <n v="0"/>
    <n v="0"/>
    <n v="161459.99999999997"/>
    <n v="37259.999999999993"/>
    <n v="0"/>
    <n v="0"/>
    <n v="19"/>
    <n v="111625"/>
    <n v="50369.747899159658"/>
    <n v="0"/>
    <n v="20"/>
    <n v="0"/>
    <n v="0"/>
    <n v="0"/>
    <n v="0"/>
    <m/>
    <n v="124199.99999999999"/>
    <n v="0"/>
    <n v="0"/>
    <n v="0"/>
    <n v="20"/>
    <n v="124199.99999999999"/>
    <n v="0"/>
    <n v="0"/>
    <n v="20"/>
    <n v="0"/>
    <m/>
    <n v="0"/>
    <n v="0"/>
    <n v="124199.99999999999"/>
    <n v="0"/>
    <n v="0"/>
    <n v="0"/>
    <n v="20"/>
    <n v="124199.99999999999"/>
    <n v="0"/>
    <n v="0"/>
    <n v="20"/>
    <n v="0"/>
    <n v="0"/>
    <n v="0"/>
    <n v="124199.99999999999"/>
    <n v="0"/>
    <n v="0"/>
    <n v="0"/>
    <n v="20"/>
    <n v="124199.99999999999"/>
    <n v="0"/>
    <n v="0"/>
    <n v="20"/>
    <n v="0"/>
    <n v="0"/>
    <m/>
    <n v="124199.99999999999"/>
    <n v="0"/>
    <n v="0"/>
    <n v="20"/>
    <n v="124199.99999999999"/>
    <n v="0"/>
  </r>
  <r>
    <m/>
    <x v="4"/>
    <x v="21"/>
    <x v="53"/>
    <s v="LTW25-MTS02"/>
    <x v="562"/>
    <x v="414"/>
    <x v="0"/>
    <x v="2"/>
    <n v="1"/>
    <x v="364"/>
    <n v="12"/>
    <m/>
    <n v="0"/>
    <n v="5875"/>
    <n v="70500"/>
    <n v="6"/>
    <n v="6554.9999999999991"/>
    <n v="8394.957983193277"/>
    <n v="7554.6218487394963"/>
    <s v="Shenzhen"/>
    <x v="0"/>
    <n v="30"/>
    <m/>
    <n v="1"/>
    <n v="0"/>
    <s v=""/>
    <n v="0"/>
    <s v=""/>
    <n v="0"/>
    <s v=""/>
    <n v="0"/>
    <n v="0"/>
    <n v="0"/>
    <n v="0"/>
    <n v="1"/>
    <n v="0"/>
    <n v="10"/>
    <n v="0.30788261165506048"/>
    <n v="1"/>
    <n v="0.22236929185969556"/>
    <n v="5"/>
    <n v="0.46878729791312523"/>
    <n v="12"/>
    <n v="0.41287184782970787"/>
    <n v="0"/>
    <s v=""/>
    <n v="4"/>
    <n v="0.3398876404494382"/>
    <n v="23"/>
    <n v="-2.8308927618745205E-2"/>
    <n v="2"/>
    <n v="9.3399075187565336E-2"/>
    <n v="5"/>
    <n v="0.35782593768940757"/>
    <n v="3"/>
    <n v="0.15680235608295534"/>
    <n v="1"/>
    <n v="1"/>
    <n v="0.30018018018018017"/>
    <n v="0.2"/>
    <n v="2"/>
    <n v="0.11126938723620644"/>
    <n v="6.3492063492063489E-2"/>
    <n v="3"/>
    <n v="0.6198792887825566"/>
    <n v="0.3"/>
    <n v="3"/>
    <n v="-4.1120309347481704E-2"/>
    <n v="0.3"/>
    <n v="4"/>
    <n v="-0.2820817045967034"/>
    <n v="0.4"/>
    <m/>
    <m/>
    <m/>
    <m/>
    <m/>
    <m/>
    <m/>
    <m/>
    <m/>
    <n v="5"/>
    <n v="39"/>
    <n v="3"/>
    <n v="0"/>
    <n v="0"/>
    <n v="0"/>
    <n v="64625"/>
    <n v="242189.99999999997"/>
    <n v="17625"/>
    <n v="0"/>
    <n v="12"/>
    <n v="70500"/>
    <n v="21163.759621495657"/>
    <n v="2"/>
    <n v="38"/>
    <n v="3"/>
    <n v="0"/>
    <n v="0"/>
    <n v="0"/>
    <n v="64625"/>
    <n v="235979.99999999997"/>
    <n v="17625"/>
    <n v="0"/>
    <n v="12"/>
    <n v="70500"/>
    <n v="21163.759621495657"/>
    <n v="3"/>
    <n v="36"/>
    <n v="5"/>
    <n v="0"/>
    <n v="0"/>
    <n v="78050"/>
    <n v="211500"/>
    <n v="29375"/>
    <n v="0"/>
    <n v="12"/>
    <n v="70500"/>
    <n v="41974.789915966387"/>
    <n v="3"/>
    <n v="32"/>
    <n v="3"/>
    <n v="0"/>
    <n v="0"/>
    <n v="198719.99999999997"/>
    <n v="17625"/>
    <x v="0"/>
    <x v="0"/>
    <n v="12"/>
    <n v="70500"/>
    <n v="25184.873949579829"/>
    <n v="5"/>
    <n v="13"/>
    <n v="5"/>
    <m/>
    <n v="0"/>
    <n v="0"/>
    <n v="76375"/>
    <n v="31049.999999999996"/>
    <x v="0"/>
    <n v="0"/>
    <n v="12"/>
    <n v="70500"/>
    <n v="41974.789915966387"/>
    <n v="31.5"/>
    <n v="14"/>
    <n v="2"/>
    <m/>
    <n v="0"/>
    <n v="0"/>
    <n v="82250"/>
    <n v="12419.999999999998"/>
    <n v="0"/>
    <n v="0"/>
    <n v="14"/>
    <n v="70500"/>
    <n v="16789.915966386554"/>
    <n v="10"/>
    <n v="15"/>
    <n v="3"/>
    <n v="0"/>
    <n v="0"/>
    <n v="0"/>
    <n v="88125"/>
    <n v="18629.999999999996"/>
    <n v="0"/>
    <n v="0"/>
    <n v="15"/>
    <n v="70500"/>
    <n v="25184.873949579829"/>
    <n v="10"/>
    <n v="15"/>
    <n v="3"/>
    <n v="0"/>
    <n v="0"/>
    <n v="0"/>
    <n v="88125"/>
    <n v="18629.999999999996"/>
    <n v="0"/>
    <n v="0"/>
    <n v="15"/>
    <n v="88125"/>
    <n v="25184.873949579829"/>
    <n v="10"/>
    <n v="16"/>
    <n v="3"/>
    <n v="0"/>
    <n v="0"/>
    <n v="0"/>
    <n v="99359.999999999985"/>
    <n v="18629.999999999996"/>
    <n v="0"/>
    <n v="0"/>
    <n v="12"/>
    <n v="70500"/>
    <n v="25184.873949579829"/>
    <n v="0"/>
    <n v="13"/>
    <n v="0"/>
    <n v="0"/>
    <n v="0"/>
    <n v="0"/>
    <m/>
    <n v="80729.999999999985"/>
    <n v="0"/>
    <n v="0"/>
    <n v="0"/>
    <n v="13"/>
    <n v="80729.999999999985"/>
    <n v="0"/>
    <n v="0"/>
    <n v="13"/>
    <n v="0"/>
    <m/>
    <n v="0"/>
    <n v="0"/>
    <n v="80729.999999999985"/>
    <n v="0"/>
    <n v="0"/>
    <n v="0"/>
    <n v="13"/>
    <n v="80729.999999999985"/>
    <n v="0"/>
    <n v="0"/>
    <n v="13"/>
    <n v="0"/>
    <n v="0"/>
    <n v="0"/>
    <n v="80729.999999999985"/>
    <n v="0"/>
    <n v="0"/>
    <n v="0"/>
    <n v="13"/>
    <n v="80729.999999999985"/>
    <n v="0"/>
    <n v="0"/>
    <n v="13"/>
    <n v="0"/>
    <n v="0"/>
    <m/>
    <n v="80729.999999999985"/>
    <n v="0"/>
    <n v="0"/>
    <n v="13"/>
    <n v="80729.999999999985"/>
    <n v="0"/>
  </r>
  <r>
    <m/>
    <x v="4"/>
    <x v="21"/>
    <x v="53"/>
    <s v="LTW25-MTS02"/>
    <x v="563"/>
    <x v="414"/>
    <x v="0"/>
    <x v="2"/>
    <n v="1"/>
    <x v="365"/>
    <n v="27"/>
    <m/>
    <n v="0"/>
    <n v="5875"/>
    <n v="158625"/>
    <n v="6"/>
    <n v="6554.9999999999991"/>
    <n v="8394.957983193277"/>
    <n v="7554.6218487394963"/>
    <s v="Shenzhen"/>
    <x v="0"/>
    <n v="30"/>
    <m/>
    <n v="1"/>
    <n v="0"/>
    <s v=""/>
    <n v="0"/>
    <s v=""/>
    <n v="0"/>
    <s v=""/>
    <n v="0"/>
    <s v=""/>
    <n v="0"/>
    <n v="0"/>
    <n v="1"/>
    <n v="0.4169352121509326"/>
    <n v="6"/>
    <n v="0.22236929185969556"/>
    <n v="0"/>
    <n v="0.46179919384389884"/>
    <n v="1"/>
    <n v="0.36385350318471343"/>
    <n v="8"/>
    <n v="0.47694670420779683"/>
    <n v="1"/>
    <n v="0.46179919384389884"/>
    <n v="6"/>
    <n v="0.44509161891568538"/>
    <n v="5"/>
    <n v="-6.0737233682889941E-2"/>
    <n v="0"/>
    <s v=""/>
    <n v="2"/>
    <n v="0.42633407172366045"/>
    <n v="0"/>
    <s v=""/>
    <n v="0"/>
    <n v="0"/>
    <s v=""/>
    <n v="0"/>
    <n v="2"/>
    <n v="0.4534773091506078"/>
    <n v="9.5238095238095233E-2"/>
    <n v="1"/>
    <n v="0.22238042269187985"/>
    <n v="9.0909090909090912E-2"/>
    <n v="1"/>
    <n v="-6.2089303801158437E-2"/>
    <n v="9.0909090909090912E-2"/>
    <n v="1"/>
    <n v="0.31987194823554999"/>
    <n v="9.0909090909090912E-2"/>
    <m/>
    <m/>
    <m/>
    <m/>
    <m/>
    <m/>
    <m/>
    <m/>
    <m/>
    <n v="6"/>
    <n v="33"/>
    <n v="2"/>
    <n v="0"/>
    <n v="0"/>
    <n v="0"/>
    <n v="23500"/>
    <n v="204929.99999999997"/>
    <n v="11750"/>
    <n v="0"/>
    <n v="27"/>
    <n v="158625"/>
    <n v="14109.173080997105"/>
    <n v="4"/>
    <n v="32"/>
    <n v="0"/>
    <n v="0"/>
    <n v="0"/>
    <n v="0"/>
    <n v="11750"/>
    <n v="198719.99999999997"/>
    <n v="0"/>
    <n v="0"/>
    <n v="27"/>
    <n v="158625"/>
    <n v="0"/>
    <n v="3"/>
    <n v="34"/>
    <n v="2"/>
    <n v="0"/>
    <n v="0"/>
    <n v="42800"/>
    <n v="199750"/>
    <n v="11750"/>
    <n v="0"/>
    <n v="27"/>
    <n v="158625"/>
    <n v="16789.915966386554"/>
    <n v="3"/>
    <n v="32"/>
    <n v="0"/>
    <n v="0"/>
    <n v="0"/>
    <n v="198719.99999999997"/>
    <n v="0"/>
    <x v="0"/>
    <x v="0"/>
    <n v="27"/>
    <n v="158625"/>
    <n v="0"/>
    <n v="5"/>
    <n v="27"/>
    <n v="5"/>
    <m/>
    <n v="0"/>
    <n v="0"/>
    <n v="158625"/>
    <n v="31049.999999999996"/>
    <x v="0"/>
    <n v="0"/>
    <n v="27"/>
    <n v="158625"/>
    <n v="41974.789915966387"/>
    <n v="21"/>
    <n v="29"/>
    <n v="2"/>
    <m/>
    <n v="0"/>
    <n v="0"/>
    <n v="170375"/>
    <n v="12419.999999999998"/>
    <n v="0"/>
    <n v="0"/>
    <n v="29"/>
    <n v="158625"/>
    <n v="16789.915966386554"/>
    <n v="11"/>
    <n v="28"/>
    <n v="1"/>
    <n v="0"/>
    <n v="0"/>
    <n v="0"/>
    <n v="164500"/>
    <n v="6209.9999999999991"/>
    <n v="0"/>
    <n v="0"/>
    <n v="28"/>
    <n v="158625"/>
    <n v="8394.957983193277"/>
    <n v="11"/>
    <n v="28"/>
    <n v="1"/>
    <n v="0"/>
    <n v="0"/>
    <n v="0"/>
    <n v="164500"/>
    <n v="6209.9999999999991"/>
    <n v="0"/>
    <n v="0"/>
    <n v="28"/>
    <n v="164500"/>
    <n v="8394.957983193277"/>
    <n v="11"/>
    <n v="28"/>
    <n v="1.5"/>
    <n v="0"/>
    <n v="0"/>
    <n v="0"/>
    <n v="173879.99999999997"/>
    <n v="9314.9999999999982"/>
    <n v="0"/>
    <n v="0"/>
    <n v="27"/>
    <n v="158625"/>
    <n v="12592.436974789915"/>
    <n v="0"/>
    <n v="26.5"/>
    <n v="0"/>
    <n v="0"/>
    <n v="0"/>
    <n v="0"/>
    <m/>
    <n v="164564.99999999997"/>
    <n v="0"/>
    <n v="0"/>
    <n v="0"/>
    <n v="26.5"/>
    <n v="164564.99999999997"/>
    <n v="0"/>
    <n v="0"/>
    <n v="26.5"/>
    <n v="0"/>
    <m/>
    <n v="0"/>
    <n v="0"/>
    <n v="164564.99999999997"/>
    <n v="0"/>
    <n v="0"/>
    <n v="0"/>
    <n v="26.5"/>
    <n v="164564.99999999997"/>
    <n v="0"/>
    <n v="0"/>
    <n v="26.5"/>
    <n v="0"/>
    <n v="0"/>
    <n v="0"/>
    <n v="164564.99999999997"/>
    <n v="0"/>
    <n v="0"/>
    <n v="0"/>
    <n v="26.5"/>
    <n v="164564.99999999997"/>
    <n v="0"/>
    <n v="0"/>
    <n v="26.5"/>
    <n v="0"/>
    <n v="0"/>
    <m/>
    <n v="164564.99999999997"/>
    <n v="0"/>
    <n v="0"/>
    <n v="26.5"/>
    <n v="164564.99999999997"/>
    <n v="0"/>
  </r>
  <r>
    <m/>
    <x v="4"/>
    <x v="21"/>
    <x v="53"/>
    <s v="LTW25-MTS02"/>
    <x v="564"/>
    <x v="414"/>
    <x v="0"/>
    <x v="2"/>
    <n v="1"/>
    <x v="366"/>
    <n v="18"/>
    <m/>
    <n v="0"/>
    <n v="5875"/>
    <n v="105750"/>
    <n v="6"/>
    <n v="6554.9999999999991"/>
    <n v="8394.957983193277"/>
    <n v="7554.6218487394963"/>
    <s v="Shenzhen"/>
    <x v="0"/>
    <n v="30"/>
    <m/>
    <n v="1"/>
    <n v="0"/>
    <s v=""/>
    <n v="0"/>
    <s v=""/>
    <n v="0"/>
    <s v=""/>
    <n v="0"/>
    <s v=""/>
    <n v="1"/>
    <n v="0.24492331419758376"/>
    <n v="2"/>
    <n v="0.5760265569748142"/>
    <n v="6"/>
    <n v="0.27604690805282289"/>
    <n v="1"/>
    <n v="0.30022035614317194"/>
    <n v="2"/>
    <n v="0.50472709781236902"/>
    <n v="4"/>
    <n v="0.55409661872414706"/>
    <n v="0"/>
    <s v=""/>
    <n v="4"/>
    <n v="0.5073375262054507"/>
    <n v="6"/>
    <n v="-6.0737233682889941E-2"/>
    <n v="2"/>
    <n v="8.5033481272751024E-2"/>
    <n v="2"/>
    <n v="0.50733754366213268"/>
    <n v="0"/>
    <s v=""/>
    <n v="0"/>
    <n v="2"/>
    <n v="0.26332982086406742"/>
    <n v="0.4"/>
    <n v="1"/>
    <n v="-8.8819799777530586E-2"/>
    <n v="4.9019607843137261E-2"/>
    <n v="3"/>
    <n v="0.16683259176863183"/>
    <n v="0.375"/>
    <n v="2"/>
    <n v="-0.16607162326363906"/>
    <n v="0.25"/>
    <n v="0"/>
    <n v="2.8697899999999992"/>
    <n v="0"/>
    <m/>
    <m/>
    <m/>
    <m/>
    <m/>
    <m/>
    <m/>
    <m/>
    <m/>
    <n v="5"/>
    <n v="34"/>
    <n v="2"/>
    <n v="0"/>
    <n v="0"/>
    <n v="0"/>
    <n v="41125"/>
    <n v="211139.99999999997"/>
    <n v="11750"/>
    <n v="0"/>
    <n v="18"/>
    <n v="105750"/>
    <n v="14109.173080997105"/>
    <n v="2"/>
    <n v="30"/>
    <n v="3"/>
    <n v="0"/>
    <n v="0"/>
    <n v="0"/>
    <n v="29375"/>
    <n v="186299.99999999997"/>
    <n v="17625"/>
    <n v="0"/>
    <n v="18"/>
    <n v="105750"/>
    <n v="21163.759621495657"/>
    <n v="2"/>
    <n v="28"/>
    <n v="2"/>
    <n v="0"/>
    <n v="0"/>
    <n v="42800"/>
    <n v="164500"/>
    <n v="11750"/>
    <n v="0"/>
    <n v="18"/>
    <n v="105750"/>
    <n v="16789.915966386554"/>
    <n v="3"/>
    <n v="24"/>
    <n v="0"/>
    <n v="0"/>
    <n v="0"/>
    <n v="149039.99999999997"/>
    <n v="0"/>
    <x v="0"/>
    <x v="0"/>
    <n v="18"/>
    <n v="105750"/>
    <n v="0"/>
    <n v="5"/>
    <n v="20"/>
    <n v="5"/>
    <m/>
    <n v="0"/>
    <n v="0"/>
    <n v="117500"/>
    <n v="31049.999999999996"/>
    <x v="0"/>
    <n v="0"/>
    <n v="18"/>
    <n v="105750"/>
    <n v="41974.789915966387"/>
    <n v="20.399999999999999"/>
    <n v="19"/>
    <n v="1"/>
    <m/>
    <n v="0"/>
    <n v="0"/>
    <n v="111625"/>
    <n v="6209.9999999999991"/>
    <n v="0"/>
    <n v="0"/>
    <n v="19"/>
    <n v="105750"/>
    <n v="8394.957983193277"/>
    <n v="8"/>
    <n v="21"/>
    <n v="3"/>
    <n v="0"/>
    <n v="0"/>
    <n v="0"/>
    <n v="123375"/>
    <n v="18629.999999999996"/>
    <n v="0"/>
    <n v="0"/>
    <n v="21"/>
    <n v="105750"/>
    <n v="25184.873949579829"/>
    <n v="8"/>
    <n v="20"/>
    <n v="2"/>
    <n v="0"/>
    <n v="0"/>
    <n v="0"/>
    <n v="117500"/>
    <n v="12419.999999999998"/>
    <n v="0"/>
    <n v="0"/>
    <n v="20"/>
    <n v="117500"/>
    <n v="16789.915966386554"/>
    <n v="8"/>
    <n v="18"/>
    <n v="0"/>
    <n v="0"/>
    <n v="0"/>
    <n v="0"/>
    <n v="111779.99999999999"/>
    <n v="0"/>
    <n v="0"/>
    <n v="0"/>
    <n v="18"/>
    <n v="105750"/>
    <n v="0"/>
    <n v="0"/>
    <n v="18"/>
    <n v="0"/>
    <n v="0"/>
    <n v="0"/>
    <n v="0"/>
    <m/>
    <n v="111779.99999999999"/>
    <n v="0"/>
    <n v="0"/>
    <n v="0"/>
    <n v="18"/>
    <n v="111779.99999999999"/>
    <n v="0"/>
    <n v="0"/>
    <n v="18"/>
    <n v="0"/>
    <m/>
    <n v="0"/>
    <n v="0"/>
    <n v="111779.99999999999"/>
    <n v="0"/>
    <n v="0"/>
    <n v="0"/>
    <n v="18"/>
    <n v="111779.99999999999"/>
    <n v="0"/>
    <n v="0"/>
    <n v="18"/>
    <n v="0"/>
    <n v="0"/>
    <n v="0"/>
    <n v="111779.99999999999"/>
    <n v="0"/>
    <n v="0"/>
    <n v="0"/>
    <n v="18"/>
    <n v="111779.99999999999"/>
    <n v="0"/>
    <n v="0"/>
    <n v="18"/>
    <n v="0"/>
    <n v="0"/>
    <m/>
    <n v="111779.99999999999"/>
    <n v="0"/>
    <n v="0"/>
    <n v="18"/>
    <n v="111779.99999999999"/>
    <n v="0"/>
  </r>
  <r>
    <m/>
    <x v="4"/>
    <x v="21"/>
    <x v="53"/>
    <s v="LTW25-MTS02"/>
    <x v="565"/>
    <x v="414"/>
    <x v="0"/>
    <x v="2"/>
    <n v="1"/>
    <x v="367"/>
    <n v="29"/>
    <m/>
    <n v="0"/>
    <n v="5875"/>
    <n v="170375"/>
    <n v="6"/>
    <n v="6554.9999999999991"/>
    <n v="8394.957983193277"/>
    <n v="7554.6218487394963"/>
    <s v="Shenzhen"/>
    <x v="0"/>
    <n v="30"/>
    <m/>
    <n v="1"/>
    <n v="0"/>
    <s v=""/>
    <n v="0"/>
    <s v=""/>
    <n v="0"/>
    <s v=""/>
    <n v="0"/>
    <n v="0"/>
    <n v="1"/>
    <n v="0.31731691020538594"/>
    <n v="0"/>
    <n v="0.46179919384389884"/>
    <n v="0"/>
    <n v="0.46179919384389884"/>
    <n v="2"/>
    <n v="0.36383324309691389"/>
    <n v="2"/>
    <n v="0.56955440530627899"/>
    <n v="6"/>
    <n v="0.36870948099860312"/>
    <n v="1"/>
    <n v="0.20002723311546841"/>
    <n v="5"/>
    <n v="0.58164209926653854"/>
    <n v="11"/>
    <n v="-2.6043522400754537E-2"/>
    <n v="3"/>
    <n v="0.17008051800720433"/>
    <n v="3"/>
    <n v="0.36342558506893652"/>
    <n v="0"/>
    <s v=""/>
    <n v="0"/>
    <n v="0"/>
    <s v=""/>
    <n v="0"/>
    <n v="3"/>
    <n v="5.5689655172413796E-2"/>
    <n v="0.14285714285714285"/>
    <n v="1"/>
    <n v="0.22238042269187985"/>
    <n v="8.3333333333333329E-2"/>
    <n v="2"/>
    <n v="-9.1834944121761852E-2"/>
    <n v="0.16666666666666666"/>
    <n v="0"/>
    <s v=""/>
    <n v="0"/>
    <m/>
    <m/>
    <m/>
    <m/>
    <m/>
    <m/>
    <m/>
    <m/>
    <m/>
    <n v="5"/>
    <n v="42"/>
    <n v="3"/>
    <n v="0"/>
    <n v="0"/>
    <n v="0"/>
    <n v="61687.5"/>
    <n v="260819.99999999997"/>
    <n v="17625"/>
    <n v="0"/>
    <n v="29"/>
    <n v="170375"/>
    <n v="21163.759621495657"/>
    <n v="3"/>
    <n v="41"/>
    <n v="4.5"/>
    <n v="0"/>
    <n v="0"/>
    <n v="0"/>
    <n v="44062.5"/>
    <n v="254609.99999999997"/>
    <n v="26437.5"/>
    <n v="0"/>
    <n v="29"/>
    <n v="170375"/>
    <n v="31745.639432243486"/>
    <n v="3"/>
    <n v="38"/>
    <n v="3"/>
    <n v="0"/>
    <n v="0"/>
    <n v="48675"/>
    <n v="223250"/>
    <n v="17625"/>
    <n v="0"/>
    <n v="29"/>
    <n v="170375"/>
    <n v="25184.873949579829"/>
    <n v="3"/>
    <n v="36"/>
    <n v="0"/>
    <n v="0"/>
    <n v="0"/>
    <n v="223559.99999999997"/>
    <n v="0"/>
    <x v="0"/>
    <x v="0"/>
    <n v="29"/>
    <n v="170375"/>
    <n v="0"/>
    <n v="5"/>
    <n v="29"/>
    <n v="5"/>
    <m/>
    <n v="0"/>
    <n v="0"/>
    <n v="170375"/>
    <n v="31049.999999999996"/>
    <x v="0"/>
    <n v="0"/>
    <n v="29"/>
    <n v="170375"/>
    <n v="41974.789915966387"/>
    <n v="21"/>
    <n v="32"/>
    <n v="3"/>
    <m/>
    <n v="0"/>
    <n v="0"/>
    <n v="188000"/>
    <n v="18629.999999999996"/>
    <n v="0"/>
    <n v="0"/>
    <n v="32"/>
    <n v="170375"/>
    <n v="25184.873949579829"/>
    <n v="12"/>
    <n v="30"/>
    <n v="1"/>
    <n v="0"/>
    <n v="0"/>
    <n v="0"/>
    <n v="176250"/>
    <n v="6209.9999999999991"/>
    <n v="0"/>
    <n v="0"/>
    <n v="30"/>
    <n v="170375"/>
    <n v="8394.957983193277"/>
    <n v="12"/>
    <n v="31"/>
    <n v="2"/>
    <n v="0"/>
    <n v="0"/>
    <n v="0"/>
    <n v="182125"/>
    <n v="12419.999999999998"/>
    <n v="0"/>
    <n v="0"/>
    <n v="31"/>
    <n v="182125"/>
    <n v="16789.915966386554"/>
    <n v="12"/>
    <n v="29"/>
    <n v="0"/>
    <n v="0"/>
    <n v="0"/>
    <n v="0"/>
    <n v="180089.99999999997"/>
    <n v="0"/>
    <n v="0"/>
    <n v="0"/>
    <n v="29"/>
    <n v="170375"/>
    <n v="0"/>
    <n v="0"/>
    <n v="29"/>
    <n v="0"/>
    <n v="0"/>
    <n v="0"/>
    <n v="0"/>
    <m/>
    <n v="180089.99999999997"/>
    <n v="0"/>
    <n v="0"/>
    <n v="0"/>
    <n v="29"/>
    <n v="180089.99999999997"/>
    <n v="0"/>
    <n v="0"/>
    <n v="29"/>
    <n v="0"/>
    <m/>
    <n v="0"/>
    <n v="0"/>
    <n v="180089.99999999997"/>
    <n v="0"/>
    <n v="0"/>
    <n v="0"/>
    <n v="29"/>
    <n v="180089.99999999997"/>
    <n v="0"/>
    <n v="0"/>
    <n v="29"/>
    <n v="0"/>
    <n v="0"/>
    <n v="0"/>
    <n v="180089.99999999997"/>
    <n v="0"/>
    <n v="0"/>
    <n v="0"/>
    <n v="29"/>
    <n v="180089.99999999997"/>
    <n v="0"/>
    <n v="0"/>
    <n v="29"/>
    <n v="0"/>
    <n v="0"/>
    <m/>
    <n v="180089.99999999997"/>
    <n v="0"/>
    <n v="0"/>
    <n v="29"/>
    <n v="180089.99999999997"/>
    <n v="0"/>
  </r>
  <r>
    <m/>
    <x v="4"/>
    <x v="21"/>
    <x v="53"/>
    <s v="LTW25-MTS02"/>
    <x v="566"/>
    <x v="414"/>
    <x v="0"/>
    <x v="2"/>
    <n v="1"/>
    <x v="31"/>
    <n v="27"/>
    <m/>
    <n v="0"/>
    <n v="5875"/>
    <n v="158625"/>
    <n v="6"/>
    <n v="6554.9999999999991"/>
    <n v="8394.957983193277"/>
    <n v="7554.6218487394963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1"/>
    <n v="0.59451998067499479"/>
    <n v="0"/>
    <s v="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1"/>
    <n v="-3.4992490613266591E-2"/>
    <n v="0.1"/>
    <m/>
    <m/>
    <m/>
    <m/>
    <m/>
    <m/>
    <m/>
    <m/>
    <m/>
    <n v="5"/>
    <n v="28"/>
    <n v="2"/>
    <n v="0"/>
    <n v="0"/>
    <n v="0"/>
    <n v="11750"/>
    <n v="173879.99999999997"/>
    <n v="11750"/>
    <n v="0"/>
    <n v="27"/>
    <n v="158625"/>
    <n v="14109.173080997105"/>
    <n v="4"/>
    <n v="29"/>
    <n v="0"/>
    <n v="0"/>
    <n v="0"/>
    <n v="0"/>
    <n v="0"/>
    <n v="180089.99999999997"/>
    <n v="0"/>
    <n v="0"/>
    <n v="27"/>
    <n v="158625"/>
    <n v="0"/>
    <n v="3"/>
    <n v="29"/>
    <n v="0"/>
    <n v="0"/>
    <n v="0"/>
    <n v="31049.999999999996"/>
    <n v="170375"/>
    <n v="0"/>
    <n v="0"/>
    <n v="27"/>
    <n v="158625"/>
    <n v="0"/>
    <n v="3"/>
    <n v="27"/>
    <n v="0"/>
    <n v="0"/>
    <n v="0"/>
    <n v="167669.99999999997"/>
    <n v="0"/>
    <x v="0"/>
    <x v="0"/>
    <n v="27"/>
    <n v="158625"/>
    <n v="0"/>
    <n v="5"/>
    <n v="27"/>
    <n v="5"/>
    <m/>
    <n v="0"/>
    <n v="0"/>
    <n v="158625"/>
    <n v="31049.999999999996"/>
    <x v="0"/>
    <n v="0"/>
    <n v="27"/>
    <n v="158625"/>
    <n v="41974.789915966387"/>
    <n v="10.5"/>
    <n v="27"/>
    <n v="0"/>
    <m/>
    <n v="0"/>
    <n v="0"/>
    <n v="158625"/>
    <n v="0"/>
    <n v="0"/>
    <n v="0"/>
    <n v="27"/>
    <n v="158625"/>
    <n v="0"/>
    <n v="10"/>
    <n v="27"/>
    <n v="0"/>
    <n v="0"/>
    <n v="0"/>
    <n v="0"/>
    <n v="158625"/>
    <n v="0"/>
    <n v="0"/>
    <n v="0"/>
    <n v="27"/>
    <n v="158625"/>
    <n v="0"/>
    <n v="10"/>
    <n v="27"/>
    <n v="0"/>
    <n v="0"/>
    <n v="0"/>
    <n v="0"/>
    <n v="158625"/>
    <n v="0"/>
    <n v="0"/>
    <n v="0"/>
    <n v="27"/>
    <n v="158625"/>
    <n v="0"/>
    <n v="10"/>
    <n v="28"/>
    <n v="1.5"/>
    <n v="0"/>
    <n v="0"/>
    <n v="0"/>
    <n v="173879.99999999997"/>
    <n v="9314.9999999999982"/>
    <n v="0"/>
    <n v="0"/>
    <n v="27"/>
    <n v="158625"/>
    <n v="12592.436974789915"/>
    <n v="0"/>
    <n v="26.5"/>
    <n v="0"/>
    <n v="0"/>
    <n v="0"/>
    <n v="0"/>
    <m/>
    <n v="164564.99999999997"/>
    <n v="0"/>
    <n v="0"/>
    <n v="0"/>
    <n v="26.5"/>
    <n v="164564.99999999997"/>
    <n v="0"/>
    <n v="0"/>
    <n v="26.5"/>
    <n v="0"/>
    <m/>
    <n v="0"/>
    <n v="0"/>
    <n v="164564.99999999997"/>
    <n v="0"/>
    <n v="0"/>
    <n v="0"/>
    <n v="26.5"/>
    <n v="164564.99999999997"/>
    <n v="0"/>
    <n v="0"/>
    <n v="26.5"/>
    <n v="0"/>
    <n v="0"/>
    <n v="0"/>
    <n v="164564.99999999997"/>
    <n v="0"/>
    <n v="0"/>
    <n v="0"/>
    <n v="26.5"/>
    <n v="164564.99999999997"/>
    <n v="0"/>
    <n v="0"/>
    <n v="26.5"/>
    <n v="0"/>
    <n v="0"/>
    <m/>
    <n v="164564.99999999997"/>
    <n v="0"/>
    <n v="0"/>
    <n v="26.5"/>
    <n v="164564.99999999997"/>
    <n v="0"/>
  </r>
  <r>
    <s v="Lhotse-Vestuario"/>
    <x v="4"/>
    <x v="21"/>
    <x v="53"/>
    <s v="LTW25-MTS02"/>
    <x v="567"/>
    <x v="414"/>
    <x v="0"/>
    <x v="2"/>
    <n v="1"/>
    <x v="31"/>
    <n v="20"/>
    <m/>
    <n v="0"/>
    <n v="5875"/>
    <n v="117500"/>
    <n v="6"/>
    <n v="6554.9999999999991"/>
    <n v="8394.957983193277"/>
    <n v="7554.6218487394963"/>
    <s v="Shenzhen"/>
    <x v="0"/>
    <n v="30"/>
    <m/>
    <n v="1"/>
    <n v="0"/>
    <s v=""/>
    <n v="0"/>
    <s v=""/>
    <n v="0"/>
    <s v=""/>
    <n v="0"/>
    <s v=""/>
    <n v="0"/>
    <s v=""/>
    <n v="0"/>
    <s v=""/>
    <n v="1"/>
    <n v="0.46179919384389884"/>
    <n v="0"/>
    <n v="0"/>
    <n v="1"/>
    <n v="0.59451998067499479"/>
    <n v="1"/>
    <n v="0.59451998067499479"/>
    <n v="0"/>
    <s v=""/>
    <n v="2"/>
    <n v="0.61986412164348104"/>
    <n v="1"/>
    <n v="-6.0737233682889941E-2"/>
    <n v="0"/>
    <s v=""/>
    <n v="1"/>
    <n v="6.6867850513043836E-2"/>
    <n v="0"/>
    <s v=""/>
    <n v="0"/>
    <n v="0"/>
    <s v=""/>
    <n v="0"/>
    <n v="0"/>
    <s v=""/>
    <n v="0"/>
    <n v="0"/>
    <s v=""/>
    <n v="0"/>
    <n v="0"/>
    <s v=""/>
    <n v="0"/>
    <n v="2"/>
    <n v="-0.15402916109575088"/>
    <n v="0.2857142857142857"/>
    <m/>
    <m/>
    <m/>
    <m/>
    <m/>
    <m/>
    <m/>
    <m/>
    <m/>
    <n v="5"/>
    <n v="22"/>
    <n v="2"/>
    <n v="0"/>
    <n v="0"/>
    <n v="0"/>
    <n v="17625"/>
    <n v="136619.99999999997"/>
    <n v="11750"/>
    <n v="0"/>
    <n v="20"/>
    <n v="117500"/>
    <n v="14109.173080997105"/>
    <n v="2"/>
    <n v="23"/>
    <n v="0"/>
    <n v="0"/>
    <n v="0"/>
    <n v="0"/>
    <n v="5875"/>
    <n v="142829.99999999997"/>
    <n v="0"/>
    <n v="0"/>
    <n v="20"/>
    <n v="117500"/>
    <n v="0"/>
    <n v="2"/>
    <n v="23"/>
    <n v="1"/>
    <n v="0"/>
    <n v="0"/>
    <n v="36925"/>
    <n v="135125"/>
    <n v="5875"/>
    <n v="0"/>
    <n v="20"/>
    <n v="117500"/>
    <n v="8394.957983193277"/>
    <n v="3"/>
    <n v="20"/>
    <n v="0"/>
    <n v="0"/>
    <n v="0"/>
    <n v="124199.99999999999"/>
    <n v="0"/>
    <x v="0"/>
    <x v="0"/>
    <n v="20"/>
    <n v="117500"/>
    <n v="0"/>
    <n v="5"/>
    <n v="20"/>
    <n v="5"/>
    <m/>
    <n v="0"/>
    <n v="0"/>
    <n v="117500"/>
    <n v="31049.999999999996"/>
    <x v="0"/>
    <n v="0"/>
    <n v="20"/>
    <n v="117500"/>
    <n v="41974.789915966387"/>
    <n v="10.199999999999999"/>
    <n v="20"/>
    <n v="0"/>
    <m/>
    <n v="0"/>
    <n v="0"/>
    <n v="117500"/>
    <n v="0"/>
    <n v="0"/>
    <n v="0"/>
    <n v="20"/>
    <n v="117500"/>
    <n v="0"/>
    <n v="7"/>
    <n v="20"/>
    <n v="0"/>
    <n v="0"/>
    <n v="0"/>
    <n v="0"/>
    <n v="117500"/>
    <n v="0"/>
    <n v="0"/>
    <n v="0"/>
    <n v="20"/>
    <n v="117500"/>
    <n v="0"/>
    <n v="7"/>
    <n v="20"/>
    <n v="0"/>
    <n v="0"/>
    <n v="0"/>
    <n v="0"/>
    <n v="117500"/>
    <n v="0"/>
    <n v="0"/>
    <n v="0"/>
    <n v="20"/>
    <n v="117500"/>
    <n v="0"/>
    <n v="7"/>
    <n v="22"/>
    <n v="3"/>
    <n v="0"/>
    <n v="0"/>
    <n v="0"/>
    <n v="136619.99999999997"/>
    <n v="18629.999999999996"/>
    <n v="0"/>
    <n v="0"/>
    <n v="20"/>
    <n v="117500"/>
    <n v="25184.873949579829"/>
    <n v="0"/>
    <n v="19"/>
    <n v="0"/>
    <n v="0"/>
    <n v="0"/>
    <n v="0"/>
    <m/>
    <n v="117989.99999999999"/>
    <n v="0"/>
    <n v="0"/>
    <n v="0"/>
    <n v="19"/>
    <n v="117989.99999999999"/>
    <n v="0"/>
    <n v="0"/>
    <n v="19"/>
    <n v="0"/>
    <m/>
    <n v="0"/>
    <n v="0"/>
    <n v="117989.99999999999"/>
    <n v="0"/>
    <n v="0"/>
    <n v="0"/>
    <n v="19"/>
    <n v="117989.99999999999"/>
    <n v="0"/>
    <n v="0"/>
    <n v="19"/>
    <n v="0"/>
    <n v="0"/>
    <n v="0"/>
    <n v="117989.99999999999"/>
    <n v="0"/>
    <n v="0"/>
    <n v="0"/>
    <n v="19"/>
    <n v="117989.99999999999"/>
    <n v="0"/>
    <n v="0"/>
    <n v="19"/>
    <n v="0"/>
    <n v="0"/>
    <m/>
    <n v="117989.99999999999"/>
    <n v="0"/>
    <n v="0"/>
    <n v="19"/>
    <n v="117989.99999999999"/>
    <n v="0"/>
  </r>
  <r>
    <s v="Lhotse-Vestuario"/>
    <x v="4"/>
    <x v="21"/>
    <x v="53"/>
    <s v="LTW25-MTS02"/>
    <x v="568"/>
    <x v="414"/>
    <x v="0"/>
    <x v="2"/>
    <n v="1"/>
    <x v="31"/>
    <n v="17"/>
    <m/>
    <n v="0"/>
    <n v="5875"/>
    <n v="99875"/>
    <n v="6"/>
    <n v="6554.9999999999991"/>
    <n v="8394.957983193277"/>
    <n v="7554.6218487394963"/>
    <s v="Shenzhen"/>
    <x v="0"/>
    <n v="30"/>
    <m/>
    <n v="1"/>
    <n v="0"/>
    <s v=""/>
    <n v="0"/>
    <s v=""/>
    <n v="0"/>
    <s v=""/>
    <n v="0"/>
    <s v=""/>
    <n v="0"/>
    <s v=""/>
    <n v="0"/>
    <s v=""/>
    <n v="0"/>
    <s v=""/>
    <n v="0"/>
    <s v=""/>
    <n v="1"/>
    <n v="0.59451998067499479"/>
    <n v="5"/>
    <n v="0"/>
    <n v="1"/>
    <n v="0.23112158094490251"/>
    <n v="1"/>
    <n v="0.61986412164348104"/>
    <n v="6"/>
    <n v="0.1430208272233025"/>
    <n v="0"/>
    <s v=""/>
    <n v="0"/>
    <s v=""/>
    <n v="1"/>
    <n v="6.4043729033703603E-2"/>
    <n v="0.33333333333333331"/>
    <n v="0"/>
    <s v=""/>
    <n v="0"/>
    <n v="0"/>
    <s v=""/>
    <n v="0"/>
    <n v="0"/>
    <s v=""/>
    <n v="0"/>
    <n v="0"/>
    <s v=""/>
    <n v="0"/>
    <n v="1"/>
    <n v="-0.20019899874843547"/>
    <n v="0.16666666666666666"/>
    <m/>
    <m/>
    <m/>
    <m/>
    <m/>
    <m/>
    <m/>
    <m/>
    <m/>
    <n v="5"/>
    <n v="18"/>
    <n v="2"/>
    <n v="0"/>
    <n v="0"/>
    <n v="0"/>
    <n v="11750"/>
    <n v="111779.99999999999"/>
    <n v="11750"/>
    <n v="0"/>
    <n v="17"/>
    <n v="99875"/>
    <n v="14109.173080997105"/>
    <n v="3"/>
    <n v="19"/>
    <n v="0"/>
    <n v="0"/>
    <n v="0"/>
    <n v="0"/>
    <n v="5875"/>
    <n v="117989.99999999999"/>
    <n v="0"/>
    <n v="0"/>
    <n v="17"/>
    <n v="99875"/>
    <n v="0"/>
    <n v="3"/>
    <n v="19"/>
    <n v="0"/>
    <n v="0"/>
    <n v="0"/>
    <n v="36925"/>
    <n v="111625"/>
    <n v="0"/>
    <n v="0"/>
    <n v="17"/>
    <n v="99875"/>
    <n v="0"/>
    <n v="3"/>
    <n v="19"/>
    <n v="1"/>
    <n v="0"/>
    <n v="0"/>
    <n v="117989.99999999999"/>
    <n v="5875"/>
    <x v="0"/>
    <x v="0"/>
    <n v="17"/>
    <n v="99875"/>
    <n v="8394.957983193277"/>
    <n v="5"/>
    <n v="17"/>
    <n v="5"/>
    <m/>
    <n v="0"/>
    <n v="0"/>
    <n v="99875"/>
    <n v="31049.999999999996"/>
    <x v="0"/>
    <n v="0"/>
    <n v="17"/>
    <n v="99875"/>
    <n v="41974.789915966387"/>
    <n v="10.5"/>
    <n v="17"/>
    <n v="0"/>
    <m/>
    <n v="0"/>
    <n v="0"/>
    <n v="99875"/>
    <n v="0"/>
    <n v="0"/>
    <n v="0"/>
    <n v="17"/>
    <n v="99875"/>
    <n v="0"/>
    <n v="6"/>
    <n v="17"/>
    <n v="0"/>
    <n v="0"/>
    <n v="0"/>
    <n v="0"/>
    <n v="99875"/>
    <n v="0"/>
    <n v="0"/>
    <n v="0"/>
    <n v="17"/>
    <n v="99875"/>
    <n v="0"/>
    <n v="6"/>
    <n v="17"/>
    <n v="0"/>
    <n v="0"/>
    <n v="0"/>
    <n v="0"/>
    <n v="99875"/>
    <n v="0"/>
    <n v="0"/>
    <n v="0"/>
    <n v="17"/>
    <n v="99875"/>
    <n v="0"/>
    <n v="6"/>
    <n v="18"/>
    <n v="1.5"/>
    <n v="0"/>
    <n v="0"/>
    <n v="0"/>
    <n v="111779.99999999999"/>
    <n v="9314.9999999999982"/>
    <n v="0"/>
    <n v="0"/>
    <n v="17"/>
    <n v="99875"/>
    <n v="12592.436974789915"/>
    <n v="0"/>
    <n v="16.5"/>
    <n v="0"/>
    <n v="0"/>
    <n v="0"/>
    <n v="0"/>
    <m/>
    <n v="102464.99999999999"/>
    <n v="0"/>
    <n v="0"/>
    <n v="0"/>
    <n v="16.5"/>
    <n v="102464.99999999999"/>
    <n v="0"/>
    <n v="0"/>
    <n v="16.5"/>
    <n v="0"/>
    <m/>
    <n v="0"/>
    <n v="0"/>
    <n v="102464.99999999999"/>
    <n v="0"/>
    <n v="0"/>
    <n v="0"/>
    <n v="16.5"/>
    <n v="102464.99999999999"/>
    <n v="0"/>
    <n v="0"/>
    <n v="16.5"/>
    <n v="0"/>
    <n v="0"/>
    <n v="0"/>
    <n v="102464.99999999999"/>
    <n v="0"/>
    <n v="0"/>
    <n v="0"/>
    <n v="16.5"/>
    <n v="102464.99999999999"/>
    <n v="0"/>
    <n v="0"/>
    <n v="16.5"/>
    <n v="0"/>
    <n v="0"/>
    <m/>
    <n v="102464.99999999999"/>
    <n v="0"/>
    <n v="0"/>
    <n v="16.5"/>
    <n v="102464.99999999999"/>
    <n v="0"/>
  </r>
  <r>
    <s v="Lhotse-Vestuario"/>
    <x v="4"/>
    <x v="21"/>
    <x v="53"/>
    <s v="LTW25-MTS02"/>
    <x v="569"/>
    <x v="414"/>
    <x v="0"/>
    <x v="2"/>
    <n v="1"/>
    <x v="368"/>
    <n v="0"/>
    <m/>
    <n v="0"/>
    <n v="5875"/>
    <n v="0"/>
    <n v="6"/>
    <n v="6554.9999999999991"/>
    <n v="8394.957983193277"/>
    <n v="7554.6218487394963"/>
    <s v="Shenzhen"/>
    <x v="0"/>
    <n v="30"/>
    <m/>
    <n v="1"/>
    <n v="0"/>
    <s v=""/>
    <n v="0"/>
    <s v=""/>
    <n v="0"/>
    <s v=""/>
    <n v="0"/>
    <s v=""/>
    <n v="1"/>
    <n v="0.46179919384389884"/>
    <n v="0"/>
    <s v=""/>
    <n v="0"/>
    <s v=""/>
    <n v="0"/>
    <s v=""/>
    <n v="1"/>
    <n v="0.36385350318471343"/>
    <n v="6"/>
    <n v="0.39596970423935024"/>
    <n v="1"/>
    <n v="0.46179919384389884"/>
    <n v="3"/>
    <n v="0.57861139004446993"/>
    <n v="5"/>
    <n v="-2.9591646731652495E-2"/>
    <n v="3"/>
    <n v="6.0838736295262562E-2"/>
    <n v="3"/>
    <n v="9.3204983885002035E-2"/>
    <n v="1"/>
    <n v="6.4043729033703603E-2"/>
    <n v="0.33333333333333331"/>
    <n v="0"/>
    <s v=""/>
    <n v="0"/>
    <n v="1"/>
    <n v="0.22238042269187985"/>
    <n v="9.5238095238095233E-2"/>
    <n v="1"/>
    <n v="0.22238042269187985"/>
    <n v="0.5"/>
    <n v="0"/>
    <s v=""/>
    <n v="0"/>
    <n v="4"/>
    <n v="-0.20363996576406332"/>
    <n v="2"/>
    <m/>
    <m/>
    <m/>
    <m/>
    <m/>
    <m/>
    <m/>
    <m/>
    <m/>
    <n v="5"/>
    <n v="13"/>
    <n v="2"/>
    <n v="0"/>
    <n v="0"/>
    <n v="0"/>
    <n v="55812.5"/>
    <n v="80729.999999999985"/>
    <n v="11750"/>
    <n v="0"/>
    <n v="0"/>
    <n v="0"/>
    <n v="14109.173080997105"/>
    <n v="2"/>
    <n v="13"/>
    <n v="4.5"/>
    <n v="0"/>
    <n v="0"/>
    <n v="0"/>
    <n v="49937.5"/>
    <n v="80729.999999999985"/>
    <n v="26437.5"/>
    <n v="0"/>
    <n v="0"/>
    <n v="0"/>
    <n v="31745.639432243486"/>
    <n v="3"/>
    <n v="10"/>
    <n v="3"/>
    <n v="0"/>
    <n v="0"/>
    <n v="54550"/>
    <n v="58750"/>
    <n v="17625"/>
    <n v="0"/>
    <n v="0"/>
    <n v="0"/>
    <n v="25184.873949579829"/>
    <n v="3"/>
    <n v="8"/>
    <n v="1"/>
    <n v="0"/>
    <n v="0"/>
    <n v="49679.999999999993"/>
    <n v="5875"/>
    <x v="0"/>
    <x v="0"/>
    <n v="0"/>
    <n v="0"/>
    <n v="8394.957983193277"/>
    <n v="5"/>
    <n v="0"/>
    <n v="5"/>
    <m/>
    <n v="0"/>
    <n v="0"/>
    <n v="0"/>
    <n v="31049.999999999996"/>
    <x v="0"/>
    <n v="0"/>
    <n v="0"/>
    <n v="0"/>
    <n v="41974.789915966387"/>
    <n v="10.5"/>
    <n v="1"/>
    <n v="1"/>
    <m/>
    <n v="0"/>
    <n v="0"/>
    <n v="5875"/>
    <n v="6209.9999999999991"/>
    <n v="0"/>
    <n v="0"/>
    <n v="1"/>
    <n v="0"/>
    <n v="8394.957983193277"/>
    <n v="2"/>
    <n v="1"/>
    <n v="1"/>
    <n v="0"/>
    <n v="0"/>
    <n v="0"/>
    <n v="5875"/>
    <n v="6209.9999999999991"/>
    <n v="0"/>
    <n v="0"/>
    <n v="1"/>
    <n v="0"/>
    <n v="8394.957983193277"/>
    <n v="2"/>
    <n v="0"/>
    <n v="0"/>
    <n v="0"/>
    <n v="0"/>
    <n v="0"/>
    <n v="0"/>
    <n v="0"/>
    <n v="0"/>
    <n v="0"/>
    <n v="0"/>
    <n v="0"/>
    <n v="0"/>
    <n v="2"/>
    <n v="4"/>
    <n v="6"/>
    <n v="0"/>
    <n v="0"/>
    <n v="0"/>
    <n v="24839.999999999996"/>
    <n v="37259.999999999993"/>
    <n v="0"/>
    <n v="0"/>
    <n v="0"/>
    <n v="0"/>
    <n v="50369.747899159658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s v="Lhotse-Vestuario"/>
    <x v="4"/>
    <x v="21"/>
    <x v="53"/>
    <s v="LTW25-MTS02"/>
    <x v="570"/>
    <x v="414"/>
    <x v="0"/>
    <x v="2"/>
    <n v="1"/>
    <x v="369"/>
    <n v="1"/>
    <m/>
    <n v="0"/>
    <n v="5875"/>
    <n v="5875"/>
    <n v="6"/>
    <n v="6554.9999999999991"/>
    <n v="8394.957983193277"/>
    <n v="7554.6218487394963"/>
    <s v="Shenzhen"/>
    <x v="0"/>
    <n v="30"/>
    <m/>
    <n v="1"/>
    <n v="0"/>
    <s v=""/>
    <n v="0"/>
    <s v=""/>
    <n v="0"/>
    <s v=""/>
    <n v="0"/>
    <s v=""/>
    <n v="1"/>
    <n v="0.36390212213079254"/>
    <n v="1"/>
    <n v="0.46179919384389884"/>
    <n v="0"/>
    <s v=""/>
    <n v="2"/>
    <n v="0.46179836520652007"/>
    <n v="2"/>
    <n v="0.50472095767998648"/>
    <n v="8"/>
    <n v="0.40296232311170954"/>
    <n v="1"/>
    <n v="0.46179753656658973"/>
    <n v="3"/>
    <n v="0.57861139004446993"/>
    <n v="1"/>
    <n v="0.12522334661844323"/>
    <n v="3"/>
    <n v="0.16098086279417742"/>
    <n v="2"/>
    <n v="0.15014938093675434"/>
    <n v="0"/>
    <s v=""/>
    <n v="0"/>
    <n v="0"/>
    <s v=""/>
    <n v="0"/>
    <n v="2"/>
    <n v="-0.30709677419354836"/>
    <n v="0.19607843137254904"/>
    <n v="0"/>
    <s v=""/>
    <n v="0"/>
    <n v="1"/>
    <n v="6.81586475295655E-3"/>
    <n v="0.5"/>
    <n v="1"/>
    <n v="-0.20658126499851767"/>
    <n v="0.5"/>
    <m/>
    <m/>
    <m/>
    <m/>
    <m/>
    <m/>
    <m/>
    <m/>
    <m/>
    <n v="5"/>
    <n v="5"/>
    <n v="2"/>
    <n v="0"/>
    <n v="0"/>
    <n v="0"/>
    <n v="49937.5"/>
    <n v="31049.999999999996"/>
    <n v="11750"/>
    <n v="0"/>
    <n v="1"/>
    <n v="5875"/>
    <n v="14109.173080997105"/>
    <n v="2"/>
    <n v="12"/>
    <n v="4.5"/>
    <n v="0"/>
    <n v="0"/>
    <n v="0"/>
    <n v="38187.5"/>
    <n v="74519.999999999985"/>
    <n v="26437.5"/>
    <n v="0"/>
    <n v="1"/>
    <n v="5875"/>
    <n v="31745.639432243486"/>
    <n v="2"/>
    <n v="9"/>
    <n v="2"/>
    <n v="0"/>
    <n v="0"/>
    <n v="42800"/>
    <n v="52875"/>
    <n v="11750"/>
    <n v="0"/>
    <n v="1"/>
    <n v="5875"/>
    <n v="16789.915966386554"/>
    <n v="3"/>
    <n v="7"/>
    <n v="0"/>
    <n v="0"/>
    <n v="0"/>
    <n v="43469.999999999993"/>
    <n v="0"/>
    <x v="0"/>
    <x v="0"/>
    <n v="1"/>
    <n v="5875"/>
    <n v="0"/>
    <n v="5"/>
    <n v="1"/>
    <n v="5"/>
    <m/>
    <n v="0"/>
    <n v="0"/>
    <n v="5875"/>
    <n v="31049.999999999996"/>
    <x v="0"/>
    <n v="0"/>
    <n v="1"/>
    <n v="5875"/>
    <n v="41974.789915966387"/>
    <n v="10.199999999999999"/>
    <n v="3"/>
    <n v="2"/>
    <m/>
    <n v="0"/>
    <n v="0"/>
    <n v="17625"/>
    <n v="12419.999999999998"/>
    <n v="0"/>
    <n v="0"/>
    <n v="3"/>
    <n v="5875"/>
    <n v="16789.915966386554"/>
    <n v="2"/>
    <n v="1"/>
    <n v="0"/>
    <n v="0"/>
    <n v="0"/>
    <n v="0"/>
    <n v="5875"/>
    <n v="0"/>
    <n v="0"/>
    <n v="0"/>
    <n v="1"/>
    <n v="5875"/>
    <n v="0"/>
    <n v="2"/>
    <n v="2"/>
    <n v="1"/>
    <n v="0"/>
    <n v="0"/>
    <n v="0"/>
    <n v="11750"/>
    <n v="6209.9999999999991"/>
    <n v="0"/>
    <n v="0"/>
    <n v="2"/>
    <n v="11750"/>
    <n v="8394.957983193277"/>
    <n v="2"/>
    <n v="2"/>
    <n v="1.5"/>
    <n v="0"/>
    <n v="0"/>
    <n v="0"/>
    <n v="12419.999999999998"/>
    <n v="9314.9999999999982"/>
    <n v="0"/>
    <n v="0"/>
    <n v="1"/>
    <n v="5875"/>
    <n v="12592.436974789915"/>
    <n v="0"/>
    <n v="0.5"/>
    <n v="0"/>
    <n v="0"/>
    <n v="0"/>
    <n v="0"/>
    <m/>
    <n v="3104.9999999999995"/>
    <n v="0"/>
    <n v="0"/>
    <n v="0"/>
    <n v="0.5"/>
    <n v="3104.9999999999995"/>
    <n v="0"/>
    <n v="0"/>
    <n v="0.5"/>
    <n v="0"/>
    <m/>
    <n v="0"/>
    <n v="0"/>
    <n v="3104.9999999999995"/>
    <n v="0"/>
    <n v="0"/>
    <n v="0"/>
    <n v="0.5"/>
    <n v="3104.9999999999995"/>
    <n v="0"/>
    <n v="0"/>
    <n v="0.5"/>
    <n v="0"/>
    <n v="0"/>
    <n v="0"/>
    <n v="3104.9999999999995"/>
    <n v="0"/>
    <n v="0"/>
    <n v="0"/>
    <n v="0.5"/>
    <n v="3104.9999999999995"/>
    <n v="0"/>
    <n v="0"/>
    <n v="0.5"/>
    <n v="0"/>
    <n v="0"/>
    <m/>
    <n v="3104.9999999999995"/>
    <n v="0"/>
    <n v="0"/>
    <n v="0.5"/>
    <n v="3104.9999999999995"/>
    <n v="0"/>
  </r>
  <r>
    <s v="Lhotse-Video"/>
    <x v="4"/>
    <x v="22"/>
    <x v="54"/>
    <s v="LHCAMACSUM"/>
    <x v="571"/>
    <x v="415"/>
    <x v="0"/>
    <x v="3"/>
    <n v="1"/>
    <x v="370"/>
    <n v="103"/>
    <m/>
    <n v="0"/>
    <n v="53570"/>
    <n v="5517710"/>
    <n v="58.3"/>
    <n v="52240"/>
    <n v="142848.73949579833"/>
    <n v="109235.29411764706"/>
    <s v="Shenzhen"/>
    <x v="0"/>
    <n v="30"/>
    <m/>
    <n v="100"/>
    <n v="3"/>
    <n v="1.3778107475711301"/>
    <n v="7"/>
    <n v="1.5228450871169601"/>
    <n v="7"/>
    <n v="1.5108339762982601"/>
    <n v="6"/>
    <n v="1.4463139681163"/>
    <n v="12"/>
    <n v="1.5486194368245201"/>
    <n v="42"/>
    <n v="1.399625236501"/>
    <n v="14"/>
    <n v="1.4570594404145401"/>
    <n v="15"/>
    <n v="1.5048120543835699"/>
    <n v="0"/>
    <s v=""/>
    <n v="0"/>
    <s v=""/>
    <n v="0"/>
    <s v=""/>
    <n v="0"/>
    <s v=""/>
    <n v="0"/>
    <s v=""/>
    <n v="0"/>
    <s v=""/>
    <n v="0"/>
    <s v=""/>
    <n v="2"/>
    <n v="0.52507119419137505"/>
    <n v="0.4"/>
    <n v="9"/>
    <n v="0.53223063048978081"/>
    <n v="1.8"/>
    <n v="9"/>
    <n v="0.3852776284802551"/>
    <n v="0.6"/>
    <n v="7"/>
    <n v="0.42235895754489688"/>
    <n v="0.7"/>
    <n v="9"/>
    <n v="0.27679999460910293"/>
    <n v="0.75"/>
    <n v="11"/>
    <n v="0.30818052103999916"/>
    <n v="0.91666666666666663"/>
    <m/>
    <m/>
    <m/>
    <m/>
    <m/>
    <m/>
    <m/>
    <m/>
    <m/>
    <n v="0"/>
    <n v="0"/>
    <n v="0"/>
    <n v="0"/>
    <n v="0"/>
    <n v="0"/>
    <n v="0"/>
    <n v="0"/>
    <n v="0"/>
    <n v="0"/>
    <n v="103"/>
    <n v="5517710"/>
    <n v="0"/>
    <n v="0"/>
    <n v="1"/>
    <n v="0"/>
    <m/>
    <n v="100"/>
    <n v="0"/>
    <n v="107140"/>
    <n v="60340.499999999993"/>
    <n v="0"/>
    <n v="0"/>
    <n v="103"/>
    <n v="5517710"/>
    <n v="0"/>
    <n v="15"/>
    <n v="103"/>
    <n v="0"/>
    <n v="0"/>
    <n v="0"/>
    <n v="408842.49999999994"/>
    <n v="5517710"/>
    <n v="0"/>
    <n v="0"/>
    <n v="103"/>
    <n v="5517710"/>
    <n v="0"/>
    <n v="5"/>
    <n v="100"/>
    <n v="2"/>
    <n v="0"/>
    <n v="0"/>
    <n v="6034049.9999999991"/>
    <n v="107140"/>
    <x v="0"/>
    <x v="0"/>
    <n v="103"/>
    <n v="5517710"/>
    <n v="285697.47899159667"/>
    <n v="5"/>
    <n v="112"/>
    <n v="5"/>
    <m/>
    <n v="0"/>
    <n v="0"/>
    <n v="5999840"/>
    <n v="301702.49999999994"/>
    <x v="0"/>
    <n v="0"/>
    <n v="103"/>
    <n v="5517710"/>
    <n v="714243.6974789917"/>
    <n v="15"/>
    <n v="112"/>
    <n v="9"/>
    <m/>
    <n v="0"/>
    <n v="0"/>
    <n v="5999840"/>
    <n v="543064.49999999988"/>
    <n v="0"/>
    <n v="0"/>
    <n v="112"/>
    <n v="5517710"/>
    <n v="1285638.6554621849"/>
    <n v="10"/>
    <n v="110"/>
    <n v="7"/>
    <n v="0"/>
    <n v="0"/>
    <n v="0"/>
    <n v="5892700"/>
    <n v="422383.49999999994"/>
    <n v="0"/>
    <n v="0"/>
    <n v="110"/>
    <n v="5517710"/>
    <n v="999941.17647058831"/>
    <n v="12"/>
    <n v="112"/>
    <n v="9"/>
    <n v="50"/>
    <n v="50"/>
    <n v="0"/>
    <n v="5999840"/>
    <n v="543064.49999999988"/>
    <n v="3017024.9999999995"/>
    <n v="0"/>
    <n v="112"/>
    <n v="5999840"/>
    <n v="1285638.6554621849"/>
    <n v="12"/>
    <n v="114"/>
    <n v="9"/>
    <n v="0"/>
    <n v="0"/>
    <n v="0"/>
    <n v="6878816.9999999991"/>
    <n v="543064.49999999988"/>
    <n v="0"/>
    <n v="0"/>
    <n v="103"/>
    <n v="5517710"/>
    <n v="1285638.6554621849"/>
    <n v="20"/>
    <n v="105"/>
    <n v="20"/>
    <n v="0"/>
    <n v="0"/>
    <n v="0"/>
    <m/>
    <n v="6335752.4999999991"/>
    <n v="1206809.9999999998"/>
    <n v="0"/>
    <n v="0"/>
    <n v="105"/>
    <n v="6335752.4999999991"/>
    <n v="2184705.8823529412"/>
    <n v="15"/>
    <n v="85"/>
    <n v="15"/>
    <m/>
    <n v="0"/>
    <n v="0"/>
    <n v="5128942.4999999991"/>
    <n v="905107.49999999988"/>
    <n v="0"/>
    <n v="0"/>
    <n v="85"/>
    <n v="5128942.4999999991"/>
    <n v="1638529.411764706"/>
    <n v="30"/>
    <n v="70"/>
    <n v="30"/>
    <n v="0"/>
    <n v="0"/>
    <n v="4223834.9999999991"/>
    <n v="1810214.9999999998"/>
    <n v="0"/>
    <n v="0"/>
    <n v="70"/>
    <n v="4223834.9999999991"/>
    <n v="4285462.1848739497"/>
    <n v="9"/>
    <n v="40"/>
    <n v="9"/>
    <n v="0"/>
    <m/>
    <n v="2413619.9999999995"/>
    <n v="482130"/>
    <n v="0"/>
    <n v="40"/>
    <n v="2413619.9999999995"/>
    <n v="1285638.6554621849"/>
  </r>
  <r>
    <s v="Lhotse-Video"/>
    <x v="4"/>
    <x v="22"/>
    <x v="54"/>
    <s v="LHCAMACXPL"/>
    <x v="572"/>
    <x v="416"/>
    <x v="0"/>
    <x v="1"/>
    <n v="1"/>
    <x v="371"/>
    <n v="256"/>
    <m/>
    <n v="0"/>
    <n v="24541"/>
    <n v="6282496"/>
    <n v="21.75"/>
    <n v="23761.874999999996"/>
    <n v="50411.764705882357"/>
    <n v="42008.403361344543"/>
    <s v="Shenzhen"/>
    <x v="0"/>
    <n v="50"/>
    <m/>
    <n v="500"/>
    <n v="7"/>
    <n v="0.58484491108517533"/>
    <n v="21"/>
    <n v="0.59252539503224433"/>
    <n v="27"/>
    <n v="0.57010510282794369"/>
    <n v="31"/>
    <n v="0.59809665410106461"/>
    <n v="23"/>
    <n v="0.61609421786850593"/>
    <n v="86"/>
    <n v="0.52682587166404216"/>
    <n v="48"/>
    <n v="0.58292139543851396"/>
    <n v="36"/>
    <n v="0.60651338808038768"/>
    <n v="14"/>
    <n v="0.65227031804756819"/>
    <n v="42"/>
    <n v="0.58132825075008154"/>
    <n v="50"/>
    <n v="0.51566622435330378"/>
    <n v="214"/>
    <n v="0.50669949363279287"/>
    <n v="4"/>
    <n v="0.68917382584090481"/>
    <n v="21"/>
    <n v="0.48672872770051306"/>
    <n v="34"/>
    <n v="0.45801640212045658"/>
    <n v="65"/>
    <n v="0.49210963826153975"/>
    <n v="1.8571428571428572"/>
    <n v="52"/>
    <n v="0.58996008217368356"/>
    <n v="1.7333333333333334"/>
    <n v="85"/>
    <n v="0.26730360591579999"/>
    <n v="1.0625"/>
    <n v="61"/>
    <n v="0.47610333835800184"/>
    <n v="0.87142857142857144"/>
    <n v="61"/>
    <n v="0.31278636577767865"/>
    <n v="0.76249999999999996"/>
    <n v="58"/>
    <n v="0.27010737525691164"/>
    <n v="1.45"/>
    <m/>
    <m/>
    <m/>
    <m/>
    <m/>
    <m/>
    <m/>
    <m/>
    <m/>
    <n v="50"/>
    <n v="43"/>
    <n v="43"/>
    <n v="0"/>
    <n v="0"/>
    <n v="0"/>
    <n v="2662698.5"/>
    <n v="967983.75"/>
    <n v="1055263"/>
    <n v="0"/>
    <n v="256"/>
    <n v="6282496"/>
    <n v="1821601.5818091945"/>
    <n v="0"/>
    <n v="25"/>
    <n v="31.5"/>
    <n v="0"/>
    <n v="0"/>
    <n v="0"/>
    <n v="3202600.5"/>
    <n v="562781.25"/>
    <n v="773041.5"/>
    <n v="0"/>
    <n v="256"/>
    <n v="6282496"/>
    <n v="1334429.0657439448"/>
    <n v="35"/>
    <n v="188"/>
    <n v="34"/>
    <n v="0"/>
    <n v="0"/>
    <n v="3104896.5"/>
    <n v="4613708"/>
    <n v="834394"/>
    <n v="0"/>
    <n v="256"/>
    <n v="6282496"/>
    <n v="1714000.0000000002"/>
    <n v="35"/>
    <n v="165"/>
    <n v="65"/>
    <n v="500"/>
    <n v="0"/>
    <n v="3714356.25"/>
    <n v="1595165"/>
    <x v="64"/>
    <x v="0"/>
    <n v="256"/>
    <n v="6282496"/>
    <n v="3276764.7058823532"/>
    <n v="30"/>
    <n v="308"/>
    <n v="30"/>
    <m/>
    <n v="0"/>
    <n v="0"/>
    <n v="7558628"/>
    <n v="675337.5"/>
    <x v="0"/>
    <n v="0"/>
    <n v="256"/>
    <n v="6282496"/>
    <n v="1512352.9411764706"/>
    <n v="80"/>
    <n v="341"/>
    <n v="85"/>
    <m/>
    <n v="500"/>
    <n v="0"/>
    <n v="8368481"/>
    <n v="1913456.25"/>
    <n v="0"/>
    <n v="0"/>
    <n v="341"/>
    <n v="6282496"/>
    <n v="4285000"/>
    <n v="70"/>
    <n v="317"/>
    <n v="61"/>
    <n v="0"/>
    <n v="0"/>
    <n v="0"/>
    <n v="7779497"/>
    <n v="1373186.25"/>
    <n v="0"/>
    <n v="0"/>
    <n v="317"/>
    <n v="6282496"/>
    <n v="3075117.6470588236"/>
    <n v="80"/>
    <n v="317"/>
    <n v="63"/>
    <n v="0"/>
    <n v="0"/>
    <n v="0"/>
    <n v="7779497"/>
    <n v="1418208.75"/>
    <n v="0"/>
    <n v="0"/>
    <n v="317"/>
    <n v="7779497"/>
    <n v="3175941.1764705884"/>
    <n v="40"/>
    <n v="314"/>
    <n v="67.5"/>
    <n v="0"/>
    <n v="0"/>
    <n v="0"/>
    <n v="7068532.5"/>
    <n v="1519509.375"/>
    <n v="0"/>
    <n v="0"/>
    <n v="256"/>
    <n v="6282496"/>
    <n v="3402794.1176470593"/>
    <n v="120"/>
    <n v="246.5"/>
    <n v="120"/>
    <n v="0"/>
    <n v="0"/>
    <n v="0"/>
    <m/>
    <n v="5549023.125"/>
    <n v="2701350"/>
    <n v="0"/>
    <n v="0"/>
    <n v="246.5"/>
    <n v="5549023.125"/>
    <n v="5041008.4033613447"/>
    <n v="70"/>
    <n v="126.5"/>
    <n v="70"/>
    <m/>
    <n v="0"/>
    <n v="0"/>
    <n v="2847673.125"/>
    <n v="1575787.5"/>
    <n v="0"/>
    <n v="0"/>
    <n v="126.5"/>
    <n v="2847673.125"/>
    <n v="2940588.2352941181"/>
    <n v="250"/>
    <n v="56.5"/>
    <n v="56.5"/>
    <n v="0"/>
    <n v="0"/>
    <n v="1271885.625"/>
    <n v="1271885.625"/>
    <n v="0"/>
    <n v="0"/>
    <n v="56.5"/>
    <n v="1271885.625"/>
    <n v="2848264.7058823532"/>
    <n v="42"/>
    <n v="0"/>
    <n v="42"/>
    <n v="0"/>
    <m/>
    <n v="0"/>
    <n v="1030722"/>
    <n v="0"/>
    <n v="0"/>
    <n v="0"/>
    <n v="2117294.1176470588"/>
  </r>
  <r>
    <s v="Purito-Belleza"/>
    <x v="5"/>
    <x v="23"/>
    <x v="55"/>
    <n v="8809563100316"/>
    <x v="573"/>
    <x v="417"/>
    <x v="0"/>
    <x v="4"/>
    <n v="1"/>
    <x v="31"/>
    <n v="250"/>
    <m/>
    <n v="0"/>
    <n v="9210"/>
    <n v="2302500"/>
    <n v="8.51"/>
    <n v="7829.2"/>
    <n v="19737.478991596639"/>
    <n v="16776.857142857141"/>
    <s v="Seul"/>
    <x v="3"/>
    <n v="15"/>
    <m/>
    <n v="5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15"/>
    <s v=""/>
    <n v="0.20833333333333334"/>
    <n v="28"/>
    <s v=""/>
    <n v="0.560000000000000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250"/>
    <n v="0"/>
    <m/>
    <n v="0"/>
    <n v="0"/>
    <n v="2302500"/>
    <n v="0"/>
    <n v="0"/>
    <n v="0"/>
    <n v="250"/>
    <n v="2302500"/>
    <n v="0"/>
    <n v="66"/>
    <n v="250"/>
    <n v="0"/>
    <n v="0"/>
    <n v="0"/>
    <n v="0"/>
    <n v="2302500"/>
    <n v="0"/>
    <n v="0"/>
    <n v="0"/>
    <n v="250"/>
    <n v="2302500"/>
    <n v="0"/>
    <n v="72"/>
    <n v="265"/>
    <n v="15"/>
    <n v="0"/>
    <n v="0"/>
    <n v="0"/>
    <n v="2440650"/>
    <n v="132117.74999999997"/>
    <n v="0"/>
    <n v="0"/>
    <n v="265"/>
    <n v="2440650"/>
    <n v="296062.18487394962"/>
    <n v="50"/>
    <n v="278"/>
    <n v="21"/>
    <n v="0"/>
    <n v="0"/>
    <n v="0"/>
    <n v="2448582.2999999998"/>
    <n v="184964.84999999998"/>
    <n v="0"/>
    <n v="0"/>
    <n v="250"/>
    <n v="2302500"/>
    <n v="414487.0588235294"/>
    <n v="220"/>
    <n v="257"/>
    <n v="220"/>
    <n v="0"/>
    <n v="0"/>
    <n v="0"/>
    <m/>
    <n v="2263617.4499999997"/>
    <n v="1937726.9999999998"/>
    <n v="0"/>
    <n v="0"/>
    <n v="257"/>
    <n v="2263617.4499999997"/>
    <n v="3690908.5714285709"/>
    <n v="79"/>
    <n v="37"/>
    <n v="37"/>
    <m/>
    <n v="0"/>
    <n v="0"/>
    <n v="325890.44999999995"/>
    <n v="325890.44999999995"/>
    <n v="0"/>
    <n v="0"/>
    <n v="37"/>
    <n v="325890.44999999995"/>
    <n v="620743.7142857142"/>
    <n v="264"/>
    <n v="0"/>
    <n v="0"/>
    <n v="0"/>
    <n v="0"/>
    <n v="0"/>
    <n v="0"/>
    <n v="0"/>
    <n v="0"/>
    <n v="0"/>
    <n v="0"/>
    <n v="0"/>
    <n v="47.4"/>
    <n v="0"/>
    <n v="47.4"/>
    <n v="0"/>
    <m/>
    <n v="0"/>
    <n v="436554"/>
    <n v="0"/>
    <n v="0"/>
    <n v="0"/>
    <n v="935556.50420168065"/>
  </r>
  <r>
    <s v="Purito-Belleza"/>
    <x v="5"/>
    <x v="23"/>
    <x v="55"/>
    <n v="8809563100347"/>
    <x v="574"/>
    <x v="418"/>
    <x v="0"/>
    <x v="4"/>
    <n v="1"/>
    <x v="31"/>
    <n v="40"/>
    <m/>
    <n v="0"/>
    <n v="9611"/>
    <n v="384440"/>
    <n v="8.8800000000000008"/>
    <n v="8169.6"/>
    <n v="20595.630252100844"/>
    <n v="17506.285714285717"/>
    <s v="Seul"/>
    <x v="3"/>
    <n v="15"/>
    <m/>
    <n v="5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10"/>
    <s v=""/>
    <n v="0.1388888888888889"/>
    <n v="6"/>
    <s v=""/>
    <n v="0.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40"/>
    <n v="0"/>
    <m/>
    <n v="0"/>
    <n v="0"/>
    <n v="384440"/>
    <n v="0"/>
    <n v="0"/>
    <n v="0"/>
    <n v="40"/>
    <n v="384440"/>
    <n v="0"/>
    <n v="66"/>
    <n v="40"/>
    <n v="0"/>
    <n v="0"/>
    <n v="0"/>
    <n v="0"/>
    <n v="384440"/>
    <n v="0"/>
    <n v="0"/>
    <n v="0"/>
    <n v="40"/>
    <n v="384440"/>
    <n v="0"/>
    <n v="72"/>
    <n v="50"/>
    <n v="10"/>
    <n v="0"/>
    <n v="0"/>
    <n v="0"/>
    <n v="480550"/>
    <n v="91908.000000000015"/>
    <n v="0"/>
    <n v="0"/>
    <n v="50"/>
    <n v="480550"/>
    <n v="205956.30252100845"/>
    <n v="50"/>
    <n v="46"/>
    <n v="9"/>
    <n v="0"/>
    <n v="0"/>
    <n v="0"/>
    <n v="422776.80000000005"/>
    <n v="82717.200000000012"/>
    <n v="0"/>
    <n v="0"/>
    <n v="40"/>
    <n v="384440"/>
    <n v="185360.6722689076"/>
    <n v="220"/>
    <n v="37"/>
    <n v="37"/>
    <n v="0"/>
    <n v="0"/>
    <n v="0"/>
    <m/>
    <n v="340059.60000000003"/>
    <n v="340059.60000000003"/>
    <n v="0"/>
    <n v="0"/>
    <n v="37"/>
    <n v="340059.60000000003"/>
    <n v="647732.57142857159"/>
    <n v="79"/>
    <n v="0"/>
    <n v="0"/>
    <m/>
    <n v="0"/>
    <n v="0"/>
    <n v="0"/>
    <n v="0"/>
    <n v="0"/>
    <n v="0"/>
    <n v="0"/>
    <n v="0"/>
    <n v="0"/>
    <n v="264"/>
    <n v="0"/>
    <n v="0"/>
    <n v="0"/>
    <n v="0"/>
    <n v="0"/>
    <n v="0"/>
    <n v="0"/>
    <n v="0"/>
    <n v="0"/>
    <n v="0"/>
    <n v="0"/>
    <n v="47.4"/>
    <n v="0"/>
    <n v="47.4"/>
    <n v="0"/>
    <m/>
    <n v="0"/>
    <n v="455561.39999999997"/>
    <n v="0"/>
    <n v="0"/>
    <n v="0"/>
    <n v="976232.87394958001"/>
  </r>
  <r>
    <s v="Purito-Belleza"/>
    <x v="5"/>
    <x v="23"/>
    <x v="55"/>
    <n v="8809563100828"/>
    <x v="575"/>
    <x v="419"/>
    <x v="0"/>
    <x v="4"/>
    <n v="1"/>
    <x v="31"/>
    <n v="2"/>
    <m/>
    <n v="0"/>
    <n v="6883"/>
    <n v="13766"/>
    <n v="6.36"/>
    <n v="5851.2000000000007"/>
    <n v="14750.924369747901"/>
    <n v="12538.285714285716"/>
    <s v="Seul"/>
    <x v="3"/>
    <n v="15"/>
    <m/>
    <n v="5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14"/>
    <s v=""/>
    <n v="0.19444444444444445"/>
    <n v="14"/>
    <s v=""/>
    <n v="0.28000000000000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2"/>
    <n v="0"/>
    <m/>
    <n v="0"/>
    <n v="0"/>
    <n v="13766"/>
    <n v="0"/>
    <n v="0"/>
    <n v="0"/>
    <n v="2"/>
    <n v="13766"/>
    <n v="0"/>
    <n v="66"/>
    <n v="2"/>
    <n v="0"/>
    <n v="0"/>
    <n v="0"/>
    <n v="0"/>
    <n v="13766"/>
    <n v="0"/>
    <n v="0"/>
    <n v="0"/>
    <n v="2"/>
    <n v="13766"/>
    <n v="0"/>
    <n v="72"/>
    <n v="16"/>
    <n v="14"/>
    <n v="0"/>
    <n v="0"/>
    <n v="0"/>
    <n v="110128"/>
    <n v="92156.4"/>
    <n v="0"/>
    <n v="0"/>
    <n v="16"/>
    <n v="110128"/>
    <n v="206512.94117647063"/>
    <n v="50"/>
    <n v="16"/>
    <n v="21"/>
    <n v="0"/>
    <n v="0"/>
    <n v="0"/>
    <n v="105321.59999999999"/>
    <n v="138234.59999999998"/>
    <n v="0"/>
    <n v="0"/>
    <n v="2"/>
    <n v="13766"/>
    <n v="309769.4117647059"/>
    <n v="220"/>
    <n v="0"/>
    <n v="0"/>
    <n v="0"/>
    <n v="0"/>
    <n v="0"/>
    <m/>
    <n v="0"/>
    <n v="0"/>
    <n v="0"/>
    <n v="0"/>
    <n v="0"/>
    <n v="0"/>
    <n v="0"/>
    <n v="79"/>
    <n v="0"/>
    <n v="0"/>
    <m/>
    <n v="0"/>
    <n v="0"/>
    <n v="0"/>
    <n v="0"/>
    <n v="0"/>
    <n v="0"/>
    <n v="0"/>
    <n v="0"/>
    <n v="0"/>
    <n v="264"/>
    <n v="0"/>
    <n v="0"/>
    <n v="0"/>
    <n v="0"/>
    <n v="0"/>
    <n v="0"/>
    <n v="0"/>
    <n v="0"/>
    <n v="0"/>
    <n v="0"/>
    <n v="0"/>
    <n v="47.4"/>
    <n v="0"/>
    <n v="47.4"/>
    <n v="0"/>
    <m/>
    <n v="0"/>
    <n v="326254.2"/>
    <n v="0"/>
    <n v="0"/>
    <n v="0"/>
    <n v="699193.8151260505"/>
  </r>
  <r>
    <s v="Purito-Belleza"/>
    <x v="5"/>
    <x v="23"/>
    <x v="55"/>
    <n v="8809563101054"/>
    <x v="576"/>
    <x v="420"/>
    <x v="0"/>
    <x v="4"/>
    <n v="1"/>
    <x v="31"/>
    <n v="249"/>
    <m/>
    <n v="0"/>
    <n v="7814"/>
    <n v="1945686"/>
    <n v="7.22"/>
    <n v="6642.4"/>
    <n v="16745.546218487394"/>
    <n v="14233.714285714284"/>
    <s v="Seul"/>
    <x v="3"/>
    <n v="15"/>
    <m/>
    <n v="5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40"/>
    <n v="0.27628720266870549"/>
    <n v="0.55555555555555558"/>
    <n v="62"/>
    <n v="0.30397788424612743"/>
    <n v="1.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249"/>
    <n v="0"/>
    <m/>
    <n v="0"/>
    <n v="0"/>
    <n v="1945686"/>
    <n v="0"/>
    <n v="0"/>
    <n v="0"/>
    <n v="249"/>
    <n v="1945686"/>
    <n v="0"/>
    <n v="66"/>
    <n v="249"/>
    <n v="0"/>
    <n v="0"/>
    <n v="0"/>
    <n v="0"/>
    <n v="1945686"/>
    <n v="0"/>
    <n v="0"/>
    <n v="0"/>
    <n v="249"/>
    <n v="1945686"/>
    <n v="0"/>
    <n v="72"/>
    <n v="289"/>
    <n v="41"/>
    <n v="0"/>
    <n v="0"/>
    <n v="0"/>
    <n v="2258246"/>
    <n v="306380.7"/>
    <n v="0"/>
    <n v="0"/>
    <n v="289"/>
    <n v="2258246"/>
    <n v="686567.39495798317"/>
    <n v="50"/>
    <n v="311"/>
    <n v="61.499999999999993"/>
    <n v="0"/>
    <n v="0"/>
    <n v="0"/>
    <n v="2324009.6999999997"/>
    <n v="459571.04999999993"/>
    <n v="0"/>
    <n v="0"/>
    <n v="249"/>
    <n v="1945686"/>
    <n v="1029851.0924369746"/>
    <n v="220"/>
    <n v="249.5"/>
    <n v="220"/>
    <n v="0"/>
    <n v="0"/>
    <n v="0"/>
    <m/>
    <n v="1864438.65"/>
    <n v="1643994"/>
    <n v="0"/>
    <n v="0"/>
    <n v="249.5"/>
    <n v="1864438.65"/>
    <n v="3131417.1428571427"/>
    <n v="79"/>
    <n v="29.5"/>
    <n v="29.5"/>
    <m/>
    <n v="0"/>
    <n v="0"/>
    <n v="220444.65"/>
    <n v="220444.65"/>
    <n v="0"/>
    <n v="0"/>
    <n v="29.5"/>
    <n v="220444.65"/>
    <n v="419894.57142857136"/>
    <n v="264"/>
    <n v="0"/>
    <n v="0"/>
    <n v="0"/>
    <n v="0"/>
    <n v="0"/>
    <n v="0"/>
    <n v="0"/>
    <n v="0"/>
    <n v="0"/>
    <n v="0"/>
    <n v="0"/>
    <n v="47.4"/>
    <n v="0"/>
    <n v="47.4"/>
    <n v="0"/>
    <m/>
    <n v="0"/>
    <n v="370383.6"/>
    <n v="0"/>
    <n v="0"/>
    <n v="0"/>
    <n v="793738.89075630251"/>
  </r>
  <r>
    <m/>
    <x v="5"/>
    <x v="23"/>
    <x v="55"/>
    <n v="8809563102471"/>
    <x v="577"/>
    <x v="421"/>
    <x v="0"/>
    <x v="4"/>
    <n v="1"/>
    <x v="31"/>
    <n v="25"/>
    <m/>
    <n v="0"/>
    <n v="8409"/>
    <n v="210225"/>
    <n v="7.77"/>
    <n v="7148.4"/>
    <n v="18021.176470588234"/>
    <n v="15317.999999999998"/>
    <s v="Seul"/>
    <x v="3"/>
    <n v="15"/>
    <m/>
    <n v="5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9"/>
    <s v=""/>
    <n v="0.125"/>
    <n v="21"/>
    <s v=""/>
    <n v="0.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25"/>
    <n v="0"/>
    <m/>
    <n v="0"/>
    <n v="0"/>
    <n v="210225"/>
    <n v="0"/>
    <n v="0"/>
    <n v="0"/>
    <n v="25"/>
    <n v="210225"/>
    <n v="0"/>
    <n v="66"/>
    <n v="25"/>
    <n v="0"/>
    <n v="0"/>
    <n v="0"/>
    <n v="0"/>
    <n v="210225"/>
    <n v="0"/>
    <n v="0"/>
    <n v="0"/>
    <n v="25"/>
    <n v="210225"/>
    <n v="0"/>
    <n v="72"/>
    <n v="34"/>
    <n v="9"/>
    <n v="0"/>
    <n v="0"/>
    <n v="0"/>
    <n v="285906"/>
    <n v="72377.55"/>
    <n v="0"/>
    <n v="0"/>
    <n v="34"/>
    <n v="285906"/>
    <n v="162190.5882352941"/>
    <n v="50"/>
    <n v="46"/>
    <n v="30"/>
    <n v="0"/>
    <n v="0"/>
    <n v="0"/>
    <n v="369929.7"/>
    <n v="241258.5"/>
    <n v="0"/>
    <n v="0"/>
    <n v="25"/>
    <n v="210225"/>
    <n v="540635.29411764699"/>
    <n v="220"/>
    <n v="16"/>
    <n v="16"/>
    <n v="0"/>
    <n v="0"/>
    <n v="0"/>
    <m/>
    <n v="128671.2"/>
    <n v="128671.2"/>
    <n v="0"/>
    <n v="0"/>
    <n v="16"/>
    <n v="128671.2"/>
    <n v="245087.99999999997"/>
    <n v="79"/>
    <n v="0"/>
    <n v="0"/>
    <m/>
    <n v="0"/>
    <n v="0"/>
    <n v="0"/>
    <n v="0"/>
    <n v="0"/>
    <n v="0"/>
    <n v="0"/>
    <n v="0"/>
    <n v="0"/>
    <n v="264"/>
    <n v="0"/>
    <n v="0"/>
    <n v="0"/>
    <n v="0"/>
    <n v="0"/>
    <n v="0"/>
    <n v="0"/>
    <n v="0"/>
    <n v="0"/>
    <n v="0"/>
    <n v="0"/>
    <n v="47.4"/>
    <n v="0"/>
    <n v="47.4"/>
    <n v="0"/>
    <m/>
    <n v="0"/>
    <n v="398586.6"/>
    <n v="0"/>
    <n v="0"/>
    <n v="0"/>
    <n v="854203.76470588229"/>
  </r>
  <r>
    <s v="Purito-Belleza"/>
    <x v="5"/>
    <x v="23"/>
    <x v="55"/>
    <n v="8809563103430"/>
    <x v="578"/>
    <x v="422"/>
    <x v="0"/>
    <x v="4"/>
    <n v="1"/>
    <x v="31"/>
    <n v="245"/>
    <m/>
    <n v="0"/>
    <n v="9210"/>
    <n v="2256450"/>
    <n v="8.51"/>
    <n v="7829.2"/>
    <n v="19737.478991596639"/>
    <n v="16776.857142857141"/>
    <s v="Seul"/>
    <x v="3"/>
    <n v="15"/>
    <m/>
    <n v="5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35"/>
    <s v=""/>
    <n v="0.4861111111111111"/>
    <n v="80"/>
    <s v=""/>
    <n v="1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245"/>
    <n v="0"/>
    <m/>
    <n v="0"/>
    <n v="0"/>
    <n v="2256450"/>
    <n v="0"/>
    <n v="0"/>
    <n v="0"/>
    <n v="245"/>
    <n v="2256450"/>
    <n v="0"/>
    <n v="66"/>
    <n v="245"/>
    <n v="0"/>
    <n v="0"/>
    <n v="0"/>
    <n v="0"/>
    <n v="2256450"/>
    <n v="0"/>
    <n v="0"/>
    <n v="0"/>
    <n v="245"/>
    <n v="2256450"/>
    <n v="0"/>
    <n v="72"/>
    <n v="280"/>
    <n v="36"/>
    <n v="0"/>
    <n v="0"/>
    <n v="0"/>
    <n v="2578800"/>
    <n v="317082.59999999998"/>
    <n v="0"/>
    <n v="0"/>
    <n v="280"/>
    <n v="2578800"/>
    <n v="710549.24369747902"/>
    <n v="50"/>
    <n v="325"/>
    <n v="61.499999999999993"/>
    <n v="0"/>
    <n v="0"/>
    <n v="0"/>
    <n v="2862551.2499999995"/>
    <n v="541682.77499999979"/>
    <n v="0"/>
    <n v="0"/>
    <n v="245"/>
    <n v="2256450"/>
    <n v="1213854.9579831932"/>
    <n v="220"/>
    <n v="263.5"/>
    <n v="220"/>
    <n v="0"/>
    <n v="0"/>
    <n v="0"/>
    <m/>
    <n v="2320868.4749999996"/>
    <n v="1937726.9999999998"/>
    <n v="0"/>
    <n v="0"/>
    <n v="263.5"/>
    <n v="2320868.4749999996"/>
    <n v="3690908.5714285709"/>
    <n v="79"/>
    <n v="43.5"/>
    <n v="43.5"/>
    <m/>
    <n v="0"/>
    <n v="0"/>
    <n v="383141.47499999992"/>
    <n v="383141.47499999992"/>
    <n v="0"/>
    <n v="0"/>
    <n v="43.5"/>
    <n v="383141.47499999992"/>
    <n v="729793.28571428568"/>
    <n v="264"/>
    <n v="0"/>
    <n v="0"/>
    <n v="0"/>
    <n v="0"/>
    <n v="0"/>
    <n v="0"/>
    <n v="0"/>
    <n v="0"/>
    <n v="0"/>
    <n v="0"/>
    <n v="0"/>
    <n v="47.4"/>
    <n v="0"/>
    <n v="47.4"/>
    <n v="0"/>
    <m/>
    <n v="0"/>
    <n v="436554"/>
    <n v="0"/>
    <n v="0"/>
    <n v="0"/>
    <n v="935556.50420168065"/>
  </r>
  <r>
    <m/>
    <x v="6"/>
    <x v="24"/>
    <x v="56"/>
    <s v="SIMDECCHA"/>
    <x v="579"/>
    <x v="423"/>
    <x v="0"/>
    <x v="5"/>
    <n v="1.2"/>
    <x v="372"/>
    <n v="92"/>
    <m/>
    <n v="0"/>
    <n v="6174"/>
    <n v="568008"/>
    <n v="6"/>
    <n v="6554.9999999999991"/>
    <n v="14277.310924369749"/>
    <n v="10915.966386554623"/>
    <s v="Shenzhen"/>
    <x v="0"/>
    <n v="30"/>
    <m/>
    <n v="100"/>
    <n v="2"/>
    <n v="0.61956809523809531"/>
    <n v="0"/>
    <s v=""/>
    <n v="2"/>
    <n v="0.5471305481548665"/>
    <n v="14"/>
    <n v="0.43767422201891981"/>
    <n v="0"/>
    <s v=""/>
    <n v="6"/>
    <n v="0.46624202337089571"/>
    <n v="1"/>
    <n v="1.0000000000000002"/>
    <n v="7"/>
    <n v="0.62818387829761568"/>
    <n v="4"/>
    <n v="0.59909324375579653"/>
    <n v="7"/>
    <n v="0.50298032853665975"/>
    <n v="6"/>
    <n v="0.55862723183803642"/>
    <n v="19"/>
    <n v="0.55267726582881449"/>
    <n v="1"/>
    <n v="0.56748613785683388"/>
    <n v="7"/>
    <n v="0.45456891470443905"/>
    <n v="8"/>
    <n v="0.39600197881885785"/>
    <n v="4"/>
    <n v="0.47766153669802824"/>
    <n v="0.2"/>
    <n v="5"/>
    <n v="0.66090243744866217"/>
    <n v="1.6666666666666667"/>
    <n v="9"/>
    <n v="0.43092090489773621"/>
    <n v="1.8"/>
    <n v="6"/>
    <n v="0.56707952436593578"/>
    <n v="1.5"/>
    <n v="1"/>
    <n v="0.26868627929323025"/>
    <n v="0.14285714285714285"/>
    <n v="2"/>
    <n v="0.39462846154041398"/>
    <n v="0.5"/>
    <m/>
    <m/>
    <m/>
    <m/>
    <m/>
    <m/>
    <m/>
    <m/>
    <m/>
    <n v="12"/>
    <n v="81"/>
    <n v="6"/>
    <n v="50"/>
    <n v="50"/>
    <n v="0"/>
    <n v="151263"/>
    <n v="503009.99999999994"/>
    <n v="37044"/>
    <n v="0"/>
    <n v="92"/>
    <n v="568008"/>
    <n v="71986.441635477735"/>
    <n v="5"/>
    <n v="135"/>
    <n v="10.5"/>
    <n v="0"/>
    <n v="0"/>
    <n v="0"/>
    <n v="138915"/>
    <n v="838349.99999999988"/>
    <n v="64827"/>
    <n v="0"/>
    <n v="92"/>
    <n v="568008"/>
    <n v="125976.27286208603"/>
    <n v="15"/>
    <n v="127"/>
    <n v="8"/>
    <n v="0"/>
    <n v="0"/>
    <n v="96444"/>
    <n v="784098"/>
    <n v="49392"/>
    <n v="0"/>
    <n v="92"/>
    <n v="568008"/>
    <n v="114218.48739495799"/>
    <n v="20"/>
    <n v="119"/>
    <n v="4"/>
    <n v="0"/>
    <n v="0"/>
    <n v="738989.99999999988"/>
    <n v="24696"/>
    <x v="0"/>
    <x v="0"/>
    <n v="92"/>
    <n v="568008"/>
    <n v="57109.243697478996"/>
    <n v="3"/>
    <n v="97"/>
    <n v="3.5999999999999996"/>
    <m/>
    <n v="0"/>
    <n v="0"/>
    <n v="598878"/>
    <n v="22355.999999999993"/>
    <x v="0"/>
    <n v="0"/>
    <n v="92"/>
    <n v="568008"/>
    <n v="51398.319327731093"/>
    <n v="5"/>
    <n v="101"/>
    <n v="9"/>
    <m/>
    <n v="0"/>
    <n v="0"/>
    <n v="623574"/>
    <n v="55889.999999999993"/>
    <n v="0"/>
    <n v="0"/>
    <n v="101"/>
    <n v="568008"/>
    <n v="128495.79831932775"/>
    <n v="4"/>
    <n v="98"/>
    <n v="6"/>
    <n v="0"/>
    <n v="0"/>
    <n v="0"/>
    <n v="605052"/>
    <n v="37259.999999999993"/>
    <n v="0"/>
    <n v="0"/>
    <n v="98"/>
    <n v="568008"/>
    <n v="85663.865546218498"/>
    <n v="7"/>
    <n v="93"/>
    <n v="1"/>
    <n v="0"/>
    <n v="0"/>
    <n v="0"/>
    <n v="574182"/>
    <n v="6209.9999999999991"/>
    <n v="0"/>
    <n v="0"/>
    <n v="93"/>
    <n v="574182"/>
    <n v="14277.310924369749"/>
    <n v="4"/>
    <n v="94"/>
    <n v="3"/>
    <n v="0"/>
    <n v="0"/>
    <n v="0"/>
    <n v="583739.99999999988"/>
    <n v="18629.999999999996"/>
    <n v="0"/>
    <n v="0"/>
    <n v="92"/>
    <n v="568008"/>
    <n v="42831.932773109249"/>
    <n v="10"/>
    <n v="91"/>
    <n v="12"/>
    <n v="0"/>
    <n v="0"/>
    <n v="0"/>
    <m/>
    <n v="565109.99999999988"/>
    <n v="74519.999999999985"/>
    <n v="0"/>
    <n v="0"/>
    <n v="91"/>
    <n v="565109.99999999988"/>
    <n v="130991.59663865546"/>
    <n v="15"/>
    <n v="79"/>
    <n v="18"/>
    <m/>
    <n v="0"/>
    <n v="0"/>
    <n v="490589.99999999994"/>
    <n v="111779.99999999999"/>
    <n v="0"/>
    <n v="0"/>
    <n v="79"/>
    <n v="490589.99999999994"/>
    <n v="196487.3949579832"/>
    <n v="20"/>
    <n v="61"/>
    <n v="24"/>
    <n v="0"/>
    <n v="0"/>
    <n v="378809.99999999994"/>
    <n v="149039.99999999997"/>
    <n v="0"/>
    <n v="0"/>
    <n v="61"/>
    <n v="378809.99999999994"/>
    <n v="342655.46218487399"/>
    <n v="9"/>
    <n v="37"/>
    <n v="10.799999999999999"/>
    <n v="0"/>
    <m/>
    <n v="229769.99999999997"/>
    <n v="66679.199999999997"/>
    <n v="0"/>
    <n v="37"/>
    <n v="229769.99999999997"/>
    <n v="154194.95798319328"/>
  </r>
  <r>
    <m/>
    <x v="6"/>
    <x v="24"/>
    <x v="56"/>
    <s v="SIMDECROU"/>
    <x v="580"/>
    <x v="424"/>
    <x v="0"/>
    <x v="5"/>
    <n v="1"/>
    <x v="373"/>
    <n v="8"/>
    <m/>
    <n v="0"/>
    <n v="5603"/>
    <n v="44824"/>
    <n v="3.86"/>
    <n v="4217.0499999999993"/>
    <n v="16798.319327731093"/>
    <n v="16798.319327731093"/>
    <s v="Shenzhen"/>
    <x v="0"/>
    <n v="30"/>
    <m/>
    <n v="100"/>
    <n v="4"/>
    <n v="0.66644600547684241"/>
    <n v="9"/>
    <n v="0.58677899092302133"/>
    <n v="9"/>
    <n v="0.63179076033383696"/>
    <n v="24"/>
    <n v="0.55954452168870539"/>
    <n v="13"/>
    <n v="0.62937750329589603"/>
    <n v="27"/>
    <n v="0.52595091458128762"/>
    <n v="4"/>
    <n v="0.56850113171404115"/>
    <n v="3"/>
    <n v="0.4867130817149139"/>
    <n v="1"/>
    <n v="0.73318952380952374"/>
    <n v="0"/>
    <s v=""/>
    <n v="0"/>
    <s v=""/>
    <n v="0"/>
    <s v=""/>
    <n v="6"/>
    <n v="0.44913419391261206"/>
    <n v="8"/>
    <n v="0.57243163950292486"/>
    <n v="10"/>
    <n v="0.55304082361009976"/>
    <n v="3"/>
    <n v="0.40171972442740245"/>
    <n v="0.12"/>
    <n v="4"/>
    <n v="0.66643571785892941"/>
    <n v="0.33333333333333331"/>
    <n v="4"/>
    <n v="0.51016328708644609"/>
    <n v="0.26666666666666666"/>
    <n v="2"/>
    <n v="0.73319047619047617"/>
    <n v="0.2857142857142857"/>
    <n v="1"/>
    <n v="0.38753833159446072"/>
    <n v="0.125"/>
    <n v="0"/>
    <s v=""/>
    <n v="0"/>
    <m/>
    <m/>
    <m/>
    <m/>
    <m/>
    <m/>
    <m/>
    <m/>
    <m/>
    <n v="15"/>
    <n v="47"/>
    <n v="6"/>
    <n v="50"/>
    <n v="50"/>
    <n v="0"/>
    <n v="156884"/>
    <n v="187769.69999999998"/>
    <n v="33618"/>
    <n v="0"/>
    <n v="8"/>
    <n v="44824"/>
    <n v="84697.408375114755"/>
    <n v="5"/>
    <n v="41"/>
    <n v="12"/>
    <n v="0"/>
    <n v="0"/>
    <n v="0"/>
    <n v="140075"/>
    <n v="163799.1"/>
    <n v="67236"/>
    <n v="0"/>
    <n v="8"/>
    <n v="44824"/>
    <n v="169394.81675022951"/>
    <n v="20"/>
    <n v="33"/>
    <n v="10"/>
    <n v="0"/>
    <n v="0"/>
    <n v="120780.2"/>
    <n v="184899"/>
    <n v="56030"/>
    <n v="0"/>
    <n v="8"/>
    <n v="44824"/>
    <n v="167983.19327731093"/>
    <n v="25"/>
    <n v="22"/>
    <n v="3"/>
    <n v="100"/>
    <n v="0"/>
    <n v="87892.2"/>
    <n v="16809"/>
    <x v="65"/>
    <x v="0"/>
    <n v="8"/>
    <n v="44824"/>
    <n v="50394.957983193279"/>
    <n v="12"/>
    <n v="12"/>
    <n v="12"/>
    <m/>
    <n v="0"/>
    <n v="0"/>
    <n v="67236"/>
    <n v="47941.2"/>
    <x v="0"/>
    <n v="0"/>
    <n v="8"/>
    <n v="44824"/>
    <n v="201579.83193277312"/>
    <n v="15"/>
    <n v="12"/>
    <n v="4"/>
    <m/>
    <n v="0"/>
    <n v="0"/>
    <n v="67236"/>
    <n v="15980.4"/>
    <n v="0"/>
    <n v="0"/>
    <n v="12"/>
    <n v="44824"/>
    <n v="67193.277310924372"/>
    <n v="7"/>
    <n v="10"/>
    <n v="2"/>
    <n v="0"/>
    <n v="0"/>
    <n v="0"/>
    <n v="56030"/>
    <n v="7990.2"/>
    <n v="0"/>
    <n v="0"/>
    <n v="10"/>
    <n v="44824"/>
    <n v="33596.638655462186"/>
    <n v="8"/>
    <n v="9"/>
    <n v="1"/>
    <n v="0"/>
    <n v="0"/>
    <n v="0"/>
    <n v="50427"/>
    <n v="3995.1"/>
    <n v="0"/>
    <n v="0"/>
    <n v="9"/>
    <n v="50427"/>
    <n v="16798.319327731093"/>
    <n v="6"/>
    <n v="8"/>
    <n v="0"/>
    <n v="100"/>
    <n v="100"/>
    <n v="0"/>
    <n v="31960.799999999999"/>
    <n v="0"/>
    <n v="399510"/>
    <n v="0"/>
    <n v="8"/>
    <n v="44824"/>
    <n v="0"/>
    <n v="20"/>
    <n v="8"/>
    <n v="8"/>
    <n v="0"/>
    <n v="0"/>
    <n v="0"/>
    <n v="100"/>
    <n v="31960.799999999999"/>
    <n v="31960.799999999999"/>
    <n v="0"/>
    <n v="0"/>
    <n v="8"/>
    <n v="31960.799999999999"/>
    <n v="134386.55462184874"/>
    <n v="20"/>
    <n v="0"/>
    <n v="20"/>
    <m/>
    <n v="0"/>
    <n v="204"/>
    <n v="0"/>
    <n v="79902"/>
    <n v="0"/>
    <n v="815000.4"/>
    <n v="204"/>
    <n v="815000.4"/>
    <n v="0"/>
    <n v="100"/>
    <n v="184"/>
    <n v="100"/>
    <n v="0"/>
    <n v="0"/>
    <n v="735098.4"/>
    <n v="399510"/>
    <n v="0"/>
    <n v="0"/>
    <n v="184"/>
    <n v="735098.4"/>
    <n v="1679831.9327731093"/>
    <n v="12"/>
    <n v="84"/>
    <n v="12"/>
    <n v="0"/>
    <m/>
    <n v="335588.39999999997"/>
    <n v="67236"/>
    <n v="0"/>
    <n v="84"/>
    <n v="335588.39999999997"/>
    <n v="201579.83193277312"/>
  </r>
  <r>
    <s v="Simplit-Cristalería y Bar"/>
    <x v="6"/>
    <x v="24"/>
    <x v="56"/>
    <s v="SIMDESSOM"/>
    <x v="581"/>
    <x v="425"/>
    <x v="0"/>
    <x v="5"/>
    <n v="0.7"/>
    <x v="374"/>
    <n v="303"/>
    <m/>
    <n v="0"/>
    <n v="2168"/>
    <n v="656904"/>
    <n v="2.3199999999999998"/>
    <n v="2534.6"/>
    <n v="8394.957983193277"/>
    <n v="8394.957983193277"/>
    <s v="Shenzhen"/>
    <x v="0"/>
    <n v="30"/>
    <m/>
    <n v="200"/>
    <n v="5"/>
    <n v="0.67543573914756683"/>
    <n v="8"/>
    <n v="0.668329212694875"/>
    <n v="6"/>
    <n v="0.72831435292291546"/>
    <n v="11"/>
    <n v="0.70186590304899288"/>
    <n v="13"/>
    <n v="0.66237254303534088"/>
    <n v="33"/>
    <n v="0.6585272663183217"/>
    <n v="18"/>
    <n v="0.65609096967259151"/>
    <n v="22"/>
    <n v="0.68516546388168087"/>
    <n v="12"/>
    <n v="0.69016703396549006"/>
    <n v="25"/>
    <n v="0.6633307069088924"/>
    <n v="25"/>
    <n v="0.72858579487743136"/>
    <n v="13"/>
    <n v="0.75156100935690962"/>
    <n v="5"/>
    <n v="0.65305471435140339"/>
    <n v="13"/>
    <n v="0.55339354857093137"/>
    <n v="15"/>
    <n v="0.61846882912005308"/>
    <n v="9"/>
    <n v="0.58728292597706022"/>
    <n v="0.6"/>
    <n v="20"/>
    <n v="0.70461377421142979"/>
    <n v="1.6666666666666667"/>
    <n v="14"/>
    <n v="0.60762758768206515"/>
    <n v="0.46666666666666667"/>
    <n v="21"/>
    <n v="0.71199702145948474"/>
    <n v="1.3125"/>
    <n v="19"/>
    <n v="0.50044874628916736"/>
    <n v="0.86363636363636365"/>
    <n v="20"/>
    <n v="0.53764723006856707"/>
    <n v="1"/>
    <m/>
    <m/>
    <m/>
    <m/>
    <m/>
    <m/>
    <m/>
    <m/>
    <m/>
    <n v="15"/>
    <n v="6"/>
    <n v="15"/>
    <n v="50"/>
    <n v="50"/>
    <n v="0"/>
    <n v="107316"/>
    <n v="14407.199999999999"/>
    <n v="32520"/>
    <n v="0"/>
    <n v="303"/>
    <n v="656904"/>
    <n v="105818.79810747829"/>
    <n v="15"/>
    <n v="46"/>
    <n v="19.5"/>
    <n v="0"/>
    <n v="0"/>
    <n v="0"/>
    <n v="94308"/>
    <n v="110455.2"/>
    <n v="42276"/>
    <n v="0"/>
    <n v="303"/>
    <n v="656904"/>
    <n v="137564.43753972178"/>
    <n v="15"/>
    <n v="31"/>
    <n v="15"/>
    <n v="0"/>
    <n v="0"/>
    <n v="72202.079999999987"/>
    <n v="67208"/>
    <n v="32520"/>
    <n v="0"/>
    <n v="303"/>
    <n v="656904"/>
    <n v="125924.36974789915"/>
    <n v="15"/>
    <n v="118"/>
    <n v="9"/>
    <n v="100"/>
    <n v="0"/>
    <n v="283341.59999999998"/>
    <n v="19512"/>
    <x v="66"/>
    <x v="0"/>
    <n v="303"/>
    <n v="656904"/>
    <n v="75554.621848739494"/>
    <n v="12"/>
    <n v="323"/>
    <n v="8.3999999999999986"/>
    <m/>
    <n v="0"/>
    <n v="0"/>
    <n v="700264"/>
    <n v="20170.079999999994"/>
    <x v="0"/>
    <n v="0"/>
    <n v="303"/>
    <n v="656904"/>
    <n v="70517.64705882351"/>
    <n v="30"/>
    <n v="317"/>
    <n v="14"/>
    <m/>
    <n v="0"/>
    <n v="0"/>
    <n v="687256"/>
    <n v="33616.799999999996"/>
    <n v="0"/>
    <n v="0"/>
    <n v="317"/>
    <n v="656904"/>
    <n v="117529.41176470587"/>
    <n v="16"/>
    <n v="324"/>
    <n v="21"/>
    <n v="0"/>
    <n v="0"/>
    <n v="0"/>
    <n v="702432"/>
    <n v="50425.2"/>
    <n v="0"/>
    <n v="0"/>
    <n v="324"/>
    <n v="656904"/>
    <n v="176294.11764705883"/>
    <n v="22"/>
    <n v="322"/>
    <n v="19"/>
    <n v="0"/>
    <n v="0"/>
    <n v="0"/>
    <n v="698096"/>
    <n v="45622.799999999996"/>
    <n v="0"/>
    <n v="0"/>
    <n v="322"/>
    <n v="698096"/>
    <n v="159504.20168067227"/>
    <n v="20"/>
    <n v="323"/>
    <n v="16.5"/>
    <n v="100"/>
    <n v="100"/>
    <n v="0"/>
    <n v="775587.6"/>
    <n v="39619.799999999996"/>
    <n v="240119.99999999997"/>
    <n v="0"/>
    <n v="303"/>
    <n v="656904"/>
    <n v="138516.80672268907"/>
    <n v="25"/>
    <n v="306.5"/>
    <n v="17.5"/>
    <n v="0"/>
    <n v="0"/>
    <n v="0"/>
    <n v="0"/>
    <n v="735967.79999999993"/>
    <n v="42021"/>
    <n v="0"/>
    <n v="0"/>
    <n v="306.5"/>
    <n v="735967.79999999993"/>
    <n v="146911.76470588235"/>
    <n v="25"/>
    <n v="289"/>
    <n v="17.5"/>
    <m/>
    <n v="0"/>
    <n v="0"/>
    <n v="693946.79999999993"/>
    <n v="42021"/>
    <n v="0"/>
    <n v="0"/>
    <n v="289"/>
    <n v="693946.79999999993"/>
    <n v="146911.76470588235"/>
    <n v="30"/>
    <n v="271.5"/>
    <n v="21"/>
    <n v="0"/>
    <n v="0"/>
    <n v="651925.79999999993"/>
    <n v="50425.2"/>
    <n v="0"/>
    <n v="0"/>
    <n v="271.5"/>
    <n v="651925.79999999993"/>
    <n v="176294.11764705883"/>
    <n v="15"/>
    <n v="250.5"/>
    <n v="10.5"/>
    <n v="0"/>
    <m/>
    <n v="601500.6"/>
    <n v="22764"/>
    <n v="0"/>
    <n v="250.5"/>
    <n v="601500.6"/>
    <n v="88147.058823529413"/>
  </r>
  <r>
    <s v="Simplit-Cristalería y Bar"/>
    <x v="6"/>
    <x v="24"/>
    <x v="56"/>
    <s v="SIMHIECHAR"/>
    <x v="582"/>
    <x v="426"/>
    <x v="0"/>
    <x v="3"/>
    <n v="1"/>
    <x v="375"/>
    <n v="8"/>
    <m/>
    <n v="0"/>
    <n v="7339"/>
    <n v="58712"/>
    <n v="7.09"/>
    <n v="7745.8249999999998"/>
    <n v="14277.310924369749"/>
    <n v="22680.672268907565"/>
    <s v="Shenzhen"/>
    <x v="0"/>
    <n v="30"/>
    <m/>
    <n v="300"/>
    <n v="8"/>
    <n v="0.52825159488744755"/>
    <n v="12"/>
    <n v="0.5475667772507854"/>
    <n v="33"/>
    <n v="0.51068514120296982"/>
    <n v="59"/>
    <n v="0.51431677731617775"/>
    <n v="43"/>
    <n v="0.54102244238419128"/>
    <n v="63"/>
    <n v="0.49493476467060382"/>
    <n v="31"/>
    <n v="0.53197572894325251"/>
    <n v="44"/>
    <n v="0.52687682170646888"/>
    <n v="17"/>
    <n v="0.57296837823877866"/>
    <n v="75"/>
    <n v="0.4785079322589943"/>
    <n v="97"/>
    <n v="0.53445491347792362"/>
    <n v="93"/>
    <n v="0.49736146540122333"/>
    <n v="62"/>
    <n v="0.37816957986761512"/>
    <n v="59"/>
    <n v="0.38966385514356494"/>
    <n v="186"/>
    <n v="0.37522924255302298"/>
    <n v="94"/>
    <n v="0.39656145649811003"/>
    <n v="0.94"/>
    <n v="24"/>
    <n v="0.53800096348258064"/>
    <n v="0.4"/>
    <n v="-1"/>
    <n v="2.6670721649484537"/>
    <n v="-1.2500000000000001E-2"/>
    <n v="4"/>
    <n v="0.37035465596801143"/>
    <n v="8.8888888888888892E-2"/>
    <n v="0"/>
    <s v=""/>
    <n v="0"/>
    <n v="1"/>
    <n v="0.55343639322355176"/>
    <n v="2.5000000000000001E-2"/>
    <m/>
    <m/>
    <m/>
    <m/>
    <m/>
    <m/>
    <m/>
    <m/>
    <m/>
    <n v="70"/>
    <n v="428"/>
    <n v="70"/>
    <n v="0"/>
    <n v="0"/>
    <n v="0"/>
    <n v="2528285.5"/>
    <n v="3140728.1999999997"/>
    <n v="513730"/>
    <n v="0"/>
    <n v="8"/>
    <n v="58712"/>
    <n v="839841.81908057351"/>
    <n v="50"/>
    <n v="366"/>
    <n v="88.5"/>
    <n v="0"/>
    <n v="0"/>
    <n v="0"/>
    <n v="2704421.5"/>
    <n v="2685762.9"/>
    <n v="649501.5"/>
    <n v="0"/>
    <n v="8"/>
    <n v="58712"/>
    <n v="1061800.0141232966"/>
    <n v="60"/>
    <n v="299"/>
    <n v="186"/>
    <n v="0"/>
    <n v="0"/>
    <n v="2495209"/>
    <n v="2194361"/>
    <n v="1365054"/>
    <n v="0"/>
    <n v="8"/>
    <n v="58712"/>
    <n v="2655579.8319327733"/>
    <n v="100"/>
    <n v="106"/>
    <n v="94"/>
    <n v="0"/>
    <n v="0"/>
    <n v="777843.89999999991"/>
    <n v="689866"/>
    <x v="0"/>
    <x v="0"/>
    <n v="8"/>
    <n v="58712"/>
    <n v="1342067.2268907565"/>
    <n v="60"/>
    <n v="32"/>
    <n v="60"/>
    <m/>
    <n v="0"/>
    <n v="0"/>
    <n v="234848"/>
    <n v="440289"/>
    <x v="0"/>
    <n v="0"/>
    <n v="8"/>
    <n v="58712"/>
    <n v="856638.65546218492"/>
    <n v="80"/>
    <n v="7"/>
    <n v="-1"/>
    <m/>
    <n v="0"/>
    <n v="0"/>
    <n v="51373"/>
    <n v="-7338.15"/>
    <n v="0"/>
    <n v="0"/>
    <n v="7"/>
    <n v="58712"/>
    <n v="-14277.310924369749"/>
    <n v="45"/>
    <n v="12"/>
    <n v="4"/>
    <n v="0"/>
    <n v="0"/>
    <n v="0"/>
    <n v="88068"/>
    <n v="29352.6"/>
    <n v="0"/>
    <n v="0"/>
    <n v="12"/>
    <n v="58712"/>
    <n v="57109.243697478996"/>
    <n v="44"/>
    <n v="8"/>
    <n v="0"/>
    <n v="0"/>
    <n v="0"/>
    <n v="0"/>
    <n v="58712"/>
    <n v="0"/>
    <n v="0"/>
    <n v="0"/>
    <n v="8"/>
    <n v="58712"/>
    <n v="0"/>
    <n v="40"/>
    <n v="9"/>
    <n v="1.5"/>
    <n v="504"/>
    <n v="504"/>
    <n v="0"/>
    <n v="66043.349999999991"/>
    <n v="11007.224999999999"/>
    <n v="3698427.5999999996"/>
    <n v="0"/>
    <n v="8"/>
    <n v="58712"/>
    <n v="21415.966386554624"/>
    <n v="60"/>
    <n v="7.5"/>
    <n v="7.5"/>
    <n v="0"/>
    <n v="0"/>
    <n v="0"/>
    <n v="504"/>
    <n v="55036.125"/>
    <n v="55036.125"/>
    <n v="0"/>
    <n v="0"/>
    <n v="7.5"/>
    <n v="55036.125"/>
    <n v="170105.04201680675"/>
    <n v="50"/>
    <n v="0"/>
    <n v="50"/>
    <m/>
    <n v="504"/>
    <n v="504"/>
    <n v="0"/>
    <n v="366907.5"/>
    <n v="0"/>
    <n v="3698427.5999999996"/>
    <n v="504"/>
    <n v="3698427.5999999996"/>
    <n v="1134033.6134453781"/>
    <n v="100"/>
    <n v="454"/>
    <n v="100"/>
    <n v="0"/>
    <n v="0"/>
    <n v="3331520.0999999996"/>
    <n v="733815"/>
    <n v="0"/>
    <n v="0"/>
    <n v="454"/>
    <n v="3331520.0999999996"/>
    <n v="1427731.0924369749"/>
    <n v="30"/>
    <n v="354"/>
    <n v="30"/>
    <n v="0"/>
    <m/>
    <n v="2597705.1"/>
    <n v="220170"/>
    <n v="0"/>
    <n v="354"/>
    <n v="2597705.1"/>
    <n v="428319.32773109246"/>
  </r>
  <r>
    <s v="Simplit-Cristalería y Bar"/>
    <x v="6"/>
    <x v="24"/>
    <x v="56"/>
    <s v="SIMJARVID"/>
    <x v="583"/>
    <x v="427"/>
    <x v="0"/>
    <x v="4"/>
    <n v="1"/>
    <x v="31"/>
    <n v="0"/>
    <m/>
    <n v="0"/>
    <n v="3680"/>
    <n v="0"/>
    <n v="4"/>
    <n v="3680"/>
    <n v="9277.310924369749"/>
    <n v="7885.7142857142862"/>
    <s v="Shenzhen"/>
    <x v="0"/>
    <n v="45"/>
    <m/>
    <n v="3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n v="0"/>
    <n v="0"/>
    <n v="0"/>
    <n v="0"/>
    <n v="0"/>
    <n v="0"/>
    <n v="0"/>
    <n v="0"/>
    <n v="0"/>
    <n v="0"/>
    <n v="0"/>
    <n v="35"/>
    <n v="0"/>
    <n v="0"/>
    <m/>
    <n v="0"/>
    <n v="0"/>
    <n v="0"/>
    <n v="0"/>
    <n v="0"/>
    <n v="0"/>
    <n v="0"/>
    <n v="0"/>
    <n v="0"/>
    <n v="60"/>
    <n v="0"/>
    <n v="0"/>
    <n v="0"/>
    <n v="0"/>
    <n v="0"/>
    <n v="0"/>
    <n v="0"/>
    <n v="0"/>
    <n v="0"/>
    <n v="0"/>
    <n v="0"/>
    <n v="21"/>
    <n v="0"/>
    <n v="21"/>
    <n v="300"/>
    <m/>
    <n v="0"/>
    <n v="77280"/>
    <n v="0"/>
    <n v="0"/>
    <n v="0"/>
    <n v="194823.52941176473"/>
  </r>
  <r>
    <s v="Simplit-Cristalería y Bar"/>
    <x v="6"/>
    <x v="24"/>
    <x v="57"/>
    <n v="66800506435054"/>
    <x v="584"/>
    <x v="428"/>
    <x v="0"/>
    <x v="0"/>
    <n v="1.5"/>
    <x v="31"/>
    <n v="9"/>
    <m/>
    <n v="0"/>
    <n v="643"/>
    <n v="5787"/>
    <n v="0.62"/>
    <n v="677.34999999999991"/>
    <n v="3352.9411764705883"/>
    <n v="3352.9411764705883"/>
    <s v="Shenzhen"/>
    <x v="0"/>
    <n v="30"/>
    <m/>
    <n v="100"/>
    <n v="121"/>
    <n v="0.84230750538644705"/>
    <n v="79"/>
    <n v="0.8097072510153841"/>
    <n v="46"/>
    <n v="0.79638429623991858"/>
    <n v="52"/>
    <n v="0.82075715714586939"/>
    <n v="82"/>
    <n v="0.80752572086688268"/>
    <n v="81"/>
    <n v="0.80522790951876366"/>
    <n v="53"/>
    <n v="0.80787330657821166"/>
    <n v="27"/>
    <n v="0.87101340319097298"/>
    <n v="40"/>
    <n v="0.88064865553011173"/>
    <n v="69"/>
    <n v="0.82909501095114102"/>
    <n v="36"/>
    <n v="0.86325471700466483"/>
    <n v="66"/>
    <n v="0.85118691134175528"/>
    <n v="81"/>
    <n v="0.51358106849440632"/>
    <n v="88"/>
    <n v="0.50852541488153147"/>
    <n v="108"/>
    <n v="0.52500572596675621"/>
    <n v="92"/>
    <n v="0.5167711608289981"/>
    <n v="1.5333333333333334"/>
    <n v="65"/>
    <n v="0.80200932796268809"/>
    <n v="0.8125"/>
    <n v="88"/>
    <n v="0.47944488734089191"/>
    <n v="1.0352941176470589"/>
    <n v="22"/>
    <s v=""/>
    <n v="0.3235294117647059"/>
    <n v="94"/>
    <n v="0.51590146260394798"/>
    <n v="1.0329670329670331"/>
    <n v="10"/>
    <n v="0.5798588787577571"/>
    <n v="0.17857142857142858"/>
    <m/>
    <m/>
    <m/>
    <m/>
    <m/>
    <m/>
    <m/>
    <m/>
    <m/>
    <n v="130"/>
    <n v="496"/>
    <n v="120"/>
    <n v="0"/>
    <n v="0"/>
    <n v="0"/>
    <n v="231480"/>
    <n v="318283.19999999995"/>
    <n v="77160"/>
    <n v="0"/>
    <n v="9"/>
    <n v="5787"/>
    <n v="338111.71527434507"/>
    <n v="100"/>
    <n v="389"/>
    <n v="132"/>
    <n v="200"/>
    <n v="0"/>
    <n v="0"/>
    <n v="213476"/>
    <n v="249621.29999999996"/>
    <n v="84876"/>
    <n v="0"/>
    <n v="9"/>
    <n v="5787"/>
    <n v="371922.88680177956"/>
    <n v="50"/>
    <n v="304"/>
    <n v="108"/>
    <n v="0"/>
    <n v="0"/>
    <n v="205604"/>
    <n v="195472"/>
    <n v="69444"/>
    <n v="0"/>
    <n v="9"/>
    <n v="5787"/>
    <n v="362117.64705882355"/>
    <n v="60"/>
    <n v="218"/>
    <n v="92"/>
    <n v="0"/>
    <n v="0"/>
    <n v="139890.59999999998"/>
    <n v="59156"/>
    <x v="0"/>
    <x v="0"/>
    <n v="9"/>
    <n v="5787"/>
    <n v="308470.5882352941"/>
    <n v="80"/>
    <n v="74"/>
    <n v="120"/>
    <m/>
    <n v="0"/>
    <n v="0"/>
    <n v="47582"/>
    <n v="77003.999999999985"/>
    <x v="0"/>
    <n v="0"/>
    <n v="9"/>
    <n v="5787"/>
    <n v="402352.9411764706"/>
    <n v="85"/>
    <n v="97"/>
    <n v="88"/>
    <m/>
    <n v="200"/>
    <n v="0"/>
    <n v="62371"/>
    <n v="56469.599999999991"/>
    <n v="0"/>
    <n v="0"/>
    <n v="97"/>
    <n v="5787"/>
    <n v="295058.82352941175"/>
    <n v="68"/>
    <n v="31"/>
    <n v="22"/>
    <n v="0"/>
    <n v="0"/>
    <n v="0"/>
    <n v="19933"/>
    <n v="14117.399999999998"/>
    <n v="0"/>
    <n v="0"/>
    <n v="31"/>
    <n v="5787"/>
    <n v="73764.705882352937"/>
    <n v="91"/>
    <n v="103"/>
    <n v="97"/>
    <n v="0"/>
    <n v="0"/>
    <n v="0"/>
    <n v="66229"/>
    <n v="62244.899999999994"/>
    <n v="0"/>
    <n v="0"/>
    <n v="103"/>
    <n v="66229"/>
    <n v="325235.29411764705"/>
    <n v="56"/>
    <n v="19"/>
    <n v="13.5"/>
    <n v="0"/>
    <n v="0"/>
    <n v="0"/>
    <n v="12192.3"/>
    <n v="8662.9499999999989"/>
    <n v="0"/>
    <n v="0"/>
    <n v="9"/>
    <n v="5787"/>
    <n v="45264.705882352944"/>
    <n v="70"/>
    <n v="5.5"/>
    <n v="5.5"/>
    <n v="0"/>
    <n v="0"/>
    <n v="0"/>
    <n v="0"/>
    <n v="3529.3499999999995"/>
    <n v="3529.3499999999995"/>
    <n v="0"/>
    <n v="0"/>
    <n v="5.5"/>
    <n v="3529.3499999999995"/>
    <n v="18441.176470588234"/>
    <n v="60"/>
    <n v="0"/>
    <n v="0"/>
    <m/>
    <n v="0"/>
    <n v="0"/>
    <n v="0"/>
    <n v="0"/>
    <n v="0"/>
    <n v="0"/>
    <n v="0"/>
    <n v="0"/>
    <n v="0"/>
    <n v="85"/>
    <n v="0"/>
    <n v="0"/>
    <n v="0"/>
    <n v="0"/>
    <n v="0"/>
    <n v="0"/>
    <n v="0"/>
    <n v="0"/>
    <n v="0"/>
    <n v="0"/>
    <n v="0"/>
    <n v="36"/>
    <n v="0"/>
    <n v="54"/>
    <n v="0"/>
    <m/>
    <n v="0"/>
    <n v="34722"/>
    <n v="0"/>
    <n v="0"/>
    <n v="0"/>
    <n v="181058.82352941178"/>
  </r>
  <r>
    <s v="Simplit-Cristalería y Bar"/>
    <x v="6"/>
    <x v="24"/>
    <x v="57"/>
    <n v="66800507665930"/>
    <x v="585"/>
    <x v="429"/>
    <x v="0"/>
    <x v="3"/>
    <n v="1"/>
    <x v="31"/>
    <n v="442"/>
    <m/>
    <n v="0"/>
    <n v="1568"/>
    <n v="693056"/>
    <n v="1.52"/>
    <n v="1660.6"/>
    <n v="3352.9411764705883"/>
    <n v="3352.9411764705883"/>
    <s v="Shenzhen"/>
    <x v="0"/>
    <n v="30"/>
    <m/>
    <n v="100"/>
    <n v="245"/>
    <n v="0.61450862097197234"/>
    <n v="60"/>
    <n v="0.97964629472539455"/>
    <n v="45"/>
    <n v="0.56971295352090567"/>
    <n v="97"/>
    <n v="0.58571583273476924"/>
    <n v="63"/>
    <n v="0.46883751263456486"/>
    <n v="97"/>
    <n v="0.55747938087313909"/>
    <n v="20"/>
    <n v="0.65144047360597479"/>
    <n v="37"/>
    <n v="0.6434407898606691"/>
    <n v="24"/>
    <n v="0.62649825092738087"/>
    <n v="58"/>
    <n v="0.58479996828402547"/>
    <n v="49"/>
    <n v="0.6406024923682222"/>
    <n v="75"/>
    <n v="0.6291769302278013"/>
    <n v="71"/>
    <n v="0.4162378379916194"/>
    <n v="107"/>
    <n v="0.36521101498981862"/>
    <n v="132"/>
    <n v="0.27745206459603428"/>
    <n v="99"/>
    <n v="0.36929107318441073"/>
    <n v="0.99"/>
    <n v="71"/>
    <n v="0.52206527131517722"/>
    <n v="1.0142857142857142"/>
    <n v="94"/>
    <n v="0.33195998740752397"/>
    <n v="0.94"/>
    <n v="16"/>
    <s v=""/>
    <n v="0.32"/>
    <n v="84"/>
    <n v="0.28153080104813299"/>
    <n v="1.68"/>
    <n v="33"/>
    <n v="0.37119510645652132"/>
    <n v="0.66"/>
    <m/>
    <m/>
    <m/>
    <m/>
    <m/>
    <m/>
    <m/>
    <m/>
    <m/>
    <n v="240"/>
    <n v="494"/>
    <n v="80"/>
    <n v="450"/>
    <n v="450"/>
    <n v="0"/>
    <n v="584080"/>
    <n v="777160.79999999993"/>
    <n v="125440"/>
    <n v="0"/>
    <n v="442"/>
    <n v="693056"/>
    <n v="225407.81018289673"/>
    <n v="80"/>
    <n v="846"/>
    <n v="160.5"/>
    <n v="300"/>
    <n v="0"/>
    <n v="0"/>
    <n v="613872"/>
    <n v="1330927.2"/>
    <n v="251664"/>
    <n v="0"/>
    <n v="442"/>
    <n v="693056"/>
    <n v="452224.41917943652"/>
    <n v="150"/>
    <n v="726"/>
    <n v="132"/>
    <n v="0"/>
    <n v="0"/>
    <n v="472332"/>
    <n v="1138368"/>
    <n v="206976"/>
    <n v="0"/>
    <n v="442"/>
    <n v="693056"/>
    <n v="442588.23529411765"/>
    <n v="100"/>
    <n v="596"/>
    <n v="99"/>
    <n v="0"/>
    <n v="0"/>
    <n v="937627.19999999984"/>
    <n v="155232"/>
    <x v="0"/>
    <x v="0"/>
    <n v="442"/>
    <n v="693056"/>
    <n v="331941.17647058825"/>
    <n v="70"/>
    <n v="513"/>
    <n v="70"/>
    <m/>
    <n v="0"/>
    <n v="0"/>
    <n v="804384"/>
    <n v="110123.99999999999"/>
    <x v="0"/>
    <n v="0"/>
    <n v="442"/>
    <n v="693056"/>
    <n v="234705.88235294117"/>
    <n v="100"/>
    <n v="536"/>
    <n v="94"/>
    <m/>
    <n v="0"/>
    <n v="0"/>
    <n v="840448"/>
    <n v="147880.79999999999"/>
    <n v="0"/>
    <n v="0"/>
    <n v="536"/>
    <n v="693056"/>
    <n v="315176.4705882353"/>
    <n v="50"/>
    <n v="458"/>
    <n v="16"/>
    <n v="0"/>
    <n v="0"/>
    <n v="0"/>
    <n v="718144"/>
    <n v="25171.199999999997"/>
    <n v="0"/>
    <n v="0"/>
    <n v="458"/>
    <n v="693056"/>
    <n v="53647.058823529413"/>
    <n v="50"/>
    <n v="526"/>
    <n v="86"/>
    <n v="0"/>
    <n v="0"/>
    <n v="0"/>
    <n v="824768"/>
    <n v="135295.19999999998"/>
    <n v="0"/>
    <n v="0"/>
    <n v="526"/>
    <n v="824768"/>
    <n v="288352.9411764706"/>
    <n v="50"/>
    <n v="475"/>
    <n v="39"/>
    <n v="0"/>
    <n v="0"/>
    <n v="0"/>
    <n v="747269.99999999988"/>
    <n v="61354.799999999996"/>
    <n v="0"/>
    <n v="0"/>
    <n v="442"/>
    <n v="693056"/>
    <n v="130764.70588235294"/>
    <n v="100"/>
    <n v="436"/>
    <n v="100"/>
    <n v="0"/>
    <n v="0"/>
    <n v="0"/>
    <m/>
    <n v="685915.2"/>
    <n v="157319.99999999997"/>
    <n v="0"/>
    <n v="0"/>
    <n v="436"/>
    <n v="685915.2"/>
    <n v="335294.11764705885"/>
    <n v="50"/>
    <n v="336"/>
    <n v="50"/>
    <m/>
    <n v="0"/>
    <n v="0"/>
    <n v="528595.19999999995"/>
    <n v="78659.999999999985"/>
    <n v="0"/>
    <n v="0"/>
    <n v="336"/>
    <n v="528595.19999999995"/>
    <n v="167647.05882352943"/>
    <n v="100"/>
    <n v="286"/>
    <n v="100"/>
    <n v="0"/>
    <n v="0"/>
    <n v="449935.19999999995"/>
    <n v="157319.99999999997"/>
    <n v="0"/>
    <n v="0"/>
    <n v="286"/>
    <n v="449935.19999999995"/>
    <n v="335294.11764705885"/>
    <n v="30"/>
    <n v="186"/>
    <n v="30"/>
    <n v="0"/>
    <m/>
    <n v="292615.19999999995"/>
    <n v="47040"/>
    <n v="0"/>
    <n v="186"/>
    <n v="292615.19999999995"/>
    <n v="100588.23529411765"/>
  </r>
  <r>
    <s v="Simplit-Cristalería y Bar"/>
    <x v="6"/>
    <x v="24"/>
    <x v="57"/>
    <n v="66800509015029"/>
    <x v="586"/>
    <x v="430"/>
    <x v="0"/>
    <x v="0"/>
    <n v="1"/>
    <x v="31"/>
    <n v="117"/>
    <m/>
    <n v="0"/>
    <n v="1479"/>
    <n v="173043"/>
    <n v="1.42"/>
    <n v="1551.35"/>
    <n v="3352.9411764705883"/>
    <n v="3352.9411764705883"/>
    <s v="Shenzhen"/>
    <x v="0"/>
    <n v="30"/>
    <m/>
    <n v="100"/>
    <n v="190"/>
    <n v="0.59873444627274264"/>
    <n v="89"/>
    <n v="0.72030722530293001"/>
    <n v="107"/>
    <n v="0.5526804662765038"/>
    <n v="92"/>
    <n v="0.5972165059951885"/>
    <n v="70"/>
    <n v="0.55872439845300015"/>
    <n v="112"/>
    <n v="0.59713032259552745"/>
    <n v="43"/>
    <n v="0.64750628732831306"/>
    <n v="28"/>
    <n v="0.57626784103478756"/>
    <n v="3"/>
    <n v="0.796094927433461"/>
    <n v="70"/>
    <n v="0.58595869076335116"/>
    <n v="47"/>
    <n v="0.74967103042124628"/>
    <n v="68"/>
    <n v="0.69270302178523169"/>
    <n v="79"/>
    <n v="0.56075137697989552"/>
    <n v="84"/>
    <n v="0.49978277650937997"/>
    <n v="118"/>
    <n v="0.5044883941365168"/>
    <n v="125"/>
    <n v="0.44690216508564906"/>
    <n v="1.0416666666666667"/>
    <n v="88"/>
    <n v="0.54754286621507198"/>
    <n v="1.2571428571428571"/>
    <n v="109"/>
    <n v="0.36871187267460415"/>
    <n v="0.90833333333333333"/>
    <n v="34"/>
    <s v=""/>
    <n v="0.45945945945945948"/>
    <n v="86"/>
    <n v="0.26343607575755279"/>
    <n v="1.4333333333333333"/>
    <n v="39"/>
    <n v="0.44950172480211975"/>
    <n v="0.68421052631578949"/>
    <m/>
    <m/>
    <m/>
    <m/>
    <m/>
    <m/>
    <m/>
    <m/>
    <m/>
    <n v="200"/>
    <n v="474"/>
    <n v="80"/>
    <n v="300"/>
    <n v="300"/>
    <n v="0"/>
    <n v="479196"/>
    <n v="696637.79999999993"/>
    <n v="118320"/>
    <n v="0"/>
    <n v="117"/>
    <n v="173043"/>
    <n v="225407.81018289673"/>
    <n v="100"/>
    <n v="661"/>
    <n v="126"/>
    <n v="200"/>
    <n v="0"/>
    <n v="0"/>
    <n v="545751"/>
    <n v="971471.69999999984"/>
    <n v="186354"/>
    <n v="0"/>
    <n v="117"/>
    <n v="173043"/>
    <n v="355017.30103806232"/>
    <n v="110"/>
    <n v="583"/>
    <n v="118"/>
    <n v="0"/>
    <n v="0"/>
    <n v="462276"/>
    <n v="862257"/>
    <n v="174522"/>
    <n v="0"/>
    <n v="117"/>
    <n v="173043"/>
    <n v="395647.0588235294"/>
    <n v="120"/>
    <n v="440"/>
    <n v="125"/>
    <n v="0"/>
    <n v="0"/>
    <n v="646667.99999999988"/>
    <n v="184875"/>
    <x v="0"/>
    <x v="0"/>
    <n v="117"/>
    <n v="173043"/>
    <n v="419117.64705882355"/>
    <n v="70"/>
    <n v="205"/>
    <n v="70"/>
    <m/>
    <n v="0"/>
    <n v="0"/>
    <n v="303195"/>
    <n v="102878.99999999999"/>
    <x v="0"/>
    <n v="0"/>
    <n v="117"/>
    <n v="173043"/>
    <n v="234705.88235294117"/>
    <n v="120"/>
    <n v="226"/>
    <n v="109"/>
    <m/>
    <n v="200"/>
    <n v="0"/>
    <n v="334254"/>
    <n v="160197.29999999999"/>
    <n v="0"/>
    <n v="0"/>
    <n v="226"/>
    <n v="173043"/>
    <n v="365470.5882352941"/>
    <n v="74"/>
    <n v="151"/>
    <n v="34"/>
    <n v="0"/>
    <n v="0"/>
    <n v="0"/>
    <n v="223329"/>
    <n v="49969.799999999996"/>
    <n v="0"/>
    <n v="0"/>
    <n v="151"/>
    <n v="173043"/>
    <n v="114000"/>
    <n v="60"/>
    <n v="203"/>
    <n v="88"/>
    <n v="0"/>
    <n v="0"/>
    <n v="0"/>
    <n v="300237"/>
    <n v="129333.59999999998"/>
    <n v="0"/>
    <n v="0"/>
    <n v="203"/>
    <n v="300237"/>
    <n v="295058.82352941175"/>
    <n v="57"/>
    <n v="156"/>
    <n v="42"/>
    <n v="0"/>
    <n v="0"/>
    <n v="0"/>
    <n v="229273.19999999998"/>
    <n v="61727.399999999994"/>
    <n v="0"/>
    <n v="0"/>
    <n v="117"/>
    <n v="173043"/>
    <n v="140823.5294117647"/>
    <n v="50"/>
    <n v="114"/>
    <n v="50"/>
    <n v="0"/>
    <n v="0"/>
    <n v="0"/>
    <m/>
    <n v="167545.79999999999"/>
    <n v="73484.999999999985"/>
    <n v="0"/>
    <n v="0"/>
    <n v="114"/>
    <n v="167545.79999999999"/>
    <n v="167647.05882352943"/>
    <n v="50"/>
    <n v="64"/>
    <n v="50"/>
    <m/>
    <n v="0"/>
    <n v="0"/>
    <n v="94060.799999999988"/>
    <n v="73484.999999999985"/>
    <n v="0"/>
    <n v="0"/>
    <n v="64"/>
    <n v="94060.799999999988"/>
    <n v="167647.05882352943"/>
    <n v="80"/>
    <n v="14"/>
    <n v="14"/>
    <n v="0"/>
    <n v="0"/>
    <n v="20575.799999999996"/>
    <n v="20575.799999999996"/>
    <n v="0"/>
    <n v="0"/>
    <n v="14"/>
    <n v="20575.799999999996"/>
    <n v="46941.176470588238"/>
    <n v="30"/>
    <n v="0"/>
    <n v="30"/>
    <n v="0"/>
    <m/>
    <n v="0"/>
    <n v="44370"/>
    <n v="0"/>
    <n v="0"/>
    <n v="0"/>
    <n v="100588.23529411765"/>
  </r>
  <r>
    <s v="Simplit-Cristalería y Bar"/>
    <x v="6"/>
    <x v="24"/>
    <x v="57"/>
    <n v="66800510263382"/>
    <x v="587"/>
    <x v="431"/>
    <x v="0"/>
    <x v="3"/>
    <n v="1.1000000000000001"/>
    <x v="31"/>
    <n v="1636"/>
    <m/>
    <n v="0"/>
    <n v="1271"/>
    <n v="2079356"/>
    <n v="1.1200000000000001"/>
    <n v="1223.5999999999999"/>
    <n v="3352.9411764705883"/>
    <n v="3352.9411764705883"/>
    <s v="Shenzhen"/>
    <x v="0"/>
    <n v="30"/>
    <m/>
    <n v="300"/>
    <n v="418"/>
    <n v="0.65973875272610039"/>
    <n v="351"/>
    <n v="0.79030310885255428"/>
    <n v="258"/>
    <n v="0.68192810990876118"/>
    <n v="174"/>
    <n v="0.65979379857126819"/>
    <n v="120"/>
    <n v="0.63496801334733233"/>
    <n v="68"/>
    <n v="0.63066986855692186"/>
    <n v="13"/>
    <n v="0.63391469521671562"/>
    <n v="41"/>
    <n v="0.70048998061600909"/>
    <n v="12"/>
    <n v="0.81470159436501988"/>
    <n v="51"/>
    <n v="0.69815253814431955"/>
    <n v="36"/>
    <n v="0.82192064102910689"/>
    <n v="53"/>
    <n v="0.75919030369412921"/>
    <n v="137"/>
    <n v="0.61112259288439708"/>
    <n v="79"/>
    <n v="0.5658574891060657"/>
    <n v="194"/>
    <n v="0.45711746065031367"/>
    <n v="121"/>
    <n v="0.57776470532362711"/>
    <n v="1.21"/>
    <n v="96"/>
    <n v="0.60978815339374659"/>
    <n v="0.96"/>
    <n v="143"/>
    <n v="0.54404977173882652"/>
    <n v="0.95333333333333337"/>
    <n v="11"/>
    <s v=""/>
    <n v="0.13095238095238096"/>
    <n v="70"/>
    <n v="0.40264310494836436"/>
    <n v="0.875"/>
    <n v="56"/>
    <n v="0.46733260277721361"/>
    <n v="0.82352941176470584"/>
    <m/>
    <m/>
    <m/>
    <m/>
    <m/>
    <m/>
    <m/>
    <m/>
    <m/>
    <n v="400"/>
    <n v="1480"/>
    <n v="150"/>
    <n v="550"/>
    <n v="550"/>
    <n v="0"/>
    <n v="587837.5"/>
    <n v="1715616"/>
    <n v="190650"/>
    <n v="0"/>
    <n v="1636"/>
    <n v="2079356"/>
    <n v="422639.64409293135"/>
    <n v="351"/>
    <n v="1873"/>
    <n v="118.5"/>
    <n v="650"/>
    <n v="0"/>
    <n v="0"/>
    <n v="550978.5"/>
    <n v="2171181.6"/>
    <n v="150613.5"/>
    <n v="0"/>
    <n v="1636"/>
    <n v="2079356"/>
    <n v="333885.31883341575"/>
    <n v="250"/>
    <n v="1799"/>
    <n v="194"/>
    <n v="0"/>
    <n v="0"/>
    <n v="527877"/>
    <n v="2286529"/>
    <n v="246574"/>
    <n v="0"/>
    <n v="1636"/>
    <n v="2079356"/>
    <n v="650470.5882352941"/>
    <n v="100"/>
    <n v="1568"/>
    <n v="121"/>
    <n v="0"/>
    <n v="0"/>
    <n v="1817625.6000000001"/>
    <n v="153791"/>
    <x v="0"/>
    <x v="0"/>
    <n v="1636"/>
    <n v="2079356"/>
    <n v="405705.8823529412"/>
    <n v="100"/>
    <n v="1732"/>
    <n v="110.00000000000001"/>
    <m/>
    <n v="0"/>
    <n v="0"/>
    <n v="2201372"/>
    <n v="127512.00000000001"/>
    <x v="0"/>
    <n v="0"/>
    <n v="1636"/>
    <n v="2079356"/>
    <n v="368823.52941176476"/>
    <n v="150"/>
    <n v="1779"/>
    <n v="143"/>
    <m/>
    <n v="0"/>
    <n v="0"/>
    <n v="2261109"/>
    <n v="165765.6"/>
    <n v="0"/>
    <n v="0"/>
    <n v="1779"/>
    <n v="2079356"/>
    <n v="479470.5882352941"/>
    <n v="84"/>
    <n v="1647"/>
    <n v="11"/>
    <n v="0"/>
    <n v="0"/>
    <n v="0"/>
    <n v="2093337"/>
    <n v="12751.2"/>
    <n v="0"/>
    <n v="0"/>
    <n v="1647"/>
    <n v="2079356"/>
    <n v="36882.352941176468"/>
    <n v="80"/>
    <n v="1706"/>
    <n v="72"/>
    <n v="0"/>
    <n v="0"/>
    <n v="0"/>
    <n v="2168326"/>
    <n v="83462.400000000009"/>
    <n v="0"/>
    <n v="0"/>
    <n v="1706"/>
    <n v="2168326"/>
    <n v="241411.76470588235"/>
    <n v="68"/>
    <n v="1692"/>
    <n v="64.5"/>
    <n v="0"/>
    <n v="0"/>
    <n v="0"/>
    <n v="1961366.4000000001"/>
    <n v="74768.400000000009"/>
    <n v="0"/>
    <n v="0"/>
    <n v="1636"/>
    <n v="2079356"/>
    <n v="216264.70588235295"/>
    <n v="80"/>
    <n v="1627.5"/>
    <n v="88"/>
    <n v="0"/>
    <n v="0"/>
    <n v="0"/>
    <m/>
    <n v="1886598"/>
    <n v="102009.60000000001"/>
    <n v="0"/>
    <n v="0"/>
    <n v="1627.5"/>
    <n v="1886598"/>
    <n v="295058.82352941175"/>
    <n v="60"/>
    <n v="1539.5"/>
    <n v="66"/>
    <m/>
    <n v="0"/>
    <n v="0"/>
    <n v="1784588.4000000001"/>
    <n v="76507.199999999997"/>
    <n v="0"/>
    <n v="0"/>
    <n v="1539.5"/>
    <n v="1784588.4000000001"/>
    <n v="221294.11764705883"/>
    <n v="100"/>
    <n v="1473.5"/>
    <n v="110.00000000000001"/>
    <n v="0"/>
    <n v="0"/>
    <n v="1708081.2"/>
    <n v="127512.00000000001"/>
    <n v="0"/>
    <n v="0"/>
    <n v="1473.5"/>
    <n v="1708081.2"/>
    <n v="368823.52941176476"/>
    <n v="36"/>
    <n v="1363.5"/>
    <n v="39.6"/>
    <n v="0"/>
    <m/>
    <n v="1580569.2"/>
    <n v="50331.6"/>
    <n v="0"/>
    <n v="1363.5"/>
    <n v="1580569.2"/>
    <n v="132776.4705882353"/>
  </r>
  <r>
    <s v="Simplit-Cristalería y Bar"/>
    <x v="6"/>
    <x v="24"/>
    <x v="58"/>
    <s v="SIMTAZMANGCO"/>
    <x v="588"/>
    <x v="432"/>
    <x v="0"/>
    <x v="4"/>
    <n v="1"/>
    <x v="31"/>
    <n v="0"/>
    <m/>
    <n v="0"/>
    <n v="9090.7499999999982"/>
    <n v="0"/>
    <n v="8.5"/>
    <n v="9090.7499999999982"/>
    <n v="22917.857142857138"/>
    <n v="19480.178571428565"/>
    <s v="Shenzhen"/>
    <x v="0"/>
    <n v="45"/>
    <m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n v="0"/>
    <n v="0"/>
    <n v="0"/>
    <n v="0"/>
    <n v="0"/>
    <n v="0"/>
    <n v="0"/>
    <n v="0"/>
    <n v="0"/>
    <n v="0"/>
    <n v="0"/>
    <n v="40"/>
    <n v="0"/>
    <n v="0"/>
    <m/>
    <n v="0"/>
    <n v="0"/>
    <n v="0"/>
    <n v="0"/>
    <n v="0"/>
    <n v="0"/>
    <n v="0"/>
    <n v="0"/>
    <n v="0"/>
    <n v="60"/>
    <n v="0"/>
    <n v="0"/>
    <n v="0"/>
    <n v="0"/>
    <n v="0"/>
    <n v="0"/>
    <n v="0"/>
    <n v="0"/>
    <n v="0"/>
    <n v="0"/>
    <n v="0"/>
    <n v="24"/>
    <n v="0"/>
    <n v="24"/>
    <n v="0"/>
    <m/>
    <n v="0"/>
    <n v="218177.99999999994"/>
    <n v="0"/>
    <n v="0"/>
    <n v="0"/>
    <n v="550028.57142857136"/>
  </r>
  <r>
    <s v="Simplit-Cristalería y Bar"/>
    <x v="6"/>
    <x v="24"/>
    <x v="59"/>
    <n v="1650298908518"/>
    <x v="589"/>
    <x v="433"/>
    <x v="0"/>
    <x v="0"/>
    <n v="0.6"/>
    <x v="31"/>
    <n v="51"/>
    <m/>
    <n v="0"/>
    <n v="4944"/>
    <n v="252144"/>
    <n v="5.25"/>
    <n v="5735.625"/>
    <n v="10915.966386554623"/>
    <n v="8394.957983193277"/>
    <s v="Shenzhen"/>
    <x v="0"/>
    <n v="30"/>
    <m/>
    <n v="200"/>
    <n v="272"/>
    <n v="0.44985115683192228"/>
    <n v="183"/>
    <n v="0.53945883848639697"/>
    <n v="138"/>
    <n v="0.64483458454113241"/>
    <n v="175"/>
    <n v="0.55603939185589935"/>
    <n v="129"/>
    <n v="0.46122518223690556"/>
    <n v="445"/>
    <n v="0.49754335357790602"/>
    <n v="347"/>
    <n v="0.50069085481682496"/>
    <n v="381"/>
    <n v="0.41463889243154478"/>
    <n v="325"/>
    <n v="0.55712877163388363"/>
    <n v="208"/>
    <n v="0.45661808942125148"/>
    <n v="91"/>
    <n v="0.52267930662538464"/>
    <n v="74"/>
    <n v="0.54106003705049721"/>
    <n v="23"/>
    <n v="0.44735336881784232"/>
    <n v="94"/>
    <n v="0.41521873929086384"/>
    <n v="136"/>
    <n v="0.39488997976489626"/>
    <n v="39"/>
    <n v="0.38615776103091926"/>
    <n v="0.21666666666666667"/>
    <n v="120"/>
    <n v="0.52794640494942713"/>
    <n v="0.92307692307692313"/>
    <n v="113"/>
    <n v="0.54990644218452545"/>
    <n v="0.25111111111111112"/>
    <n v="0"/>
    <s v=""/>
    <n v="0"/>
    <n v="37"/>
    <n v="0.30891841723633007"/>
    <n v="0.14799999999999999"/>
    <n v="1089"/>
    <n v="0.10402011155386046"/>
    <n v="3.1114285714285712"/>
    <m/>
    <m/>
    <m/>
    <m/>
    <m/>
    <m/>
    <m/>
    <m/>
    <m/>
    <n v="250"/>
    <n v="46"/>
    <n v="50"/>
    <n v="300"/>
    <n v="300"/>
    <n v="0"/>
    <n v="1616688"/>
    <n v="249952.5"/>
    <n v="247200"/>
    <n v="0"/>
    <n v="51"/>
    <n v="252144"/>
    <n v="458654.04985523626"/>
    <n v="180"/>
    <n v="316"/>
    <n v="141"/>
    <n v="500"/>
    <n v="400"/>
    <n v="0"/>
    <n v="1562304"/>
    <n v="1717065"/>
    <n v="697104"/>
    <n v="0"/>
    <n v="51"/>
    <n v="252144"/>
    <n v="1293404.4205917662"/>
    <n v="150"/>
    <n v="286"/>
    <n v="136"/>
    <n v="0"/>
    <n v="0"/>
    <n v="1289032.5"/>
    <n v="1413984"/>
    <n v="672384"/>
    <n v="0"/>
    <n v="51"/>
    <n v="252144"/>
    <n v="1484571.4285714286"/>
    <n v="180"/>
    <n v="590"/>
    <n v="39"/>
    <n v="0"/>
    <n v="0"/>
    <n v="3205912.5"/>
    <n v="192816"/>
    <x v="0"/>
    <x v="0"/>
    <n v="51"/>
    <n v="252144"/>
    <n v="425722.68907563027"/>
    <n v="130"/>
    <n v="171"/>
    <n v="78"/>
    <m/>
    <n v="0"/>
    <n v="0"/>
    <n v="845424"/>
    <n v="423832.5"/>
    <x v="0"/>
    <n v="0"/>
    <n v="51"/>
    <n v="252144"/>
    <n v="851445.37815126055"/>
    <n v="450"/>
    <n v="164"/>
    <n v="113"/>
    <m/>
    <n v="0"/>
    <n v="0"/>
    <n v="810816"/>
    <n v="614013.75"/>
    <n v="0"/>
    <n v="0"/>
    <n v="164"/>
    <n v="252144"/>
    <n v="1233504.2016806724"/>
    <n v="300"/>
    <n v="51"/>
    <n v="0"/>
    <n v="350"/>
    <n v="350"/>
    <n v="0"/>
    <n v="252144"/>
    <n v="0"/>
    <n v="1838418.75"/>
    <n v="0"/>
    <n v="51"/>
    <n v="252144"/>
    <n v="0"/>
    <n v="250"/>
    <n v="88"/>
    <n v="38"/>
    <n v="600"/>
    <n v="600"/>
    <n v="0"/>
    <n v="435072"/>
    <n v="206482.5"/>
    <n v="3260250"/>
    <n v="0"/>
    <n v="88"/>
    <n v="435072"/>
    <n v="414806.72268907569"/>
    <n v="350"/>
    <n v="1140"/>
    <n v="151.5"/>
    <n v="0"/>
    <n v="0"/>
    <n v="0"/>
    <n v="6194475"/>
    <n v="823213.125"/>
    <n v="0"/>
    <n v="0"/>
    <n v="51"/>
    <n v="252144"/>
    <n v="1653768.9075630254"/>
    <n v="350"/>
    <n v="988.5"/>
    <n v="210"/>
    <n v="0"/>
    <n v="0"/>
    <n v="0"/>
    <m/>
    <n v="5371261.875"/>
    <n v="1141087.5"/>
    <n v="0"/>
    <n v="0"/>
    <n v="988.5"/>
    <n v="5371261.875"/>
    <n v="1762941.1764705882"/>
    <n v="150"/>
    <n v="778.5"/>
    <n v="90"/>
    <m/>
    <n v="0"/>
    <n v="0"/>
    <n v="4230174.375"/>
    <n v="489037.5"/>
    <n v="0"/>
    <n v="0"/>
    <n v="778.5"/>
    <n v="4230174.375"/>
    <n v="755546.21848739497"/>
    <n v="250"/>
    <n v="688.5"/>
    <n v="150"/>
    <n v="0"/>
    <n v="0"/>
    <n v="3741136.875"/>
    <n v="815062.5"/>
    <n v="0"/>
    <n v="0"/>
    <n v="688.5"/>
    <n v="3741136.875"/>
    <n v="1637394.9579831935"/>
    <n v="90"/>
    <n v="538.5"/>
    <n v="54"/>
    <n v="0"/>
    <m/>
    <n v="2926074.375"/>
    <n v="266976"/>
    <n v="0"/>
    <n v="538.5"/>
    <n v="2926074.375"/>
    <n v="589462.18487394962"/>
  </r>
  <r>
    <s v="Simplit-Cristalería y Bar"/>
    <x v="6"/>
    <x v="24"/>
    <x v="59"/>
    <n v="1654207352499"/>
    <x v="590"/>
    <x v="434"/>
    <x v="0"/>
    <x v="0"/>
    <n v="1"/>
    <x v="31"/>
    <n v="288"/>
    <m/>
    <n v="0"/>
    <n v="3550"/>
    <n v="1022400"/>
    <n v="2.9"/>
    <n v="3168.2499999999995"/>
    <n v="6714.2857142857147"/>
    <n v="5873.9495798319331"/>
    <s v="Shenzhen"/>
    <x v="0"/>
    <n v="30"/>
    <m/>
    <n v="100"/>
    <n v="3"/>
    <s v=""/>
    <n v="2"/>
    <s v=""/>
    <n v="43"/>
    <n v="0.53467951257019042"/>
    <n v="8"/>
    <n v="0.65265545705555228"/>
    <n v="14"/>
    <n v="0.55535944084176525"/>
    <n v="22"/>
    <n v="0.61238105713028723"/>
    <n v="15"/>
    <n v="0.65367520512307387"/>
    <n v="18"/>
    <n v="0.48764716040854583"/>
    <n v="10"/>
    <n v="0.55067819709900379"/>
    <n v="20"/>
    <n v="0.56030722261817023"/>
    <n v="19"/>
    <n v="0.60796112267953284"/>
    <n v="40"/>
    <n v="0.4829471103438191"/>
    <n v="24"/>
    <n v="0.22349635628299858"/>
    <n v="9"/>
    <n v="0.39536433487886929"/>
    <n v="18"/>
    <n v="0.4158185668322788"/>
    <n v="23"/>
    <n v="0.24468085106382978"/>
    <n v="0.92"/>
    <n v="11"/>
    <n v="0.44978138721440797"/>
    <n v="0.73333333333333328"/>
    <n v="20"/>
    <n v="0.49646564567069901"/>
    <n v="0.8"/>
    <n v="8"/>
    <s v=""/>
    <n v="0.4"/>
    <n v="4"/>
    <n v="0.20737164580258083"/>
    <n v="0.2"/>
    <n v="16"/>
    <n v="0.16749866827353735"/>
    <n v="0.8"/>
    <m/>
    <m/>
    <m/>
    <m/>
    <m/>
    <m/>
    <m/>
    <m/>
    <m/>
    <n v="30"/>
    <n v="427"/>
    <n v="30"/>
    <n v="0"/>
    <n v="0"/>
    <n v="0"/>
    <n v="218325"/>
    <n v="1281640.4999999998"/>
    <n v="106500"/>
    <n v="0"/>
    <n v="288"/>
    <n v="1022400"/>
    <n v="169267.70708283316"/>
    <n v="30"/>
    <n v="400"/>
    <n v="13.5"/>
    <n v="0"/>
    <n v="0"/>
    <n v="0"/>
    <n v="193475"/>
    <n v="1200599.9999999998"/>
    <n v="47925"/>
    <n v="0"/>
    <n v="288"/>
    <n v="1022400"/>
    <n v="76170.468187274921"/>
    <n v="40"/>
    <n v="397"/>
    <n v="18"/>
    <n v="0"/>
    <n v="0"/>
    <n v="190572.5"/>
    <n v="1409350"/>
    <n v="63900"/>
    <n v="0"/>
    <n v="288"/>
    <n v="1022400"/>
    <n v="120857.14285714287"/>
    <n v="25"/>
    <n v="372"/>
    <n v="23"/>
    <n v="0"/>
    <n v="0"/>
    <n v="1116557.9999999998"/>
    <n v="81650"/>
    <x v="0"/>
    <x v="0"/>
    <n v="288"/>
    <n v="1022400"/>
    <n v="154428.57142857145"/>
    <n v="15"/>
    <n v="299"/>
    <n v="15"/>
    <m/>
    <n v="0"/>
    <n v="0"/>
    <n v="1061450"/>
    <n v="45022.499999999993"/>
    <x v="0"/>
    <n v="0"/>
    <n v="288"/>
    <n v="1022400"/>
    <n v="100714.28571428572"/>
    <n v="25"/>
    <n v="308"/>
    <n v="20"/>
    <m/>
    <n v="0"/>
    <n v="0"/>
    <n v="1093400"/>
    <n v="60029.999999999993"/>
    <n v="0"/>
    <n v="0"/>
    <n v="308"/>
    <n v="1022400"/>
    <n v="134285.71428571429"/>
    <n v="20"/>
    <n v="296"/>
    <n v="8"/>
    <n v="0"/>
    <n v="0"/>
    <n v="0"/>
    <n v="1050800"/>
    <n v="24011.999999999996"/>
    <n v="0"/>
    <n v="0"/>
    <n v="296"/>
    <n v="1022400"/>
    <n v="53714.285714285717"/>
    <n v="20"/>
    <n v="292"/>
    <n v="4"/>
    <n v="0"/>
    <n v="0"/>
    <n v="0"/>
    <n v="1036600"/>
    <n v="12005.999999999998"/>
    <n v="0"/>
    <n v="0"/>
    <n v="292"/>
    <n v="1036600"/>
    <n v="26857.142857142859"/>
    <n v="20"/>
    <n v="304"/>
    <n v="18"/>
    <n v="0"/>
    <n v="0"/>
    <n v="0"/>
    <n v="912455.99999999988"/>
    <n v="54026.999999999993"/>
    <n v="0"/>
    <n v="0"/>
    <n v="288"/>
    <n v="1022400"/>
    <n v="120857.14285714287"/>
    <n v="35"/>
    <n v="286"/>
    <n v="35"/>
    <n v="0"/>
    <n v="0"/>
    <n v="0"/>
    <m/>
    <n v="858428.99999999988"/>
    <n v="105052.49999999999"/>
    <n v="0"/>
    <n v="0"/>
    <n v="286"/>
    <n v="858428.99999999988"/>
    <n v="205588.23529411765"/>
    <n v="35"/>
    <n v="251"/>
    <n v="35"/>
    <m/>
    <n v="0"/>
    <n v="0"/>
    <n v="753376.49999999988"/>
    <n v="105052.49999999999"/>
    <n v="0"/>
    <n v="0"/>
    <n v="251"/>
    <n v="753376.49999999988"/>
    <n v="205588.23529411765"/>
    <n v="40"/>
    <n v="216"/>
    <n v="40"/>
    <n v="0"/>
    <n v="0"/>
    <n v="648323.99999999988"/>
    <n v="120059.99999999999"/>
    <n v="0"/>
    <n v="0"/>
    <n v="216"/>
    <n v="648323.99999999988"/>
    <n v="268571.42857142858"/>
    <n v="21"/>
    <n v="176"/>
    <n v="21"/>
    <n v="0"/>
    <m/>
    <n v="528263.99999999988"/>
    <n v="74550"/>
    <n v="0"/>
    <n v="176"/>
    <n v="528263.99999999988"/>
    <n v="141000"/>
  </r>
  <r>
    <m/>
    <x v="6"/>
    <x v="24"/>
    <x v="59"/>
    <n v="1654207372101"/>
    <x v="591"/>
    <x v="435"/>
    <x v="0"/>
    <x v="2"/>
    <n v="1"/>
    <x v="31"/>
    <n v="1"/>
    <m/>
    <n v="0"/>
    <n v="2648"/>
    <n v="2648"/>
    <n v="1.4"/>
    <n v="1529.4999999999998"/>
    <n v="5873.9495798319331"/>
    <n v="5453.7815126050418"/>
    <s v="Shenzhen"/>
    <x v="0"/>
    <n v="30"/>
    <m/>
    <n v="50"/>
    <n v="54"/>
    <n v="0.77196068308181098"/>
    <n v="21"/>
    <n v="0.82466262901527898"/>
    <n v="60"/>
    <n v="0.7255204695582772"/>
    <n v="87"/>
    <n v="0.69398030947822076"/>
    <n v="83"/>
    <n v="0.69222606213395732"/>
    <n v="128"/>
    <n v="0.69336160320559337"/>
    <n v="146"/>
    <n v="0.74015221283107158"/>
    <n v="48"/>
    <n v="0.74844240040954146"/>
    <n v="36"/>
    <n v="0.75465428015525404"/>
    <n v="99"/>
    <n v="0.71236680377099715"/>
    <n v="54"/>
    <n v="0.76470661651059124"/>
    <n v="48"/>
    <n v="0.64148298113201774"/>
    <n v="76"/>
    <n v="0.57895591590780981"/>
    <n v="63"/>
    <n v="0.41557740977215457"/>
    <n v="122"/>
    <n v="0.48122169497637224"/>
    <n v="69"/>
    <n v="0.45637493046171845"/>
    <n v="0.76666666666666672"/>
    <n v="43"/>
    <n v="0.5255138920262028"/>
    <n v="0.4777777777777778"/>
    <n v="39"/>
    <s v=""/>
    <n v="0.3"/>
    <n v="43"/>
    <s v=""/>
    <n v="0.28666666666666668"/>
    <n v="2"/>
    <s v=""/>
    <n v="4.1666666666666664E-2"/>
    <n v="1"/>
    <n v="1.5572202783300197"/>
    <n v="2.5000000000000001E-2"/>
    <m/>
    <m/>
    <m/>
    <m/>
    <m/>
    <m/>
    <m/>
    <m/>
    <m/>
    <n v="60"/>
    <n v="277"/>
    <n v="90"/>
    <n v="200"/>
    <n v="200"/>
    <n v="0"/>
    <n v="811612"/>
    <n v="401373"/>
    <n v="238320"/>
    <n v="0"/>
    <n v="1"/>
    <n v="2648"/>
    <n v="444248.28755031433"/>
    <n v="70"/>
    <n v="474"/>
    <n v="94.5"/>
    <n v="0"/>
    <n v="0"/>
    <n v="0"/>
    <n v="756004"/>
    <n v="686826"/>
    <n v="250236"/>
    <n v="0"/>
    <n v="1"/>
    <n v="2648"/>
    <n v="466460.70192783"/>
    <n v="100"/>
    <n v="464"/>
    <n v="122"/>
    <n v="0"/>
    <n v="0"/>
    <n v="636178"/>
    <n v="1228672"/>
    <n v="323056"/>
    <n v="0"/>
    <n v="1"/>
    <n v="2648"/>
    <n v="716621.84873949585"/>
    <n v="90"/>
    <n v="109"/>
    <n v="69"/>
    <n v="100"/>
    <n v="0"/>
    <n v="157941"/>
    <n v="182712"/>
    <x v="67"/>
    <x v="0"/>
    <n v="1"/>
    <n v="2648"/>
    <n v="405302.52100840339"/>
    <n v="90"/>
    <n v="44"/>
    <n v="90"/>
    <m/>
    <n v="0"/>
    <n v="0"/>
    <n v="116512"/>
    <n v="130410"/>
    <x v="0"/>
    <n v="0"/>
    <n v="1"/>
    <n v="2648"/>
    <n v="528655.46218487399"/>
    <n v="130"/>
    <n v="40"/>
    <n v="39"/>
    <m/>
    <n v="0"/>
    <n v="0"/>
    <n v="105920"/>
    <n v="56511"/>
    <n v="0"/>
    <n v="0"/>
    <n v="40"/>
    <n v="2648"/>
    <n v="229084.03361344538"/>
    <n v="150"/>
    <n v="44"/>
    <n v="43"/>
    <n v="200"/>
    <n v="200"/>
    <n v="0"/>
    <n v="116512"/>
    <n v="62307"/>
    <n v="280139.99999999994"/>
    <n v="0"/>
    <n v="44"/>
    <n v="2648"/>
    <n v="252579.83193277312"/>
    <n v="48"/>
    <n v="3"/>
    <n v="2"/>
    <n v="0"/>
    <n v="0"/>
    <n v="0"/>
    <n v="7944"/>
    <n v="2898"/>
    <n v="0"/>
    <n v="0"/>
    <n v="3"/>
    <n v="7944"/>
    <n v="11747.899159663866"/>
    <n v="40"/>
    <n v="2"/>
    <n v="1.5"/>
    <n v="0"/>
    <n v="0"/>
    <n v="0"/>
    <n v="2898"/>
    <n v="2173.5"/>
    <n v="0"/>
    <n v="0"/>
    <n v="1"/>
    <n v="2648"/>
    <n v="8810.9243697478996"/>
    <n v="100"/>
    <n v="0.5"/>
    <n v="0.5"/>
    <n v="0"/>
    <n v="0"/>
    <n v="0"/>
    <m/>
    <n v="724.5"/>
    <n v="724.5"/>
    <n v="0"/>
    <n v="0"/>
    <n v="0.5"/>
    <n v="724.5"/>
    <n v="2726.8907563025209"/>
    <n v="6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n v="0"/>
    <n v="36"/>
    <n v="0"/>
    <m/>
    <n v="0"/>
    <n v="95328"/>
    <n v="0"/>
    <n v="0"/>
    <n v="0"/>
    <n v="211462.18487394959"/>
  </r>
  <r>
    <s v="Simplit-Cristalería y Bar"/>
    <x v="6"/>
    <x v="24"/>
    <x v="59"/>
    <n v="1660857914743"/>
    <x v="592"/>
    <x v="436"/>
    <x v="0"/>
    <x v="0"/>
    <n v="1.1000000000000001"/>
    <x v="31"/>
    <n v="243"/>
    <m/>
    <n v="0"/>
    <n v="1324"/>
    <n v="321732"/>
    <n v="1"/>
    <n v="1092.5"/>
    <n v="5873.9495798319331"/>
    <n v="5453.7815126050418"/>
    <s v="Shenzhen"/>
    <x v="0"/>
    <n v="30"/>
    <m/>
    <n v="100"/>
    <n v="7"/>
    <n v="0.51524265409823988"/>
    <n v="0"/>
    <s v=""/>
    <n v="43"/>
    <n v="0.77520024013807942"/>
    <n v="106"/>
    <n v="0.75536427324984623"/>
    <n v="40"/>
    <n v="0.79564869459022847"/>
    <n v="97"/>
    <n v="0.82256295623624731"/>
    <n v="53"/>
    <n v="0.79843548057955238"/>
    <n v="52"/>
    <n v="0.80686636130351164"/>
    <n v="77"/>
    <n v="0.73879197491399529"/>
    <n v="152"/>
    <n v="0.77024336199551624"/>
    <n v="46"/>
    <n v="0.4407769516363011"/>
    <n v="30"/>
    <n v="0.73738835999607422"/>
    <n v="13"/>
    <n v="0.74220331613867674"/>
    <n v="154"/>
    <n v="0.75592673542080013"/>
    <n v="104"/>
    <n v="0.69908895691496076"/>
    <n v="164"/>
    <n v="0.75194380297538566"/>
    <n v="1.1714285714285715"/>
    <n v="40"/>
    <n v="0.75189127324749638"/>
    <n v="0.44444444444444442"/>
    <n v="4"/>
    <s v=""/>
    <n v="2.6666666666666668E-2"/>
    <n v="103"/>
    <s v=""/>
    <n v="0.85833333333333328"/>
    <n v="2"/>
    <n v="0.64404258568390216"/>
    <n v="3.0769230769230771E-2"/>
    <n v="75"/>
    <n v="0.48953788886414928"/>
    <n v="0.9375"/>
    <m/>
    <m/>
    <m/>
    <m/>
    <m/>
    <m/>
    <m/>
    <m/>
    <m/>
    <n v="60"/>
    <n v="13"/>
    <n v="40"/>
    <n v="200"/>
    <n v="200"/>
    <n v="0"/>
    <n v="496500"/>
    <n v="13455"/>
    <n v="52960"/>
    <n v="0"/>
    <n v="243"/>
    <n v="321732"/>
    <n v="197443.68335569525"/>
    <n v="50"/>
    <n v="182"/>
    <n v="231"/>
    <n v="150"/>
    <n v="100"/>
    <n v="0"/>
    <n v="660676"/>
    <n v="188370"/>
    <n v="305844"/>
    <n v="0"/>
    <n v="243"/>
    <n v="321732"/>
    <n v="1140237.27137914"/>
    <n v="80"/>
    <n v="347"/>
    <n v="104"/>
    <n v="0"/>
    <n v="0"/>
    <n v="457297"/>
    <n v="459428"/>
    <n v="137696"/>
    <n v="0"/>
    <n v="243"/>
    <n v="321732"/>
    <n v="610890.7563025211"/>
    <n v="140"/>
    <n v="224"/>
    <n v="164"/>
    <n v="150"/>
    <n v="0"/>
    <n v="231840"/>
    <n v="217136"/>
    <x v="68"/>
    <x v="0"/>
    <n v="243"/>
    <n v="321732"/>
    <n v="963327.73109243705"/>
    <n v="90"/>
    <n v="283"/>
    <n v="99.000000000000014"/>
    <m/>
    <n v="0"/>
    <n v="0"/>
    <n v="374692"/>
    <n v="102465.00000000001"/>
    <x v="0"/>
    <n v="0"/>
    <n v="243"/>
    <n v="321732"/>
    <n v="581521.00840336143"/>
    <n v="150"/>
    <n v="247"/>
    <n v="4"/>
    <m/>
    <n v="0"/>
    <n v="0"/>
    <n v="327028"/>
    <n v="4140"/>
    <n v="0"/>
    <n v="0"/>
    <n v="247"/>
    <n v="321732"/>
    <n v="23495.798319327732"/>
    <n v="120"/>
    <n v="346"/>
    <n v="103"/>
    <n v="100"/>
    <n v="100"/>
    <n v="0"/>
    <n v="458104"/>
    <n v="106605"/>
    <n v="100049.99999999999"/>
    <n v="0"/>
    <n v="346"/>
    <n v="321732"/>
    <n v="605016.80672268907"/>
    <n v="65"/>
    <n v="245"/>
    <n v="2"/>
    <n v="300"/>
    <n v="300"/>
    <n v="0"/>
    <n v="324380"/>
    <n v="2070"/>
    <n v="310500"/>
    <n v="0"/>
    <n v="245"/>
    <n v="324380"/>
    <n v="11747.899159663866"/>
    <n v="80"/>
    <n v="318"/>
    <n v="39"/>
    <n v="0"/>
    <n v="0"/>
    <n v="0"/>
    <n v="329130"/>
    <n v="40365"/>
    <n v="0"/>
    <n v="0"/>
    <n v="243"/>
    <n v="321732"/>
    <n v="229084.03361344538"/>
    <n v="140"/>
    <n v="279"/>
    <n v="154"/>
    <n v="0"/>
    <n v="0"/>
    <n v="0"/>
    <n v="0"/>
    <n v="288765"/>
    <n v="159390"/>
    <n v="0"/>
    <n v="0"/>
    <n v="279"/>
    <n v="288765"/>
    <n v="839882.35294117639"/>
    <n v="100"/>
    <n v="125"/>
    <n v="110.00000000000001"/>
    <m/>
    <n v="0"/>
    <n v="0"/>
    <n v="129375"/>
    <n v="113850.00000000001"/>
    <n v="0"/>
    <n v="0"/>
    <n v="125"/>
    <n v="129375"/>
    <n v="599915.96638655465"/>
    <n v="150"/>
    <n v="14.999999999999986"/>
    <n v="165"/>
    <n v="300"/>
    <n v="300"/>
    <n v="15524.999999999985"/>
    <n v="170775"/>
    <n v="310500"/>
    <n v="310500"/>
    <n v="315"/>
    <n v="326025"/>
    <n v="969201.68067226897"/>
    <n v="60"/>
    <n v="150"/>
    <n v="66"/>
    <n v="0"/>
    <m/>
    <n v="155250"/>
    <n v="87384"/>
    <n v="0"/>
    <n v="150"/>
    <n v="155250"/>
    <n v="387680.6722689076"/>
  </r>
  <r>
    <m/>
    <x v="6"/>
    <x v="24"/>
    <x v="59"/>
    <n v="67933854599885"/>
    <x v="593"/>
    <x v="437"/>
    <x v="0"/>
    <x v="5"/>
    <n v="1.2"/>
    <x v="31"/>
    <n v="62"/>
    <m/>
    <n v="0"/>
    <n v="6109"/>
    <n v="378758"/>
    <n v="5.3"/>
    <n v="5790.25"/>
    <n v="10915.966386554623"/>
    <n v="8394.957983193277"/>
    <s v="Shenzhen"/>
    <x v="0"/>
    <n v="30"/>
    <m/>
    <n v="100"/>
    <n v="0"/>
    <n v="0.50869254584424861"/>
    <n v="0"/>
    <s v=""/>
    <n v="2"/>
    <s v=""/>
    <n v="4"/>
    <n v="0.44066006715958544"/>
    <n v="3"/>
    <n v="0.5733849932292524"/>
    <n v="43"/>
    <n v="0.61636052968816735"/>
    <n v="12"/>
    <n v="0.55455326894815249"/>
    <n v="16"/>
    <s v=""/>
    <n v="11"/>
    <n v="0.40262057234340604"/>
    <n v="32"/>
    <n v="0.38950364432007195"/>
    <n v="45"/>
    <n v="0.45841089395381829"/>
    <n v="111"/>
    <n v="0.52255573491557961"/>
    <n v="40"/>
    <n v="0.67032863356070238"/>
    <n v="25"/>
    <n v="0.42088895080903277"/>
    <n v="24"/>
    <n v="0.34734873730457499"/>
    <n v="29"/>
    <n v="0.40194165015839961"/>
    <n v="1.1599999999999999"/>
    <n v="38"/>
    <n v="0.37340029769950189"/>
    <n v="0.95"/>
    <n v="79"/>
    <n v="0.31109118097734784"/>
    <n v="1.58"/>
    <n v="32"/>
    <s v=""/>
    <n v="0.91428571428571426"/>
    <n v="26"/>
    <n v="2.0812621044306322E-2"/>
    <n v="0.8666666666666667"/>
    <n v="37"/>
    <n v="0.21782190608706545"/>
    <n v="1.2333333333333334"/>
    <m/>
    <m/>
    <m/>
    <m/>
    <m/>
    <m/>
    <m/>
    <m/>
    <m/>
    <n v="50"/>
    <n v="397"/>
    <n v="40"/>
    <n v="0"/>
    <n v="0"/>
    <n v="0"/>
    <n v="620063.5"/>
    <n v="2177743.5"/>
    <n v="244360"/>
    <n v="0"/>
    <n v="62"/>
    <n v="378758"/>
    <n v="366923.23988418904"/>
    <n v="50"/>
    <n v="365"/>
    <n v="37.5"/>
    <n v="0"/>
    <n v="0"/>
    <n v="0"/>
    <n v="552864.5"/>
    <n v="2002207.5"/>
    <n v="229087.5"/>
    <n v="0"/>
    <n v="62"/>
    <n v="378758"/>
    <n v="343990.53739142721"/>
    <n v="50"/>
    <n v="362"/>
    <n v="24"/>
    <n v="0"/>
    <n v="0"/>
    <n v="587081"/>
    <n v="2211458"/>
    <n v="146616"/>
    <n v="0"/>
    <n v="62"/>
    <n v="378758"/>
    <n v="261983.19327731093"/>
    <n v="25"/>
    <n v="316"/>
    <n v="29"/>
    <n v="0"/>
    <n v="0"/>
    <n v="1733418"/>
    <n v="177161"/>
    <x v="0"/>
    <x v="0"/>
    <n v="62"/>
    <n v="378758"/>
    <n v="316563.02521008404"/>
    <n v="40"/>
    <n v="100"/>
    <n v="48"/>
    <m/>
    <n v="0"/>
    <n v="0"/>
    <n v="610900"/>
    <n v="263304"/>
    <x v="0"/>
    <n v="0"/>
    <n v="62"/>
    <n v="378758"/>
    <n v="523966.38655462186"/>
    <n v="50"/>
    <n v="141"/>
    <n v="79"/>
    <m/>
    <n v="0"/>
    <n v="0"/>
    <n v="861369"/>
    <n v="433354.5"/>
    <n v="0"/>
    <n v="0"/>
    <n v="141"/>
    <n v="378758"/>
    <n v="862361.3445378152"/>
    <n v="35"/>
    <n v="94"/>
    <n v="32"/>
    <n v="0"/>
    <n v="0"/>
    <n v="0"/>
    <n v="574246"/>
    <n v="175536"/>
    <n v="0"/>
    <n v="0"/>
    <n v="94"/>
    <n v="378758"/>
    <n v="349310.92436974793"/>
    <n v="30"/>
    <n v="88"/>
    <n v="26"/>
    <n v="0"/>
    <n v="0"/>
    <n v="0"/>
    <n v="537592"/>
    <n v="142623"/>
    <n v="0"/>
    <n v="0"/>
    <n v="88"/>
    <n v="537592"/>
    <n v="283815.12605042016"/>
    <n v="30"/>
    <n v="99"/>
    <n v="28.5"/>
    <n v="0"/>
    <n v="0"/>
    <n v="0"/>
    <n v="543064.5"/>
    <n v="156336.75"/>
    <n v="0"/>
    <n v="0"/>
    <n v="62"/>
    <n v="378758"/>
    <n v="311105.04201680672"/>
    <n v="55"/>
    <n v="70.5"/>
    <n v="66"/>
    <n v="0"/>
    <n v="0"/>
    <n v="0"/>
    <m/>
    <n v="386727.75"/>
    <n v="362043"/>
    <n v="0"/>
    <n v="0"/>
    <n v="70.5"/>
    <n v="386727.75"/>
    <n v="554067.22689075628"/>
    <n v="0"/>
    <n v="4.5"/>
    <n v="0"/>
    <m/>
    <n v="0"/>
    <n v="0"/>
    <n v="24684.75"/>
    <n v="0"/>
    <n v="0"/>
    <n v="0"/>
    <n v="4.5"/>
    <n v="24684.75"/>
    <n v="0"/>
    <n v="0"/>
    <n v="4.5"/>
    <n v="0"/>
    <n v="0"/>
    <n v="0"/>
    <n v="24684.75"/>
    <n v="0"/>
    <n v="0"/>
    <n v="0"/>
    <n v="4.5"/>
    <n v="24684.75"/>
    <n v="0"/>
    <n v="0"/>
    <n v="4.5"/>
    <n v="0"/>
    <n v="0"/>
    <m/>
    <n v="24684.75"/>
    <n v="0"/>
    <n v="0"/>
    <n v="4.5"/>
    <n v="24684.75"/>
    <n v="0"/>
  </r>
  <r>
    <m/>
    <x v="6"/>
    <x v="24"/>
    <x v="59"/>
    <n v="67933856404072"/>
    <x v="594"/>
    <x v="438"/>
    <x v="0"/>
    <x v="1"/>
    <n v="1"/>
    <x v="31"/>
    <n v="28"/>
    <m/>
    <n v="0"/>
    <n v="2272"/>
    <n v="63616"/>
    <n v="3.15"/>
    <n v="3441.3749999999995"/>
    <n v="8394.957983193277"/>
    <n v="7554.6218487394963"/>
    <s v="Shenzhen"/>
    <x v="0"/>
    <n v="30"/>
    <m/>
    <n v="100"/>
    <n v="66"/>
    <n v="0.69358553829274505"/>
    <n v="68"/>
    <n v="0.68054838193990064"/>
    <n v="50"/>
    <n v="0.72343286872591606"/>
    <n v="75"/>
    <n v="0.72511985517336863"/>
    <n v="8"/>
    <n v="0.76164386899383596"/>
    <n v="113"/>
    <n v="0.74476613716014406"/>
    <n v="76"/>
    <n v="0.76764040392959132"/>
    <n v="68"/>
    <n v="0.78287398774498029"/>
    <n v="55"/>
    <n v="0.77289284020682381"/>
    <n v="89"/>
    <n v="0.73049512197938804"/>
    <n v="96"/>
    <n v="0.71583849100720853"/>
    <n v="107"/>
    <n v="0.75188803535858373"/>
    <n v="95"/>
    <n v="0.65463598707440607"/>
    <n v="111"/>
    <n v="0.60466905104008684"/>
    <n v="137"/>
    <n v="0.58222503325181896"/>
    <n v="104"/>
    <n v="0.61729624411261519"/>
    <n v="1.04"/>
    <n v="112"/>
    <n v="0.71960984790482652"/>
    <n v="0.89600000000000002"/>
    <n v="155"/>
    <n v="0.59709525336230274"/>
    <n v="0.68888888888888888"/>
    <n v="0"/>
    <s v=""/>
    <n v="0"/>
    <n v="30"/>
    <n v="0.5081465437010324"/>
    <n v="0.34090909090909088"/>
    <n v="50"/>
    <n v="0.48086021636888104"/>
    <n v="0.61728395061728392"/>
    <m/>
    <m/>
    <m/>
    <m/>
    <m/>
    <m/>
    <m/>
    <m/>
    <m/>
    <n v="80"/>
    <n v="227"/>
    <n v="120"/>
    <n v="200"/>
    <n v="200"/>
    <n v="0"/>
    <n v="962192"/>
    <n v="740076.74999999988"/>
    <n v="272640"/>
    <n v="0"/>
    <n v="28"/>
    <n v="63616"/>
    <n v="846550.3848598263"/>
    <n v="100"/>
    <n v="328"/>
    <n v="166.5"/>
    <n v="200"/>
    <n v="100"/>
    <n v="0"/>
    <n v="925840"/>
    <n v="1069361.9999999998"/>
    <n v="378288"/>
    <n v="0"/>
    <n v="28"/>
    <n v="63616"/>
    <n v="1174588.658993009"/>
    <n v="120"/>
    <n v="205"/>
    <n v="137"/>
    <n v="0"/>
    <n v="0"/>
    <n v="955083.25"/>
    <n v="465760"/>
    <n v="311264"/>
    <n v="0"/>
    <n v="28"/>
    <n v="63616"/>
    <n v="1150109.2436974789"/>
    <n v="100"/>
    <n v="279"/>
    <n v="104"/>
    <n v="0"/>
    <n v="0"/>
    <n v="909609.74999999988"/>
    <n v="236288"/>
    <x v="0"/>
    <x v="0"/>
    <n v="28"/>
    <n v="63616"/>
    <n v="873075.63025210076"/>
    <n v="125"/>
    <n v="140"/>
    <n v="125"/>
    <m/>
    <n v="0"/>
    <n v="0"/>
    <n v="318080"/>
    <n v="407531.24999999994"/>
    <x v="0"/>
    <n v="0"/>
    <n v="28"/>
    <n v="63616"/>
    <n v="1049369.7478991596"/>
    <n v="225"/>
    <n v="183"/>
    <n v="155"/>
    <m/>
    <n v="0"/>
    <n v="0"/>
    <n v="415776"/>
    <n v="505338.74999999994"/>
    <n v="0"/>
    <n v="0"/>
    <n v="183"/>
    <n v="63616"/>
    <n v="1301218.487394958"/>
    <n v="113"/>
    <n v="28"/>
    <n v="0"/>
    <n v="200"/>
    <n v="200"/>
    <n v="0"/>
    <n v="63616"/>
    <n v="0"/>
    <n v="630315"/>
    <n v="0"/>
    <n v="28"/>
    <n v="63616"/>
    <n v="0"/>
    <n v="88"/>
    <n v="58"/>
    <n v="31"/>
    <n v="150"/>
    <n v="150"/>
    <n v="0"/>
    <n v="131776"/>
    <n v="101067.74999999999"/>
    <n v="489037.49999999994"/>
    <n v="0"/>
    <n v="58"/>
    <n v="131776"/>
    <n v="260243.69747899158"/>
    <n v="81"/>
    <n v="78"/>
    <n v="43.5"/>
    <n v="300"/>
    <n v="300"/>
    <n v="0"/>
    <n v="254299.49999999997"/>
    <n v="141820.87499999997"/>
    <n v="978074.99999999988"/>
    <n v="0"/>
    <n v="28"/>
    <n v="63616"/>
    <n v="365180.67226890754"/>
    <n v="120"/>
    <n v="34.5"/>
    <n v="34.5"/>
    <n v="0"/>
    <n v="0"/>
    <n v="0"/>
    <n v="0"/>
    <n v="112478.62499999999"/>
    <n v="112478.62499999999"/>
    <n v="0"/>
    <n v="0"/>
    <n v="34.5"/>
    <n v="112478.62499999999"/>
    <n v="260634.45378151262"/>
    <n v="80"/>
    <n v="0"/>
    <n v="0"/>
    <m/>
    <n v="0"/>
    <n v="0"/>
    <n v="0"/>
    <n v="0"/>
    <n v="0"/>
    <n v="0"/>
    <n v="0"/>
    <n v="0"/>
    <n v="0"/>
    <n v="120"/>
    <n v="0"/>
    <n v="0"/>
    <n v="0"/>
    <n v="0"/>
    <n v="0"/>
    <n v="0"/>
    <n v="0"/>
    <n v="0"/>
    <n v="0"/>
    <n v="0"/>
    <n v="0"/>
    <n v="48"/>
    <n v="0"/>
    <n v="48"/>
    <n v="0"/>
    <m/>
    <n v="0"/>
    <n v="109056"/>
    <n v="0"/>
    <n v="0"/>
    <n v="0"/>
    <n v="402957.98319327726"/>
  </r>
  <r>
    <m/>
    <x v="6"/>
    <x v="24"/>
    <x v="59"/>
    <n v="67933857637909"/>
    <x v="595"/>
    <x v="439"/>
    <x v="0"/>
    <x v="1"/>
    <n v="1"/>
    <x v="31"/>
    <n v="326"/>
    <m/>
    <n v="0"/>
    <n v="3147"/>
    <n v="1025922"/>
    <n v="3.7"/>
    <n v="4042.2499999999995"/>
    <n v="12596.638655462186"/>
    <n v="11756.302521008403"/>
    <s v="Shenzhen"/>
    <x v="0"/>
    <n v="30"/>
    <m/>
    <n v="100"/>
    <n v="121"/>
    <n v="0.77934341681499086"/>
    <n v="90"/>
    <n v="0.76498683038048298"/>
    <n v="94"/>
    <n v="0.75664346899573309"/>
    <n v="147"/>
    <n v="0.76768414235646665"/>
    <n v="71"/>
    <n v="0.77818123370343451"/>
    <n v="232"/>
    <n v="0.75220224971808858"/>
    <n v="61"/>
    <n v="0.78035605129967145"/>
    <n v="19"/>
    <n v="0.806787292992451"/>
    <n v="101"/>
    <n v="0.7878532280341114"/>
    <n v="196"/>
    <n v="0.72514424639268449"/>
    <n v="177"/>
    <n v="0.80650350316627772"/>
    <n v="209"/>
    <n v="0.768945063920348"/>
    <n v="217"/>
    <n v="0.6405523554765733"/>
    <n v="175"/>
    <n v="0.60941024039800973"/>
    <n v="156"/>
    <n v="0.58394817706201885"/>
    <n v="119"/>
    <n v="0.5560975514118327"/>
    <n v="0.79333333333333333"/>
    <n v="171"/>
    <n v="0.73449832846497631"/>
    <n v="1.3153846153846154"/>
    <n v="264"/>
    <n v="0.62531521709888371"/>
    <n v="1.1478260869565218"/>
    <n v="0"/>
    <s v=""/>
    <n v="0"/>
    <n v="14"/>
    <n v="0.54052398973108962"/>
    <n v="0.51851851851851849"/>
    <n v="181"/>
    <n v="0.52350579212550674"/>
    <n v="1.5083333333333333"/>
    <m/>
    <m/>
    <m/>
    <m/>
    <m/>
    <m/>
    <m/>
    <m/>
    <m/>
    <n v="120"/>
    <n v="411"/>
    <n v="250"/>
    <n v="200"/>
    <n v="200"/>
    <n v="0"/>
    <n v="2103769.5"/>
    <n v="1573924.4999999998"/>
    <n v="786750"/>
    <n v="0"/>
    <n v="326"/>
    <n v="1025922"/>
    <n v="2646352.6587105435"/>
    <n v="180"/>
    <n v="345"/>
    <n v="262.5"/>
    <n v="350"/>
    <n v="100"/>
    <n v="0"/>
    <n v="1691512.5"/>
    <n v="1321177.4999999998"/>
    <n v="826087.5"/>
    <n v="0"/>
    <n v="326"/>
    <n v="1025922"/>
    <n v="2778670.2916460708"/>
    <n v="183"/>
    <n v="102"/>
    <n v="156"/>
    <n v="0"/>
    <n v="0"/>
    <n v="1363260"/>
    <n v="320994"/>
    <n v="490932"/>
    <n v="0"/>
    <n v="326"/>
    <n v="1025922"/>
    <n v="1965075.630252101"/>
    <n v="150"/>
    <n v="301"/>
    <n v="119"/>
    <n v="0"/>
    <n v="0"/>
    <n v="1152679.4999999998"/>
    <n v="374493"/>
    <x v="0"/>
    <x v="0"/>
    <n v="326"/>
    <n v="1025922"/>
    <n v="1499000"/>
    <n v="130"/>
    <n v="497"/>
    <n v="130"/>
    <m/>
    <n v="0"/>
    <n v="0"/>
    <n v="1564059"/>
    <n v="497834.99999999994"/>
    <x v="0"/>
    <n v="0"/>
    <n v="326"/>
    <n v="1025922"/>
    <n v="1637563.0252100842"/>
    <n v="230"/>
    <n v="590"/>
    <n v="264"/>
    <m/>
    <n v="0"/>
    <n v="0"/>
    <n v="1856730"/>
    <n v="1010987.9999999999"/>
    <n v="0"/>
    <n v="0"/>
    <n v="590"/>
    <n v="1025922"/>
    <n v="3325512.6050420171"/>
    <n v="120"/>
    <n v="326"/>
    <n v="0"/>
    <n v="300"/>
    <n v="300"/>
    <n v="0"/>
    <n v="1025922"/>
    <n v="0"/>
    <n v="1110555"/>
    <n v="0"/>
    <n v="326"/>
    <n v="1025922"/>
    <n v="0"/>
    <n v="27"/>
    <n v="340"/>
    <n v="14"/>
    <n v="200"/>
    <n v="200"/>
    <n v="0"/>
    <n v="1069980"/>
    <n v="53612.999999999993"/>
    <n v="765899.99999999988"/>
    <n v="0"/>
    <n v="340"/>
    <n v="1069980"/>
    <n v="176352.9411764706"/>
    <n v="120"/>
    <n v="507"/>
    <n v="195"/>
    <n v="300"/>
    <n v="300"/>
    <n v="0"/>
    <n v="1941556.4999999998"/>
    <n v="746752.49999999988"/>
    <n v="1148849.9999999998"/>
    <n v="0"/>
    <n v="326"/>
    <n v="1025922"/>
    <n v="2456344.5378151261"/>
    <n v="200"/>
    <n v="312"/>
    <n v="200"/>
    <n v="0"/>
    <n v="0"/>
    <n v="0"/>
    <n v="0"/>
    <n v="1194803.9999999998"/>
    <n v="765899.99999999988"/>
    <n v="0"/>
    <n v="0"/>
    <n v="312"/>
    <n v="1194803.9999999998"/>
    <n v="2351260.5042016809"/>
    <n v="180"/>
    <n v="112"/>
    <n v="112"/>
    <m/>
    <n v="0"/>
    <n v="0"/>
    <n v="428903.99999999994"/>
    <n v="428903.99999999994"/>
    <n v="0"/>
    <n v="0"/>
    <n v="112"/>
    <n v="428903.99999999994"/>
    <n v="1316705.8823529412"/>
    <n v="200"/>
    <n v="0"/>
    <n v="200"/>
    <n v="300"/>
    <n v="300"/>
    <n v="0"/>
    <n v="765899.99999999988"/>
    <n v="1148849.9999999998"/>
    <n v="1148849.9999999998"/>
    <n v="300"/>
    <n v="1148849.9999999998"/>
    <n v="2519327.7310924372"/>
    <n v="108"/>
    <n v="100"/>
    <n v="108"/>
    <n v="0"/>
    <m/>
    <n v="382949.99999999994"/>
    <n v="339876"/>
    <n v="0"/>
    <n v="100"/>
    <n v="382949.99999999994"/>
    <n v="1360436.9747899161"/>
  </r>
  <r>
    <s v="Simplit-Cristalería y Bar"/>
    <x v="6"/>
    <x v="24"/>
    <x v="59"/>
    <n v="67933859111971"/>
    <x v="596"/>
    <x v="440"/>
    <x v="0"/>
    <x v="2"/>
    <n v="1"/>
    <x v="31"/>
    <n v="117"/>
    <m/>
    <n v="0"/>
    <n v="3897"/>
    <n v="455949"/>
    <n v="3.5999999999999996"/>
    <n v="3932.9999999999991"/>
    <n v="9235.2941176470595"/>
    <n v="8394.957983193277"/>
    <s v="Shenzhen"/>
    <x v="0"/>
    <n v="30"/>
    <m/>
    <n v="100"/>
    <n v="170"/>
    <n v="0.55815730379666961"/>
    <n v="44"/>
    <n v="0.53365983380937165"/>
    <n v="75"/>
    <n v="0.50520572039149991"/>
    <n v="43"/>
    <n v="0.55132791949577953"/>
    <n v="36"/>
    <n v="0.56692980991053543"/>
    <n v="103"/>
    <n v="0.5326810105352402"/>
    <n v="48"/>
    <n v="0.5853942024137192"/>
    <n v="30"/>
    <n v="0.5935495336691935"/>
    <n v="32"/>
    <n v="0.61735124210426917"/>
    <n v="68"/>
    <n v="0.56573190647028937"/>
    <n v="46"/>
    <n v="0.59295232946721099"/>
    <n v="58"/>
    <n v="0.62035047559567158"/>
    <n v="43"/>
    <n v="0.40518714433052555"/>
    <n v="28"/>
    <n v="0.43211726968795061"/>
    <n v="53"/>
    <n v="0.44947466767818606"/>
    <n v="56"/>
    <n v="0.44136517706868444"/>
    <n v="1.1200000000000001"/>
    <n v="68"/>
    <n v="0.60058642224647318"/>
    <n v="1.7"/>
    <n v="38"/>
    <n v="0.43140176505869243"/>
    <n v="0.40860215053763443"/>
    <n v="4"/>
    <s v=""/>
    <n v="8.8888888888888892E-2"/>
    <n v="49"/>
    <n v="0.3183556677398125"/>
    <n v="1.2250000000000001"/>
    <n v="21"/>
    <n v="0.30826949797960435"/>
    <n v="0.52500000000000002"/>
    <m/>
    <m/>
    <m/>
    <m/>
    <m/>
    <m/>
    <m/>
    <m/>
    <m/>
    <n v="100"/>
    <n v="148"/>
    <n v="30"/>
    <n v="200"/>
    <n v="200"/>
    <n v="0"/>
    <n v="487125"/>
    <n v="551447.99999999988"/>
    <n v="116910"/>
    <n v="0"/>
    <n v="117"/>
    <n v="455949"/>
    <n v="232822.54078101832"/>
    <n v="60"/>
    <n v="319"/>
    <n v="42"/>
    <n v="100"/>
    <n v="100"/>
    <n v="0"/>
    <n v="588447"/>
    <n v="1188593.9999999998"/>
    <n v="163674"/>
    <n v="0"/>
    <n v="117"/>
    <n v="455949"/>
    <n v="325951.55709342565"/>
    <n v="80"/>
    <n v="288"/>
    <n v="53"/>
    <n v="0"/>
    <n v="0"/>
    <n v="573813"/>
    <n v="1122336"/>
    <n v="206541"/>
    <n v="0"/>
    <n v="117"/>
    <n v="455949"/>
    <n v="489470.58823529416"/>
    <n v="50"/>
    <n v="338"/>
    <n v="56"/>
    <n v="0"/>
    <n v="0"/>
    <n v="1259387.9999999998"/>
    <n v="218232"/>
    <x v="0"/>
    <x v="0"/>
    <n v="117"/>
    <n v="455949"/>
    <n v="517176.4705882353"/>
    <n v="40"/>
    <n v="185"/>
    <n v="40"/>
    <m/>
    <n v="0"/>
    <n v="0"/>
    <n v="720945"/>
    <n v="149039.99999999997"/>
    <x v="0"/>
    <n v="0"/>
    <n v="117"/>
    <n v="455949"/>
    <n v="369411.76470588241"/>
    <n v="93"/>
    <n v="155"/>
    <n v="38"/>
    <m/>
    <n v="0"/>
    <n v="0"/>
    <n v="604035"/>
    <n v="141587.99999999997"/>
    <n v="0"/>
    <n v="0"/>
    <n v="155"/>
    <n v="455949"/>
    <n v="350941.17647058825"/>
    <n v="45"/>
    <n v="121"/>
    <n v="4"/>
    <n v="0"/>
    <n v="0"/>
    <n v="0"/>
    <n v="471537"/>
    <n v="14903.999999999996"/>
    <n v="0"/>
    <n v="0"/>
    <n v="121"/>
    <n v="455949"/>
    <n v="36941.176470588238"/>
    <n v="40"/>
    <n v="166"/>
    <n v="50"/>
    <n v="0"/>
    <n v="0"/>
    <n v="0"/>
    <n v="646902"/>
    <n v="186299.99999999994"/>
    <n v="0"/>
    <n v="0"/>
    <n v="166"/>
    <n v="646902"/>
    <n v="461764.70588235295"/>
    <n v="40"/>
    <n v="138"/>
    <n v="22.5"/>
    <n v="100"/>
    <n v="100"/>
    <n v="0"/>
    <n v="514187.99999999988"/>
    <n v="83834.999999999985"/>
    <n v="372599.99999999988"/>
    <n v="0"/>
    <n v="117"/>
    <n v="455949"/>
    <n v="207794.11764705883"/>
    <n v="3"/>
    <n v="115.5"/>
    <n v="3"/>
    <n v="0"/>
    <n v="0"/>
    <n v="0"/>
    <n v="0"/>
    <n v="430352.99999999988"/>
    <n v="11177.999999999996"/>
    <n v="0"/>
    <n v="0"/>
    <n v="115.5"/>
    <n v="430352.99999999988"/>
    <n v="25184.873949579829"/>
    <n v="40"/>
    <n v="112.5"/>
    <n v="40"/>
    <m/>
    <n v="0"/>
    <n v="0"/>
    <n v="419174.99999999988"/>
    <n v="149039.99999999997"/>
    <n v="0"/>
    <n v="0"/>
    <n v="112.5"/>
    <n v="419174.99999999988"/>
    <n v="335798.31932773109"/>
    <n v="50"/>
    <n v="72.5"/>
    <n v="50"/>
    <n v="0"/>
    <n v="0"/>
    <n v="270134.99999999994"/>
    <n v="186299.99999999994"/>
    <n v="0"/>
    <n v="0"/>
    <n v="72.5"/>
    <n v="270134.99999999994"/>
    <n v="461764.70588235295"/>
    <n v="24"/>
    <n v="22.5"/>
    <n v="24"/>
    <n v="0"/>
    <m/>
    <n v="83834.999999999985"/>
    <n v="93528"/>
    <n v="0"/>
    <n v="22.5"/>
    <n v="83834.999999999985"/>
    <n v="221647.05882352943"/>
  </r>
  <r>
    <m/>
    <x v="6"/>
    <x v="24"/>
    <x v="59"/>
    <n v="67933860407346"/>
    <x v="597"/>
    <x v="441"/>
    <x v="0"/>
    <x v="2"/>
    <n v="0.9"/>
    <x v="31"/>
    <n v="302"/>
    <m/>
    <n v="0"/>
    <n v="3071"/>
    <n v="927442"/>
    <n v="2.4"/>
    <n v="2622"/>
    <n v="6714.2857142857147"/>
    <n v="5873.9495798319331"/>
    <s v="Shenzhen"/>
    <x v="0"/>
    <n v="30"/>
    <m/>
    <n v="100"/>
    <n v="37"/>
    <n v="0.66633267348291714"/>
    <n v="91"/>
    <n v="0.6541357472899636"/>
    <n v="47"/>
    <n v="0.64575812448693759"/>
    <n v="23"/>
    <n v="0.56564517968998484"/>
    <n v="11"/>
    <n v="0.53457247223119553"/>
    <n v="49"/>
    <n v="0.53005882425741901"/>
    <n v="42"/>
    <n v="0.56431519163322685"/>
    <n v="39"/>
    <n v="0.53575729749535206"/>
    <n v="51"/>
    <n v="0.54175653515302435"/>
    <n v="27"/>
    <n v="0.55425283786988699"/>
    <n v="13"/>
    <n v="0.6254390382762548"/>
    <n v="10"/>
    <n v="0.60716440821764583"/>
    <n v="26"/>
    <n v="0.58818426649016708"/>
    <n v="16"/>
    <n v="0.57947351179604722"/>
    <n v="34"/>
    <n v="0.5958954435612227"/>
    <n v="25"/>
    <n v="0.61065649870393368"/>
    <n v="0.625"/>
    <n v="22"/>
    <n v="0.55015490340921802"/>
    <n v="0.88"/>
    <n v="34"/>
    <n v="0.55594927430082075"/>
    <n v="0.61818181818181817"/>
    <n v="3"/>
    <s v=""/>
    <n v="6.6666666666666666E-2"/>
    <n v="12"/>
    <n v="0.39943625197693444"/>
    <n v="0.30769230769230771"/>
    <n v="11"/>
    <n v="0.29833468423535953"/>
    <n v="0.22"/>
    <m/>
    <m/>
    <m/>
    <m/>
    <m/>
    <m/>
    <m/>
    <m/>
    <m/>
    <n v="50"/>
    <n v="241"/>
    <n v="20"/>
    <n v="150"/>
    <n v="150"/>
    <n v="0"/>
    <n v="239538"/>
    <n v="598644"/>
    <n v="61420"/>
    <n v="0"/>
    <n v="302"/>
    <n v="927442"/>
    <n v="112845.13805522211"/>
    <n v="40"/>
    <n v="366"/>
    <n v="24"/>
    <n v="100"/>
    <n v="100"/>
    <n v="0"/>
    <n v="254893"/>
    <n v="909144"/>
    <n v="73704"/>
    <n v="0"/>
    <n v="302"/>
    <n v="927442"/>
    <n v="135414.16566626652"/>
    <n v="50"/>
    <n v="456"/>
    <n v="34"/>
    <n v="0"/>
    <n v="0"/>
    <n v="237079"/>
    <n v="1400376"/>
    <n v="104414"/>
    <n v="0"/>
    <n v="302"/>
    <n v="927442"/>
    <n v="228285.71428571429"/>
    <n v="40"/>
    <n v="420"/>
    <n v="25"/>
    <n v="0"/>
    <n v="0"/>
    <n v="1043280"/>
    <n v="76775"/>
    <x v="0"/>
    <x v="0"/>
    <n v="302"/>
    <n v="927442"/>
    <n v="167857.14285714287"/>
    <n v="25"/>
    <n v="324"/>
    <n v="22.5"/>
    <m/>
    <n v="0"/>
    <n v="0"/>
    <n v="995004"/>
    <n v="55890"/>
    <x v="0"/>
    <n v="0"/>
    <n v="302"/>
    <n v="927442"/>
    <n v="151071.42857142858"/>
    <n v="55"/>
    <n v="336"/>
    <n v="34"/>
    <m/>
    <n v="0"/>
    <n v="0"/>
    <n v="1031856"/>
    <n v="84456"/>
    <n v="0"/>
    <n v="0"/>
    <n v="336"/>
    <n v="927442"/>
    <n v="228285.71428571429"/>
    <n v="45"/>
    <n v="305"/>
    <n v="3"/>
    <n v="0"/>
    <n v="0"/>
    <n v="0"/>
    <n v="936655"/>
    <n v="7452"/>
    <n v="0"/>
    <n v="0"/>
    <n v="305"/>
    <n v="927442"/>
    <n v="20142.857142857145"/>
    <n v="39"/>
    <n v="314"/>
    <n v="12"/>
    <n v="0"/>
    <n v="0"/>
    <n v="0"/>
    <n v="964294"/>
    <n v="29808"/>
    <n v="0"/>
    <n v="0"/>
    <n v="314"/>
    <n v="964294"/>
    <n v="80571.42857142858"/>
    <n v="50"/>
    <n v="313"/>
    <n v="12"/>
    <n v="0"/>
    <n v="0"/>
    <n v="0"/>
    <n v="777492"/>
    <n v="29808"/>
    <n v="0"/>
    <n v="0"/>
    <n v="302"/>
    <n v="927442"/>
    <n v="80571.42857142858"/>
    <n v="45"/>
    <n v="301"/>
    <n v="40.5"/>
    <n v="0"/>
    <n v="0"/>
    <n v="0"/>
    <m/>
    <n v="747684"/>
    <n v="100602"/>
    <n v="0"/>
    <n v="0"/>
    <n v="301"/>
    <n v="747684"/>
    <n v="237894.95798319328"/>
    <n v="40"/>
    <n v="260.5"/>
    <n v="36"/>
    <m/>
    <n v="0"/>
    <n v="0"/>
    <n v="647082"/>
    <n v="89424"/>
    <n v="0"/>
    <n v="0"/>
    <n v="260.5"/>
    <n v="647082"/>
    <n v="211462.18487394959"/>
    <n v="45"/>
    <n v="224.5"/>
    <n v="40.5"/>
    <n v="0"/>
    <n v="0"/>
    <n v="557658"/>
    <n v="100602"/>
    <n v="0"/>
    <n v="0"/>
    <n v="224.5"/>
    <n v="557658"/>
    <n v="271928.57142857142"/>
    <n v="24"/>
    <n v="184"/>
    <n v="21.6"/>
    <n v="0"/>
    <m/>
    <n v="457056"/>
    <n v="66333.600000000006"/>
    <n v="0"/>
    <n v="184"/>
    <n v="457056"/>
    <n v="145028.57142857145"/>
  </r>
  <r>
    <s v="Simplit-Cristalería y Bar"/>
    <x v="6"/>
    <x v="24"/>
    <x v="59"/>
    <n v="67933861722733"/>
    <x v="598"/>
    <x v="442"/>
    <x v="0"/>
    <x v="2"/>
    <n v="0.7"/>
    <x v="31"/>
    <n v="95"/>
    <m/>
    <n v="0"/>
    <n v="3566"/>
    <n v="338770"/>
    <n v="2.7"/>
    <n v="2949.7499999999995"/>
    <n v="6714.2857142857147"/>
    <n v="5873.9495798319331"/>
    <s v="Shenzhen"/>
    <x v="0"/>
    <n v="30"/>
    <m/>
    <n v="100"/>
    <n v="15"/>
    <n v="0.64606985010626095"/>
    <n v="16"/>
    <n v="0.57915453541180795"/>
    <n v="84"/>
    <n v="0.61228543343323294"/>
    <n v="14"/>
    <n v="0.44609599442076031"/>
    <n v="42"/>
    <n v="0.50343743382375195"/>
    <n v="29"/>
    <n v="0.55037966107472625"/>
    <n v="9"/>
    <n v="0.57571384458459907"/>
    <n v="10"/>
    <n v="0.59061144519883602"/>
    <n v="24"/>
    <n v="0.54162177813757595"/>
    <n v="43"/>
    <n v="0.51049482456724238"/>
    <n v="23"/>
    <n v="0.52086744365696391"/>
    <n v="36"/>
    <n v="0.42941154402296827"/>
    <n v="14"/>
    <n v="0.53053400042359844"/>
    <n v="12"/>
    <n v="0.45957974719435796"/>
    <n v="14"/>
    <n v="0.38427158756000829"/>
    <n v="11"/>
    <n v="0.41340130583084461"/>
    <n v="0.44"/>
    <n v="7"/>
    <n v="0.32389058304128171"/>
    <n v="0.17499999999999999"/>
    <n v="13"/>
    <n v="0.37614582835285676"/>
    <n v="0.43333333333333335"/>
    <n v="0"/>
    <s v=""/>
    <n v="0"/>
    <n v="14"/>
    <n v="0.21726517558628242"/>
    <n v="0.58333333333333337"/>
    <n v="13"/>
    <n v="0.21141154462864914"/>
    <n v="0.54166666666666663"/>
    <m/>
    <m/>
    <m/>
    <m/>
    <m/>
    <m/>
    <m/>
    <m/>
    <m/>
    <n v="20"/>
    <n v="199"/>
    <n v="20"/>
    <n v="0"/>
    <n v="0"/>
    <n v="0"/>
    <n v="185432"/>
    <n v="556105.5"/>
    <n v="71320"/>
    <n v="0"/>
    <n v="95"/>
    <n v="338770"/>
    <n v="112845.13805522211"/>
    <n v="20"/>
    <n v="189"/>
    <n v="18"/>
    <n v="0"/>
    <n v="0"/>
    <n v="0"/>
    <n v="153338"/>
    <n v="528160.5"/>
    <n v="64188"/>
    <n v="0"/>
    <n v="95"/>
    <n v="338770"/>
    <n v="101560.62424969989"/>
    <n v="40"/>
    <n v="177"/>
    <n v="14"/>
    <n v="0"/>
    <n v="0"/>
    <n v="167396"/>
    <n v="631182"/>
    <n v="49924"/>
    <n v="0"/>
    <n v="95"/>
    <n v="338770"/>
    <n v="94000"/>
    <n v="25"/>
    <n v="163"/>
    <n v="11"/>
    <n v="0"/>
    <n v="0"/>
    <n v="455503.5"/>
    <n v="39226"/>
    <x v="0"/>
    <x v="0"/>
    <n v="95"/>
    <n v="338770"/>
    <n v="73857.142857142855"/>
    <n v="40"/>
    <n v="102"/>
    <n v="28"/>
    <m/>
    <n v="0"/>
    <n v="0"/>
    <n v="363732"/>
    <n v="78246"/>
    <x v="0"/>
    <n v="0"/>
    <n v="95"/>
    <n v="338770"/>
    <n v="188000"/>
    <n v="30"/>
    <n v="108"/>
    <n v="13"/>
    <m/>
    <n v="0"/>
    <n v="0"/>
    <n v="385128"/>
    <n v="36328.5"/>
    <n v="0"/>
    <n v="0"/>
    <n v="108"/>
    <n v="338770"/>
    <n v="87285.71428571429"/>
    <n v="20"/>
    <n v="95"/>
    <n v="0"/>
    <n v="0"/>
    <n v="0"/>
    <n v="0"/>
    <n v="338770"/>
    <n v="0"/>
    <n v="0"/>
    <n v="0"/>
    <n v="95"/>
    <n v="338770"/>
    <n v="0"/>
    <n v="24"/>
    <n v="109"/>
    <n v="14"/>
    <n v="0"/>
    <n v="0"/>
    <n v="0"/>
    <n v="388694"/>
    <n v="39123"/>
    <n v="0"/>
    <n v="0"/>
    <n v="109"/>
    <n v="388694"/>
    <n v="94000"/>
    <n v="24"/>
    <n v="108"/>
    <n v="15"/>
    <n v="0"/>
    <n v="0"/>
    <n v="0"/>
    <n v="301806"/>
    <n v="41917.5"/>
    <n v="0"/>
    <n v="0"/>
    <n v="95"/>
    <n v="338770"/>
    <n v="100714.28571428572"/>
    <n v="45"/>
    <n v="93"/>
    <n v="31.499999999999996"/>
    <n v="0"/>
    <n v="0"/>
    <n v="0"/>
    <m/>
    <n v="259888.5"/>
    <n v="88026.749999999985"/>
    <n v="0"/>
    <n v="0"/>
    <n v="93"/>
    <n v="259888.5"/>
    <n v="185029.41176470587"/>
    <n v="30"/>
    <n v="61.5"/>
    <n v="21"/>
    <m/>
    <n v="0"/>
    <n v="0"/>
    <n v="171861.75"/>
    <n v="58684.5"/>
    <n v="0"/>
    <n v="0"/>
    <n v="61.5"/>
    <n v="171861.75"/>
    <n v="123352.9411764706"/>
    <n v="40"/>
    <n v="40.5"/>
    <n v="28"/>
    <n v="0"/>
    <n v="0"/>
    <n v="113177.25"/>
    <n v="78246"/>
    <n v="0"/>
    <n v="0"/>
    <n v="40.5"/>
    <n v="113177.25"/>
    <n v="188000"/>
    <n v="18"/>
    <n v="12.5"/>
    <n v="12.6"/>
    <n v="0"/>
    <m/>
    <n v="34931.25"/>
    <n v="44931.6"/>
    <n v="0"/>
    <n v="12.5"/>
    <n v="34931.25"/>
    <n v="84600"/>
  </r>
  <r>
    <m/>
    <x v="6"/>
    <x v="24"/>
    <x v="59"/>
    <n v="67933863068841"/>
    <x v="599"/>
    <x v="443"/>
    <x v="0"/>
    <x v="3"/>
    <n v="1"/>
    <x v="31"/>
    <n v="260"/>
    <m/>
    <n v="0"/>
    <n v="4103"/>
    <n v="1066780"/>
    <n v="3.95"/>
    <n v="4315.375"/>
    <n v="9235.2941176470595"/>
    <n v="8394.957983193277"/>
    <s v="Shenzhen"/>
    <x v="0"/>
    <n v="30"/>
    <m/>
    <n v="100"/>
    <n v="97"/>
    <n v="0.4856001070502316"/>
    <n v="40"/>
    <n v="0.47488685209596632"/>
    <n v="58"/>
    <n v="0.47576880637712476"/>
    <n v="33"/>
    <n v="0.51678933670447991"/>
    <n v="29"/>
    <n v="0.57811436975346453"/>
    <n v="74"/>
    <n v="0.52123946632703677"/>
    <n v="39"/>
    <n v="0.5246671625849938"/>
    <n v="18"/>
    <n v="0.55559413055602958"/>
    <n v="30"/>
    <n v="0.5533248390285046"/>
    <n v="63"/>
    <n v="0.5021993783965355"/>
    <n v="49"/>
    <n v="0.50376264498790646"/>
    <n v="69"/>
    <n v="0.50444132137937125"/>
    <n v="37"/>
    <n v="0.38704515417262381"/>
    <n v="32"/>
    <n v="0.38237657830068494"/>
    <n v="29"/>
    <n v="0.39372643149595726"/>
    <n v="57"/>
    <n v="0.46610466839977399"/>
    <n v="0.95"/>
    <n v="24"/>
    <n v="0.50432492072841106"/>
    <n v="0.6"/>
    <n v="34"/>
    <n v="0.41135794329090081"/>
    <n v="0.42499999999999999"/>
    <n v="0"/>
    <s v=""/>
    <n v="0"/>
    <n v="23"/>
    <n v="0.35057960531941157"/>
    <n v="0.67647058823529416"/>
    <n v="26"/>
    <n v="0.31800509762568452"/>
    <n v="0.8666666666666667"/>
    <m/>
    <m/>
    <m/>
    <m/>
    <m/>
    <m/>
    <m/>
    <m/>
    <m/>
    <n v="65"/>
    <n v="77"/>
    <n v="20"/>
    <n v="120"/>
    <n v="120"/>
    <n v="0"/>
    <n v="397991"/>
    <n v="314795.24999999994"/>
    <n v="82060"/>
    <n v="0"/>
    <n v="260"/>
    <n v="1066780"/>
    <n v="155215.02718734555"/>
    <n v="40"/>
    <n v="159"/>
    <n v="48"/>
    <n v="0"/>
    <n v="0"/>
    <n v="0"/>
    <n v="549802"/>
    <n v="650031.74999999988"/>
    <n v="196944"/>
    <n v="0"/>
    <n v="260"/>
    <n v="1066780"/>
    <n v="372516.06524962932"/>
    <n v="60"/>
    <n v="128"/>
    <n v="29"/>
    <n v="0"/>
    <n v="0"/>
    <n v="516388"/>
    <n v="525184"/>
    <n v="118987"/>
    <n v="0"/>
    <n v="260"/>
    <n v="1066780"/>
    <n v="267823.5294117647"/>
    <n v="60"/>
    <n v="250"/>
    <n v="57"/>
    <n v="150"/>
    <n v="0"/>
    <n v="1022062.4999999999"/>
    <n v="233871"/>
    <x v="69"/>
    <x v="0"/>
    <n v="260"/>
    <n v="1066780"/>
    <n v="526411.76470588241"/>
    <n v="40"/>
    <n v="284"/>
    <n v="40"/>
    <m/>
    <n v="0"/>
    <n v="0"/>
    <n v="1165252"/>
    <n v="163529.99999999997"/>
    <x v="0"/>
    <n v="0"/>
    <n v="260"/>
    <n v="1066780"/>
    <n v="369411.76470588241"/>
    <n v="80"/>
    <n v="294"/>
    <n v="34"/>
    <m/>
    <n v="0"/>
    <n v="0"/>
    <n v="1206282"/>
    <n v="139000.49999999997"/>
    <n v="0"/>
    <n v="0"/>
    <n v="294"/>
    <n v="1066780"/>
    <n v="314000"/>
    <n v="40"/>
    <n v="260"/>
    <n v="0"/>
    <n v="0"/>
    <n v="0"/>
    <n v="0"/>
    <n v="1066780"/>
    <n v="0"/>
    <n v="0"/>
    <n v="0"/>
    <n v="260"/>
    <n v="1066780"/>
    <n v="0"/>
    <n v="34"/>
    <n v="283"/>
    <n v="23"/>
    <n v="0"/>
    <n v="0"/>
    <n v="0"/>
    <n v="1161149"/>
    <n v="94029.749999999985"/>
    <n v="0"/>
    <n v="0"/>
    <n v="283"/>
    <n v="1161149"/>
    <n v="212411.76470588238"/>
    <n v="30"/>
    <n v="286"/>
    <n v="28.5"/>
    <n v="200"/>
    <n v="200"/>
    <n v="0"/>
    <n v="1169239.4999999998"/>
    <n v="116515.12499999999"/>
    <n v="817649.99999999988"/>
    <n v="0"/>
    <n v="260"/>
    <n v="1066780"/>
    <n v="263205.8823529412"/>
    <n v="65"/>
    <n v="257.5"/>
    <n v="65"/>
    <n v="0"/>
    <n v="0"/>
    <n v="0"/>
    <n v="0"/>
    <n v="1052724.3749999998"/>
    <n v="265736.24999999994"/>
    <n v="0"/>
    <n v="0"/>
    <n v="257.5"/>
    <n v="1052724.3749999998"/>
    <n v="545672.26890756295"/>
    <n v="40"/>
    <n v="192.5"/>
    <n v="40"/>
    <m/>
    <n v="0"/>
    <n v="0"/>
    <n v="786988.12499999988"/>
    <n v="163529.99999999997"/>
    <n v="0"/>
    <n v="0"/>
    <n v="192.5"/>
    <n v="786988.12499999988"/>
    <n v="335798.31932773109"/>
    <n v="65"/>
    <n v="152.5"/>
    <n v="65"/>
    <n v="0"/>
    <n v="0"/>
    <n v="623458.12499999988"/>
    <n v="265736.24999999994"/>
    <n v="0"/>
    <n v="0"/>
    <n v="152.5"/>
    <n v="623458.12499999988"/>
    <n v="600294.11764705891"/>
    <n v="24"/>
    <n v="87.5"/>
    <n v="24"/>
    <n v="0"/>
    <m/>
    <n v="357721.87499999994"/>
    <n v="98472"/>
    <n v="0"/>
    <n v="87.5"/>
    <n v="357721.87499999994"/>
    <n v="221647.05882352943"/>
  </r>
  <r>
    <m/>
    <x v="6"/>
    <x v="24"/>
    <x v="59"/>
    <s v="SIMCOPESPMON"/>
    <x v="600"/>
    <x v="444"/>
    <x v="0"/>
    <x v="3"/>
    <n v="1"/>
    <x v="376"/>
    <n v="178"/>
    <m/>
    <n v="0"/>
    <n v="6366"/>
    <n v="1133148"/>
    <n v="5.66"/>
    <n v="6183.5499999999993"/>
    <n v="15117.64705882353"/>
    <n v="10915.966386554623"/>
    <s v="Shenzhen"/>
    <x v="0"/>
    <n v="30"/>
    <m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2"/>
    <n v="0.52218639643789344"/>
    <n v="37"/>
    <n v="0.58192915294028247"/>
    <n v="25"/>
    <n v="0.41962252368115538"/>
    <n v="33"/>
    <n v="0.42367350094224837"/>
    <n v="42"/>
    <n v="0.45238805497902795"/>
    <n v="36"/>
    <n v="0.4717383174562797"/>
    <n v="0.72"/>
    <n v="38"/>
    <n v="0.54448342797267746"/>
    <n v="1.2666666666666666"/>
    <n v="44"/>
    <n v="0.35802233138509204"/>
    <n v="0.8"/>
    <n v="36"/>
    <n v="0.48186846615702661"/>
    <n v="0.72"/>
    <n v="62"/>
    <n v="0.37835594294491642"/>
    <n v="1.5897435897435896"/>
    <n v="51"/>
    <n v="0.29843771034772248"/>
    <n v="1.2439024390243902"/>
    <m/>
    <m/>
    <m/>
    <m/>
    <m/>
    <m/>
    <m/>
    <m/>
    <m/>
    <n v="40"/>
    <n v="242"/>
    <n v="30"/>
    <n v="300"/>
    <n v="200"/>
    <n v="0"/>
    <n v="773469"/>
    <n v="1417660.2"/>
    <n v="190980"/>
    <n v="0"/>
    <n v="178"/>
    <n v="1133148"/>
    <n v="381117.15274345037"/>
    <n v="30"/>
    <n v="522"/>
    <n v="49.5"/>
    <n v="0"/>
    <n v="0"/>
    <n v="0"/>
    <n v="811665"/>
    <n v="3057928.1999999997"/>
    <n v="315117"/>
    <n v="0"/>
    <n v="178"/>
    <n v="1133148"/>
    <n v="628843.30202669313"/>
    <n v="50"/>
    <n v="459"/>
    <n v="42"/>
    <n v="0"/>
    <n v="0"/>
    <n v="672291"/>
    <n v="2921994"/>
    <n v="267372"/>
    <n v="0"/>
    <n v="178"/>
    <n v="1133148"/>
    <n v="634941.17647058819"/>
    <n v="50"/>
    <n v="446"/>
    <n v="36"/>
    <n v="0"/>
    <n v="0"/>
    <n v="2612712.5999999996"/>
    <n v="229176"/>
    <x v="0"/>
    <x v="0"/>
    <n v="178"/>
    <n v="1133148"/>
    <n v="544235.29411764711"/>
    <n v="30"/>
    <n v="216"/>
    <n v="30"/>
    <m/>
    <n v="0"/>
    <n v="0"/>
    <n v="1375056"/>
    <n v="175742.99999999997"/>
    <x v="0"/>
    <n v="0"/>
    <n v="178"/>
    <n v="1133148"/>
    <n v="453529.4117647059"/>
    <n v="55"/>
    <n v="222"/>
    <n v="44"/>
    <m/>
    <n v="0"/>
    <n v="0"/>
    <n v="1413252"/>
    <n v="257756.39999999997"/>
    <n v="0"/>
    <n v="0"/>
    <n v="222"/>
    <n v="1133148"/>
    <n v="665176.4705882353"/>
    <n v="50"/>
    <n v="214"/>
    <n v="36"/>
    <n v="0"/>
    <n v="0"/>
    <n v="0"/>
    <n v="1362324"/>
    <n v="210891.59999999998"/>
    <n v="0"/>
    <n v="0"/>
    <n v="214"/>
    <n v="1133148"/>
    <n v="544235.29411764711"/>
    <n v="39"/>
    <n v="240"/>
    <n v="64"/>
    <n v="0"/>
    <n v="0"/>
    <n v="0"/>
    <n v="1527840"/>
    <n v="374918.39999999997"/>
    <n v="0"/>
    <n v="0"/>
    <n v="240"/>
    <n v="1527840"/>
    <n v="967529.4117647059"/>
    <n v="41"/>
    <n v="229"/>
    <n v="61.499999999999993"/>
    <n v="0"/>
    <n v="0"/>
    <n v="0"/>
    <n v="1341504.8999999999"/>
    <n v="360273.14999999991"/>
    <n v="0"/>
    <n v="0"/>
    <n v="178"/>
    <n v="1133148"/>
    <n v="929735.29411764699"/>
    <n v="60"/>
    <n v="167.5"/>
    <n v="60"/>
    <n v="0"/>
    <n v="0"/>
    <n v="0"/>
    <m/>
    <n v="981231.74999999988"/>
    <n v="351485.99999999994"/>
    <n v="0"/>
    <n v="0"/>
    <n v="167.5"/>
    <n v="981231.74999999988"/>
    <n v="654957.98319327738"/>
    <n v="40"/>
    <n v="107.5"/>
    <n v="40"/>
    <m/>
    <n v="0"/>
    <n v="0"/>
    <n v="629745.74999999988"/>
    <n v="234323.99999999997"/>
    <n v="0"/>
    <n v="0"/>
    <n v="107.5"/>
    <n v="629745.74999999988"/>
    <n v="436638.65546218492"/>
    <n v="100"/>
    <n v="67.5"/>
    <n v="67.5"/>
    <n v="0"/>
    <n v="0"/>
    <n v="395421.74999999994"/>
    <n v="395421.74999999994"/>
    <n v="0"/>
    <n v="0"/>
    <n v="67.5"/>
    <n v="395421.74999999994"/>
    <n v="1020441.1764705883"/>
    <n v="24"/>
    <n v="0"/>
    <n v="24"/>
    <n v="0"/>
    <m/>
    <n v="0"/>
    <n v="152784"/>
    <n v="0"/>
    <n v="0"/>
    <n v="0"/>
    <n v="362823.5294117647"/>
  </r>
  <r>
    <s v="Simplit-Cristalería y Bar"/>
    <x v="6"/>
    <x v="24"/>
    <x v="59"/>
    <s v="SIMCOPGINLDN"/>
    <x v="601"/>
    <x v="445"/>
    <x v="0"/>
    <x v="3"/>
    <n v="1"/>
    <x v="377"/>
    <n v="233"/>
    <m/>
    <n v="0"/>
    <n v="8307"/>
    <n v="1935531"/>
    <n v="6.45"/>
    <n v="7046.6249999999991"/>
    <n v="19319.327731092439"/>
    <n v="18478.991596638658"/>
    <s v="Shenzhen"/>
    <x v="0"/>
    <n v="30"/>
    <m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2"/>
    <n v="0.6026597772224811"/>
    <n v="55"/>
    <n v="0.59870095607936658"/>
    <n v="51"/>
    <n v="0.39135905397415305"/>
    <n v="38"/>
    <n v="0.40992044441095432"/>
    <n v="49"/>
    <n v="0.39719637160665294"/>
    <n v="47"/>
    <n v="0.39918925369388425"/>
    <n v="0.8545454545454545"/>
    <n v="22"/>
    <n v="0.58682055464267979"/>
    <n v="0.59459459459459463"/>
    <n v="8"/>
    <n v="0.27454960078315538"/>
    <n v="0.11940298507462686"/>
    <n v="20"/>
    <n v="0.54279043322759757"/>
    <n v="0.33333333333333331"/>
    <n v="29"/>
    <n v="0.2727770623664148"/>
    <n v="0.61702127659574468"/>
    <n v="30"/>
    <n v="0.28799161130197715"/>
    <n v="0.6"/>
    <m/>
    <m/>
    <m/>
    <m/>
    <m/>
    <m/>
    <m/>
    <m/>
    <m/>
    <n v="30"/>
    <n v="228"/>
    <n v="30"/>
    <n v="0"/>
    <n v="0"/>
    <n v="0"/>
    <n v="1129752"/>
    <n v="1522070.9999999998"/>
    <n v="249210"/>
    <n v="0"/>
    <n v="233"/>
    <n v="1935531"/>
    <n v="487041.87557375897"/>
    <n v="25"/>
    <n v="175"/>
    <n v="57"/>
    <n v="0"/>
    <n v="0"/>
    <n v="0"/>
    <n v="1270971"/>
    <n v="1168256.2499999998"/>
    <n v="473499"/>
    <n v="0"/>
    <n v="233"/>
    <n v="1935531"/>
    <n v="925379.56359014206"/>
    <n v="52.5"/>
    <n v="124"/>
    <n v="49"/>
    <n v="0"/>
    <n v="0"/>
    <n v="1044474.75"/>
    <n v="1030068"/>
    <n v="407043"/>
    <n v="0"/>
    <n v="233"/>
    <n v="1935531"/>
    <n v="946647.05882352951"/>
    <n v="55"/>
    <n v="85"/>
    <n v="47"/>
    <n v="0"/>
    <n v="0"/>
    <n v="567438.74999999988"/>
    <n v="390429"/>
    <x v="0"/>
    <x v="0"/>
    <n v="233"/>
    <n v="1935531"/>
    <n v="908008.40336134459"/>
    <n v="37"/>
    <n v="255"/>
    <n v="37"/>
    <m/>
    <n v="0"/>
    <n v="0"/>
    <n v="2118285"/>
    <n v="247002.74999999997"/>
    <x v="0"/>
    <n v="0"/>
    <n v="233"/>
    <n v="1935531"/>
    <n v="714815.12605042022"/>
    <n v="67"/>
    <n v="241"/>
    <n v="8"/>
    <m/>
    <n v="0"/>
    <n v="0"/>
    <n v="2001987"/>
    <n v="53405.999999999993"/>
    <n v="0"/>
    <n v="0"/>
    <n v="241"/>
    <n v="1935531"/>
    <n v="154554.62184873951"/>
    <n v="60"/>
    <n v="253"/>
    <n v="20"/>
    <n v="300"/>
    <n v="300"/>
    <n v="0"/>
    <n v="2101671"/>
    <n v="133514.99999999997"/>
    <n v="1935967.4999999998"/>
    <n v="0"/>
    <n v="253"/>
    <n v="1935531"/>
    <n v="386386.55462184874"/>
    <n v="47"/>
    <n v="262"/>
    <n v="29"/>
    <n v="0"/>
    <n v="0"/>
    <n v="0"/>
    <n v="2176434"/>
    <n v="193596.74999999997"/>
    <n v="0"/>
    <n v="0"/>
    <n v="262"/>
    <n v="2176434"/>
    <n v="560260.50420168077"/>
    <n v="50"/>
    <n v="263"/>
    <n v="34.5"/>
    <n v="0"/>
    <n v="0"/>
    <n v="0"/>
    <n v="1755722.2499999998"/>
    <n v="230313.37499999997"/>
    <n v="0"/>
    <n v="0"/>
    <n v="233"/>
    <n v="1935531"/>
    <n v="666516.80672268919"/>
    <n v="60"/>
    <n v="228.5"/>
    <n v="60"/>
    <n v="0"/>
    <n v="0"/>
    <n v="0"/>
    <m/>
    <n v="1525408.8749999998"/>
    <n v="400544.99999999994"/>
    <n v="0"/>
    <n v="0"/>
    <n v="228.5"/>
    <n v="1525408.8749999998"/>
    <n v="1108739.4957983196"/>
    <n v="50"/>
    <n v="168.5"/>
    <n v="50"/>
    <m/>
    <n v="0"/>
    <n v="0"/>
    <n v="1124863.8749999998"/>
    <n v="333787.49999999994"/>
    <n v="0"/>
    <n v="0"/>
    <n v="168.5"/>
    <n v="1124863.8749999998"/>
    <n v="923949.5798319329"/>
    <n v="80"/>
    <n v="118.5"/>
    <n v="80"/>
    <n v="0"/>
    <n v="0"/>
    <n v="791076.37499999988"/>
    <n v="534059.99999999988"/>
    <n v="0"/>
    <n v="0"/>
    <n v="118.5"/>
    <n v="791076.37499999988"/>
    <n v="1545546.218487395"/>
    <n v="30"/>
    <n v="38.5"/>
    <n v="30"/>
    <n v="0"/>
    <m/>
    <n v="257016.37499999997"/>
    <n v="249210"/>
    <n v="0"/>
    <n v="38.5"/>
    <n v="257016.37499999997"/>
    <n v="579579.83193277312"/>
  </r>
  <r>
    <m/>
    <x v="6"/>
    <x v="24"/>
    <x v="59"/>
    <s v="SIMCOPGINOND"/>
    <x v="602"/>
    <x v="446"/>
    <x v="0"/>
    <x v="4"/>
    <n v="1"/>
    <x v="31"/>
    <n v="0"/>
    <m/>
    <n v="0"/>
    <n v="7672.8"/>
    <n v="0"/>
    <n v="8.34"/>
    <n v="7672.8"/>
    <n v="19343.193277310926"/>
    <n v="16441.714285714286"/>
    <s v="Shenzhen"/>
    <x v="0"/>
    <n v="45"/>
    <m/>
    <n v="3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n v="0"/>
    <n v="0"/>
    <n v="0"/>
    <n v="0"/>
    <n v="0"/>
    <n v="0"/>
    <n v="0"/>
    <n v="0"/>
    <n v="0"/>
    <n v="0"/>
    <n v="0"/>
    <n v="50"/>
    <n v="0"/>
    <n v="0"/>
    <m/>
    <n v="0"/>
    <n v="0"/>
    <n v="0"/>
    <n v="0"/>
    <n v="0"/>
    <n v="0"/>
    <n v="0"/>
    <n v="0"/>
    <n v="0"/>
    <n v="100"/>
    <n v="0"/>
    <n v="100"/>
    <n v="300"/>
    <n v="300"/>
    <n v="0"/>
    <n v="863190"/>
    <n v="2589570"/>
    <n v="2589570"/>
    <n v="300"/>
    <n v="2589570"/>
    <n v="1934319.3277310925"/>
    <n v="30"/>
    <n v="200"/>
    <n v="30"/>
    <n v="0"/>
    <m/>
    <n v="1726380"/>
    <n v="230184"/>
    <n v="0"/>
    <n v="200"/>
    <n v="1726380"/>
    <n v="580295.79831932776"/>
  </r>
  <r>
    <m/>
    <x v="6"/>
    <x v="24"/>
    <x v="59"/>
    <s v="SIMCOPVINALSA"/>
    <x v="603"/>
    <x v="447"/>
    <x v="0"/>
    <x v="0"/>
    <n v="0.8"/>
    <x v="378"/>
    <n v="410"/>
    <m/>
    <n v="0"/>
    <n v="6983"/>
    <n v="2863030"/>
    <n v="6.12"/>
    <n v="6686.0999999999995"/>
    <n v="16798.319327731093"/>
    <n v="10915.966386554623"/>
    <s v="Shenzhen"/>
    <x v="0"/>
    <n v="30"/>
    <m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"/>
    <n v="0.62388074717462016"/>
    <n v="23"/>
    <n v="0.5915237911547353"/>
    <n v="10"/>
    <n v="0.3148579045314096"/>
    <n v="10"/>
    <n v="0.45078524747072396"/>
    <n v="7"/>
    <n v="0.42351542653551388"/>
    <n v="15"/>
    <n v="0.53744685797767788"/>
    <n v="0.375"/>
    <n v="14"/>
    <n v="0.57255100578671803"/>
    <n v="0.56000000000000005"/>
    <n v="31"/>
    <n v="0.32733725940894803"/>
    <n v="1.55"/>
    <n v="23"/>
    <n v="0.4670204594534117"/>
    <n v="0.92"/>
    <n v="29"/>
    <n v="0.36055180789206703"/>
    <n v="1.45"/>
    <n v="18"/>
    <n v="0.29125262024993676"/>
    <n v="1.2"/>
    <m/>
    <m/>
    <m/>
    <m/>
    <m/>
    <m/>
    <m/>
    <m/>
    <m/>
    <n v="30"/>
    <n v="269"/>
    <n v="10"/>
    <n v="300"/>
    <n v="200"/>
    <n v="0"/>
    <n v="223456"/>
    <n v="1703899.8"/>
    <n v="69830"/>
    <n v="0"/>
    <n v="410"/>
    <n v="2863030"/>
    <n v="141162.34729185794"/>
    <n v="30"/>
    <n v="565"/>
    <n v="15"/>
    <n v="0"/>
    <n v="0"/>
    <n v="0"/>
    <n v="258371"/>
    <n v="3578823"/>
    <n v="104745"/>
    <n v="0"/>
    <n v="410"/>
    <n v="2863030"/>
    <n v="211743.5209377869"/>
    <n v="40"/>
    <n v="552"/>
    <n v="7"/>
    <n v="0"/>
    <n v="0"/>
    <n v="280310"/>
    <n v="3854616"/>
    <n v="48881"/>
    <n v="0"/>
    <n v="410"/>
    <n v="2863030"/>
    <n v="117588.23529411765"/>
    <n v="40"/>
    <n v="546"/>
    <n v="15"/>
    <n v="0"/>
    <n v="0"/>
    <n v="3458473.1999999997"/>
    <n v="104745"/>
    <x v="0"/>
    <x v="0"/>
    <n v="410"/>
    <n v="2863030"/>
    <n v="251974.78991596639"/>
    <n v="25"/>
    <n v="424"/>
    <n v="20"/>
    <m/>
    <n v="0"/>
    <n v="0"/>
    <n v="2960792"/>
    <n v="126684"/>
    <x v="0"/>
    <n v="0"/>
    <n v="410"/>
    <n v="2863030"/>
    <n v="335966.38655462186"/>
    <n v="20"/>
    <n v="441"/>
    <n v="31"/>
    <m/>
    <n v="0"/>
    <n v="0"/>
    <n v="3079503"/>
    <n v="196360.19999999998"/>
    <n v="0"/>
    <n v="0"/>
    <n v="441"/>
    <n v="2863030"/>
    <n v="520747.89915966388"/>
    <n v="25"/>
    <n v="433"/>
    <n v="23"/>
    <n v="0"/>
    <n v="0"/>
    <n v="0"/>
    <n v="3023639"/>
    <n v="145686.6"/>
    <n v="0"/>
    <n v="0"/>
    <n v="433"/>
    <n v="2863030"/>
    <n v="386361.34453781514"/>
    <n v="20"/>
    <n v="439"/>
    <n v="29"/>
    <n v="0"/>
    <n v="0"/>
    <n v="0"/>
    <n v="3065537"/>
    <n v="183691.8"/>
    <n v="0"/>
    <n v="0"/>
    <n v="439"/>
    <n v="3065537"/>
    <n v="487151.26050420169"/>
    <n v="15"/>
    <n v="428"/>
    <n v="24"/>
    <n v="0"/>
    <n v="0"/>
    <n v="0"/>
    <n v="2711037.6"/>
    <n v="152020.79999999999"/>
    <n v="0"/>
    <n v="0"/>
    <n v="410"/>
    <n v="2863030"/>
    <n v="403159.66386554623"/>
    <n v="30"/>
    <n v="404"/>
    <n v="24"/>
    <n v="0"/>
    <n v="0"/>
    <n v="0"/>
    <m/>
    <n v="2559016.7999999998"/>
    <n v="152020.79999999999"/>
    <n v="0"/>
    <n v="0"/>
    <n v="404"/>
    <n v="2559016.7999999998"/>
    <n v="261983.19327731093"/>
    <n v="30"/>
    <n v="380"/>
    <n v="24"/>
    <m/>
    <n v="0"/>
    <n v="0"/>
    <n v="2406996"/>
    <n v="152020.79999999999"/>
    <n v="0"/>
    <n v="0"/>
    <n v="380"/>
    <n v="2406996"/>
    <n v="261983.19327731093"/>
    <n v="30"/>
    <n v="356"/>
    <n v="24"/>
    <n v="0"/>
    <n v="0"/>
    <n v="2254975.1999999997"/>
    <n v="152020.79999999999"/>
    <n v="0"/>
    <n v="0"/>
    <n v="356"/>
    <n v="2254975.1999999997"/>
    <n v="403159.66386554623"/>
    <n v="18"/>
    <n v="332"/>
    <n v="14.4"/>
    <n v="0"/>
    <m/>
    <n v="2102954.4"/>
    <n v="100555.2"/>
    <n v="0"/>
    <n v="332"/>
    <n v="2102954.4"/>
    <n v="241895.79831932773"/>
  </r>
  <r>
    <s v="Simplit-Cristalería y Bar"/>
    <x v="6"/>
    <x v="24"/>
    <x v="59"/>
    <s v="SIMCOPVINOND"/>
    <x v="604"/>
    <x v="448"/>
    <x v="0"/>
    <x v="4"/>
    <n v="1"/>
    <x v="31"/>
    <n v="0"/>
    <m/>
    <n v="0"/>
    <n v="6844.8"/>
    <n v="0"/>
    <n v="7.44"/>
    <n v="6844.8"/>
    <n v="17255.798319327732"/>
    <n v="14667.428571428572"/>
    <s v="Shenzhen"/>
    <x v="0"/>
    <n v="45"/>
    <m/>
    <n v="3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"/>
    <n v="0"/>
    <n v="0"/>
    <n v="0"/>
    <n v="0"/>
    <n v="0"/>
    <n v="0"/>
    <n v="0"/>
    <n v="0"/>
    <n v="0"/>
    <n v="0"/>
    <n v="0"/>
    <n v="0"/>
    <n v="0"/>
    <n v="40"/>
    <n v="0"/>
    <n v="0"/>
    <m/>
    <n v="0"/>
    <n v="0"/>
    <n v="0"/>
    <n v="0"/>
    <n v="0"/>
    <n v="0"/>
    <n v="0"/>
    <n v="0"/>
    <n v="0"/>
    <n v="80"/>
    <n v="0"/>
    <n v="0"/>
    <n v="0"/>
    <n v="0"/>
    <n v="0"/>
    <n v="0"/>
    <n v="0"/>
    <n v="0"/>
    <n v="0"/>
    <n v="0"/>
    <n v="0"/>
    <n v="24"/>
    <n v="0"/>
    <n v="24"/>
    <n v="300"/>
    <m/>
    <n v="0"/>
    <n v="164275.20000000001"/>
    <n v="0"/>
    <n v="0"/>
    <n v="0"/>
    <n v="414139.15966386558"/>
  </r>
  <r>
    <s v="Simplit-Cristalería y Bar"/>
    <x v="6"/>
    <x v="24"/>
    <x v="59"/>
    <s v="SIMCOPVINPIAM"/>
    <x v="605"/>
    <x v="449"/>
    <x v="0"/>
    <x v="3"/>
    <n v="1.2"/>
    <x v="379"/>
    <n v="19"/>
    <m/>
    <n v="0"/>
    <n v="7188"/>
    <n v="136572"/>
    <n v="6.28"/>
    <n v="6860.9"/>
    <n v="16798.319327731093"/>
    <n v="15117.64705882353"/>
    <s v="Shenzhen"/>
    <x v="0"/>
    <n v="30"/>
    <m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4"/>
    <n v="0.58454651656061352"/>
    <n v="52"/>
    <n v="0.60930810887311038"/>
    <n v="35"/>
    <n v="0.32549985472941029"/>
    <n v="33"/>
    <n v="0.3230362474268062"/>
    <n v="53"/>
    <n v="0.39358503396153899"/>
    <n v="57"/>
    <n v="0.40506165214864009"/>
    <n v="0.95"/>
    <n v="59"/>
    <n v="0.54095710994184709"/>
    <n v="1.84375"/>
    <n v="99"/>
    <n v="0.43521370011407184"/>
    <n v="1.7068965517241379"/>
    <n v="83"/>
    <n v="0.54385877127453197"/>
    <n v="1.5961538461538463"/>
    <n v="46"/>
    <n v="0.33200465497963833"/>
    <n v="1.1219512195121952"/>
    <n v="14"/>
    <n v="0.240612813548615"/>
    <n v="0.31818181818181818"/>
    <m/>
    <m/>
    <m/>
    <m/>
    <m/>
    <m/>
    <m/>
    <m/>
    <m/>
    <n v="50"/>
    <n v="219"/>
    <n v="20"/>
    <n v="300"/>
    <n v="200"/>
    <n v="0"/>
    <n v="880530"/>
    <n v="1423456.2"/>
    <n v="143760"/>
    <n v="0"/>
    <n v="19"/>
    <n v="136572"/>
    <n v="282324.69458371587"/>
    <n v="40"/>
    <n v="473"/>
    <n v="49.5"/>
    <n v="0"/>
    <n v="0"/>
    <n v="0"/>
    <n v="1146486"/>
    <n v="3074405.3999999994"/>
    <n v="355806"/>
    <n v="0"/>
    <n v="19"/>
    <n v="136572"/>
    <n v="698753.61909469671"/>
    <n v="60"/>
    <n v="414"/>
    <n v="53"/>
    <n v="0"/>
    <n v="0"/>
    <n v="1040272.32"/>
    <n v="2975832"/>
    <n v="380964"/>
    <n v="0"/>
    <n v="19"/>
    <n v="136572"/>
    <n v="890310.92436974798"/>
    <n v="60"/>
    <n v="388"/>
    <n v="57"/>
    <n v="0"/>
    <n v="0"/>
    <n v="2521922.4"/>
    <n v="409716"/>
    <x v="0"/>
    <x v="0"/>
    <n v="19"/>
    <n v="136572"/>
    <n v="957504.20168067235"/>
    <n v="32"/>
    <n v="78"/>
    <n v="38.4"/>
    <m/>
    <n v="0"/>
    <n v="0"/>
    <n v="560664"/>
    <n v="249592.31999999995"/>
    <x v="0"/>
    <n v="0"/>
    <n v="19"/>
    <n v="136572"/>
    <n v="645055.46218487399"/>
    <n v="58"/>
    <n v="118"/>
    <n v="99"/>
    <m/>
    <n v="0"/>
    <n v="0"/>
    <n v="848184"/>
    <n v="643480.19999999995"/>
    <n v="0"/>
    <n v="0"/>
    <n v="118"/>
    <n v="136572"/>
    <n v="1663033.6134453781"/>
    <n v="52"/>
    <n v="102"/>
    <n v="83"/>
    <n v="0"/>
    <n v="0"/>
    <n v="0"/>
    <n v="733176"/>
    <n v="539483.39999999991"/>
    <n v="0"/>
    <n v="0"/>
    <n v="102"/>
    <n v="136572"/>
    <n v="1394260.5042016807"/>
    <n v="41"/>
    <n v="65"/>
    <n v="47"/>
    <n v="0"/>
    <n v="0"/>
    <n v="0"/>
    <n v="467220"/>
    <n v="305490.59999999998"/>
    <n v="0"/>
    <n v="0"/>
    <n v="65"/>
    <n v="467220"/>
    <n v="789521.00840336131"/>
    <n v="44"/>
    <n v="33"/>
    <n v="18"/>
    <n v="0"/>
    <n v="0"/>
    <n v="0"/>
    <n v="214493.39999999997"/>
    <n v="116996.4"/>
    <n v="0"/>
    <n v="0"/>
    <n v="19"/>
    <n v="136572"/>
    <n v="302369.74789915967"/>
    <n v="60"/>
    <n v="15"/>
    <n v="15"/>
    <n v="0"/>
    <n v="0"/>
    <n v="0"/>
    <n v="0"/>
    <n v="97496.999999999985"/>
    <n v="97496.999999999985"/>
    <n v="0"/>
    <n v="0"/>
    <n v="15"/>
    <n v="97496.999999999985"/>
    <n v="226764.70588235295"/>
    <n v="50"/>
    <n v="0"/>
    <n v="0"/>
    <m/>
    <n v="0"/>
    <n v="0"/>
    <n v="0"/>
    <n v="0"/>
    <n v="0"/>
    <n v="0"/>
    <n v="0"/>
    <n v="0"/>
    <n v="0"/>
    <n v="80"/>
    <n v="0"/>
    <n v="0"/>
    <n v="0"/>
    <n v="0"/>
    <n v="0"/>
    <n v="0"/>
    <n v="0"/>
    <n v="0"/>
    <n v="0"/>
    <n v="0"/>
    <n v="0"/>
    <n v="30"/>
    <n v="0"/>
    <n v="36"/>
    <n v="300"/>
    <m/>
    <n v="0"/>
    <n v="258768"/>
    <n v="0"/>
    <n v="0"/>
    <n v="0"/>
    <n v="604739.49579831935"/>
  </r>
  <r>
    <m/>
    <x v="6"/>
    <x v="24"/>
    <x v="59"/>
    <s v="SIMVASCORGINE"/>
    <x v="606"/>
    <x v="450"/>
    <x v="0"/>
    <x v="3"/>
    <n v="1"/>
    <x v="380"/>
    <n v="167"/>
    <m/>
    <n v="0"/>
    <n v="3146"/>
    <n v="525382"/>
    <n v="2.46"/>
    <n v="2687.5499999999997"/>
    <n v="8394.957983193277"/>
    <n v="7134.453781512605"/>
    <s v="Shenzhen"/>
    <x v="0"/>
    <n v="30"/>
    <m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5"/>
    <n v="0.63522716057505679"/>
    <n v="18"/>
    <n v="0.59429693502945447"/>
    <n v="25"/>
    <n v="0.62831441442572367"/>
    <n v="22"/>
    <n v="0.35357267072749582"/>
    <n v="74"/>
    <n v="0.40959577188020657"/>
    <n v="47"/>
    <n v="0.41776846107343141"/>
    <n v="0.78333333333333333"/>
    <n v="45"/>
    <n v="0.62465312695569619"/>
    <n v="1.125"/>
    <n v="54"/>
    <n v="0.46096364317042904"/>
    <n v="0.72"/>
    <n v="51"/>
    <n v="0.59619389241637111"/>
    <n v="1.1333333333333333"/>
    <n v="51"/>
    <n v="0.48053437495652446"/>
    <n v="1.2749999999999999"/>
    <n v="22"/>
    <n v="0.35164223769833686"/>
    <n v="0.48888888888888887"/>
    <m/>
    <m/>
    <m/>
    <m/>
    <m/>
    <m/>
    <m/>
    <m/>
    <m/>
    <n v="50"/>
    <n v="273"/>
    <n v="35"/>
    <n v="300"/>
    <n v="200"/>
    <n v="0"/>
    <n v="446732"/>
    <n v="695085.29999999993"/>
    <n v="110110"/>
    <n v="0"/>
    <n v="167"/>
    <n v="525382"/>
    <n v="246910.52891744935"/>
    <n v="40"/>
    <n v="552"/>
    <n v="33"/>
    <n v="0"/>
    <n v="0"/>
    <n v="0"/>
    <n v="484484"/>
    <n v="1405447.2"/>
    <n v="103818"/>
    <n v="0"/>
    <n v="167"/>
    <n v="525382"/>
    <n v="232801.35583645222"/>
    <n v="60"/>
    <n v="498"/>
    <n v="74"/>
    <n v="0"/>
    <n v="0"/>
    <n v="482510"/>
    <n v="1566708"/>
    <n v="232804"/>
    <n v="0"/>
    <n v="167"/>
    <n v="525382"/>
    <n v="621226.89075630251"/>
    <n v="60"/>
    <n v="448"/>
    <n v="47"/>
    <n v="0"/>
    <n v="0"/>
    <n v="1140652.8"/>
    <n v="147862"/>
    <x v="0"/>
    <x v="0"/>
    <n v="167"/>
    <n v="525382"/>
    <n v="394563.02521008404"/>
    <n v="40"/>
    <n v="212"/>
    <n v="40"/>
    <m/>
    <n v="0"/>
    <n v="0"/>
    <n v="666952"/>
    <n v="101844"/>
    <x v="0"/>
    <n v="0"/>
    <n v="167"/>
    <n v="525382"/>
    <n v="335798.31932773109"/>
    <n v="75"/>
    <n v="221"/>
    <n v="54"/>
    <m/>
    <n v="0"/>
    <n v="0"/>
    <n v="695266"/>
    <n v="137489.4"/>
    <n v="0"/>
    <n v="0"/>
    <n v="221"/>
    <n v="525382"/>
    <n v="453327.73109243694"/>
    <n v="45"/>
    <n v="218"/>
    <n v="51"/>
    <n v="0"/>
    <n v="0"/>
    <n v="0"/>
    <n v="685828"/>
    <n v="129851.09999999999"/>
    <n v="0"/>
    <n v="0"/>
    <n v="218"/>
    <n v="525382"/>
    <n v="428142.8571428571"/>
    <n v="40"/>
    <n v="218"/>
    <n v="52"/>
    <n v="0"/>
    <n v="0"/>
    <n v="0"/>
    <n v="685828"/>
    <n v="132397.19999999998"/>
    <n v="0"/>
    <n v="0"/>
    <n v="218"/>
    <n v="685828"/>
    <n v="436537.81512605038"/>
    <n v="45"/>
    <n v="189"/>
    <n v="21"/>
    <n v="0"/>
    <n v="0"/>
    <n v="0"/>
    <n v="481212.89999999997"/>
    <n v="53468.1"/>
    <n v="0"/>
    <n v="0"/>
    <n v="167"/>
    <n v="525382"/>
    <n v="176294.11764705883"/>
    <n v="80"/>
    <n v="168"/>
    <n v="80"/>
    <n v="0"/>
    <n v="0"/>
    <n v="0"/>
    <m/>
    <n v="427744.8"/>
    <n v="203688"/>
    <n v="0"/>
    <n v="0"/>
    <n v="168"/>
    <n v="427744.8"/>
    <n v="570756.30252100842"/>
    <n v="60"/>
    <n v="88"/>
    <n v="60"/>
    <m/>
    <n v="0"/>
    <n v="0"/>
    <n v="224056.8"/>
    <n v="152766"/>
    <n v="0"/>
    <n v="0"/>
    <n v="88"/>
    <n v="224056.8"/>
    <n v="428067.22689075628"/>
    <n v="130"/>
    <n v="28"/>
    <n v="130"/>
    <n v="300"/>
    <n v="300"/>
    <n v="71290.8"/>
    <n v="330993"/>
    <n v="763830"/>
    <n v="763830"/>
    <n v="328"/>
    <n v="835120.8"/>
    <n v="1091344.5378151259"/>
    <n v="36"/>
    <n v="198"/>
    <n v="36"/>
    <n v="0"/>
    <m/>
    <n v="504127.8"/>
    <n v="113256"/>
    <n v="0"/>
    <n v="198"/>
    <n v="504127.8"/>
    <n v="302218.48739495798"/>
  </r>
  <r>
    <s v="Simplit-Cristalería y Bar"/>
    <x v="6"/>
    <x v="24"/>
    <x v="59"/>
    <s v="SIMVASHAM-335"/>
    <x v="607"/>
    <x v="451"/>
    <x v="0"/>
    <x v="4"/>
    <n v="1"/>
    <x v="31"/>
    <n v="0"/>
    <m/>
    <n v="0"/>
    <n v="5667.2"/>
    <n v="0"/>
    <n v="6.16"/>
    <n v="5667.2"/>
    <n v="14287.058823529411"/>
    <n v="12143.999999999998"/>
    <s v="Shenzhen"/>
    <x v="0"/>
    <n v="45"/>
    <m/>
    <n v="3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n v="0"/>
    <n v="0"/>
    <n v="0"/>
    <n v="0"/>
    <n v="0"/>
    <n v="0"/>
    <n v="0"/>
    <n v="0"/>
    <n v="0"/>
    <n v="0"/>
    <n v="0"/>
    <n v="40"/>
    <n v="0"/>
    <n v="0"/>
    <m/>
    <n v="0"/>
    <n v="0"/>
    <n v="0"/>
    <n v="0"/>
    <n v="0"/>
    <n v="0"/>
    <n v="0"/>
    <n v="0"/>
    <n v="0"/>
    <n v="60"/>
    <n v="0"/>
    <n v="0"/>
    <n v="0"/>
    <n v="0"/>
    <n v="0"/>
    <n v="0"/>
    <n v="0"/>
    <n v="0"/>
    <n v="0"/>
    <n v="0"/>
    <n v="0"/>
    <n v="24"/>
    <n v="0"/>
    <n v="24"/>
    <n v="300"/>
    <m/>
    <n v="0"/>
    <n v="136012.79999999999"/>
    <n v="0"/>
    <n v="0"/>
    <n v="0"/>
    <n v="342889.41176470584"/>
  </r>
  <r>
    <m/>
    <x v="6"/>
    <x v="24"/>
    <x v="59"/>
    <s v="SIMVASHAM-510"/>
    <x v="608"/>
    <x v="452"/>
    <x v="0"/>
    <x v="4"/>
    <n v="1"/>
    <x v="31"/>
    <n v="0"/>
    <m/>
    <n v="0"/>
    <n v="5906.4"/>
    <n v="0"/>
    <n v="6.42"/>
    <n v="5906.4"/>
    <n v="14890.084033613444"/>
    <n v="12656.571428571428"/>
    <s v="Shenzhen"/>
    <x v="0"/>
    <n v="45"/>
    <m/>
    <n v="3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n v="0"/>
    <n v="0"/>
    <n v="0"/>
    <n v="0"/>
    <n v="0"/>
    <n v="0"/>
    <n v="0"/>
    <n v="0"/>
    <n v="0"/>
    <n v="0"/>
    <n v="0"/>
    <n v="40"/>
    <n v="0"/>
    <n v="0"/>
    <m/>
    <n v="0"/>
    <n v="0"/>
    <n v="0"/>
    <n v="0"/>
    <n v="0"/>
    <n v="0"/>
    <n v="0"/>
    <n v="0"/>
    <n v="0"/>
    <n v="60"/>
    <n v="0"/>
    <n v="0"/>
    <n v="0"/>
    <n v="0"/>
    <n v="0"/>
    <n v="0"/>
    <n v="0"/>
    <n v="0"/>
    <n v="0"/>
    <n v="0"/>
    <n v="0"/>
    <n v="24"/>
    <n v="0"/>
    <n v="24"/>
    <n v="300"/>
    <m/>
    <n v="0"/>
    <n v="141753.59999999998"/>
    <n v="0"/>
    <n v="0"/>
    <n v="0"/>
    <n v="357362.01680672268"/>
  </r>
  <r>
    <s v="Simplit-Cristalería y Bar"/>
    <x v="6"/>
    <x v="24"/>
    <x v="59"/>
    <s v="SIMVASLARGINE"/>
    <x v="609"/>
    <x v="453"/>
    <x v="0"/>
    <x v="1"/>
    <n v="1"/>
    <x v="381"/>
    <n v="452"/>
    <m/>
    <n v="0"/>
    <n v="4852"/>
    <n v="2193104"/>
    <n v="3.19"/>
    <n v="3485.0749999999998"/>
    <n v="10915.966386554623"/>
    <n v="10075.63025210084"/>
    <s v="Shenzhen"/>
    <x v="0"/>
    <n v="30"/>
    <m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8"/>
    <n v="0.66080680812984871"/>
    <n v="42"/>
    <n v="0.63952398709021618"/>
    <n v="93"/>
    <n v="0.5618109808012246"/>
    <n v="89"/>
    <n v="0.38423439632443973"/>
    <n v="116"/>
    <n v="0.40275264023468915"/>
    <n v="106"/>
    <n v="0.43938756347089525"/>
    <n v="1.06"/>
    <n v="73"/>
    <n v="0.65317561198208196"/>
    <n v="0.91249999999999998"/>
    <n v="9"/>
    <n v="0.41739049282509677"/>
    <n v="0.06"/>
    <n v="38"/>
    <n v="0.64976863212507885"/>
    <n v="0.54285714285714282"/>
    <n v="79"/>
    <n v="0.41634263484911904"/>
    <n v="1.3166666666666667"/>
    <n v="65"/>
    <n v="0.38099895856533955"/>
    <n v="0.8125"/>
    <m/>
    <m/>
    <m/>
    <m/>
    <m/>
    <m/>
    <m/>
    <m/>
    <m/>
    <n v="50"/>
    <n v="215"/>
    <n v="120"/>
    <n v="300"/>
    <n v="200"/>
    <n v="0"/>
    <n v="1792814"/>
    <n v="709854.74999999988"/>
    <n v="582240"/>
    <n v="0"/>
    <n v="452"/>
    <n v="2193104"/>
    <n v="1100769.7196525671"/>
    <n v="90"/>
    <n v="410"/>
    <n v="133.5"/>
    <n v="0"/>
    <n v="0"/>
    <n v="0"/>
    <n v="1724886"/>
    <n v="1353676.4999999998"/>
    <n v="647742"/>
    <n v="0"/>
    <n v="452"/>
    <n v="2193104"/>
    <n v="1224606.3131134808"/>
    <n v="120"/>
    <n v="246"/>
    <n v="116"/>
    <n v="0"/>
    <n v="0"/>
    <n v="1341276"/>
    <n v="1193592"/>
    <n v="562832"/>
    <n v="0"/>
    <n v="452"/>
    <n v="2193104"/>
    <n v="1266252.1008403362"/>
    <n v="100"/>
    <n v="198"/>
    <n v="106"/>
    <n v="0"/>
    <n v="0"/>
    <n v="653726.69999999995"/>
    <n v="514312"/>
    <x v="0"/>
    <x v="0"/>
    <n v="452"/>
    <n v="2193104"/>
    <n v="1157092.4369747899"/>
    <n v="80"/>
    <n v="525"/>
    <n v="80"/>
    <m/>
    <n v="0"/>
    <n v="0"/>
    <n v="2547300"/>
    <n v="264132"/>
    <x v="0"/>
    <n v="0"/>
    <n v="452"/>
    <n v="2193104"/>
    <n v="873277.31092436984"/>
    <n v="150"/>
    <n v="461"/>
    <n v="9"/>
    <m/>
    <n v="0"/>
    <n v="0"/>
    <n v="2236772"/>
    <n v="29714.85"/>
    <n v="0"/>
    <n v="0"/>
    <n v="461"/>
    <n v="2193104"/>
    <n v="98243.697478991598"/>
    <n v="70"/>
    <n v="490"/>
    <n v="38"/>
    <n v="300"/>
    <n v="300"/>
    <n v="0"/>
    <n v="2377480"/>
    <n v="125462.69999999998"/>
    <n v="957478.49999999977"/>
    <n v="0"/>
    <n v="490"/>
    <n v="2193104"/>
    <n v="414806.72268907569"/>
    <n v="60"/>
    <n v="531"/>
    <n v="81"/>
    <n v="0"/>
    <n v="0"/>
    <n v="0"/>
    <n v="2576412"/>
    <n v="267433.64999999997"/>
    <n v="0"/>
    <n v="0"/>
    <n v="531"/>
    <n v="2576412"/>
    <n v="884193.27731092449"/>
    <n v="80"/>
    <n v="517"/>
    <n v="69"/>
    <n v="300"/>
    <n v="300"/>
    <n v="0"/>
    <n v="1706953.0499999998"/>
    <n v="227813.84999999998"/>
    <n v="990494.99999999988"/>
    <n v="0"/>
    <n v="452"/>
    <n v="2193104"/>
    <n v="753201.68067226897"/>
    <n v="120"/>
    <n v="448"/>
    <n v="120"/>
    <n v="0"/>
    <n v="0"/>
    <n v="0"/>
    <n v="300"/>
    <n v="1479139.1999999997"/>
    <n v="396197.99999999994"/>
    <n v="0"/>
    <n v="0"/>
    <n v="448"/>
    <n v="1479139.1999999997"/>
    <n v="1209075.6302521008"/>
    <n v="80"/>
    <n v="328"/>
    <n v="80"/>
    <m/>
    <n v="0"/>
    <n v="0"/>
    <n v="1082941.2"/>
    <n v="264132"/>
    <n v="0"/>
    <n v="0"/>
    <n v="328"/>
    <n v="1082941.2"/>
    <n v="806050.42016806721"/>
    <n v="150"/>
    <n v="248"/>
    <n v="150"/>
    <n v="0"/>
    <n v="0"/>
    <n v="818809.2"/>
    <n v="495247.49999999994"/>
    <n v="0"/>
    <n v="0"/>
    <n v="248"/>
    <n v="818809.2"/>
    <n v="1637394.9579831935"/>
    <n v="48"/>
    <n v="98"/>
    <n v="48"/>
    <n v="0"/>
    <m/>
    <n v="323561.69999999995"/>
    <n v="232896"/>
    <n v="0"/>
    <n v="98"/>
    <n v="323561.69999999995"/>
    <n v="523966.38655462186"/>
  </r>
  <r>
    <m/>
    <x v="6"/>
    <x v="24"/>
    <x v="59"/>
    <s v="SIMVASOND-332"/>
    <x v="610"/>
    <x v="454"/>
    <x v="0"/>
    <x v="4"/>
    <n v="1"/>
    <x v="31"/>
    <n v="0"/>
    <m/>
    <n v="0"/>
    <n v="5575.2"/>
    <n v="0"/>
    <n v="6.06"/>
    <n v="5575.2"/>
    <n v="14055.126050420167"/>
    <n v="11946.857142857141"/>
    <s v="Shenzhen"/>
    <x v="0"/>
    <n v="45"/>
    <m/>
    <n v="3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n v="0"/>
    <n v="0"/>
    <n v="0"/>
    <n v="0"/>
    <n v="0"/>
    <n v="0"/>
    <n v="0"/>
    <n v="0"/>
    <n v="0"/>
    <n v="0"/>
    <n v="0"/>
    <n v="40"/>
    <n v="0"/>
    <n v="0"/>
    <m/>
    <n v="0"/>
    <n v="0"/>
    <n v="0"/>
    <n v="0"/>
    <n v="0"/>
    <n v="0"/>
    <n v="0"/>
    <n v="0"/>
    <n v="0"/>
    <n v="60"/>
    <n v="0"/>
    <n v="0"/>
    <n v="0"/>
    <n v="0"/>
    <n v="0"/>
    <n v="0"/>
    <n v="0"/>
    <n v="0"/>
    <n v="0"/>
    <n v="0"/>
    <n v="0"/>
    <n v="24"/>
    <n v="0"/>
    <n v="24"/>
    <n v="300"/>
    <m/>
    <n v="0"/>
    <n v="133804.79999999999"/>
    <n v="0"/>
    <n v="0"/>
    <n v="0"/>
    <n v="337323.02521008404"/>
  </r>
  <r>
    <s v="Simplit-Cristalería y Bar"/>
    <x v="6"/>
    <x v="24"/>
    <x v="59"/>
    <s v="SMVABOR4"/>
    <x v="611"/>
    <x v="455"/>
    <x v="0"/>
    <x v="0"/>
    <n v="1"/>
    <x v="31"/>
    <n v="448"/>
    <m/>
    <m/>
    <n v="3360"/>
    <n v="1505280"/>
    <n v="2.2000000000000002"/>
    <m/>
    <n v="14990"/>
    <n v="12741.5"/>
    <s v="Shenzhen"/>
    <x v="4"/>
    <n v="30"/>
    <m/>
    <n v="50"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n v="0"/>
    <s v=""/>
    <n v="0"/>
    <n v="0"/>
    <s v=""/>
    <n v="0"/>
    <n v="0"/>
    <s v=""/>
    <n v="0"/>
    <n v="0"/>
    <s v=""/>
    <n v="0"/>
    <n v="2"/>
    <s v=""/>
    <n v="0.05"/>
    <n v="16"/>
    <s v=""/>
    <n v="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n v="0"/>
    <n v="40"/>
    <n v="309"/>
    <n v="0"/>
    <m/>
    <n v="0"/>
    <m/>
    <m/>
    <x v="22"/>
    <x v="1"/>
    <n v="448"/>
    <n v="1505280"/>
    <n v="0"/>
    <n v="40"/>
    <n v="448"/>
    <n v="40"/>
    <m/>
    <m/>
    <n v="0"/>
    <n v="1505280"/>
    <n v="91080"/>
    <x v="0"/>
    <m/>
    <n v="448"/>
    <n v="1505280"/>
    <n v="599600"/>
    <n v="40"/>
    <n v="448"/>
    <n v="0"/>
    <m/>
    <m/>
    <n v="0"/>
    <n v="1505280"/>
    <n v="0"/>
    <m/>
    <n v="0"/>
    <n v="448"/>
    <n v="1505280"/>
    <n v="0"/>
    <n v="40"/>
    <n v="448"/>
    <n v="0"/>
    <n v="0"/>
    <n v="0"/>
    <n v="0"/>
    <n v="1505280"/>
    <n v="0"/>
    <n v="0"/>
    <n v="0"/>
    <n v="448"/>
    <n v="1505280"/>
    <m/>
    <n v="40"/>
    <n v="450"/>
    <n v="2"/>
    <m/>
    <m/>
    <n v="0"/>
    <n v="1512000"/>
    <n v="4554"/>
    <m/>
    <n v="0"/>
    <n v="450"/>
    <n v="1512000"/>
    <m/>
    <n v="40"/>
    <n v="464"/>
    <n v="24"/>
    <n v="100"/>
    <n v="100"/>
    <n v="0"/>
    <m/>
    <n v="54648"/>
    <n v="227700"/>
    <n v="0"/>
    <n v="448"/>
    <n v="1505280"/>
    <m/>
    <n v="40"/>
    <n v="440"/>
    <n v="40"/>
    <n v="0"/>
    <n v="0"/>
    <n v="0"/>
    <n v="100"/>
    <n v="1001880"/>
    <n v="91080"/>
    <n v="0"/>
    <n v="0"/>
    <n v="440"/>
    <n v="1001880"/>
    <n v="509660"/>
    <n v="40"/>
    <n v="400"/>
    <n v="40"/>
    <m/>
    <n v="0"/>
    <n v="100"/>
    <n v="910800"/>
    <n v="91080"/>
    <n v="0"/>
    <n v="227700"/>
    <n v="500"/>
    <n v="1138500"/>
    <n v="509660"/>
    <n v="40"/>
    <n v="460"/>
    <n v="40"/>
    <n v="0"/>
    <n v="0"/>
    <n v="1047420"/>
    <n v="91080"/>
    <n v="0"/>
    <n v="0"/>
    <n v="460"/>
    <n v="1047420"/>
    <n v="599600"/>
    <n v="24"/>
    <m/>
    <n v="24"/>
    <n v="0"/>
    <m/>
    <n v="0"/>
    <n v="80640"/>
    <n v="0"/>
    <n v="0"/>
    <n v="0"/>
    <n v="359760"/>
  </r>
  <r>
    <m/>
    <x v="6"/>
    <x v="25"/>
    <x v="60"/>
    <n v="1660859171584"/>
    <x v="612"/>
    <x v="456"/>
    <x v="0"/>
    <x v="1"/>
    <n v="1"/>
    <x v="31"/>
    <n v="542"/>
    <m/>
    <n v="0"/>
    <n v="13720"/>
    <n v="7436240"/>
    <n v="14.350000000000001"/>
    <n v="15677.375"/>
    <n v="27722.689075630253"/>
    <n v="29403.361344537818"/>
    <s v="Shenzhen"/>
    <x v="2"/>
    <n v="30"/>
    <m/>
    <n v="200"/>
    <n v="234"/>
    <n v="0.47732784573646597"/>
    <n v="179"/>
    <n v="0.49913557725569602"/>
    <n v="258"/>
    <n v="0.48193111092421503"/>
    <n v="118"/>
    <n v="0.5259204996304373"/>
    <n v="15"/>
    <n v="0.50834522577825569"/>
    <n v="157"/>
    <n v="0.47166749577614286"/>
    <n v="366"/>
    <n v="0.48238694240464192"/>
    <n v="201"/>
    <n v="0.51717094936813823"/>
    <n v="133"/>
    <n v="0.54039216309614035"/>
    <n v="282"/>
    <n v="0.42381095253376883"/>
    <n v="115"/>
    <n v="0.43341443516443368"/>
    <n v="207"/>
    <n v="0.45423728730516783"/>
    <n v="103"/>
    <n v="0.30231031983671758"/>
    <n v="109"/>
    <n v="0.30911339634941276"/>
    <n v="342"/>
    <n v="0.32243636200702114"/>
    <n v="313"/>
    <n v="0.37577254478334632"/>
    <n v="1.252"/>
    <n v="321"/>
    <n v="0.54544774550642738"/>
    <n v="1.07"/>
    <n v="344"/>
    <n v="0.32688049333224012"/>
    <n v="1.1466666666666667"/>
    <n v="0"/>
    <s v=""/>
    <n v="0"/>
    <n v="3"/>
    <n v="0.18725471510545072"/>
    <n v="0.21428571428571427"/>
    <n v="21"/>
    <n v="0.32672306980150445"/>
    <n v="0.105"/>
    <m/>
    <m/>
    <m/>
    <m/>
    <m/>
    <m/>
    <m/>
    <m/>
    <m/>
    <n v="250"/>
    <n v="779"/>
    <n v="90"/>
    <n v="0"/>
    <n v="0"/>
    <n v="0"/>
    <n v="8170260"/>
    <n v="11569902.750000002"/>
    <n v="1234800"/>
    <n v="0"/>
    <n v="542"/>
    <n v="7436240"/>
    <n v="2096673.9637031285"/>
    <n v="150"/>
    <n v="684"/>
    <n v="163.5"/>
    <n v="500"/>
    <n v="150"/>
    <n v="0"/>
    <n v="11229820"/>
    <n v="10158939.000000002"/>
    <n v="2243220"/>
    <n v="0"/>
    <n v="542"/>
    <n v="7436240"/>
    <n v="3808957.7007273501"/>
    <n v="220"/>
    <n v="558"/>
    <n v="342"/>
    <n v="0"/>
    <n v="0"/>
    <n v="13442275"/>
    <n v="7655760"/>
    <n v="4692240"/>
    <n v="0"/>
    <n v="542"/>
    <n v="7436240"/>
    <n v="9481159.6638655458"/>
    <n v="250"/>
    <n v="1076"/>
    <n v="313"/>
    <n v="400"/>
    <n v="0"/>
    <n v="15981021.000000002"/>
    <n v="4294360"/>
    <x v="70"/>
    <x v="0"/>
    <n v="542"/>
    <n v="7436240"/>
    <n v="8677201.6806722693"/>
    <n v="300"/>
    <n v="863"/>
    <n v="300"/>
    <m/>
    <n v="408"/>
    <n v="0"/>
    <n v="11840360"/>
    <n v="4455675.0000000009"/>
    <x v="0"/>
    <n v="0"/>
    <n v="542"/>
    <n v="7436240"/>
    <n v="8316806.7226890754"/>
    <n v="300"/>
    <n v="886"/>
    <n v="344"/>
    <m/>
    <n v="0"/>
    <n v="0"/>
    <n v="12155920"/>
    <n v="5109174.0000000009"/>
    <n v="0"/>
    <n v="0"/>
    <n v="886"/>
    <n v="7436240"/>
    <n v="9536605.0420168061"/>
    <n v="115"/>
    <n v="542"/>
    <n v="0"/>
    <n v="0"/>
    <n v="0"/>
    <n v="0"/>
    <n v="7436240"/>
    <n v="0"/>
    <n v="0"/>
    <n v="0"/>
    <n v="542"/>
    <n v="7436240"/>
    <n v="0"/>
    <n v="14"/>
    <n v="545"/>
    <n v="3"/>
    <n v="200"/>
    <n v="200"/>
    <n v="0"/>
    <n v="7477400"/>
    <n v="44556.750000000007"/>
    <n v="2970450.0000000005"/>
    <n v="0"/>
    <n v="545"/>
    <n v="7477400"/>
    <n v="83168.067226890766"/>
    <n v="200"/>
    <n v="563"/>
    <n v="16.5"/>
    <n v="400"/>
    <n v="400"/>
    <n v="0"/>
    <n v="8361816.7500000009"/>
    <n v="245062.12500000003"/>
    <n v="5940900.0000000009"/>
    <n v="0"/>
    <n v="542"/>
    <n v="7436240"/>
    <n v="457424.36974789918"/>
    <n v="300"/>
    <n v="546.5"/>
    <n v="300"/>
    <n v="400"/>
    <n v="400"/>
    <n v="0"/>
    <n v="0"/>
    <n v="8116754.6250000009"/>
    <n v="4455675.0000000009"/>
    <n v="5940900.0000000009"/>
    <n v="0"/>
    <n v="546.5"/>
    <n v="8116754.6250000009"/>
    <n v="8821008.4033613447"/>
    <n v="250"/>
    <n v="246.5"/>
    <n v="250"/>
    <m/>
    <n v="0"/>
    <n v="204"/>
    <n v="3661079.6250000005"/>
    <n v="3713062.5000000005"/>
    <n v="0"/>
    <n v="3029859.0000000005"/>
    <n v="450.5"/>
    <n v="6690938.6250000009"/>
    <n v="7247928.5714285718"/>
    <n v="300"/>
    <n v="200.5"/>
    <n v="300"/>
    <n v="300"/>
    <n v="300"/>
    <n v="2977876.1250000005"/>
    <n v="4455675.0000000009"/>
    <n v="4455675.0000000009"/>
    <n v="4455675.0000000009"/>
    <n v="500.5"/>
    <n v="7433551.1250000019"/>
    <n v="8316806.7226890754"/>
    <n v="150"/>
    <n v="200.5"/>
    <n v="150"/>
    <n v="0"/>
    <m/>
    <n v="2977876.1250000005"/>
    <n v="2058000"/>
    <n v="0"/>
    <n v="200.5"/>
    <n v="2977876.1250000005"/>
    <n v="4158403.3613445377"/>
  </r>
  <r>
    <m/>
    <x v="6"/>
    <x v="25"/>
    <x v="60"/>
    <n v="68432930518995"/>
    <x v="613"/>
    <x v="457"/>
    <x v="0"/>
    <x v="1"/>
    <n v="1"/>
    <x v="31"/>
    <n v="347"/>
    <m/>
    <n v="0"/>
    <n v="13751"/>
    <n v="4771597"/>
    <n v="14.350000000000001"/>
    <n v="15677.375"/>
    <n v="27722.689075630253"/>
    <n v="25201.680672268907"/>
    <s v="Shenzhen"/>
    <x v="2"/>
    <n v="30"/>
    <m/>
    <n v="200"/>
    <n v="54"/>
    <n v="0.45954614072524164"/>
    <n v="62"/>
    <n v="0.45941462808610395"/>
    <n v="121"/>
    <n v="0.43726065073235665"/>
    <n v="124"/>
    <n v="0.4696017656783642"/>
    <n v="187"/>
    <n v="0.5024589251008843"/>
    <n v="169"/>
    <n v="0.41657370175737929"/>
    <n v="73"/>
    <n v="0.48812873555237535"/>
    <n v="103"/>
    <n v="0.5184234998508076"/>
    <n v="54"/>
    <n v="0.51914446542656856"/>
    <n v="110"/>
    <n v="0.43545370140597522"/>
    <n v="50"/>
    <n v="0.38101611759310361"/>
    <n v="96"/>
    <n v="0.4248087681341492"/>
    <n v="54"/>
    <n v="0.28655692381953474"/>
    <n v="34"/>
    <n v="0.25946924717883357"/>
    <n v="110"/>
    <n v="0.24224724772571424"/>
    <n v="85"/>
    <n v="0.33380488178327583"/>
    <n v="0.85"/>
    <n v="87"/>
    <n v="0.50696327029607036"/>
    <n v="0.72499999999999998"/>
    <n v="347"/>
    <n v="0.28625601500693465"/>
    <n v="0.99142857142857144"/>
    <n v="0"/>
    <s v=""/>
    <n v="0"/>
    <n v="111"/>
    <n v="0.31562118898339087"/>
    <n v="1.3875"/>
    <n v="40"/>
    <n v="0.28857934812084196"/>
    <n v="0.5"/>
    <m/>
    <m/>
    <m/>
    <m/>
    <m/>
    <m/>
    <m/>
    <m/>
    <m/>
    <n v="80"/>
    <n v="408"/>
    <n v="40"/>
    <n v="0"/>
    <n v="0"/>
    <n v="0"/>
    <n v="2763951"/>
    <n v="6059718.0000000009"/>
    <n v="550040"/>
    <n v="0"/>
    <n v="347"/>
    <n v="4771597"/>
    <n v="931855.09497916815"/>
    <n v="60"/>
    <n v="368"/>
    <n v="51"/>
    <n v="100"/>
    <n v="100"/>
    <n v="0"/>
    <n v="3382746"/>
    <n v="5465628.0000000009"/>
    <n v="701301"/>
    <n v="0"/>
    <n v="347"/>
    <n v="4771597"/>
    <n v="1188115.2460984394"/>
    <n v="130"/>
    <n v="320"/>
    <n v="110"/>
    <n v="0"/>
    <n v="0"/>
    <n v="4463715"/>
    <n v="4400320"/>
    <n v="1512610"/>
    <n v="0"/>
    <n v="347"/>
    <n v="4771597"/>
    <n v="3049495.7983193276"/>
    <n v="100"/>
    <n v="982"/>
    <n v="85"/>
    <n v="650"/>
    <n v="0"/>
    <n v="14584909.500000002"/>
    <n v="1168835"/>
    <x v="71"/>
    <x v="0"/>
    <n v="347"/>
    <n v="4771597"/>
    <n v="2356428.5714285714"/>
    <n v="120"/>
    <n v="434"/>
    <n v="120"/>
    <m/>
    <n v="648"/>
    <n v="0"/>
    <n v="5967934"/>
    <n v="1782270.0000000002"/>
    <x v="0"/>
    <n v="0"/>
    <n v="347"/>
    <n v="4771597"/>
    <n v="3326722.6890756302"/>
    <n v="350"/>
    <n v="694"/>
    <n v="347"/>
    <m/>
    <n v="0"/>
    <n v="0"/>
    <n v="9543194"/>
    <n v="5153730.7500000009"/>
    <n v="0"/>
    <n v="0"/>
    <n v="694"/>
    <n v="4771597"/>
    <n v="9619773.1092436984"/>
    <n v="250"/>
    <n v="347"/>
    <n v="0"/>
    <n v="0"/>
    <n v="0"/>
    <n v="0"/>
    <n v="4771597"/>
    <n v="0"/>
    <n v="0"/>
    <n v="0"/>
    <n v="347"/>
    <n v="4771597"/>
    <n v="0"/>
    <n v="80"/>
    <n v="458"/>
    <n v="114"/>
    <n v="0"/>
    <n v="0"/>
    <n v="0"/>
    <n v="6297958"/>
    <n v="1693156.5000000002"/>
    <n v="0"/>
    <n v="0"/>
    <n v="458"/>
    <n v="6297958"/>
    <n v="3160386.5546218487"/>
    <n v="80"/>
    <n v="387"/>
    <n v="45"/>
    <n v="200"/>
    <n v="200"/>
    <n v="0"/>
    <n v="5747820.7500000009"/>
    <n v="668351.25000000012"/>
    <n v="2970450.0000000005"/>
    <n v="0"/>
    <n v="347"/>
    <n v="4771597"/>
    <n v="1247521.0084033613"/>
    <n v="250"/>
    <n v="342"/>
    <n v="250"/>
    <n v="150"/>
    <n v="150"/>
    <n v="0"/>
    <n v="0"/>
    <n v="5079469.5000000009"/>
    <n v="3713062.5000000005"/>
    <n v="2227837.5000000005"/>
    <n v="0"/>
    <n v="342"/>
    <n v="5079469.5000000009"/>
    <n v="6300420.1680672271"/>
    <n v="80"/>
    <n v="92"/>
    <n v="80"/>
    <m/>
    <n v="0"/>
    <n v="156"/>
    <n v="1366407.0000000002"/>
    <n v="1188180.0000000002"/>
    <n v="0"/>
    <n v="2316951.0000000005"/>
    <n v="248"/>
    <n v="3683358.0000000009"/>
    <n v="2016134.4537815126"/>
    <n v="120"/>
    <n v="168"/>
    <n v="120"/>
    <n v="200"/>
    <n v="200"/>
    <n v="2495178.0000000005"/>
    <n v="1782270.0000000002"/>
    <n v="2970450.0000000005"/>
    <n v="2970450.0000000005"/>
    <n v="368"/>
    <n v="5465628.0000000009"/>
    <n v="3326722.6890756302"/>
    <n v="48"/>
    <n v="248"/>
    <n v="48"/>
    <n v="0"/>
    <m/>
    <n v="3683358.0000000005"/>
    <n v="660048"/>
    <n v="0"/>
    <n v="248"/>
    <n v="3683358.0000000005"/>
    <n v="1330689.0756302522"/>
  </r>
  <r>
    <m/>
    <x v="6"/>
    <x v="26"/>
    <x v="61"/>
    <n v="1628018206370"/>
    <x v="614"/>
    <x v="458"/>
    <x v="0"/>
    <x v="0"/>
    <n v="0.8"/>
    <x v="31"/>
    <n v="127"/>
    <m/>
    <n v="0"/>
    <n v="4069"/>
    <n v="516763"/>
    <n v="3.6"/>
    <n v="3932.9999999999995"/>
    <n v="12596.638655462186"/>
    <n v="12596.638655462186"/>
    <s v="Shenzhen"/>
    <x v="0"/>
    <n v="30"/>
    <m/>
    <n v="300"/>
    <n v="6"/>
    <n v="0.72260882614611899"/>
    <n v="5"/>
    <n v="0.69931504071477979"/>
    <n v="17"/>
    <n v="0.73326941733346418"/>
    <n v="17"/>
    <n v="0.66897655912257381"/>
    <n v="13"/>
    <n v="0.64382176610728614"/>
    <n v="81"/>
    <n v="0.59490361759801047"/>
    <n v="15"/>
    <n v="0.70444410671590674"/>
    <n v="32"/>
    <n v="0.67120400553291248"/>
    <n v="32"/>
    <n v="0.66134256077185893"/>
    <n v="47"/>
    <n v="0.62751871326179631"/>
    <n v="36"/>
    <n v="0.63685199314006591"/>
    <n v="21"/>
    <n v="0.68970261029389213"/>
    <n v="11"/>
    <n v="0.58221664261942652"/>
    <n v="87"/>
    <n v="0.59349814162202885"/>
    <n v="36"/>
    <n v="0.54597678074336975"/>
    <n v="12"/>
    <n v="0.56022593941322507"/>
    <n v="0.6"/>
    <n v="178"/>
    <n v="0.39483891919979214"/>
    <n v="8.9"/>
    <n v="-1"/>
    <n v="0.86521314250538617"/>
    <n v="-1.2500000000000001E-2"/>
    <n v="0"/>
    <s v=""/>
    <n v="0"/>
    <n v="1"/>
    <n v="0.50912001608097968"/>
    <n v="2.4390243902439025E-2"/>
    <n v="30"/>
    <n v="0.43640221692024467"/>
    <n v="0.8571428571428571"/>
    <m/>
    <m/>
    <m/>
    <m/>
    <m/>
    <m/>
    <m/>
    <m/>
    <m/>
    <n v="35"/>
    <n v="238"/>
    <n v="35"/>
    <n v="100"/>
    <n v="100"/>
    <n v="0"/>
    <n v="819903.5"/>
    <n v="886787.99999999988"/>
    <n v="142415"/>
    <n v="0"/>
    <n v="127"/>
    <n v="516763"/>
    <n v="370489.37221947609"/>
    <n v="25"/>
    <n v="326"/>
    <n v="130.5"/>
    <n v="0"/>
    <n v="0"/>
    <n v="0"/>
    <n v="726316.5"/>
    <n v="1214675.9999999998"/>
    <n v="531004.5"/>
    <n v="0"/>
    <n v="127"/>
    <n v="516763"/>
    <n v="1381396.0878469036"/>
    <n v="60"/>
    <n v="234"/>
    <n v="36"/>
    <n v="0"/>
    <n v="0"/>
    <n v="254928"/>
    <n v="952146"/>
    <n v="146484"/>
    <n v="0"/>
    <n v="127"/>
    <n v="516763"/>
    <n v="453478.99159663869"/>
    <n v="20"/>
    <n v="202"/>
    <n v="12"/>
    <n v="0"/>
    <n v="0"/>
    <n v="752651.99999999988"/>
    <n v="48828"/>
    <x v="0"/>
    <x v="0"/>
    <n v="127"/>
    <n v="516763"/>
    <n v="151159.66386554623"/>
    <n v="20"/>
    <n v="305"/>
    <n v="16"/>
    <m/>
    <n v="0"/>
    <n v="0"/>
    <n v="1241045"/>
    <n v="59615.999999999993"/>
    <x v="0"/>
    <n v="0"/>
    <n v="127"/>
    <n v="516763"/>
    <n v="201546.21848739497"/>
    <n v="80"/>
    <n v="126"/>
    <n v="-1"/>
    <m/>
    <n v="0"/>
    <n v="0"/>
    <n v="512694"/>
    <n v="-3725.9999999999995"/>
    <n v="0"/>
    <n v="0"/>
    <n v="126"/>
    <n v="516763"/>
    <n v="-12596.638655462186"/>
    <n v="80"/>
    <n v="127"/>
    <n v="0"/>
    <n v="0"/>
    <n v="0"/>
    <n v="0"/>
    <n v="516763"/>
    <n v="0"/>
    <n v="0"/>
    <n v="0"/>
    <n v="127"/>
    <n v="516763"/>
    <n v="0"/>
    <n v="41"/>
    <n v="128"/>
    <n v="1"/>
    <n v="150"/>
    <n v="150"/>
    <n v="0"/>
    <n v="520832"/>
    <n v="3725.9999999999995"/>
    <n v="558899.99999999988"/>
    <n v="0"/>
    <n v="128"/>
    <n v="520832"/>
    <n v="12596.638655462186"/>
    <n v="35"/>
    <n v="157"/>
    <n v="21"/>
    <n v="100"/>
    <n v="100"/>
    <n v="0"/>
    <n v="584981.99999999988"/>
    <n v="78245.999999999985"/>
    <n v="372599.99999999994"/>
    <n v="0"/>
    <n v="127"/>
    <n v="516763"/>
    <n v="264529.4117647059"/>
    <n v="60"/>
    <n v="136"/>
    <n v="48"/>
    <n v="0"/>
    <n v="0"/>
    <n v="0"/>
    <n v="0"/>
    <n v="506735.99999999994"/>
    <n v="178847.99999999997"/>
    <n v="0"/>
    <n v="0"/>
    <n v="136"/>
    <n v="506735.99999999994"/>
    <n v="604638.65546218492"/>
    <n v="60"/>
    <n v="88"/>
    <n v="48"/>
    <m/>
    <n v="0"/>
    <n v="100"/>
    <n v="327887.99999999994"/>
    <n v="178847.99999999997"/>
    <n v="0"/>
    <n v="372599.99999999994"/>
    <n v="188"/>
    <n v="700487.99999999988"/>
    <n v="604638.65546218492"/>
    <n v="60"/>
    <n v="140"/>
    <n v="48"/>
    <n v="0"/>
    <n v="0"/>
    <n v="521639.99999999994"/>
    <n v="178847.99999999997"/>
    <n v="0"/>
    <n v="0"/>
    <n v="140"/>
    <n v="521639.99999999994"/>
    <n v="604638.65546218492"/>
    <n v="36"/>
    <n v="92"/>
    <n v="28.8"/>
    <n v="0"/>
    <m/>
    <n v="342791.99999999994"/>
    <n v="117187.2"/>
    <n v="0"/>
    <n v="92"/>
    <n v="342791.99999999994"/>
    <n v="362783.19327731099"/>
  </r>
  <r>
    <m/>
    <x v="6"/>
    <x v="27"/>
    <x v="62"/>
    <n v="1634845754276"/>
    <x v="615"/>
    <x v="459"/>
    <x v="0"/>
    <x v="2"/>
    <n v="1"/>
    <x v="31"/>
    <n v="30"/>
    <m/>
    <n v="0"/>
    <n v="42716"/>
    <n v="1281480"/>
    <n v="41"/>
    <n v="44792.5"/>
    <n v="71420.168067226899"/>
    <n v="63016.806722689078"/>
    <s v="Ningbo"/>
    <x v="2"/>
    <n v="45"/>
    <m/>
    <n v="600"/>
    <n v="83"/>
    <n v="0.50342097736937885"/>
    <n v="69"/>
    <n v="0.33305679002865746"/>
    <n v="142"/>
    <n v="0.44934188308088313"/>
    <n v="70"/>
    <n v="0.47441019668154044"/>
    <n v="228"/>
    <n v="0.36677778376518416"/>
    <n v="106"/>
    <n v="0.46047057446075335"/>
    <n v="65"/>
    <n v="0.47714547005284008"/>
    <n v="54"/>
    <n v="0.47900776531754868"/>
    <n v="53"/>
    <n v="0.49658625410559337"/>
    <n v="122"/>
    <n v="0.42632702570824771"/>
    <n v="108"/>
    <n v="0.36106833535965033"/>
    <n v="62"/>
    <n v="0.40498320144039196"/>
    <n v="70"/>
    <n v="0.29255839839844416"/>
    <n v="59"/>
    <n v="0.30311297140656673"/>
    <n v="99"/>
    <n v="0.30702314262231906"/>
    <n v="79"/>
    <n v="0.35985024702202389"/>
    <n v="1.1285714285714286"/>
    <n v="86"/>
    <n v="0.21421922198390619"/>
    <n v="1.075"/>
    <n v="184"/>
    <n v="0.27942024130855581"/>
    <n v="1.9368421052631579"/>
    <n v="28"/>
    <s v=""/>
    <n v="0.46666666666666667"/>
    <n v="18"/>
    <n v="0.17260506085574776"/>
    <n v="0.36"/>
    <n v="-3"/>
    <n v="0.43513879319924431"/>
    <n v="-9.6774193548387094E-2"/>
    <m/>
    <m/>
    <m/>
    <m/>
    <m/>
    <m/>
    <m/>
    <m/>
    <m/>
    <n v="60"/>
    <n v="404"/>
    <n v="80"/>
    <n v="0"/>
    <n v="0"/>
    <n v="0"/>
    <n v="11426530"/>
    <n v="17143740"/>
    <n v="3417280"/>
    <n v="0"/>
    <n v="30"/>
    <n v="1281480"/>
    <n v="4801355.8364522289"/>
    <n v="70"/>
    <n v="329"/>
    <n v="88.5"/>
    <n v="0"/>
    <n v="0"/>
    <n v="0"/>
    <n v="11383814"/>
    <n v="13961115"/>
    <n v="3780366"/>
    <n v="0"/>
    <n v="30"/>
    <n v="1281480"/>
    <n v="5311499.8940752782"/>
    <n v="100"/>
    <n v="129"/>
    <n v="99"/>
    <n v="0"/>
    <n v="0"/>
    <n v="10998248"/>
    <n v="5510364"/>
    <n v="4228884"/>
    <n v="0"/>
    <n v="30"/>
    <n v="1281480"/>
    <n v="7070596.6386554632"/>
    <n v="70"/>
    <n v="153"/>
    <n v="79"/>
    <n v="0"/>
    <n v="0"/>
    <n v="6492555"/>
    <n v="3374564"/>
    <x v="0"/>
    <x v="0"/>
    <n v="30"/>
    <n v="1281480"/>
    <n v="5642193.2773109246"/>
    <n v="80"/>
    <n v="116"/>
    <n v="80"/>
    <m/>
    <n v="0"/>
    <n v="0"/>
    <n v="4955056"/>
    <n v="3394800"/>
    <x v="0"/>
    <n v="0"/>
    <n v="30"/>
    <n v="1281480"/>
    <n v="5713613.4453781517"/>
    <n v="95"/>
    <n v="214"/>
    <n v="184"/>
    <m/>
    <n v="272"/>
    <n v="0"/>
    <n v="9141224"/>
    <n v="7808040"/>
    <n v="0"/>
    <n v="0"/>
    <n v="214"/>
    <n v="1281480"/>
    <n v="13141310.924369749"/>
    <n v="60"/>
    <n v="58"/>
    <n v="28"/>
    <n v="0"/>
    <n v="0"/>
    <n v="0"/>
    <n v="2477528"/>
    <n v="1188180"/>
    <n v="0"/>
    <n v="0"/>
    <n v="58"/>
    <n v="1281480"/>
    <n v="1999764.7058823532"/>
    <n v="50"/>
    <n v="48"/>
    <n v="18"/>
    <n v="0"/>
    <n v="0"/>
    <n v="0"/>
    <n v="2050368"/>
    <n v="763830"/>
    <n v="0"/>
    <n v="0"/>
    <n v="48"/>
    <n v="2050368"/>
    <n v="1285563.0252100842"/>
    <n v="31"/>
    <n v="27"/>
    <n v="0"/>
    <n v="0"/>
    <n v="0"/>
    <n v="0"/>
    <n v="1145745"/>
    <n v="0"/>
    <n v="0"/>
    <n v="0"/>
    <n v="30"/>
    <n v="1281480"/>
    <n v="0"/>
    <n v="0"/>
    <n v="27"/>
    <n v="0"/>
    <n v="0"/>
    <n v="0"/>
    <n v="0"/>
    <m/>
    <n v="1145745"/>
    <n v="0"/>
    <n v="0"/>
    <n v="0"/>
    <n v="27"/>
    <n v="1145745"/>
    <n v="0"/>
    <n v="0"/>
    <n v="27"/>
    <n v="0"/>
    <m/>
    <n v="0"/>
    <n v="0"/>
    <n v="1145745"/>
    <n v="0"/>
    <n v="0"/>
    <n v="0"/>
    <n v="27"/>
    <n v="1145745"/>
    <n v="0"/>
    <n v="0"/>
    <n v="27"/>
    <n v="0"/>
    <n v="0"/>
    <n v="0"/>
    <n v="1145745"/>
    <n v="0"/>
    <n v="0"/>
    <n v="0"/>
    <n v="27"/>
    <n v="1145745"/>
    <n v="0"/>
    <n v="0"/>
    <n v="27"/>
    <n v="0"/>
    <n v="0"/>
    <m/>
    <n v="1145745"/>
    <n v="0"/>
    <n v="0"/>
    <n v="27"/>
    <n v="1145745"/>
    <n v="0"/>
  </r>
  <r>
    <m/>
    <x v="6"/>
    <x v="27"/>
    <x v="62"/>
    <n v="1635956574926"/>
    <x v="616"/>
    <x v="460"/>
    <x v="0"/>
    <x v="1"/>
    <n v="1"/>
    <x v="31"/>
    <n v="108"/>
    <m/>
    <n v="0"/>
    <n v="25393"/>
    <n v="2742444"/>
    <n v="24.95"/>
    <n v="27257.874999999996"/>
    <n v="63016.806722689078"/>
    <n v="50411.764705882357"/>
    <s v="Ningbo"/>
    <x v="2"/>
    <n v="45"/>
    <m/>
    <n v="600"/>
    <n v="152"/>
    <n v="0.52668061419552159"/>
    <n v="84"/>
    <n v="0.56577971246185121"/>
    <n v="82"/>
    <n v="0.55133730644332402"/>
    <n v="66"/>
    <n v="0.56110146369103042"/>
    <n v="78"/>
    <n v="0.5378628735646519"/>
    <n v="395"/>
    <n v="0.56890285707853061"/>
    <n v="218"/>
    <n v="0.5584280717526876"/>
    <n v="95"/>
    <n v="0.56275700297873721"/>
    <n v="25"/>
    <n v="0.63862398524769615"/>
    <n v="19"/>
    <n v="0.61933127184597847"/>
    <n v="68"/>
    <n v="0.59918240990741034"/>
    <n v="56"/>
    <n v="0.61019933764168777"/>
    <n v="57"/>
    <n v="0.53254615506228864"/>
    <n v="63"/>
    <n v="0.53962085340264676"/>
    <n v="122"/>
    <n v="0.46456457511060356"/>
    <n v="96"/>
    <n v="0.5059121912725596"/>
    <n v="1.0666666666666667"/>
    <n v="82"/>
    <n v="0.47698605756915746"/>
    <n v="1.1714285714285715"/>
    <n v="211"/>
    <n v="0.4864164038603449"/>
    <n v="1.0549999999999999"/>
    <n v="13"/>
    <s v=""/>
    <n v="0.15294117647058825"/>
    <n v="83"/>
    <n v="0.31636639316607906"/>
    <n v="0.97647058823529409"/>
    <n v="66"/>
    <n v="0.29564646331705641"/>
    <n v="1.32"/>
    <m/>
    <m/>
    <m/>
    <m/>
    <m/>
    <m/>
    <m/>
    <m/>
    <m/>
    <n v="120"/>
    <n v="492"/>
    <n v="60"/>
    <n v="600"/>
    <n v="400"/>
    <n v="0"/>
    <n v="7021164.5"/>
    <n v="12705038.999999998"/>
    <n v="1523580"/>
    <n v="0"/>
    <n v="108"/>
    <n v="2742444"/>
    <n v="3177317.9860179368"/>
    <n v="80"/>
    <n v="905"/>
    <n v="94.5"/>
    <n v="0"/>
    <n v="0"/>
    <n v="0"/>
    <n v="7935312.5"/>
    <n v="23370041.249999996"/>
    <n v="2399638.5"/>
    <n v="0"/>
    <n v="108"/>
    <n v="2742444"/>
    <n v="5004275.8279782506"/>
    <n v="130"/>
    <n v="836"/>
    <n v="122"/>
    <n v="0"/>
    <n v="0"/>
    <n v="7343301.5"/>
    <n v="21228548"/>
    <n v="3097946"/>
    <n v="0"/>
    <n v="108"/>
    <n v="2742444"/>
    <n v="7688050.4201680673"/>
    <n v="90"/>
    <n v="689"/>
    <n v="96"/>
    <n v="0"/>
    <n v="0"/>
    <n v="17792219.249999996"/>
    <n v="2437728"/>
    <x v="0"/>
    <x v="0"/>
    <n v="108"/>
    <n v="2742444"/>
    <n v="6049613.4453781517"/>
    <n v="70"/>
    <n v="190"/>
    <n v="70"/>
    <n v="0"/>
    <n v="0"/>
    <n v="0"/>
    <n v="4824670"/>
    <n v="1807627.4999999998"/>
    <x v="0"/>
    <n v="0"/>
    <n v="108"/>
    <n v="2742444"/>
    <n v="4411176.4705882352"/>
    <n v="200"/>
    <n v="319"/>
    <n v="211"/>
    <m/>
    <n v="0"/>
    <n v="0"/>
    <n v="8100367"/>
    <n v="5448705.7499999991"/>
    <n v="0"/>
    <n v="0"/>
    <n v="319"/>
    <n v="2742444"/>
    <n v="13296546.218487395"/>
    <n v="85"/>
    <n v="121"/>
    <n v="13"/>
    <n v="0"/>
    <n v="142"/>
    <n v="0"/>
    <n v="3072553"/>
    <n v="335702.24999999994"/>
    <n v="0"/>
    <n v="0"/>
    <n v="121"/>
    <n v="2742444"/>
    <n v="819218.48739495804"/>
    <n v="85"/>
    <n v="191"/>
    <n v="85"/>
    <n v="0"/>
    <n v="0"/>
    <n v="0"/>
    <n v="4850063"/>
    <n v="2194976.2499999995"/>
    <n v="0"/>
    <n v="0"/>
    <n v="191"/>
    <n v="4850063"/>
    <n v="5356428.5714285718"/>
    <n v="50"/>
    <n v="174"/>
    <n v="75"/>
    <n v="0"/>
    <n v="0"/>
    <n v="0"/>
    <n v="4493245.4999999991"/>
    <n v="1936743.7499999998"/>
    <n v="0"/>
    <n v="0"/>
    <n v="108"/>
    <n v="2742444"/>
    <n v="4726260.5042016804"/>
    <n v="100"/>
    <n v="99"/>
    <n v="99"/>
    <n v="0"/>
    <n v="0"/>
    <n v="0"/>
    <m/>
    <n v="2556501.7499999995"/>
    <n v="2556501.7499999995"/>
    <n v="0"/>
    <n v="0"/>
    <n v="99"/>
    <n v="2556501.7499999995"/>
    <n v="4990764.7058823537"/>
    <n v="66"/>
    <n v="0"/>
    <n v="0"/>
    <m/>
    <n v="0"/>
    <n v="0"/>
    <n v="0"/>
    <n v="0"/>
    <n v="0"/>
    <n v="0"/>
    <n v="0"/>
    <n v="0"/>
    <n v="0"/>
    <n v="100"/>
    <n v="0"/>
    <n v="100"/>
    <n v="600"/>
    <n v="300"/>
    <n v="0"/>
    <n v="2582324.9999999995"/>
    <n v="15493949.999999998"/>
    <n v="7746974.9999999991"/>
    <n v="300"/>
    <n v="7746974.9999999991"/>
    <n v="6301680.6722689075"/>
    <n v="39.6"/>
    <n v="200"/>
    <n v="39.6"/>
    <n v="0"/>
    <n v="300"/>
    <n v="5164649.9999999991"/>
    <n v="1005562.8"/>
    <n v="7746974.9999999991"/>
    <n v="500"/>
    <n v="12911624.999999998"/>
    <n v="2495465.5462184874"/>
  </r>
  <r>
    <m/>
    <x v="6"/>
    <x v="27"/>
    <x v="62"/>
    <s v="SIMBATORG-BK"/>
    <x v="617"/>
    <x v="461"/>
    <x v="0"/>
    <x v="2"/>
    <n v="1"/>
    <x v="382"/>
    <n v="34"/>
    <m/>
    <n v="0"/>
    <n v="17902"/>
    <n v="608668"/>
    <n v="15.98"/>
    <n v="17458.149999999998"/>
    <n v="36126.050420168067"/>
    <n v="33605.042016806721"/>
    <s v="Ningbo"/>
    <x v="2"/>
    <n v="45"/>
    <m/>
    <n v="600"/>
    <n v="32"/>
    <n v="0.64108639632294062"/>
    <n v="26"/>
    <n v="0.62810982869066201"/>
    <n v="8"/>
    <n v="0.57931531120845436"/>
    <n v="123"/>
    <n v="0.6537153906684543"/>
    <n v="22"/>
    <n v="0.6519971613330442"/>
    <n v="230"/>
    <n v="0.60789786973859383"/>
    <n v="54"/>
    <n v="0.52809377012717773"/>
    <n v="54"/>
    <n v="0.52535806172012323"/>
    <n v="46"/>
    <n v="0.5105301892292915"/>
    <n v="67"/>
    <n v="0.44181707898392131"/>
    <n v="40"/>
    <n v="0.49536910644471055"/>
    <n v="38"/>
    <n v="0.50862497034905552"/>
    <n v="61"/>
    <n v="0.42186332509927543"/>
    <n v="71"/>
    <n v="0.44946061522104636"/>
    <n v="87"/>
    <n v="0.44057189738234614"/>
    <n v="68"/>
    <n v="0.4293696907215272"/>
    <n v="1.1333333333333333"/>
    <n v="65"/>
    <n v="0.482752348420459"/>
    <n v="1.3"/>
    <n v="103"/>
    <n v="0.40167267114271588"/>
    <n v="0.68666666666666665"/>
    <n v="38"/>
    <n v="0.49554445751438464"/>
    <n v="0.76"/>
    <n v="16"/>
    <n v="0.24296981087201303"/>
    <n v="0.38095238095238093"/>
    <n v="8"/>
    <n v="0.2241462097846979"/>
    <n v="0"/>
    <m/>
    <m/>
    <m/>
    <m/>
    <m/>
    <m/>
    <m/>
    <m/>
    <m/>
    <n v="35"/>
    <n v="363"/>
    <n v="60"/>
    <m/>
    <n v="200"/>
    <n v="0"/>
    <n v="4538157"/>
    <n v="6003765.8999999994"/>
    <n v="1074120"/>
    <n v="0"/>
    <n v="34"/>
    <n v="608668"/>
    <n v="1821481.5337899867"/>
    <n v="50"/>
    <n v="507"/>
    <n v="106.5"/>
    <n v="0"/>
    <n v="0"/>
    <n v="0"/>
    <n v="4681373"/>
    <n v="8385425.0999999996"/>
    <n v="1906563"/>
    <n v="0"/>
    <n v="34"/>
    <n v="608668"/>
    <n v="3233129.7224772265"/>
    <n v="70"/>
    <n v="121"/>
    <n v="87"/>
    <n v="0"/>
    <n v="0"/>
    <n v="3601775"/>
    <n v="2166142"/>
    <n v="1557474"/>
    <n v="0"/>
    <n v="34"/>
    <n v="608668"/>
    <n v="3142966.3865546216"/>
    <n v="60"/>
    <n v="354"/>
    <n v="68"/>
    <n v="0"/>
    <n v="0"/>
    <n v="5854912.2000000002"/>
    <n v="1217336"/>
    <x v="0"/>
    <x v="0"/>
    <n v="34"/>
    <n v="608668"/>
    <n v="2456571.4285714286"/>
    <n v="50"/>
    <n v="99"/>
    <n v="50"/>
    <m/>
    <n v="0"/>
    <n v="0"/>
    <n v="1772298"/>
    <n v="826965"/>
    <x v="0"/>
    <n v="0"/>
    <n v="34"/>
    <n v="608668"/>
    <n v="1806302.5210084033"/>
    <n v="150"/>
    <n v="137"/>
    <n v="103"/>
    <m/>
    <n v="0"/>
    <n v="0"/>
    <n v="2452574"/>
    <n v="1703547.9"/>
    <n v="0"/>
    <n v="0"/>
    <n v="137"/>
    <n v="608668"/>
    <n v="3720983.193277311"/>
    <n v="50"/>
    <n v="72"/>
    <n v="38"/>
    <n v="0"/>
    <n v="0"/>
    <n v="0"/>
    <n v="1288944"/>
    <n v="628493.4"/>
    <n v="0"/>
    <n v="0"/>
    <n v="72"/>
    <n v="608668"/>
    <n v="1372789.9159663864"/>
    <n v="42"/>
    <n v="50"/>
    <n v="16"/>
    <n v="0"/>
    <n v="0"/>
    <n v="0"/>
    <n v="895100"/>
    <n v="264628.8"/>
    <n v="0"/>
    <n v="0"/>
    <n v="50"/>
    <n v="895100"/>
    <n v="578016.80672268907"/>
    <n v="0"/>
    <n v="42"/>
    <n v="4.5"/>
    <n v="0"/>
    <n v="0"/>
    <n v="0"/>
    <n v="694650.6"/>
    <n v="74426.849999999991"/>
    <n v="0"/>
    <n v="0"/>
    <n v="34"/>
    <n v="608668"/>
    <n v="162567.22689075631"/>
    <n v="0"/>
    <n v="37.5"/>
    <n v="0"/>
    <n v="0"/>
    <n v="0"/>
    <n v="0"/>
    <m/>
    <n v="620223.75"/>
    <n v="0"/>
    <n v="0"/>
    <n v="0"/>
    <n v="37.5"/>
    <n v="620223.75"/>
    <n v="0"/>
    <n v="0"/>
    <n v="37.5"/>
    <n v="0"/>
    <m/>
    <n v="0"/>
    <n v="0"/>
    <n v="620223.75"/>
    <n v="0"/>
    <n v="0"/>
    <n v="0"/>
    <n v="37.5"/>
    <n v="620223.75"/>
    <n v="0"/>
    <n v="0"/>
    <n v="37.5"/>
    <n v="0"/>
    <n v="0"/>
    <n v="0"/>
    <n v="620223.75"/>
    <n v="0"/>
    <n v="0"/>
    <n v="0"/>
    <n v="37.5"/>
    <n v="620223.75"/>
    <n v="0"/>
    <n v="0"/>
    <n v="37.5"/>
    <n v="0"/>
    <n v="0"/>
    <m/>
    <n v="620223.75"/>
    <n v="0"/>
    <n v="0"/>
    <n v="37.5"/>
    <n v="620223.75"/>
    <n v="0"/>
  </r>
  <r>
    <m/>
    <x v="6"/>
    <x v="27"/>
    <x v="62"/>
    <s v="SIMBATOTOUL"/>
    <x v="618"/>
    <x v="462"/>
    <x v="0"/>
    <x v="2"/>
    <n v="1"/>
    <x v="383"/>
    <n v="3"/>
    <m/>
    <n v="0"/>
    <n v="53779"/>
    <n v="161337"/>
    <n v="46.1"/>
    <n v="50364.249999999993"/>
    <n v="100831.93277310925"/>
    <n v="75621.848739495807"/>
    <s v="Ningbo"/>
    <x v="2"/>
    <n v="45"/>
    <m/>
    <n v="600"/>
    <n v="20"/>
    <n v="0.45738655815636831"/>
    <n v="15"/>
    <n v="0.52436968375547244"/>
    <n v="20"/>
    <n v="0.47880695256333605"/>
    <n v="15"/>
    <n v="0.40603514427749959"/>
    <n v="17"/>
    <n v="0.42479186837214966"/>
    <n v="70"/>
    <n v="0.2975717856360523"/>
    <n v="26"/>
    <n v="0.3361202592047749"/>
    <n v="54"/>
    <n v="0.2817806237253806"/>
    <n v="57"/>
    <n v="0.23125840119763313"/>
    <n v="264"/>
    <n v="-0.18692180513706888"/>
    <n v="17"/>
    <n v="0.45369586392103994"/>
    <n v="6"/>
    <n v="0.39286058718983785"/>
    <n v="1"/>
    <s v=""/>
    <n v="1"/>
    <s v=""/>
    <n v="2"/>
    <n v="0.19784414881853779"/>
    <n v="2"/>
    <n v="0.19784600340988867"/>
    <n v="0"/>
    <n v="2"/>
    <n v="0.46673706142178512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0"/>
    <n v="4"/>
    <n v="0"/>
    <n v="0"/>
    <n v="0"/>
    <n v="0"/>
    <n v="188226.5"/>
    <n v="190853.99999999997"/>
    <n v="0"/>
    <n v="0"/>
    <n v="3"/>
    <n v="161337"/>
    <n v="0"/>
    <n v="0"/>
    <n v="6"/>
    <n v="1.5"/>
    <n v="0"/>
    <n v="0"/>
    <n v="0"/>
    <n v="295784.5"/>
    <n v="286280.99999999994"/>
    <n v="80668.5"/>
    <n v="0"/>
    <n v="3"/>
    <n v="161337"/>
    <n v="127099.0749240873"/>
    <n v="0"/>
    <n v="5"/>
    <n v="2"/>
    <n v="0"/>
    <n v="0"/>
    <n v="215116"/>
    <n v="268895"/>
    <n v="107558"/>
    <n v="0"/>
    <n v="3"/>
    <n v="161337"/>
    <n v="201663.8655462185"/>
    <n v="0"/>
    <n v="8"/>
    <n v="2"/>
    <n v="0"/>
    <n v="0"/>
    <n v="381707.99999999994"/>
    <n v="107558"/>
    <x v="0"/>
    <x v="0"/>
    <n v="3"/>
    <n v="161337"/>
    <n v="201663.8655462185"/>
    <n v="0"/>
    <n v="5"/>
    <n v="0"/>
    <m/>
    <m/>
    <n v="0"/>
    <n v="268895"/>
    <n v="0"/>
    <x v="0"/>
    <n v="0"/>
    <n v="3"/>
    <n v="161337"/>
    <n v="0"/>
    <n v="0"/>
    <n v="3"/>
    <n v="0"/>
    <m/>
    <n v="0"/>
    <n v="0"/>
    <n v="161337"/>
    <n v="0"/>
    <n v="0"/>
    <n v="0"/>
    <n v="3"/>
    <n v="161337"/>
    <n v="0"/>
    <n v="6"/>
    <n v="3"/>
    <n v="0"/>
    <n v="0"/>
    <n v="0"/>
    <n v="0"/>
    <n v="161337"/>
    <n v="0"/>
    <n v="0"/>
    <n v="0"/>
    <n v="3"/>
    <n v="161337"/>
    <n v="0"/>
    <n v="0"/>
    <n v="3"/>
    <n v="0"/>
    <n v="0"/>
    <n v="0"/>
    <n v="0"/>
    <n v="161337"/>
    <n v="0"/>
    <n v="0"/>
    <n v="0"/>
    <n v="3"/>
    <n v="161337"/>
    <n v="0"/>
    <n v="0"/>
    <n v="3"/>
    <n v="0"/>
    <n v="0"/>
    <n v="0"/>
    <n v="0"/>
    <n v="143140.49999999997"/>
    <n v="0"/>
    <n v="0"/>
    <n v="0"/>
    <n v="3"/>
    <n v="161337"/>
    <n v="0"/>
    <n v="0"/>
    <n v="3"/>
    <n v="0"/>
    <n v="0"/>
    <n v="0"/>
    <n v="0"/>
    <m/>
    <n v="143140.49999999997"/>
    <n v="0"/>
    <n v="0"/>
    <n v="0"/>
    <n v="3"/>
    <n v="143140.49999999997"/>
    <n v="0"/>
    <n v="0"/>
    <n v="3"/>
    <n v="0"/>
    <m/>
    <n v="0"/>
    <n v="0"/>
    <n v="143140.49999999997"/>
    <n v="0"/>
    <n v="0"/>
    <n v="0"/>
    <n v="3"/>
    <n v="143140.49999999997"/>
    <n v="0"/>
    <n v="0"/>
    <n v="3"/>
    <n v="0"/>
    <n v="0"/>
    <n v="0"/>
    <n v="143140.49999999997"/>
    <n v="0"/>
    <n v="0"/>
    <n v="0"/>
    <n v="3"/>
    <n v="143140.49999999997"/>
    <n v="0"/>
    <n v="0"/>
    <n v="3"/>
    <n v="0"/>
    <n v="0"/>
    <m/>
    <n v="143140.49999999997"/>
    <n v="0"/>
    <n v="0"/>
    <n v="3"/>
    <n v="143140.49999999997"/>
    <n v="0"/>
  </r>
  <r>
    <m/>
    <x v="6"/>
    <x v="27"/>
    <x v="62"/>
    <s v="SMBATCOPBK"/>
    <x v="619"/>
    <x v="463"/>
    <x v="0"/>
    <x v="1"/>
    <n v="1.2"/>
    <x v="384"/>
    <n v="249"/>
    <n v="300"/>
    <n v="7011000"/>
    <n v="24604"/>
    <n v="6126396"/>
    <n v="24.6"/>
    <n v="26875.499999999996"/>
    <n v="63016.806722689078"/>
    <n v="50411.764705882357"/>
    <s v="Ningbo"/>
    <x v="2"/>
    <n v="45"/>
    <m/>
    <n v="600"/>
    <n v="86"/>
    <n v="0.55451856258252374"/>
    <n v="83"/>
    <n v="0.63014586992215127"/>
    <n v="109"/>
    <n v="0.57326121501797156"/>
    <n v="118"/>
    <n v="0.52097068348308695"/>
    <n v="57"/>
    <n v="0.5573227267660773"/>
    <n v="116"/>
    <n v="0.50020470663051042"/>
    <n v="33"/>
    <n v="0.54144134644298525"/>
    <n v="53"/>
    <n v="0.5391298920765627"/>
    <n v="55"/>
    <n v="0.59617551350505282"/>
    <n v="329"/>
    <n v="0.58231420922032417"/>
    <n v="53"/>
    <n v="0.62440212026991015"/>
    <n v="26"/>
    <n v="0.59581105930384881"/>
    <n v="37"/>
    <n v="0.54488598556632561"/>
    <n v="41"/>
    <n v="0.52492552126658854"/>
    <n v="85"/>
    <n v="0.4798979477419259"/>
    <n v="44"/>
    <n v="0.49435452142724573"/>
    <n v="0.88"/>
    <n v="59"/>
    <n v="0.48227867558257387"/>
    <n v="1.18"/>
    <n v="165"/>
    <n v="0.47324733222670129"/>
    <n v="1.375"/>
    <n v="77"/>
    <n v="0.50868463596498315"/>
    <n v="1.1000000000000001"/>
    <n v="88"/>
    <n v="0.32397329576048239"/>
    <n v="1.1000000000000001"/>
    <n v="81"/>
    <n v="0.2822369795237829"/>
    <n v="1.35"/>
    <m/>
    <m/>
    <m/>
    <m/>
    <m/>
    <m/>
    <m/>
    <m/>
    <m/>
    <n v="90"/>
    <n v="342"/>
    <n v="50"/>
    <n v="0"/>
    <n v="0"/>
    <n v="0"/>
    <n v="4834686"/>
    <n v="8707661.9999999981"/>
    <n v="1230200"/>
    <n v="0"/>
    <n v="249"/>
    <n v="6126396"/>
    <n v="2647764.9883482805"/>
    <n v="70"/>
    <n v="632"/>
    <n v="61.5"/>
    <n v="0"/>
    <n v="150"/>
    <n v="0"/>
    <n v="4687062"/>
    <n v="16091351.999999998"/>
    <n v="1513146"/>
    <n v="0"/>
    <n v="249"/>
    <n v="6126396"/>
    <n v="3256750.9356683851"/>
    <n v="120"/>
    <n v="543"/>
    <n v="85"/>
    <n v="0"/>
    <n v="0"/>
    <n v="4701576"/>
    <n v="13359972"/>
    <n v="2091340"/>
    <n v="0"/>
    <n v="249"/>
    <n v="6126396"/>
    <n v="5356428.5714285718"/>
    <n v="50"/>
    <n v="476"/>
    <n v="44"/>
    <n v="0"/>
    <n v="0"/>
    <n v="12119435.999999998"/>
    <n v="1082576"/>
    <x v="0"/>
    <x v="0"/>
    <n v="249"/>
    <n v="6126396"/>
    <n v="2772739.4957983196"/>
    <n v="50"/>
    <n v="308"/>
    <n v="60"/>
    <n v="600"/>
    <n v="0"/>
    <n v="0"/>
    <n v="7578032"/>
    <n v="1527659.9999999998"/>
    <x v="23"/>
    <n v="0"/>
    <n v="249"/>
    <n v="6126396"/>
    <n v="3781008.4033613447"/>
    <n v="120"/>
    <n v="414"/>
    <n v="165"/>
    <m/>
    <n v="300"/>
    <n v="0"/>
    <n v="10186056"/>
    <n v="4201064.9999999991"/>
    <n v="0"/>
    <n v="0"/>
    <n v="414"/>
    <n v="6126396"/>
    <n v="10397773.109243698"/>
    <n v="70"/>
    <n v="326"/>
    <n v="77"/>
    <n v="0"/>
    <n v="0"/>
    <n v="0"/>
    <n v="8020904"/>
    <n v="1960496.9999999998"/>
    <n v="0"/>
    <n v="0"/>
    <n v="326"/>
    <n v="6126396"/>
    <n v="4852294.1176470593"/>
    <n v="80"/>
    <n v="337"/>
    <n v="90"/>
    <n v="0"/>
    <n v="0"/>
    <n v="0"/>
    <n v="8291548"/>
    <n v="2291489.9999999995"/>
    <n v="0"/>
    <n v="0"/>
    <n v="337"/>
    <n v="8291548"/>
    <n v="5671512.6050420171"/>
    <n v="60"/>
    <n v="330"/>
    <n v="96"/>
    <n v="0"/>
    <n v="0"/>
    <n v="0"/>
    <n v="8402129.9999999981"/>
    <n v="2444255.9999999995"/>
    <n v="0"/>
    <n v="0"/>
    <n v="249"/>
    <n v="6126396"/>
    <n v="6049613.4453781517"/>
    <n v="140"/>
    <n v="234"/>
    <n v="168"/>
    <n v="0"/>
    <n v="0"/>
    <n v="0"/>
    <m/>
    <n v="5957873.9999999991"/>
    <n v="4277447.9999999991"/>
    <n v="0"/>
    <n v="0"/>
    <n v="234"/>
    <n v="5957873.9999999991"/>
    <n v="8469176.4705882352"/>
    <n v="65"/>
    <n v="66"/>
    <n v="66"/>
    <m/>
    <n v="300"/>
    <n v="0"/>
    <n v="1680425.9999999998"/>
    <n v="1680425.9999999998"/>
    <n v="0"/>
    <n v="0"/>
    <n v="66"/>
    <n v="1680425.9999999998"/>
    <n v="3327176.4705882357"/>
    <n v="90"/>
    <n v="0"/>
    <n v="0"/>
    <n v="0"/>
    <n v="0"/>
    <n v="0"/>
    <n v="0"/>
    <n v="0"/>
    <n v="0"/>
    <n v="0"/>
    <n v="0"/>
    <n v="0"/>
    <n v="39"/>
    <n v="0"/>
    <n v="46.8"/>
    <n v="0"/>
    <m/>
    <n v="0"/>
    <n v="1151467.2"/>
    <n v="0"/>
    <n v="0"/>
    <n v="0"/>
    <n v="2949186.5546218487"/>
  </r>
  <r>
    <m/>
    <x v="6"/>
    <x v="27"/>
    <x v="62"/>
    <s v="SMBATLCGR"/>
    <x v="620"/>
    <x v="464"/>
    <x v="0"/>
    <x v="1"/>
    <n v="1"/>
    <x v="385"/>
    <n v="162"/>
    <m/>
    <n v="0"/>
    <n v="36200"/>
    <n v="5864400"/>
    <n v="34.700000000000003"/>
    <n v="37909.75"/>
    <n v="100831.93277310925"/>
    <n v="84025.210084033621"/>
    <s v="Ningbo"/>
    <x v="2"/>
    <n v="45"/>
    <m/>
    <n v="600"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0"/>
    <n v="44"/>
    <n v="0.52693346306564903"/>
    <n v="0.97777777777777775"/>
    <n v="115"/>
    <n v="0.5197983535949211"/>
    <n v="1.4375"/>
    <n v="86"/>
    <n v="0.58595417163470731"/>
    <n v="1.075"/>
    <n v="95"/>
    <n v="0.43539939215212853"/>
    <n v="1.1875"/>
    <n v="56"/>
    <n v="0.39790159500911104"/>
    <n v="0.8"/>
    <m/>
    <m/>
    <m/>
    <m/>
    <m/>
    <m/>
    <m/>
    <m/>
    <m/>
    <n v="0"/>
    <n v="0"/>
    <n v="0"/>
    <n v="0"/>
    <n v="0"/>
    <n v="0"/>
    <n v="0"/>
    <n v="0"/>
    <n v="0"/>
    <n v="0"/>
    <n v="162"/>
    <n v="5864400"/>
    <n v="0"/>
    <n v="0"/>
    <n v="0"/>
    <n v="0"/>
    <n v="600"/>
    <n v="0"/>
    <n v="0"/>
    <n v="0"/>
    <n v="0"/>
    <n v="0"/>
    <n v="0"/>
    <n v="162"/>
    <n v="5864400"/>
    <n v="0"/>
    <n v="50"/>
    <n v="0"/>
    <n v="0"/>
    <n v="0"/>
    <n v="0"/>
    <n v="1616152.5"/>
    <n v="0"/>
    <n v="0"/>
    <n v="0"/>
    <n v="162"/>
    <n v="5864400"/>
    <n v="0"/>
    <n v="0"/>
    <n v="0"/>
    <n v="0"/>
    <n v="0"/>
    <n v="0"/>
    <n v="0"/>
    <n v="0"/>
    <x v="0"/>
    <x v="0"/>
    <n v="162"/>
    <n v="5864400"/>
    <n v="0"/>
    <n v="45"/>
    <n v="206"/>
    <n v="45"/>
    <n v="0"/>
    <n v="0"/>
    <n v="0"/>
    <n v="7457200"/>
    <n v="1616152.5"/>
    <x v="0"/>
    <n v="0"/>
    <n v="162"/>
    <n v="5864400"/>
    <n v="4537436.9747899165"/>
    <n v="80"/>
    <n v="277"/>
    <n v="115"/>
    <m/>
    <n v="0"/>
    <n v="0"/>
    <n v="10027400"/>
    <n v="4130167.5"/>
    <n v="0"/>
    <n v="0"/>
    <n v="277"/>
    <n v="5864400"/>
    <n v="11595672.268907564"/>
    <n v="80"/>
    <n v="248"/>
    <n v="86"/>
    <n v="0"/>
    <n v="0"/>
    <n v="0"/>
    <n v="8977600"/>
    <n v="3088647"/>
    <n v="0"/>
    <n v="0"/>
    <n v="248"/>
    <n v="5864400"/>
    <n v="8671546.218487395"/>
    <n v="80"/>
    <n v="257"/>
    <n v="98"/>
    <n v="0"/>
    <n v="0"/>
    <n v="0"/>
    <n v="9303400"/>
    <n v="3519621"/>
    <n v="0"/>
    <n v="0"/>
    <n v="257"/>
    <n v="9303400"/>
    <n v="9881529.4117647056"/>
    <n v="70"/>
    <n v="218"/>
    <n v="63"/>
    <n v="0"/>
    <n v="0"/>
    <n v="0"/>
    <n v="7829361"/>
    <n v="2262613.5"/>
    <n v="0"/>
    <n v="0"/>
    <n v="162"/>
    <n v="5864400"/>
    <n v="6352411.7647058824"/>
    <n v="100"/>
    <n v="155"/>
    <n v="100"/>
    <n v="0"/>
    <n v="0"/>
    <n v="0"/>
    <m/>
    <n v="5566747.5"/>
    <n v="3591450"/>
    <n v="0"/>
    <n v="0"/>
    <n v="155"/>
    <n v="5566747.5"/>
    <n v="8402521.0084033627"/>
    <n v="60"/>
    <n v="55"/>
    <n v="55"/>
    <m/>
    <m/>
    <n v="0"/>
    <n v="1975297.5"/>
    <n v="1975297.5"/>
    <n v="0"/>
    <n v="0"/>
    <n v="55"/>
    <n v="1975297.5"/>
    <n v="4621386.5546218492"/>
    <n v="80"/>
    <n v="0"/>
    <n v="80"/>
    <n v="600"/>
    <n v="300"/>
    <n v="0"/>
    <n v="2873160"/>
    <n v="21548700"/>
    <n v="10774350"/>
    <n v="300"/>
    <n v="10774350"/>
    <n v="8066554.6218487397"/>
    <n v="36"/>
    <n v="220"/>
    <n v="36"/>
    <n v="0"/>
    <n v="300"/>
    <n v="7901190"/>
    <n v="1303200"/>
    <n v="10774350"/>
    <n v="520"/>
    <n v="18675540"/>
    <n v="3629949.5798319331"/>
  </r>
  <r>
    <m/>
    <x v="6"/>
    <x v="27"/>
    <x v="62"/>
    <s v="SMBATOXBG"/>
    <x v="621"/>
    <x v="465"/>
    <x v="0"/>
    <x v="4"/>
    <n v="1"/>
    <x v="31"/>
    <n v="0"/>
    <m/>
    <n v="0"/>
    <n v="31136.249999999996"/>
    <n v="0"/>
    <n v="29.88"/>
    <n v="31136.249999999996"/>
    <n v="78494.747899159658"/>
    <n v="66720.53571428571"/>
    <s v="Ningbo"/>
    <x v="2"/>
    <n v="45"/>
    <m/>
    <n v="600"/>
    <n v="0"/>
    <s v=""/>
    <n v="0"/>
    <s v=""/>
    <n v="0"/>
    <s v=""/>
    <n v="0"/>
    <s v=""/>
    <n v="0"/>
    <s v=""/>
    <n v="0"/>
    <s v=""/>
    <n v="0"/>
    <n v="0"/>
    <n v="0"/>
    <n v="0"/>
    <n v="0"/>
    <n v="0"/>
    <n v="0"/>
    <n v="0"/>
    <n v="0"/>
    <n v="0"/>
    <n v="0"/>
    <n v="0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0"/>
    <n v="1"/>
    <n v="0"/>
    <n v="600"/>
    <n v="600"/>
    <n v="0"/>
    <n v="0"/>
    <n v="30925.8"/>
    <n v="0"/>
    <n v="0"/>
    <n v="0"/>
    <n v="0"/>
    <n v="0"/>
    <n v="150"/>
    <n v="595"/>
    <n v="0"/>
    <n v="600"/>
    <n v="0"/>
    <n v="0"/>
    <n v="0"/>
    <n v="18400851"/>
    <n v="0"/>
    <n v="0"/>
    <n v="0"/>
    <n v="0"/>
    <n v="0"/>
    <n v="250"/>
    <n v="531"/>
    <n v="0"/>
    <n v="0"/>
    <n v="0"/>
    <n v="0"/>
    <n v="16533348.749999998"/>
    <n v="0"/>
    <n v="0"/>
    <n v="0"/>
    <n v="0"/>
    <n v="0"/>
    <n v="0"/>
    <n v="0"/>
    <n v="0"/>
    <n v="0"/>
    <n v="0"/>
    <n v="0"/>
    <n v="0"/>
    <x v="0"/>
    <x v="0"/>
    <n v="0"/>
    <n v="0"/>
    <n v="0"/>
    <n v="0"/>
    <n v="0"/>
    <n v="0"/>
    <n v="0"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0"/>
    <n v="600"/>
    <n v="0"/>
    <n v="0"/>
    <n v="0"/>
    <n v="18555480"/>
    <n v="0"/>
    <n v="0"/>
    <n v="0"/>
    <n v="0"/>
    <n v="150"/>
    <n v="0"/>
    <n v="150"/>
    <n v="0"/>
    <n v="0"/>
    <n v="600"/>
    <n v="600"/>
    <n v="0"/>
    <n v="4638870"/>
    <n v="0"/>
    <n v="18555480"/>
    <n v="600"/>
    <n v="18555480"/>
    <n v="10008080.357142856"/>
    <n v="180"/>
    <n v="450"/>
    <n v="180"/>
    <m/>
    <n v="0"/>
    <n v="0"/>
    <n v="13916610"/>
    <n v="5566644"/>
    <n v="0"/>
    <n v="0"/>
    <n v="450"/>
    <n v="13916610"/>
    <n v="12009696.428571427"/>
    <n v="150"/>
    <n v="270"/>
    <n v="150"/>
    <n v="600"/>
    <n v="300"/>
    <n v="8349966"/>
    <n v="4638870"/>
    <n v="18555480"/>
    <n v="9277740"/>
    <n v="570"/>
    <n v="17627706"/>
    <n v="11774212.184873948"/>
    <n v="108"/>
    <n v="420"/>
    <n v="108"/>
    <n v="0"/>
    <n v="300"/>
    <n v="12988836"/>
    <n v="3362714.9999999995"/>
    <n v="9277740"/>
    <n v="720"/>
    <n v="22266576"/>
    <n v="8477432.7731092423"/>
  </r>
  <r>
    <m/>
    <x v="6"/>
    <x v="27"/>
    <x v="62"/>
    <s v="SMBATOXBK"/>
    <x v="622"/>
    <x v="466"/>
    <x v="0"/>
    <x v="1"/>
    <n v="1"/>
    <x v="386"/>
    <n v="328"/>
    <m/>
    <n v="0"/>
    <n v="31294"/>
    <n v="10264432"/>
    <n v="29.88"/>
    <n v="31136.249999999996"/>
    <n v="75621.848739495807"/>
    <n v="67218.487394957992"/>
    <s v="Ningbo"/>
    <x v="2"/>
    <n v="45"/>
    <m/>
    <n v="600"/>
    <n v="0"/>
    <s v=""/>
    <n v="0"/>
    <s v=""/>
    <n v="0"/>
    <s v=""/>
    <n v="0"/>
    <s v=""/>
    <n v="0"/>
    <s v=""/>
    <n v="0"/>
    <s v=""/>
    <n v="53"/>
    <n v="0.52073209466483883"/>
    <n v="166"/>
    <n v="0.52619615311833334"/>
    <n v="181"/>
    <n v="0.52582090747803301"/>
    <n v="194"/>
    <n v="0.39901457118886913"/>
    <n v="-1"/>
    <n v="0.50531033354161081"/>
    <n v="0"/>
    <s v=""/>
    <n v="1"/>
    <n v="0.65171592438108261"/>
    <n v="44"/>
    <n v="0.57001947594085711"/>
    <n v="391"/>
    <n v="0.51494100964635714"/>
    <n v="247"/>
    <n v="0.52787427665109798"/>
    <n v="1.2350000000000001"/>
    <n v="340"/>
    <n v="0.56102790252938917"/>
    <n v="1.36"/>
    <n v="611"/>
    <n v="0.47401668612413789"/>
    <n v="1.222"/>
    <n v="101"/>
    <n v="0.57940454874599989"/>
    <n v="0.33666666666666667"/>
    <n v="104"/>
    <n v="0.39101188656926467"/>
    <n v="1.3"/>
    <n v="124"/>
    <n v="0.3546802682189738"/>
    <n v="0.57943925233644855"/>
    <m/>
    <m/>
    <m/>
    <m/>
    <m/>
    <m/>
    <m/>
    <m/>
    <m/>
    <n v="0"/>
    <n v="1"/>
    <n v="0"/>
    <n v="600"/>
    <n v="600"/>
    <n v="0"/>
    <n v="14301358"/>
    <n v="30925.8"/>
    <n v="0"/>
    <n v="0"/>
    <n v="328"/>
    <n v="10264432"/>
    <n v="0"/>
    <n v="150"/>
    <n v="595"/>
    <n v="66"/>
    <n v="600"/>
    <n v="0"/>
    <n v="0"/>
    <n v="22030976"/>
    <n v="18400851"/>
    <n v="2065404"/>
    <n v="0"/>
    <n v="328"/>
    <n v="10264432"/>
    <n v="4194152.9552997677"/>
    <n v="250"/>
    <n v="531"/>
    <n v="391"/>
    <n v="0"/>
    <n v="0"/>
    <n v="27697022"/>
    <n v="16617114"/>
    <n v="12235954"/>
    <n v="0"/>
    <n v="328"/>
    <n v="10264432"/>
    <n v="29568142.857142862"/>
    <n v="200"/>
    <n v="706"/>
    <n v="247"/>
    <n v="0"/>
    <n v="0"/>
    <n v="21833614.800000001"/>
    <n v="7729618"/>
    <x v="0"/>
    <x v="0"/>
    <n v="328"/>
    <n v="10264432"/>
    <n v="18678596.638655465"/>
    <n v="250"/>
    <n v="668"/>
    <n v="250"/>
    <n v="600"/>
    <n v="0"/>
    <n v="0"/>
    <n v="20904392"/>
    <n v="7731450"/>
    <x v="24"/>
    <n v="0"/>
    <n v="328"/>
    <n v="10264432"/>
    <n v="18905462.184873953"/>
    <n v="500"/>
    <n v="939"/>
    <n v="611"/>
    <m/>
    <n v="600"/>
    <n v="0"/>
    <n v="29385066"/>
    <n v="18895663.800000001"/>
    <n v="0"/>
    <n v="0"/>
    <n v="939"/>
    <n v="10264432"/>
    <n v="46204949.579831935"/>
    <n v="300"/>
    <n v="429"/>
    <n v="101"/>
    <n v="0"/>
    <n v="0"/>
    <n v="0"/>
    <n v="13425126"/>
    <n v="3123505.8"/>
    <n v="0"/>
    <n v="0"/>
    <n v="429"/>
    <n v="10264432"/>
    <n v="7637806.7226890763"/>
    <n v="80"/>
    <n v="432"/>
    <n v="107"/>
    <n v="600"/>
    <n v="600"/>
    <n v="0"/>
    <n v="13519008"/>
    <n v="3309060.6"/>
    <n v="18555480"/>
    <n v="0"/>
    <n v="432"/>
    <n v="13519008"/>
    <n v="8091537.8151260512"/>
    <n v="214"/>
    <n v="452"/>
    <n v="141"/>
    <n v="0"/>
    <n v="0"/>
    <n v="0"/>
    <n v="13978461.6"/>
    <n v="4360537.8"/>
    <n v="0"/>
    <n v="0"/>
    <n v="328"/>
    <n v="10264432"/>
    <n v="10662680.672268908"/>
    <n v="600"/>
    <n v="311"/>
    <n v="311"/>
    <n v="600"/>
    <n v="600"/>
    <n v="0"/>
    <n v="0"/>
    <n v="9617923.7999999989"/>
    <n v="9617923.7999999989"/>
    <n v="18555480"/>
    <n v="0"/>
    <n v="311"/>
    <n v="9617923.7999999989"/>
    <n v="20904949.579831935"/>
    <n v="300"/>
    <n v="0"/>
    <n v="300"/>
    <n v="600"/>
    <n v="600"/>
    <n v="600"/>
    <n v="0"/>
    <n v="9277740"/>
    <n v="18555480"/>
    <n v="18555480"/>
    <n v="600"/>
    <n v="18555480"/>
    <n v="20165546.218487397"/>
    <n v="300"/>
    <n v="300"/>
    <n v="300"/>
    <n v="0"/>
    <m/>
    <n v="9277740"/>
    <n v="9277740"/>
    <n v="0"/>
    <n v="0"/>
    <n v="300"/>
    <n v="9277740"/>
    <n v="22686554.621848743"/>
    <n v="180"/>
    <n v="0"/>
    <n v="180"/>
    <n v="0"/>
    <n v="300"/>
    <n v="0"/>
    <n v="5632920"/>
    <n v="9277740"/>
    <n v="300"/>
    <n v="9277740"/>
    <n v="13611932.773109246"/>
  </r>
  <r>
    <s v="Simplit-Menaje de Cocina"/>
    <x v="6"/>
    <x v="27"/>
    <x v="62"/>
    <s v="SMBATPMGR"/>
    <x v="623"/>
    <x v="467"/>
    <x v="0"/>
    <x v="1"/>
    <n v="1"/>
    <x v="387"/>
    <n v="253"/>
    <m/>
    <n v="0"/>
    <n v="28032"/>
    <n v="7092096"/>
    <n v="27.3"/>
    <n v="29825.249999999996"/>
    <n v="84025.210084033621"/>
    <n v="58815.126050420171"/>
    <s v="Ningbo"/>
    <x v="2"/>
    <n v="45"/>
    <m/>
    <n v="600"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0"/>
    <n v="54"/>
    <n v="0.46985537366604602"/>
    <n v="1.2"/>
    <n v="53"/>
    <n v="0.46726467588503745"/>
    <n v="0.53"/>
    <n v="45"/>
    <n v="0.51347549057612074"/>
    <n v="0.75"/>
    <n v="92"/>
    <n v="0.34400325438519824"/>
    <n v="1.5333333333333334"/>
    <n v="46"/>
    <n v="0.29066878049449796"/>
    <n v="0.92"/>
    <m/>
    <m/>
    <m/>
    <m/>
    <m/>
    <m/>
    <m/>
    <m/>
    <m/>
    <n v="0"/>
    <n v="0"/>
    <n v="0"/>
    <n v="0"/>
    <n v="0"/>
    <n v="0"/>
    <n v="0"/>
    <n v="0"/>
    <n v="0"/>
    <n v="0"/>
    <n v="253"/>
    <n v="7092096"/>
    <n v="0"/>
    <n v="0"/>
    <n v="0"/>
    <n v="0"/>
    <n v="600"/>
    <n v="0"/>
    <n v="0"/>
    <n v="0"/>
    <n v="0"/>
    <n v="0"/>
    <n v="0"/>
    <n v="253"/>
    <n v="7092096"/>
    <n v="0"/>
    <n v="25"/>
    <n v="0"/>
    <n v="0"/>
    <n v="0"/>
    <n v="0"/>
    <n v="1271497.4999999998"/>
    <n v="0"/>
    <n v="0"/>
    <n v="0"/>
    <n v="253"/>
    <n v="7092096"/>
    <n v="0"/>
    <n v="0"/>
    <n v="0"/>
    <n v="0"/>
    <n v="0"/>
    <n v="0"/>
    <n v="0"/>
    <n v="0"/>
    <x v="0"/>
    <x v="0"/>
    <n v="253"/>
    <n v="7092096"/>
    <n v="0"/>
    <n v="45"/>
    <n v="307"/>
    <n v="45"/>
    <n v="0"/>
    <n v="0"/>
    <n v="0"/>
    <n v="8605824"/>
    <n v="1271497.4999999998"/>
    <x v="0"/>
    <n v="0"/>
    <n v="253"/>
    <n v="7092096"/>
    <n v="3781134.453781513"/>
    <n v="100"/>
    <n v="306"/>
    <n v="53"/>
    <m/>
    <n v="0"/>
    <n v="0"/>
    <n v="8577792"/>
    <n v="1497541.4999999998"/>
    <n v="0"/>
    <n v="0"/>
    <n v="306"/>
    <n v="7092096"/>
    <n v="4453336.1344537819"/>
    <n v="60"/>
    <n v="298"/>
    <n v="45"/>
    <n v="0"/>
    <n v="0"/>
    <n v="0"/>
    <n v="8353536"/>
    <n v="1271497.4999999998"/>
    <n v="0"/>
    <n v="0"/>
    <n v="298"/>
    <n v="7092096"/>
    <n v="3781134.453781513"/>
    <n v="60"/>
    <n v="345"/>
    <n v="95"/>
    <n v="0"/>
    <n v="0"/>
    <n v="0"/>
    <n v="9671040"/>
    <n v="2684272.4999999995"/>
    <n v="0"/>
    <n v="0"/>
    <n v="345"/>
    <n v="9671040"/>
    <n v="7982394.9579831939"/>
    <n v="50"/>
    <n v="299"/>
    <n v="45"/>
    <n v="0"/>
    <n v="0"/>
    <n v="0"/>
    <n v="8448394.4999999981"/>
    <n v="1271497.4999999998"/>
    <n v="0"/>
    <n v="0"/>
    <n v="253"/>
    <n v="7092096"/>
    <n v="3781134.453781513"/>
    <n v="80"/>
    <n v="254"/>
    <n v="80"/>
    <n v="0"/>
    <n v="0"/>
    <n v="0"/>
    <m/>
    <n v="7176896.9999999991"/>
    <n v="2260439.9999999995"/>
    <n v="0"/>
    <n v="0"/>
    <n v="254"/>
    <n v="7176896.9999999991"/>
    <n v="4705210.084033614"/>
    <n v="60"/>
    <n v="174"/>
    <n v="60"/>
    <m/>
    <n v="0"/>
    <n v="0"/>
    <n v="4916456.9999999991"/>
    <n v="1695329.9999999998"/>
    <n v="0"/>
    <n v="0"/>
    <n v="174"/>
    <n v="4916456.9999999991"/>
    <n v="3528907.5630252101"/>
    <n v="70"/>
    <n v="114"/>
    <n v="70"/>
    <n v="0"/>
    <n v="0"/>
    <n v="3221126.9999999995"/>
    <n v="1977884.9999999998"/>
    <n v="0"/>
    <n v="0"/>
    <n v="114"/>
    <n v="3221126.9999999995"/>
    <n v="5881764.7058823537"/>
    <n v="36"/>
    <n v="44"/>
    <n v="36"/>
    <n v="0"/>
    <n v="0"/>
    <n v="1243241.9999999998"/>
    <n v="1009152"/>
    <n v="0"/>
    <n v="44"/>
    <n v="1243241.9999999998"/>
    <n v="3024907.5630252105"/>
  </r>
  <r>
    <s v="Simplit-Menaje de Cocina"/>
    <x v="6"/>
    <x v="27"/>
    <x v="62"/>
    <s v="SMBATSAV9-CR"/>
    <x v="624"/>
    <x v="468"/>
    <x v="0"/>
    <x v="1"/>
    <n v="1"/>
    <x v="388"/>
    <n v="480"/>
    <m/>
    <n v="0"/>
    <n v="35303"/>
    <n v="16945440"/>
    <n v="32.4"/>
    <n v="35287.749999999993"/>
    <n v="84025.210084033621"/>
    <n v="67218.487394957992"/>
    <s v="Ningbo"/>
    <x v="2"/>
    <n v="45"/>
    <m/>
    <n v="600"/>
    <n v="85"/>
    <n v="0.62054771744445025"/>
    <n v="91"/>
    <n v="0.64318437044755161"/>
    <n v="94"/>
    <n v="0.63877812236286735"/>
    <n v="30"/>
    <n v="0.61635180907403908"/>
    <n v="77"/>
    <n v="0.64658990980724929"/>
    <n v="494"/>
    <n v="0.55952009961966831"/>
    <n v="237"/>
    <n v="0.55887843458987885"/>
    <n v="186"/>
    <n v="0.5729914035939232"/>
    <n v="117"/>
    <n v="0.59284785111536387"/>
    <n v="281"/>
    <n v="0.52080991623573136"/>
    <n v="135"/>
    <n v="0.58295427720401716"/>
    <n v="146"/>
    <n v="0.56706074937646667"/>
    <n v="123"/>
    <n v="0.55350583336384584"/>
    <n v="130"/>
    <n v="0.57705267052494102"/>
    <n v="211"/>
    <n v="0.50476278427797017"/>
    <n v="129"/>
    <n v="0.53929174596108076"/>
    <n v="0.64500000000000002"/>
    <n v="257"/>
    <n v="0.52008534947195018"/>
    <n v="1.028"/>
    <n v="408"/>
    <n v="0.46520264639739378"/>
    <n v="1.02"/>
    <n v="71"/>
    <n v="0.53771232066946462"/>
    <n v="0.41764705882352943"/>
    <n v="84"/>
    <n v="0.30165982460105983"/>
    <n v="1.05"/>
    <n v="73"/>
    <n v="0.27889035220266817"/>
    <n v="0.60833333333333328"/>
    <m/>
    <m/>
    <m/>
    <m/>
    <m/>
    <m/>
    <m/>
    <m/>
    <m/>
    <n v="150"/>
    <n v="324"/>
    <n v="120"/>
    <n v="600"/>
    <n v="600"/>
    <n v="0"/>
    <n v="18569378"/>
    <n v="10865016"/>
    <n v="4236360"/>
    <n v="0"/>
    <n v="480"/>
    <n v="16945440"/>
    <n v="8473130.4286420457"/>
    <n v="120"/>
    <n v="819"/>
    <n v="195"/>
    <n v="600"/>
    <n v="0"/>
    <n v="0"/>
    <n v="18887105"/>
    <n v="27464346"/>
    <n v="6884085"/>
    <n v="0"/>
    <n v="480"/>
    <n v="16945440"/>
    <n v="13768836.946543325"/>
    <n v="200"/>
    <n v="674"/>
    <n v="211"/>
    <n v="0"/>
    <n v="0"/>
    <n v="20386520"/>
    <n v="23794222"/>
    <n v="7448933"/>
    <n v="0"/>
    <n v="480"/>
    <n v="16945440"/>
    <n v="17729319.327731095"/>
    <n v="200"/>
    <n v="1055"/>
    <n v="129"/>
    <n v="0"/>
    <n v="0"/>
    <n v="35378370"/>
    <n v="4554087"/>
    <x v="0"/>
    <x v="0"/>
    <n v="480"/>
    <n v="16945440"/>
    <n v="10839252.100840338"/>
    <n v="250"/>
    <n v="737"/>
    <n v="250"/>
    <n v="0"/>
    <n v="0"/>
    <n v="0"/>
    <n v="26018311"/>
    <n v="8383500"/>
    <x v="0"/>
    <n v="0"/>
    <n v="480"/>
    <n v="16945440"/>
    <n v="21006302.521008406"/>
    <n v="400"/>
    <n v="888"/>
    <n v="408"/>
    <m/>
    <n v="0"/>
    <n v="0"/>
    <n v="31349064"/>
    <n v="13681872"/>
    <n v="0"/>
    <n v="0"/>
    <n v="888"/>
    <n v="16945440"/>
    <n v="34282285.714285716"/>
    <n v="170"/>
    <n v="551"/>
    <n v="71"/>
    <n v="0"/>
    <n v="0"/>
    <n v="0"/>
    <n v="19451953"/>
    <n v="2380914"/>
    <n v="0"/>
    <n v="0"/>
    <n v="551"/>
    <n v="16945440"/>
    <n v="5965789.9159663869"/>
    <n v="80"/>
    <n v="564"/>
    <n v="86"/>
    <n v="600"/>
    <n v="440"/>
    <n v="0"/>
    <n v="19910892"/>
    <n v="2883924"/>
    <n v="20120400"/>
    <n v="0"/>
    <n v="564"/>
    <n v="19910892"/>
    <n v="7226168.0672268914"/>
    <n v="120"/>
    <n v="553"/>
    <n v="79.5"/>
    <n v="0"/>
    <n v="0"/>
    <n v="0"/>
    <n v="18544302"/>
    <n v="2665953"/>
    <n v="0"/>
    <n v="0"/>
    <n v="480"/>
    <n v="16945440"/>
    <n v="6680004.2016806733"/>
    <n v="250"/>
    <n v="473.5"/>
    <n v="250"/>
    <n v="0"/>
    <n v="0"/>
    <n v="60"/>
    <n v="60"/>
    <n v="15878349"/>
    <n v="8383500"/>
    <n v="0"/>
    <n v="2012040"/>
    <n v="533.5"/>
    <n v="17890389"/>
    <n v="16804621.848739497"/>
    <n v="150"/>
    <n v="283.5"/>
    <n v="150"/>
    <m/>
    <m/>
    <n v="0"/>
    <n v="9506889"/>
    <n v="5030100"/>
    <n v="0"/>
    <n v="0"/>
    <n v="283.5"/>
    <n v="9506889"/>
    <n v="10082773.109243698"/>
    <n v="150"/>
    <n v="133.5"/>
    <n v="150"/>
    <n v="600"/>
    <n v="300"/>
    <n v="4476789"/>
    <n v="5030100"/>
    <n v="20120400"/>
    <n v="10060200"/>
    <n v="433.5"/>
    <n v="14536989"/>
    <n v="12603781.512605043"/>
    <n v="90"/>
    <n v="283.5"/>
    <n v="90"/>
    <n v="0"/>
    <n v="300"/>
    <n v="9506889"/>
    <n v="3177270"/>
    <n v="10060200"/>
    <n v="583.5"/>
    <n v="19567089"/>
    <n v="7562268.9075630261"/>
  </r>
  <r>
    <s v="Simplit-Menaje de Cocina"/>
    <x v="6"/>
    <x v="27"/>
    <x v="63"/>
    <s v="SIMCENVER-CR"/>
    <x v="625"/>
    <x v="469"/>
    <x v="0"/>
    <x v="3"/>
    <n v="1"/>
    <x v="389"/>
    <n v="193"/>
    <m/>
    <n v="0"/>
    <n v="2768"/>
    <n v="534224"/>
    <n v="2.77"/>
    <n v="3026.2249999999999"/>
    <n v="12596.638655462186"/>
    <n v="10915.966386554623"/>
    <s v="Shenzhen"/>
    <x v="0"/>
    <n v="30"/>
    <m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16"/>
    <n v="0.75022778451810468"/>
    <n v="20"/>
    <n v="0.73159614633699066"/>
    <n v="30"/>
    <n v="0.78284781136617176"/>
    <n v="9"/>
    <n v="0.74168592909968933"/>
    <n v="24"/>
    <n v="0.65838574918886761"/>
    <n v="48"/>
    <n v="0.67438604988818784"/>
    <n v="33"/>
    <n v="0.68894555386637402"/>
    <n v="0.82499999999999996"/>
    <n v="17"/>
    <n v="0.74033211528260745"/>
    <n v="0.48571428571428571"/>
    <n v="52"/>
    <n v="0.60351704794192795"/>
    <n v="0.94545454545454544"/>
    <n v="22"/>
    <n v="0.74522672811059909"/>
    <n v="0.55000000000000004"/>
    <n v="4"/>
    <n v="0.54705493295815255"/>
    <n v="0.11428571428571428"/>
    <n v="32"/>
    <n v="0.57370559890098527"/>
    <n v="0.8"/>
    <m/>
    <m/>
    <m/>
    <m/>
    <m/>
    <m/>
    <m/>
    <m/>
    <m/>
    <n v="30"/>
    <n v="240"/>
    <n v="20"/>
    <n v="0"/>
    <n v="0"/>
    <n v="0"/>
    <n v="287872"/>
    <n v="688068"/>
    <n v="55360"/>
    <n v="0"/>
    <n v="193"/>
    <n v="534224"/>
    <n v="211708.21269684349"/>
    <n v="25"/>
    <n v="231"/>
    <n v="36"/>
    <n v="0"/>
    <n v="0"/>
    <n v="0"/>
    <n v="323856"/>
    <n v="662265.44999999995"/>
    <n v="99648"/>
    <n v="0"/>
    <n v="193"/>
    <n v="534224"/>
    <n v="381074.78285431827"/>
    <n v="45"/>
    <n v="209"/>
    <n v="48"/>
    <n v="0"/>
    <n v="0"/>
    <n v="324551.25"/>
    <n v="578512"/>
    <n v="132864"/>
    <n v="0"/>
    <n v="193"/>
    <n v="534224"/>
    <n v="604638.65546218492"/>
    <n v="40"/>
    <n v="141"/>
    <n v="33"/>
    <n v="200"/>
    <n v="0"/>
    <n v="404239.94999999995"/>
    <n v="91344"/>
    <x v="72"/>
    <x v="0"/>
    <n v="193"/>
    <n v="534224"/>
    <n v="415689.07563025213"/>
    <n v="35"/>
    <n v="210"/>
    <n v="35"/>
    <m/>
    <n v="0"/>
    <n v="0"/>
    <n v="581280"/>
    <n v="100343.25"/>
    <x v="0"/>
    <n v="0"/>
    <n v="193"/>
    <n v="534224"/>
    <n v="440882.3529411765"/>
    <n v="55"/>
    <n v="245"/>
    <n v="52"/>
    <m/>
    <n v="0"/>
    <n v="0"/>
    <n v="678160"/>
    <n v="149081.4"/>
    <n v="0"/>
    <n v="0"/>
    <n v="245"/>
    <n v="534224"/>
    <n v="655025.21008403366"/>
    <n v="40"/>
    <n v="215"/>
    <n v="22"/>
    <n v="0"/>
    <n v="0"/>
    <n v="0"/>
    <n v="595120"/>
    <n v="63072.899999999994"/>
    <n v="0"/>
    <n v="0"/>
    <n v="215"/>
    <n v="534224"/>
    <n v="277126.05042016809"/>
    <n v="35"/>
    <n v="197"/>
    <n v="4"/>
    <n v="0"/>
    <n v="200"/>
    <n v="0"/>
    <n v="545296"/>
    <n v="11467.8"/>
    <n v="0"/>
    <n v="0"/>
    <n v="197"/>
    <n v="545296"/>
    <n v="50386.554621848743"/>
    <n v="40"/>
    <n v="225"/>
    <n v="31.5"/>
    <n v="0"/>
    <n v="0"/>
    <n v="0"/>
    <n v="645063.75"/>
    <n v="90308.924999999988"/>
    <n v="0"/>
    <n v="0"/>
    <n v="193"/>
    <n v="534224"/>
    <n v="396794.11764705885"/>
    <n v="50"/>
    <n v="193.5"/>
    <n v="50"/>
    <n v="0"/>
    <n v="0"/>
    <n v="0"/>
    <m/>
    <n v="554754.82499999995"/>
    <n v="143347.5"/>
    <n v="0"/>
    <n v="0"/>
    <n v="193.5"/>
    <n v="554754.82499999995"/>
    <n v="545798.31932773115"/>
    <n v="40"/>
    <n v="143.5"/>
    <n v="40"/>
    <m/>
    <n v="0"/>
    <n v="0"/>
    <n v="411407.32499999995"/>
    <n v="114678"/>
    <n v="0"/>
    <n v="0"/>
    <n v="143.5"/>
    <n v="411407.32499999995"/>
    <n v="436638.65546218492"/>
    <n v="70"/>
    <n v="103.5"/>
    <n v="70"/>
    <n v="0"/>
    <n v="0"/>
    <n v="296729.32499999995"/>
    <n v="200686.5"/>
    <n v="0"/>
    <n v="0"/>
    <n v="103.5"/>
    <n v="296729.32499999995"/>
    <n v="881764.70588235301"/>
    <n v="24"/>
    <n v="33.5"/>
    <n v="24"/>
    <n v="0"/>
    <m/>
    <n v="96042.824999999997"/>
    <n v="66432"/>
    <n v="0"/>
    <n v="33.5"/>
    <n v="96042.824999999997"/>
    <n v="302319.32773109246"/>
  </r>
  <r>
    <s v="Simplit-Menaje de Cocina"/>
    <x v="6"/>
    <x v="27"/>
    <x v="63"/>
    <s v="SIMCUCER-24"/>
    <x v="626"/>
    <x v="470"/>
    <x v="0"/>
    <x v="1"/>
    <n v="1"/>
    <x v="390"/>
    <n v="567"/>
    <m/>
    <n v="0"/>
    <n v="6997"/>
    <n v="3967299"/>
    <n v="7.15"/>
    <n v="7811.3749999999991"/>
    <n v="18478.991596638658"/>
    <n v="14277.310924369749"/>
    <s v="Shenzhen"/>
    <x v="0"/>
    <n v="60"/>
    <m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0"/>
    <s v=""/>
    <n v="0"/>
    <s v=""/>
    <n v="0"/>
    <n v="22"/>
    <n v="0.56649205055034657"/>
    <n v="0.55000000000000004"/>
    <n v="119"/>
    <n v="0.28897471374146388"/>
    <n v="0.79333333333333333"/>
    <n v="75"/>
    <n v="0.57047738103358114"/>
    <n v="1.0714285714285714"/>
    <n v="83"/>
    <n v="0.33589994116602229"/>
    <n v="1.1857142857142857"/>
    <n v="113"/>
    <n v="0.2515491722267198"/>
    <n v="1.6142857142857143"/>
    <m/>
    <m/>
    <m/>
    <m/>
    <m/>
    <m/>
    <m/>
    <m/>
    <m/>
    <n v="0"/>
    <n v="0"/>
    <n v="0"/>
    <n v="0"/>
    <n v="0"/>
    <n v="0"/>
    <n v="0"/>
    <n v="0"/>
    <n v="0"/>
    <n v="0"/>
    <n v="567"/>
    <n v="3967299"/>
    <n v="0"/>
    <n v="0"/>
    <n v="0"/>
    <n v="0"/>
    <n v="0"/>
    <n v="0"/>
    <n v="0"/>
    <n v="0"/>
    <n v="0"/>
    <n v="0"/>
    <n v="0"/>
    <n v="567"/>
    <n v="3967299"/>
    <n v="0"/>
    <n v="0"/>
    <n v="0"/>
    <n v="0"/>
    <n v="0"/>
    <n v="0"/>
    <n v="296009.99999999994"/>
    <n v="0"/>
    <n v="0"/>
    <n v="0"/>
    <n v="567"/>
    <n v="3967299"/>
    <n v="0"/>
    <n v="0"/>
    <n v="500"/>
    <n v="0"/>
    <n v="0"/>
    <n v="0"/>
    <n v="3700124.9999999995"/>
    <n v="0"/>
    <x v="0"/>
    <x v="0"/>
    <n v="567"/>
    <n v="3967299"/>
    <n v="0"/>
    <n v="40"/>
    <n v="589"/>
    <n v="40"/>
    <n v="0"/>
    <n v="500"/>
    <n v="0"/>
    <n v="4121233"/>
    <n v="296009.99999999994"/>
    <x v="0"/>
    <n v="0"/>
    <n v="567"/>
    <n v="3967299"/>
    <n v="739159.66386554635"/>
    <n v="150"/>
    <n v="686"/>
    <n v="119"/>
    <m/>
    <n v="0"/>
    <n v="0"/>
    <n v="4799942"/>
    <n v="880629.74999999988"/>
    <n v="0"/>
    <n v="0"/>
    <n v="686"/>
    <n v="3967299"/>
    <n v="2199000.0000000005"/>
    <n v="70"/>
    <n v="642"/>
    <n v="75"/>
    <n v="500"/>
    <n v="500"/>
    <n v="0"/>
    <n v="4492074"/>
    <n v="555018.74999999988"/>
    <n v="3576787.5"/>
    <n v="0"/>
    <n v="642"/>
    <n v="3967299"/>
    <n v="1385924.3697478992"/>
    <n v="70"/>
    <n v="650"/>
    <n v="85"/>
    <n v="0"/>
    <n v="0"/>
    <n v="0"/>
    <n v="4548050"/>
    <n v="629021.24999999988"/>
    <n v="0"/>
    <n v="0"/>
    <n v="650"/>
    <n v="4548050"/>
    <n v="1570714.2857142859"/>
    <n v="70"/>
    <n v="680"/>
    <n v="130.5"/>
    <n v="0"/>
    <n v="0"/>
    <n v="0"/>
    <n v="5032169.9999999991"/>
    <n v="965732.62499999988"/>
    <n v="0"/>
    <n v="0"/>
    <n v="567"/>
    <n v="3967299"/>
    <n v="2411508.4033613447"/>
    <n v="150"/>
    <n v="549.5"/>
    <n v="150"/>
    <n v="0"/>
    <n v="0"/>
    <n v="0"/>
    <m/>
    <n v="4066437.3749999995"/>
    <n v="1110037.4999999998"/>
    <n v="0"/>
    <n v="0"/>
    <n v="549.5"/>
    <n v="4066437.3749999995"/>
    <n v="2141596.6386554623"/>
    <n v="120"/>
    <n v="399.5"/>
    <n v="120"/>
    <m/>
    <n v="0"/>
    <n v="0"/>
    <n v="2956399.8749999995"/>
    <n v="888029.99999999988"/>
    <n v="0"/>
    <n v="0"/>
    <n v="399.5"/>
    <n v="2956399.8749999995"/>
    <n v="1713277.3109243698"/>
    <n v="200"/>
    <n v="279.5"/>
    <n v="200"/>
    <n v="0"/>
    <n v="0"/>
    <n v="2068369.8749999998"/>
    <n v="1480049.9999999998"/>
    <n v="0"/>
    <n v="0"/>
    <n v="279.5"/>
    <n v="2068369.8749999998"/>
    <n v="3695798.3193277316"/>
    <n v="72"/>
    <n v="79.5"/>
    <n v="72"/>
    <n v="0"/>
    <m/>
    <n v="588319.87499999988"/>
    <n v="503784"/>
    <n v="0"/>
    <n v="79.5"/>
    <n v="588319.87499999988"/>
    <n v="1330487.3949579834"/>
  </r>
  <r>
    <s v="Simplit-Menaje de Cocina"/>
    <x v="6"/>
    <x v="27"/>
    <x v="63"/>
    <s v="SIMCUHOL-5"/>
    <x v="627"/>
    <x v="471"/>
    <x v="0"/>
    <x v="3"/>
    <n v="0.8"/>
    <x v="391"/>
    <n v="99"/>
    <m/>
    <n v="0"/>
    <n v="20235"/>
    <n v="2003265"/>
    <n v="21.98"/>
    <n v="24013.149999999998"/>
    <n v="50411.764705882357"/>
    <n v="42008.403361344543"/>
    <s v="Shenzhen"/>
    <x v="0"/>
    <n v="60"/>
    <m/>
    <n v="300"/>
    <n v="35"/>
    <n v="0.50046696171516658"/>
    <n v="3"/>
    <n v="0.59668338945776922"/>
    <n v="5"/>
    <n v="0.60347506125903716"/>
    <n v="22"/>
    <n v="0.49370092028093199"/>
    <n v="20"/>
    <n v="0.53435740284717692"/>
    <n v="79"/>
    <n v="0.45114869342700187"/>
    <n v="42"/>
    <n v="0.47137374218854022"/>
    <n v="73"/>
    <n v="0.45044381498536157"/>
    <n v="56"/>
    <n v="0.4945808501640116"/>
    <n v="72"/>
    <n v="0.49612566848434037"/>
    <n v="26"/>
    <n v="0.56807419668259795"/>
    <n v="29"/>
    <n v="0.57735384238355103"/>
    <n v="27"/>
    <n v="0.37108359097789551"/>
    <n v="6"/>
    <n v="0.33774061710681608"/>
    <n v="2"/>
    <n v="0.40388070398511344"/>
    <n v="12"/>
    <n v="0.51523931270115175"/>
    <n v="0.26666666666666666"/>
    <n v="20"/>
    <n v="0.50388812918982839"/>
    <n v="0.5"/>
    <n v="68"/>
    <n v="0.45561379517710199"/>
    <n v="0.75555555555555554"/>
    <n v="34"/>
    <n v="0.53953006200243214"/>
    <n v="0.56666666666666665"/>
    <n v="30"/>
    <n v="0.4072556490354074"/>
    <n v="0.8571428571428571"/>
    <n v="13"/>
    <n v="0.37631905552864348"/>
    <n v="0.28888888888888886"/>
    <m/>
    <m/>
    <m/>
    <m/>
    <m/>
    <m/>
    <m/>
    <m/>
    <m/>
    <n v="35"/>
    <n v="38"/>
    <n v="35"/>
    <n v="0"/>
    <n v="0"/>
    <n v="0"/>
    <n v="930810"/>
    <n v="864473.4"/>
    <n v="708225"/>
    <n v="0"/>
    <n v="99"/>
    <n v="2003265"/>
    <n v="1482698.9619377165"/>
    <n v="0"/>
    <n v="25"/>
    <n v="9"/>
    <n v="300"/>
    <n v="300"/>
    <n v="0"/>
    <n v="465405"/>
    <n v="568732.5"/>
    <n v="182115"/>
    <n v="0"/>
    <n v="99"/>
    <n v="2003265"/>
    <n v="381265.44735541282"/>
    <n v="30"/>
    <n v="21"/>
    <n v="2"/>
    <n v="0"/>
    <n v="0"/>
    <n v="1011267.6"/>
    <n v="424935"/>
    <n v="40470"/>
    <n v="0"/>
    <n v="99"/>
    <n v="2003265"/>
    <n v="100823.52941176471"/>
    <n v="45"/>
    <n v="293"/>
    <n v="12"/>
    <n v="0"/>
    <n v="0"/>
    <n v="6665544.8999999994"/>
    <n v="242820"/>
    <x v="0"/>
    <x v="0"/>
    <n v="99"/>
    <n v="2003265"/>
    <n v="604941.17647058831"/>
    <n v="40"/>
    <n v="119"/>
    <n v="32"/>
    <m/>
    <n v="0"/>
    <n v="0"/>
    <n v="2407965"/>
    <n v="727977.6"/>
    <x v="0"/>
    <n v="0"/>
    <n v="99"/>
    <n v="2003265"/>
    <n v="1613176.4705882354"/>
    <n v="90"/>
    <n v="167"/>
    <n v="68"/>
    <m/>
    <n v="0"/>
    <n v="0"/>
    <n v="3379245"/>
    <n v="1546952.4"/>
    <n v="0"/>
    <n v="0"/>
    <n v="167"/>
    <n v="2003265"/>
    <n v="3428000.0000000005"/>
    <n v="60"/>
    <n v="133"/>
    <n v="34"/>
    <n v="0"/>
    <n v="0"/>
    <n v="0"/>
    <n v="2691255"/>
    <n v="773476.2"/>
    <n v="0"/>
    <n v="0"/>
    <n v="133"/>
    <n v="2003265"/>
    <n v="1714000.0000000002"/>
    <n v="35"/>
    <n v="129"/>
    <n v="31"/>
    <n v="0"/>
    <n v="0"/>
    <n v="0"/>
    <n v="2610315"/>
    <n v="705228.29999999993"/>
    <n v="0"/>
    <n v="0"/>
    <n v="129"/>
    <n v="2610315"/>
    <n v="1562764.705882353"/>
    <n v="45"/>
    <n v="112"/>
    <n v="12"/>
    <n v="250"/>
    <n v="100"/>
    <n v="0"/>
    <n v="2547921.6"/>
    <n v="272991.59999999998"/>
    <n v="5687325"/>
    <n v="0"/>
    <n v="99"/>
    <n v="2003265"/>
    <n v="604941.17647058831"/>
    <n v="70"/>
    <n v="100"/>
    <n v="56"/>
    <n v="0"/>
    <n v="0"/>
    <n v="0"/>
    <n v="100"/>
    <n v="2274930"/>
    <n v="1273960.8"/>
    <n v="0"/>
    <n v="0"/>
    <n v="100"/>
    <n v="2274930"/>
    <n v="2352470.5882352944"/>
    <n v="40"/>
    <n v="44"/>
    <n v="32"/>
    <m/>
    <n v="0"/>
    <n v="252"/>
    <n v="1000969.2"/>
    <n v="727977.6"/>
    <n v="0"/>
    <n v="5732823.5999999996"/>
    <n v="296"/>
    <n v="6733792.7999999998"/>
    <n v="1344268.9075630254"/>
    <n v="45"/>
    <n v="264"/>
    <n v="36"/>
    <n v="0"/>
    <n v="0"/>
    <n v="6005815.2000000002"/>
    <n v="818974.79999999993"/>
    <n v="0"/>
    <n v="0"/>
    <n v="264"/>
    <n v="6005815.2000000002"/>
    <n v="1814823.5294117648"/>
    <n v="24"/>
    <n v="228"/>
    <n v="19.200000000000003"/>
    <n v="0"/>
    <m/>
    <n v="5186840.3999999994"/>
    <n v="388512.00000000006"/>
    <n v="0"/>
    <n v="228"/>
    <n v="5186840.3999999994"/>
    <n v="967905.88235294144"/>
  </r>
  <r>
    <s v="Simplit-Menaje de Cocina"/>
    <x v="6"/>
    <x v="27"/>
    <x v="63"/>
    <s v="SIMCUKUC-5"/>
    <x v="628"/>
    <x v="472"/>
    <x v="0"/>
    <x v="1"/>
    <n v="1"/>
    <x v="392"/>
    <n v="197"/>
    <m/>
    <n v="0"/>
    <n v="14578"/>
    <n v="2871866"/>
    <n v="14.25"/>
    <n v="15568.124999999998"/>
    <n v="33605.042016806721"/>
    <n v="29403.361344537818"/>
    <s v="Shenzhen"/>
    <x v="0"/>
    <n v="60"/>
    <m/>
    <n v="300"/>
    <n v="12"/>
    <n v="0.61477757520556175"/>
    <n v="8"/>
    <n v="0.62304603480321685"/>
    <n v="25"/>
    <n v="0.61893331890295422"/>
    <n v="27"/>
    <n v="0.57131001058614683"/>
    <n v="31"/>
    <n v="0.61033376612224444"/>
    <n v="102"/>
    <n v="0.51246791528438007"/>
    <n v="55"/>
    <n v="0.51122315832570131"/>
    <n v="84"/>
    <n v="0.51275483204627448"/>
    <n v="63"/>
    <n v="0.55813604496083691"/>
    <n v="48"/>
    <n v="0.55515229345312855"/>
    <n v="33"/>
    <n v="0.66088173996721666"/>
    <n v="24"/>
    <n v="0.64519121954327263"/>
    <n v="26"/>
    <n v="0.45454659657609253"/>
    <n v="42"/>
    <n v="0.43047727218712928"/>
    <n v="75"/>
    <n v="0.43113066839885761"/>
    <n v="38"/>
    <n v="0.48656798920494937"/>
    <n v="0.76"/>
    <n v="48"/>
    <n v="0.53007686718809988"/>
    <n v="1.3714285714285714"/>
    <n v="82"/>
    <n v="0.46058369247993203"/>
    <n v="0.82"/>
    <n v="54"/>
    <n v="0.49230053642855043"/>
    <n v="0.9"/>
    <n v="55"/>
    <n v="0.31678627355290018"/>
    <n v="1.1000000000000001"/>
    <n v="34"/>
    <n v="0.3321747929598976"/>
    <n v="0.52307692307692311"/>
    <m/>
    <m/>
    <m/>
    <m/>
    <m/>
    <m/>
    <m/>
    <m/>
    <m/>
    <n v="40"/>
    <n v="175"/>
    <n v="40"/>
    <n v="200"/>
    <n v="100"/>
    <n v="0"/>
    <n v="2594884"/>
    <n v="2581031.2499999995"/>
    <n v="583120"/>
    <n v="0"/>
    <n v="197"/>
    <n v="2871866"/>
    <n v="1129581.2442624108"/>
    <n v="12"/>
    <n v="158"/>
    <n v="63"/>
    <n v="0"/>
    <n v="0"/>
    <n v="0"/>
    <n v="2565728"/>
    <n v="2330302.4999999995"/>
    <n v="918414"/>
    <n v="0"/>
    <n v="197"/>
    <n v="2871866"/>
    <n v="1779090.4597132972"/>
    <n v="60"/>
    <n v="111"/>
    <n v="75"/>
    <n v="0"/>
    <n v="0"/>
    <n v="2163520.25"/>
    <n v="1618158"/>
    <n v="1093350"/>
    <n v="0"/>
    <n v="197"/>
    <n v="2871866"/>
    <n v="2520378.151260504"/>
    <n v="50"/>
    <n v="319"/>
    <n v="38"/>
    <n v="0"/>
    <n v="0"/>
    <n v="4704851.2499999991"/>
    <n v="553964"/>
    <x v="0"/>
    <x v="0"/>
    <n v="197"/>
    <n v="2871866"/>
    <n v="1276991.5966386553"/>
    <n v="35"/>
    <n v="245"/>
    <n v="35"/>
    <m/>
    <n v="0"/>
    <n v="0"/>
    <n v="3571610"/>
    <n v="516206.24999999994"/>
    <x v="0"/>
    <n v="0"/>
    <n v="197"/>
    <n v="2871866"/>
    <n v="1176176.4705882352"/>
    <n v="100"/>
    <n v="279"/>
    <n v="82"/>
    <m/>
    <n v="0"/>
    <n v="0"/>
    <n v="4067262"/>
    <n v="1209397.4999999998"/>
    <n v="0"/>
    <n v="0"/>
    <n v="279"/>
    <n v="2871866"/>
    <n v="2755613.4453781513"/>
    <n v="60"/>
    <n v="251"/>
    <n v="54"/>
    <n v="250"/>
    <n v="250"/>
    <n v="0"/>
    <n v="3659078"/>
    <n v="796432.49999999988"/>
    <n v="3564281.2499999995"/>
    <n v="0"/>
    <n v="251"/>
    <n v="2871866"/>
    <n v="1814672.2689075628"/>
    <n v="50"/>
    <n v="252"/>
    <n v="56"/>
    <n v="0"/>
    <n v="0"/>
    <n v="0"/>
    <n v="3673656"/>
    <n v="825929.99999999988"/>
    <n v="0"/>
    <n v="0"/>
    <n v="252"/>
    <n v="3673656"/>
    <n v="1881882.3529411764"/>
    <n v="65"/>
    <n v="231"/>
    <n v="43.5"/>
    <n v="0"/>
    <n v="0"/>
    <n v="0"/>
    <n v="3406961.2499999995"/>
    <n v="641570.62499999988"/>
    <n v="0"/>
    <n v="0"/>
    <n v="197"/>
    <n v="2871866"/>
    <n v="1461819.3277310925"/>
    <n v="95"/>
    <n v="187.5"/>
    <n v="95"/>
    <n v="0"/>
    <n v="0"/>
    <n v="0"/>
    <m/>
    <n v="2765390.6249999995"/>
    <n v="1401131.2499999998"/>
    <n v="0"/>
    <n v="0"/>
    <n v="187.5"/>
    <n v="2765390.6249999995"/>
    <n v="2793319.3277310925"/>
    <n v="50"/>
    <n v="92.5"/>
    <n v="50"/>
    <m/>
    <n v="0"/>
    <n v="0"/>
    <n v="1364259.3749999998"/>
    <n v="737437.49999999988"/>
    <n v="0"/>
    <n v="0"/>
    <n v="92.5"/>
    <n v="1364259.3749999998"/>
    <n v="1470168.0672268909"/>
    <n v="60"/>
    <n v="42.5"/>
    <n v="42.5"/>
    <n v="0"/>
    <n v="0"/>
    <n v="626821.87499999988"/>
    <n v="626821.87499999988"/>
    <n v="0"/>
    <n v="0"/>
    <n v="42.5"/>
    <n v="626821.87499999988"/>
    <n v="1428214.2857142857"/>
    <n v="30"/>
    <n v="0"/>
    <n v="30"/>
    <n v="200"/>
    <m/>
    <n v="0"/>
    <n v="437340"/>
    <n v="0"/>
    <n v="0"/>
    <n v="0"/>
    <n v="1008151.2605042016"/>
  </r>
  <r>
    <s v="Simplit-Menaje de Cocina"/>
    <x v="6"/>
    <x v="27"/>
    <x v="63"/>
    <s v="SIMCUMAR-BK"/>
    <x v="629"/>
    <x v="473"/>
    <x v="0"/>
    <x v="3"/>
    <n v="1"/>
    <x v="393"/>
    <n v="208"/>
    <m/>
    <n v="0"/>
    <n v="2795"/>
    <n v="581360"/>
    <n v="2.77"/>
    <n v="3026.2249999999999"/>
    <n v="10915.966386554623"/>
    <n v="10915.966386554623"/>
    <s v="Shenzhen"/>
    <x v="0"/>
    <n v="60"/>
    <m/>
    <n v="300"/>
    <n v="0"/>
    <s v=""/>
    <n v="0"/>
    <s v=""/>
    <n v="6"/>
    <n v="0.81486761831277976"/>
    <n v="23"/>
    <n v="0.77876816508489599"/>
    <n v="24"/>
    <n v="0.75467269557951644"/>
    <n v="70"/>
    <n v="0.73635474711641669"/>
    <n v="34"/>
    <n v="0.705327175299031"/>
    <n v="99"/>
    <n v="0.70797376717264282"/>
    <n v="12"/>
    <n v="0.76561025343335021"/>
    <n v="5"/>
    <n v="0.75239529950669481"/>
    <n v="8"/>
    <n v="0.7680838879124785"/>
    <n v="27"/>
    <n v="0.79122775136892309"/>
    <n v="13"/>
    <n v="0.69139584134293508"/>
    <n v="49"/>
    <n v="0.42541490086826861"/>
    <n v="50"/>
    <n v="0.51600672279101956"/>
    <n v="96"/>
    <n v="0.30413423290481251"/>
    <n v="0.68571428571428572"/>
    <n v="17"/>
    <n v="0.76308196298961473"/>
    <n v="0.56666666666666665"/>
    <n v="17"/>
    <n v="0.71142230142784835"/>
    <n v="0.17"/>
    <n v="-1"/>
    <n v="0.79068712474983316"/>
    <n v="0"/>
    <n v="2"/>
    <n v="0.57776438676237662"/>
    <n v="3.3333333333333333E-2"/>
    <n v="4"/>
    <n v="0.23405637106134944"/>
    <n v="6.6666666666666666E-2"/>
    <m/>
    <m/>
    <m/>
    <m/>
    <m/>
    <m/>
    <m/>
    <m/>
    <m/>
    <n v="35"/>
    <n v="93"/>
    <n v="35"/>
    <n v="150"/>
    <n v="150"/>
    <n v="0"/>
    <n v="443007.5"/>
    <n v="266626.34999999998"/>
    <n v="97825"/>
    <n v="0"/>
    <n v="208"/>
    <n v="581360"/>
    <n v="321057.83489866537"/>
    <n v="15"/>
    <n v="83"/>
    <n v="73.5"/>
    <n v="0"/>
    <n v="0"/>
    <n v="0"/>
    <n v="613502.5"/>
    <n v="237956.84999999998"/>
    <n v="205432.5"/>
    <n v="0"/>
    <n v="208"/>
    <n v="581360"/>
    <n v="674221.45328719728"/>
    <n v="50"/>
    <n v="153"/>
    <n v="50"/>
    <n v="0"/>
    <n v="0"/>
    <n v="494078.5"/>
    <n v="427635"/>
    <n v="139750"/>
    <n v="0"/>
    <n v="208"/>
    <n v="581360"/>
    <n v="545798.31932773115"/>
    <n v="140"/>
    <n v="145"/>
    <n v="96"/>
    <n v="0"/>
    <n v="0"/>
    <n v="415707.75"/>
    <n v="268320"/>
    <x v="0"/>
    <x v="0"/>
    <n v="208"/>
    <n v="581360"/>
    <n v="1047932.7731092437"/>
    <n v="30"/>
    <n v="225"/>
    <n v="30"/>
    <m/>
    <n v="0"/>
    <n v="0"/>
    <n v="628875"/>
    <n v="86008.5"/>
    <x v="0"/>
    <n v="0"/>
    <n v="208"/>
    <n v="581360"/>
    <n v="327478.99159663869"/>
    <n v="100"/>
    <n v="225"/>
    <n v="17"/>
    <m/>
    <n v="0"/>
    <n v="0"/>
    <n v="628875"/>
    <n v="48738.149999999994"/>
    <n v="0"/>
    <n v="0"/>
    <n v="225"/>
    <n v="581360"/>
    <n v="185571.42857142858"/>
    <n v="0"/>
    <n v="207"/>
    <n v="-1"/>
    <n v="200"/>
    <n v="200"/>
    <n v="0"/>
    <n v="578565"/>
    <n v="-2866.95"/>
    <n v="554277"/>
    <n v="0"/>
    <n v="207"/>
    <n v="581360"/>
    <n v="-10915.966386554623"/>
    <n v="60"/>
    <n v="210"/>
    <n v="2"/>
    <n v="0"/>
    <n v="0"/>
    <n v="0"/>
    <n v="586950"/>
    <n v="5733.9"/>
    <n v="0"/>
    <n v="0"/>
    <n v="210"/>
    <n v="586950"/>
    <n v="21831.932773109245"/>
    <n v="60"/>
    <n v="212"/>
    <n v="0"/>
    <n v="500"/>
    <n v="500"/>
    <n v="0"/>
    <n v="607793.39999999991"/>
    <n v="0"/>
    <n v="1433475"/>
    <n v="0"/>
    <n v="208"/>
    <n v="581360"/>
    <n v="0"/>
    <n v="50"/>
    <n v="212"/>
    <n v="50"/>
    <n v="0"/>
    <n v="0"/>
    <n v="0"/>
    <n v="500"/>
    <n v="607793.39999999991"/>
    <n v="143347.5"/>
    <n v="0"/>
    <n v="0"/>
    <n v="212"/>
    <n v="607793.39999999991"/>
    <n v="545798.31932773115"/>
    <n v="40"/>
    <n v="162"/>
    <n v="40"/>
    <m/>
    <n v="0"/>
    <n v="504"/>
    <n v="464445.89999999997"/>
    <n v="114678"/>
    <n v="0"/>
    <n v="1444942.7999999998"/>
    <n v="666"/>
    <n v="1909388.6999999997"/>
    <n v="436638.65546218492"/>
    <n v="60"/>
    <n v="626"/>
    <n v="60"/>
    <n v="0"/>
    <n v="0"/>
    <n v="1794710.7"/>
    <n v="172017"/>
    <n v="0"/>
    <n v="0"/>
    <n v="626"/>
    <n v="1794710.7"/>
    <n v="654957.98319327738"/>
    <n v="24"/>
    <n v="566"/>
    <n v="24"/>
    <n v="0"/>
    <m/>
    <n v="1622693.7"/>
    <n v="67080"/>
    <n v="0"/>
    <n v="566"/>
    <n v="1622693.7"/>
    <n v="261983.19327731093"/>
  </r>
  <r>
    <s v="Simplit-Menaje de Cocina"/>
    <x v="6"/>
    <x v="27"/>
    <x v="63"/>
    <s v="SIMCUMAR-CR"/>
    <x v="630"/>
    <x v="474"/>
    <x v="0"/>
    <x v="4"/>
    <n v="1"/>
    <x v="31"/>
    <n v="0"/>
    <m/>
    <n v="0"/>
    <n v="3026.2249999999999"/>
    <n v="0"/>
    <n v="2.77"/>
    <n v="3026.2249999999999"/>
    <n v="7629.1386554621849"/>
    <n v="6484.7678571428569"/>
    <s v="Shenzhen"/>
    <x v="0"/>
    <n v="60"/>
    <m/>
    <n v="3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n v="0"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0"/>
    <n v="0"/>
    <n v="0"/>
    <n v="0"/>
    <n v="0"/>
    <m/>
    <n v="0"/>
    <n v="0"/>
    <n v="0"/>
    <n v="0"/>
    <n v="0"/>
    <n v="0"/>
    <n v="0"/>
    <n v="40"/>
    <n v="0"/>
    <n v="0"/>
    <m/>
    <n v="0"/>
    <n v="0"/>
    <n v="0"/>
    <n v="0"/>
    <n v="0"/>
    <n v="0"/>
    <n v="0"/>
    <n v="0"/>
    <n v="0"/>
    <n v="50"/>
    <n v="0"/>
    <n v="0"/>
    <n v="0"/>
    <n v="0"/>
    <n v="0"/>
    <n v="0"/>
    <n v="0"/>
    <n v="0"/>
    <n v="0"/>
    <n v="0"/>
    <n v="0"/>
    <n v="24"/>
    <n v="0"/>
    <n v="24"/>
    <n v="0"/>
    <m/>
    <n v="0"/>
    <n v="72629.399999999994"/>
    <n v="0"/>
    <n v="0"/>
    <n v="0"/>
    <n v="183099.32773109243"/>
  </r>
  <r>
    <m/>
    <x v="6"/>
    <x v="27"/>
    <x v="63"/>
    <s v="SIMCUMAR-WO"/>
    <x v="631"/>
    <x v="475"/>
    <x v="0"/>
    <x v="0"/>
    <n v="1"/>
    <x v="394"/>
    <n v="121"/>
    <m/>
    <n v="0"/>
    <n v="5277"/>
    <n v="638517"/>
    <n v="5.25"/>
    <n v="5735.625"/>
    <n v="10915.966386554623"/>
    <n v="12596.638655462186"/>
    <s v="Shenzhen"/>
    <x v="0"/>
    <n v="60"/>
    <m/>
    <n v="300"/>
    <n v="0"/>
    <s v=""/>
    <n v="0"/>
    <s v=""/>
    <n v="7"/>
    <n v="0.63953472184059645"/>
    <n v="9"/>
    <n v="0.62741959732664765"/>
    <n v="5"/>
    <n v="0.65468299185216394"/>
    <n v="17"/>
    <n v="0.55929761776802145"/>
    <n v="15"/>
    <n v="0.62409047159862485"/>
    <n v="9"/>
    <n v="0.59711967849604275"/>
    <n v="14"/>
    <n v="0.54856030695570879"/>
    <n v="41"/>
    <n v="0.5572589535449507"/>
    <n v="15"/>
    <n v="0.65239221150778504"/>
    <n v="19"/>
    <n v="0.58397619357061525"/>
    <n v="9"/>
    <n v="0.60582010320586999"/>
    <n v="19"/>
    <n v="0.30920901547779595"/>
    <n v="15"/>
    <n v="0.26093253464414035"/>
    <n v="19"/>
    <n v="0.44361160991112208"/>
    <n v="1.2666666666666666"/>
    <n v="11"/>
    <n v="0.61209395397589206"/>
    <n v="0.73333333333333328"/>
    <n v="29"/>
    <n v="0.53517134146272083"/>
    <n v="1.45"/>
    <n v="7"/>
    <n v="0.53805261072030108"/>
    <n v="0.35"/>
    <n v="10"/>
    <n v="0.32224749282609266"/>
    <n v="0.41666666666666669"/>
    <n v="11"/>
    <n v="0.3595229060830808"/>
    <n v="0"/>
    <m/>
    <m/>
    <m/>
    <m/>
    <m/>
    <m/>
    <m/>
    <m/>
    <m/>
    <n v="15"/>
    <n v="144"/>
    <n v="15"/>
    <n v="0"/>
    <n v="0"/>
    <n v="0"/>
    <n v="308704.5"/>
    <n v="782460"/>
    <n v="79155"/>
    <n v="0"/>
    <n v="121"/>
    <n v="638517"/>
    <n v="137596.21495657088"/>
    <n v="10"/>
    <n v="134"/>
    <n v="28.5"/>
    <n v="0"/>
    <n v="0"/>
    <n v="0"/>
    <n v="329812.5"/>
    <n v="728122.5"/>
    <n v="150394.5"/>
    <n v="0"/>
    <n v="121"/>
    <n v="638517"/>
    <n v="261432.80841748469"/>
    <n v="40"/>
    <n v="111"/>
    <n v="15"/>
    <n v="0"/>
    <n v="0"/>
    <n v="260924.25"/>
    <n v="585747"/>
    <n v="79155"/>
    <n v="0"/>
    <n v="121"/>
    <n v="638517"/>
    <n v="163739.49579831935"/>
    <n v="15"/>
    <n v="100"/>
    <n v="19"/>
    <n v="0"/>
    <n v="0"/>
    <n v="543375"/>
    <n v="100263"/>
    <x v="0"/>
    <x v="0"/>
    <n v="121"/>
    <n v="638517"/>
    <n v="207403.36134453784"/>
    <n v="15"/>
    <n v="132"/>
    <n v="15"/>
    <m/>
    <n v="0"/>
    <n v="0"/>
    <n v="696564"/>
    <n v="81506.25"/>
    <x v="0"/>
    <n v="0"/>
    <n v="121"/>
    <n v="638517"/>
    <n v="163739.49579831935"/>
    <n v="20"/>
    <n v="150"/>
    <n v="29"/>
    <m/>
    <n v="0"/>
    <n v="0"/>
    <n v="791550"/>
    <n v="157578.75"/>
    <n v="0"/>
    <n v="0"/>
    <n v="150"/>
    <n v="638517"/>
    <n v="316563.02521008404"/>
    <n v="20"/>
    <n v="128"/>
    <n v="7"/>
    <n v="100"/>
    <n v="100"/>
    <n v="0"/>
    <n v="675456"/>
    <n v="38036.25"/>
    <n v="525262.5"/>
    <n v="0"/>
    <n v="128"/>
    <n v="638517"/>
    <n v="76411.764705882364"/>
    <n v="24"/>
    <n v="131"/>
    <n v="10"/>
    <n v="0"/>
    <n v="0"/>
    <n v="0"/>
    <n v="691287"/>
    <n v="54337.5"/>
    <n v="0"/>
    <n v="0"/>
    <n v="131"/>
    <n v="691287"/>
    <n v="109159.66386554623"/>
    <n v="0"/>
    <n v="132"/>
    <n v="13.5"/>
    <n v="0"/>
    <n v="0"/>
    <n v="0"/>
    <n v="717255"/>
    <n v="73355.625"/>
    <n v="0"/>
    <n v="0"/>
    <n v="121"/>
    <n v="638517"/>
    <n v="147365.5462184874"/>
    <n v="0"/>
    <n v="118.5"/>
    <n v="0"/>
    <n v="0"/>
    <n v="0"/>
    <n v="0"/>
    <m/>
    <n v="643899.375"/>
    <n v="0"/>
    <n v="0"/>
    <n v="0"/>
    <n v="118.5"/>
    <n v="643899.375"/>
    <n v="0"/>
    <n v="0"/>
    <n v="118.5"/>
    <n v="0"/>
    <m/>
    <n v="0"/>
    <n v="0"/>
    <n v="643899.375"/>
    <n v="0"/>
    <n v="0"/>
    <n v="0"/>
    <n v="118.5"/>
    <n v="643899.375"/>
    <n v="0"/>
    <n v="0"/>
    <n v="118.5"/>
    <n v="0"/>
    <n v="0"/>
    <n v="0"/>
    <n v="643899.375"/>
    <n v="0"/>
    <n v="0"/>
    <n v="0"/>
    <n v="118.5"/>
    <n v="643899.375"/>
    <n v="0"/>
    <n v="0"/>
    <n v="118.5"/>
    <n v="0"/>
    <n v="0"/>
    <m/>
    <n v="643899.375"/>
    <n v="0"/>
    <n v="0"/>
    <n v="118.5"/>
    <n v="643899.375"/>
    <n v="0"/>
  </r>
  <r>
    <s v="Simplit-Menaje de Cocina"/>
    <x v="6"/>
    <x v="27"/>
    <x v="63"/>
    <s v="SIMCUPAR-BK"/>
    <x v="632"/>
    <x v="476"/>
    <x v="0"/>
    <x v="1"/>
    <n v="1"/>
    <x v="395"/>
    <n v="392"/>
    <m/>
    <n v="0"/>
    <n v="9847"/>
    <n v="3860024"/>
    <n v="9.8000000000000007"/>
    <n v="10706.5"/>
    <n v="25201.680672268907"/>
    <n v="19319.327731092439"/>
    <s v="Shenzhen"/>
    <x v="0"/>
    <n v="60"/>
    <m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"/>
    <n v="0.2"/>
    <n v="10"/>
    <n v="0.53030580611526679"/>
    <n v="0"/>
    <n v="46"/>
    <n v="0.60148545607888715"/>
    <n v="1.1499999999999999"/>
    <n v="123"/>
    <n v="0.36098239205063304"/>
    <n v="1.0249999999999999"/>
    <n v="21"/>
    <n v="0.56070457581013167"/>
    <n v="2.625"/>
    <n v="1"/>
    <n v="0.18521059884769267"/>
    <n v="0"/>
    <n v="51"/>
    <n v="0.34416551006618135"/>
    <n v="0.72857142857142854"/>
    <m/>
    <m/>
    <m/>
    <m/>
    <m/>
    <m/>
    <m/>
    <m/>
    <m/>
    <n v="0"/>
    <n v="0"/>
    <n v="0"/>
    <n v="0"/>
    <n v="0"/>
    <n v="0"/>
    <n v="9847"/>
    <n v="0"/>
    <n v="0"/>
    <n v="0"/>
    <n v="392"/>
    <n v="3860024"/>
    <n v="0"/>
    <n v="0"/>
    <n v="0"/>
    <n v="0"/>
    <n v="0"/>
    <n v="0"/>
    <n v="0"/>
    <n v="108317"/>
    <n v="0"/>
    <n v="0"/>
    <n v="0"/>
    <n v="392"/>
    <n v="3860024"/>
    <n v="0"/>
    <n v="0"/>
    <n v="0"/>
    <n v="1"/>
    <n v="0"/>
    <n v="0"/>
    <n v="514037"/>
    <n v="0"/>
    <n v="9847"/>
    <n v="0"/>
    <n v="392"/>
    <n v="3860024"/>
    <n v="25201.680672268907"/>
    <n v="0"/>
    <n v="182"/>
    <n v="10"/>
    <n v="0"/>
    <n v="0"/>
    <n v="1846026"/>
    <n v="98470"/>
    <x v="0"/>
    <x v="0"/>
    <n v="392"/>
    <n v="3860024"/>
    <n v="252016.80672268907"/>
    <n v="40"/>
    <n v="438"/>
    <n v="40"/>
    <n v="0"/>
    <n v="200"/>
    <n v="0"/>
    <n v="4312986"/>
    <n v="405720"/>
    <x v="0"/>
    <n v="0"/>
    <n v="392"/>
    <n v="3860024"/>
    <n v="1008067.2268907563"/>
    <n v="120"/>
    <n v="515"/>
    <n v="123"/>
    <m/>
    <n v="0"/>
    <n v="0"/>
    <n v="5071205"/>
    <n v="1247589"/>
    <n v="0"/>
    <n v="0"/>
    <n v="515"/>
    <n v="3860024"/>
    <n v="3099806.7226890754"/>
    <n v="8"/>
    <n v="413"/>
    <n v="21"/>
    <n v="300"/>
    <n v="300"/>
    <n v="0"/>
    <n v="4066811"/>
    <n v="213003"/>
    <n v="2941470"/>
    <n v="0"/>
    <n v="413"/>
    <n v="3860024"/>
    <n v="529235.29411764699"/>
    <n v="0"/>
    <n v="393"/>
    <n v="1"/>
    <n v="150"/>
    <n v="150"/>
    <n v="0"/>
    <n v="3869871"/>
    <n v="10143"/>
    <n v="1521450"/>
    <n v="0"/>
    <n v="393"/>
    <n v="3869871"/>
    <n v="25201.680672268907"/>
    <n v="70"/>
    <n v="443"/>
    <n v="58.5"/>
    <n v="0"/>
    <n v="150"/>
    <n v="0"/>
    <n v="4493349"/>
    <n v="593365.5"/>
    <n v="0"/>
    <n v="0"/>
    <n v="392"/>
    <n v="3860024"/>
    <n v="1474298.3193277312"/>
    <n v="200"/>
    <n v="384.5"/>
    <n v="200"/>
    <n v="0"/>
    <n v="0"/>
    <n v="0"/>
    <n v="0"/>
    <n v="3899983.5"/>
    <n v="2028600"/>
    <n v="0"/>
    <n v="0"/>
    <n v="384.5"/>
    <n v="3899983.5"/>
    <n v="3863865.5462184879"/>
    <n v="150"/>
    <n v="184.5"/>
    <n v="150"/>
    <n v="300"/>
    <n v="300"/>
    <n v="0"/>
    <n v="1871383.5"/>
    <n v="1521450"/>
    <n v="3042900"/>
    <n v="0"/>
    <n v="184.5"/>
    <n v="1871383.5"/>
    <n v="2897899.1596638658"/>
    <n v="250"/>
    <n v="34.5"/>
    <n v="34.5"/>
    <n v="0"/>
    <n v="0"/>
    <n v="349933.5"/>
    <n v="349933.5"/>
    <n v="0"/>
    <n v="0"/>
    <n v="34.5"/>
    <n v="349933.5"/>
    <n v="869457.98319327726"/>
    <n v="90"/>
    <n v="0"/>
    <n v="90"/>
    <n v="0"/>
    <n v="300"/>
    <n v="0"/>
    <n v="886230"/>
    <n v="3042900"/>
    <n v="300"/>
    <n v="3042900"/>
    <n v="2268151.2605042015"/>
  </r>
  <r>
    <m/>
    <x v="6"/>
    <x v="27"/>
    <x v="63"/>
    <s v="SIMCUPGL-30"/>
    <x v="633"/>
    <x v="477"/>
    <x v="0"/>
    <x v="1"/>
    <n v="1"/>
    <x v="396"/>
    <n v="500"/>
    <m/>
    <n v="0"/>
    <n v="7701"/>
    <n v="3850500"/>
    <n v="7.39"/>
    <n v="8073.5749999999998"/>
    <n v="21000"/>
    <n v="14277.310924369749"/>
    <s v="Shenzhen"/>
    <x v="0"/>
    <n v="60"/>
    <m/>
    <n v="500"/>
    <n v="70"/>
    <n v="0.62843363182306744"/>
    <n v="27"/>
    <n v="0.64586832980507913"/>
    <n v="70"/>
    <n v="0.61349431258533504"/>
    <n v="152"/>
    <n v="0.53954518833228871"/>
    <n v="121"/>
    <n v="0.62836372577208932"/>
    <n v="59"/>
    <n v="0.47595130020968812"/>
    <n v="1"/>
    <n v="0.66170616307763719"/>
    <n v="2"/>
    <n v="0.6004200501253133"/>
    <n v="39"/>
    <n v="0.61622613708403218"/>
    <n v="218"/>
    <n v="0.49679846196414756"/>
    <n v="140"/>
    <n v="0.52163445080173865"/>
    <n v="59"/>
    <n v="0.527067702506263"/>
    <n v="33"/>
    <n v="0.62101778594793966"/>
    <n v="94"/>
    <n v="0.62215880891604591"/>
    <n v="192"/>
    <n v="0.55780536281987037"/>
    <n v="86"/>
    <n v="0.48151500959546972"/>
    <n v="0.74782608695652175"/>
    <n v="62"/>
    <n v="0.62499046215610132"/>
    <n v="0.47692307692307695"/>
    <n v="332"/>
    <n v="0.49573315564619819"/>
    <n v="1.1066666666666667"/>
    <n v="196"/>
    <n v="0.60932195759027397"/>
    <n v="1.0888888888888888"/>
    <n v="279"/>
    <n v="0.3198780177947439"/>
    <n v="1.7437499999999999"/>
    <n v="179"/>
    <n v="0.34305159470497743"/>
    <n v="1.4916666666666667"/>
    <m/>
    <m/>
    <m/>
    <m/>
    <m/>
    <m/>
    <m/>
    <m/>
    <m/>
    <n v="120"/>
    <n v="4"/>
    <n v="20"/>
    <n v="0"/>
    <n v="500"/>
    <n v="0"/>
    <n v="2718453"/>
    <n v="30594.6"/>
    <n v="154020"/>
    <n v="0"/>
    <n v="500"/>
    <n v="3850500"/>
    <n v="352941.17647058825"/>
    <n v="120"/>
    <n v="500"/>
    <n v="141"/>
    <n v="0"/>
    <n v="0"/>
    <n v="0"/>
    <n v="3226719"/>
    <n v="3824325"/>
    <n v="1085841"/>
    <n v="0"/>
    <n v="500"/>
    <n v="3850500"/>
    <n v="2488235.2941176472"/>
    <n v="200"/>
    <n v="386"/>
    <n v="192"/>
    <n v="0"/>
    <n v="0"/>
    <n v="3135202.5"/>
    <n v="2972586"/>
    <n v="1478592"/>
    <n v="0"/>
    <n v="500"/>
    <n v="3850500"/>
    <n v="4032000"/>
    <n v="115"/>
    <n v="1155"/>
    <n v="86"/>
    <n v="500"/>
    <n v="0"/>
    <n v="8834190.75"/>
    <n v="662286"/>
    <x v="73"/>
    <x v="0"/>
    <n v="500"/>
    <n v="3850500"/>
    <n v="1806000"/>
    <n v="130"/>
    <n v="562"/>
    <n v="130"/>
    <n v="500"/>
    <n v="500"/>
    <n v="0"/>
    <n v="4327962"/>
    <n v="994324.5"/>
    <x v="25"/>
    <n v="0"/>
    <n v="500"/>
    <n v="3850500"/>
    <n v="2730000"/>
    <n v="300"/>
    <n v="832"/>
    <n v="332"/>
    <m/>
    <n v="0"/>
    <n v="0"/>
    <n v="6407232"/>
    <n v="2539351.7999999998"/>
    <n v="0"/>
    <n v="0"/>
    <n v="832"/>
    <n v="3850500"/>
    <n v="6972000"/>
    <n v="180"/>
    <n v="696"/>
    <n v="196"/>
    <n v="0"/>
    <n v="0"/>
    <n v="0"/>
    <n v="5359896"/>
    <n v="1499135.4"/>
    <n v="0"/>
    <n v="0"/>
    <n v="696"/>
    <n v="3850500"/>
    <n v="4116000"/>
    <n v="160"/>
    <n v="779"/>
    <n v="288"/>
    <n v="0"/>
    <n v="0"/>
    <n v="0"/>
    <n v="5999079"/>
    <n v="2202811.1999999997"/>
    <n v="0"/>
    <n v="0"/>
    <n v="779"/>
    <n v="5999079"/>
    <n v="6048000"/>
    <n v="120"/>
    <n v="679"/>
    <n v="199.5"/>
    <n v="500"/>
    <n v="250"/>
    <n v="0"/>
    <n v="5193433.3499999996"/>
    <n v="1525905.6749999998"/>
    <n v="3824325"/>
    <n v="0"/>
    <n v="500"/>
    <n v="3850500"/>
    <n v="4189500"/>
    <n v="250"/>
    <n v="479.5"/>
    <n v="250"/>
    <n v="0"/>
    <n v="0"/>
    <n v="0"/>
    <n v="250"/>
    <n v="3667527.6749999998"/>
    <n v="1912162.5"/>
    <n v="0"/>
    <n v="0"/>
    <n v="479.5"/>
    <n v="3667527.6749999998"/>
    <n v="3569327.7310924372"/>
    <n v="200"/>
    <n v="229.5"/>
    <n v="200"/>
    <m/>
    <n v="0"/>
    <n v="0"/>
    <n v="1755365.1749999998"/>
    <n v="1529730"/>
    <n v="0"/>
    <n v="0"/>
    <n v="229.5"/>
    <n v="1755365.1749999998"/>
    <n v="2855462.1848739497"/>
    <n v="250"/>
    <n v="29.5"/>
    <n v="250"/>
    <n v="500"/>
    <n v="500"/>
    <n v="225635.17499999999"/>
    <n v="1912162.5"/>
    <n v="3824325"/>
    <n v="3824325"/>
    <n v="529.5"/>
    <n v="4049960.1749999998"/>
    <n v="5250000"/>
    <n v="120"/>
    <n v="279.5"/>
    <n v="120"/>
    <n v="0"/>
    <m/>
    <n v="2137797.6749999998"/>
    <n v="924120"/>
    <n v="0"/>
    <n v="279.5"/>
    <n v="2137797.6749999998"/>
    <n v="2520000"/>
  </r>
  <r>
    <m/>
    <x v="6"/>
    <x v="27"/>
    <x v="63"/>
    <s v="SIMCUPRO-4"/>
    <x v="634"/>
    <x v="478"/>
    <x v="0"/>
    <x v="2"/>
    <n v="1"/>
    <x v="397"/>
    <n v="146"/>
    <m/>
    <n v="0"/>
    <n v="6706"/>
    <n v="979076"/>
    <n v="6.31"/>
    <n v="6893.6749999999993"/>
    <n v="14277.310924369749"/>
    <n v="12596.638655462186"/>
    <s v="Shenzhen"/>
    <x v="0"/>
    <n v="60"/>
    <m/>
    <n v="500"/>
    <n v="0"/>
    <s v=""/>
    <n v="1"/>
    <n v="0.62266626981979545"/>
    <n v="3"/>
    <n v="0.57930965821615521"/>
    <n v="11"/>
    <n v="0.51006050528797064"/>
    <n v="25"/>
    <n v="0.49490691186602243"/>
    <n v="54"/>
    <n v="0.40548951454843013"/>
    <n v="9"/>
    <n v="0.44689048524324498"/>
    <n v="21"/>
    <n v="0.35940598753504666"/>
    <n v="9"/>
    <n v="0.40630756005212654"/>
    <n v="50"/>
    <n v="0.40977876765316462"/>
    <n v="25"/>
    <n v="0.43657230431330218"/>
    <n v="32"/>
    <n v="0.47208781162810221"/>
    <n v="6"/>
    <n v="0.45280630806680144"/>
    <n v="6"/>
    <n v="0.52088865606802848"/>
    <n v="16"/>
    <n v="0.41443808485292111"/>
    <n v="27"/>
    <n v="0.41596821483224583"/>
    <n v="0.9"/>
    <n v="9"/>
    <n v="0.52373318393083279"/>
    <n v="0.45"/>
    <n v="15"/>
    <n v="0.45693740660460491"/>
    <n v="0.42857142857142855"/>
    <n v="9"/>
    <n v="0.38098644707585705"/>
    <n v="0.36"/>
    <n v="15"/>
    <n v="0.31229242450941153"/>
    <n v="0.6"/>
    <n v="7"/>
    <n v="0.39756935684893913"/>
    <n v="0.28000000000000003"/>
    <m/>
    <m/>
    <m/>
    <m/>
    <m/>
    <m/>
    <m/>
    <m/>
    <m/>
    <n v="15"/>
    <n v="256"/>
    <n v="15"/>
    <n v="0"/>
    <n v="0"/>
    <n v="0"/>
    <n v="268240"/>
    <n v="1671897.5999999999"/>
    <n v="100590"/>
    <n v="0"/>
    <n v="146"/>
    <n v="979076"/>
    <n v="179966.10408869432"/>
    <n v="10"/>
    <n v="250"/>
    <n v="9"/>
    <n v="0"/>
    <n v="0"/>
    <n v="0"/>
    <n v="348712"/>
    <n v="1632712.4999999998"/>
    <n v="60354"/>
    <n v="0"/>
    <n v="146"/>
    <n v="979076"/>
    <n v="107979.6624532166"/>
    <n v="15"/>
    <n v="249"/>
    <n v="16"/>
    <n v="0"/>
    <n v="0"/>
    <n v="418975"/>
    <n v="1669794"/>
    <n v="107296"/>
    <n v="0"/>
    <n v="146"/>
    <n v="979076"/>
    <n v="228436.97478991598"/>
    <n v="30"/>
    <n v="232"/>
    <n v="27"/>
    <n v="0"/>
    <n v="0"/>
    <n v="1515157.2"/>
    <n v="181062"/>
    <x v="0"/>
    <x v="0"/>
    <n v="146"/>
    <n v="979076"/>
    <n v="385487.39495798323"/>
    <n v="20"/>
    <n v="155"/>
    <n v="20"/>
    <m/>
    <n v="0"/>
    <n v="0"/>
    <n v="1039430"/>
    <n v="130616.99999999999"/>
    <x v="0"/>
    <n v="0"/>
    <n v="146"/>
    <n v="979076"/>
    <n v="285546.21848739497"/>
    <n v="35"/>
    <n v="161"/>
    <n v="15"/>
    <m/>
    <n v="0"/>
    <n v="0"/>
    <n v="1079666"/>
    <n v="97962.749999999985"/>
    <n v="0"/>
    <n v="0"/>
    <n v="161"/>
    <n v="979076"/>
    <n v="214159.66386554623"/>
    <n v="25"/>
    <n v="155"/>
    <n v="9"/>
    <n v="0"/>
    <n v="0"/>
    <n v="0"/>
    <n v="1039430"/>
    <n v="58777.649999999994"/>
    <n v="0"/>
    <n v="0"/>
    <n v="155"/>
    <n v="979076"/>
    <n v="128495.79831932775"/>
    <n v="25"/>
    <n v="161"/>
    <n v="15"/>
    <n v="0"/>
    <n v="0"/>
    <n v="0"/>
    <n v="1079666"/>
    <n v="97962.749999999985"/>
    <n v="0"/>
    <n v="0"/>
    <n v="161"/>
    <n v="1079666"/>
    <n v="214159.66386554623"/>
    <n v="25"/>
    <n v="153"/>
    <n v="7.5"/>
    <n v="0"/>
    <n v="0"/>
    <n v="0"/>
    <n v="999220.04999999993"/>
    <n v="48981.374999999993"/>
    <n v="0"/>
    <n v="0"/>
    <n v="146"/>
    <n v="979076"/>
    <n v="107079.83193277312"/>
    <n v="30"/>
    <n v="145.5"/>
    <n v="30"/>
    <n v="0"/>
    <n v="0"/>
    <n v="0"/>
    <m/>
    <n v="950238.67499999993"/>
    <n v="195925.49999999997"/>
    <n v="0"/>
    <n v="0"/>
    <n v="145.5"/>
    <n v="950238.67499999993"/>
    <n v="377899.15966386558"/>
    <n v="25"/>
    <n v="115.5"/>
    <n v="25"/>
    <m/>
    <n v="0"/>
    <n v="0"/>
    <n v="754313.17499999993"/>
    <n v="163271.25"/>
    <n v="0"/>
    <n v="0"/>
    <n v="115.5"/>
    <n v="754313.17499999993"/>
    <n v="314915.96638655465"/>
    <n v="30"/>
    <n v="90.5"/>
    <n v="30"/>
    <n v="0"/>
    <n v="0"/>
    <n v="591041.92499999993"/>
    <n v="195925.49999999997"/>
    <n v="0"/>
    <n v="0"/>
    <n v="90.5"/>
    <n v="591041.92499999993"/>
    <n v="428319.32773109246"/>
    <n v="15"/>
    <n v="60.5"/>
    <n v="15"/>
    <n v="0"/>
    <m/>
    <n v="395116.42499999999"/>
    <n v="100590"/>
    <n v="0"/>
    <n v="60.5"/>
    <n v="395116.42499999999"/>
    <n v="214159.66386554623"/>
  </r>
  <r>
    <m/>
    <x v="6"/>
    <x v="27"/>
    <x v="63"/>
    <s v="SIMCUROM-30"/>
    <x v="635"/>
    <x v="479"/>
    <x v="0"/>
    <x v="1"/>
    <n v="1"/>
    <x v="398"/>
    <n v="37"/>
    <n v="600"/>
    <n v="4742400"/>
    <n v="8116"/>
    <n v="300292"/>
    <n v="8.32"/>
    <n v="9089.5999999999985"/>
    <n v="21000"/>
    <n v="18478.991596638658"/>
    <s v="Shenzhen"/>
    <x v="0"/>
    <n v="60"/>
    <m/>
    <n v="500"/>
    <n v="171"/>
    <n v="0.58290073851590329"/>
    <n v="125"/>
    <n v="0.63165596882444108"/>
    <n v="108"/>
    <n v="0.62948453537496418"/>
    <n v="74"/>
    <n v="0.64810752934635207"/>
    <n v="0"/>
    <s v=""/>
    <n v="1"/>
    <s v=""/>
    <n v="0"/>
    <n v="0.6432640266645504"/>
    <n v="3"/>
    <n v="0.62296229903086664"/>
    <n v="78"/>
    <n v="0.62788256445597168"/>
    <n v="426"/>
    <n v="0.51261798800841829"/>
    <n v="363"/>
    <n v="0.52321647831167861"/>
    <n v="133"/>
    <n v="0.48318331474880333"/>
    <n v="30"/>
    <n v="0.53315032195181611"/>
    <n v="1"/>
    <n v="0.35984230840773812"/>
    <n v="93"/>
    <n v="0.55936599354753469"/>
    <n v="227"/>
    <n v="0.48796855903743558"/>
    <n v="1.2611111111111111"/>
    <n v="237"/>
    <n v="0.60631610441094963"/>
    <n v="1.58"/>
    <n v="328"/>
    <n v="0.43126008297094154"/>
    <n v="0.82"/>
    <n v="155"/>
    <n v="0.63616331155543659"/>
    <n v="0.67391304347826086"/>
    <n v="229"/>
    <n v="0.35756668447852102"/>
    <n v="1.3470588235294119"/>
    <n v="144"/>
    <n v="0.38407615128159667"/>
    <n v="1.2"/>
    <m/>
    <m/>
    <m/>
    <m/>
    <m/>
    <m/>
    <m/>
    <m/>
    <m/>
    <n v="0"/>
    <n v="28"/>
    <n v="28"/>
    <n v="500"/>
    <n v="0"/>
    <n v="0"/>
    <n v="994210"/>
    <n v="241113.59999999998"/>
    <n v="227248"/>
    <n v="0"/>
    <n v="37"/>
    <n v="300292"/>
    <n v="494117.64705882355"/>
    <n v="0"/>
    <n v="2"/>
    <n v="1.5"/>
    <n v="500"/>
    <n v="500"/>
    <n v="0"/>
    <n v="2609294"/>
    <n v="17222.399999999998"/>
    <n v="12174"/>
    <n v="0"/>
    <n v="37"/>
    <n v="300292"/>
    <n v="26470.588235294119"/>
    <n v="300"/>
    <n v="130"/>
    <n v="93"/>
    <n v="0"/>
    <n v="0"/>
    <n v="3888800"/>
    <n v="1055080"/>
    <n v="754788"/>
    <n v="0"/>
    <n v="37"/>
    <n v="300292"/>
    <n v="1953000"/>
    <n v="180"/>
    <n v="893"/>
    <n v="227"/>
    <n v="500"/>
    <n v="0"/>
    <n v="7689801.5999999987"/>
    <n v="1842332"/>
    <x v="74"/>
    <x v="0"/>
    <n v="37"/>
    <n v="300292"/>
    <n v="4767000"/>
    <n v="150"/>
    <n v="274"/>
    <n v="150"/>
    <n v="600"/>
    <n v="500"/>
    <n v="0"/>
    <n v="2223784"/>
    <n v="1291679.9999999998"/>
    <x v="26"/>
    <n v="0"/>
    <n v="37"/>
    <n v="300292"/>
    <n v="3150000"/>
    <n v="400"/>
    <n v="365"/>
    <n v="328"/>
    <m/>
    <n v="600"/>
    <n v="0"/>
    <n v="2962340"/>
    <n v="2824473.5999999996"/>
    <n v="0"/>
    <n v="0"/>
    <n v="365"/>
    <n v="300292"/>
    <n v="6888000"/>
    <n v="230"/>
    <n v="192"/>
    <n v="155"/>
    <n v="0"/>
    <n v="500"/>
    <n v="0"/>
    <n v="1558272"/>
    <n v="1334735.9999999998"/>
    <n v="0"/>
    <n v="0"/>
    <n v="192"/>
    <n v="300292"/>
    <n v="3255000"/>
    <n v="170"/>
    <n v="266"/>
    <n v="236"/>
    <n v="0"/>
    <n v="0"/>
    <n v="0"/>
    <n v="2158856"/>
    <n v="2032243.1999999997"/>
    <n v="0"/>
    <n v="0"/>
    <n v="266"/>
    <n v="2158856"/>
    <n v="4956000"/>
    <n v="120"/>
    <n v="181"/>
    <n v="180"/>
    <n v="0"/>
    <n v="0"/>
    <n v="0"/>
    <n v="1558627.1999999997"/>
    <n v="1550015.9999999998"/>
    <n v="0"/>
    <n v="0"/>
    <n v="37"/>
    <n v="300292"/>
    <n v="3780000"/>
    <n v="400"/>
    <n v="1"/>
    <n v="1"/>
    <n v="0"/>
    <n v="600"/>
    <n v="0"/>
    <n v="0"/>
    <n v="8611.1999999999989"/>
    <n v="8611.1999999999989"/>
    <n v="0"/>
    <n v="0"/>
    <n v="1"/>
    <n v="8611.1999999999989"/>
    <n v="18478.991596638658"/>
    <n v="350"/>
    <n v="0"/>
    <n v="350"/>
    <n v="1000"/>
    <n v="500"/>
    <n v="600"/>
    <n v="0"/>
    <n v="3013919.9999999995"/>
    <n v="8611199.9999999981"/>
    <n v="5166719.9999999991"/>
    <n v="600"/>
    <n v="5166719.9999999991"/>
    <n v="6467647.0588235306"/>
    <n v="350"/>
    <n v="250"/>
    <n v="250"/>
    <n v="0"/>
    <n v="0"/>
    <n v="2152799.9999999995"/>
    <n v="2152799.9999999995"/>
    <n v="0"/>
    <n v="0"/>
    <n v="250"/>
    <n v="2152799.9999999995"/>
    <n v="5250000"/>
    <n v="210"/>
    <n v="0"/>
    <n v="210"/>
    <n v="0"/>
    <n v="500"/>
    <n v="0"/>
    <n v="1704360"/>
    <n v="4305599.9999999991"/>
    <n v="500"/>
    <n v="4305599.9999999991"/>
    <n v="4410000"/>
  </r>
  <r>
    <s v="Simplit-Menaje de Cocina"/>
    <x v="6"/>
    <x v="27"/>
    <x v="63"/>
    <s v="SIMCUSTA-5"/>
    <x v="636"/>
    <x v="480"/>
    <x v="0"/>
    <x v="1"/>
    <n v="1"/>
    <x v="399"/>
    <n v="129"/>
    <m/>
    <n v="0"/>
    <n v="12992"/>
    <n v="1675968"/>
    <n v="12.15"/>
    <n v="13273.874999999998"/>
    <n v="33605.042016806721"/>
    <n v="25201.680672268907"/>
    <s v="Shenzhen"/>
    <x v="0"/>
    <n v="60"/>
    <m/>
    <n v="300"/>
    <n v="18"/>
    <n v="0.56328667378686037"/>
    <n v="14"/>
    <n v="0.55566518114237773"/>
    <n v="40"/>
    <n v="0.58198919536855909"/>
    <n v="40"/>
    <n v="0.58585601942611643"/>
    <n v="21"/>
    <n v="0.60995166788360777"/>
    <n v="140"/>
    <n v="0.47609496953623748"/>
    <n v="83"/>
    <n v="0.48377148416517551"/>
    <n v="44"/>
    <n v="0.52098918941111283"/>
    <n v="36"/>
    <n v="0.57731327297580293"/>
    <n v="60"/>
    <n v="0.53018011648362617"/>
    <n v="41"/>
    <n v="0.60884817082214127"/>
    <n v="49"/>
    <n v="0.64008928920024799"/>
    <n v="55"/>
    <n v="0.42404056535411389"/>
    <n v="50"/>
    <n v="0.46325761454015291"/>
    <n v="79"/>
    <n v="0.44987486052074654"/>
    <n v="54"/>
    <n v="0.52215488106424113"/>
    <n v="1.08"/>
    <n v="53"/>
    <n v="0.5832315663783445"/>
    <n v="1.1777777777777778"/>
    <n v="145"/>
    <n v="0.44091486457136164"/>
    <n v="0.96666666666666667"/>
    <n v="44"/>
    <n v="0.64282224696576629"/>
    <n v="0.4631578947368421"/>
    <n v="52"/>
    <n v="0.35952603310530834"/>
    <n v="1.2380952380952381"/>
    <n v="54"/>
    <n v="0.29620241952043302"/>
    <n v="1.2"/>
    <m/>
    <m/>
    <m/>
    <m/>
    <m/>
    <m/>
    <m/>
    <m/>
    <m/>
    <n v="40"/>
    <n v="191"/>
    <n v="40"/>
    <n v="100"/>
    <n v="100"/>
    <n v="0"/>
    <n v="2520448"/>
    <n v="2401872.7499999995"/>
    <n v="519680"/>
    <n v="0"/>
    <n v="129"/>
    <n v="1675968"/>
    <n v="1129581.2442624108"/>
    <n v="40"/>
    <n v="160"/>
    <n v="75"/>
    <n v="0"/>
    <n v="0"/>
    <n v="0"/>
    <n v="2702336"/>
    <n v="2012039.9999999998"/>
    <n v="974400"/>
    <n v="0"/>
    <n v="129"/>
    <n v="1675968"/>
    <n v="2117964.8329920205"/>
    <n v="60"/>
    <n v="95"/>
    <n v="79"/>
    <n v="0"/>
    <n v="0"/>
    <n v="2293822.25"/>
    <n v="1234240"/>
    <n v="1026368"/>
    <n v="0"/>
    <n v="129"/>
    <n v="1675968"/>
    <n v="2654798.3193277312"/>
    <n v="50"/>
    <n v="304"/>
    <n v="54"/>
    <n v="0"/>
    <n v="0"/>
    <n v="3822875.9999999995"/>
    <n v="701568"/>
    <x v="0"/>
    <x v="0"/>
    <n v="129"/>
    <n v="1675968"/>
    <n v="1814672.2689075628"/>
    <n v="45"/>
    <n v="182"/>
    <n v="45"/>
    <m/>
    <n v="0"/>
    <n v="0"/>
    <n v="2364544"/>
    <n v="565886.24999999988"/>
    <x v="0"/>
    <n v="0"/>
    <n v="129"/>
    <n v="1675968"/>
    <n v="1512226.8907563025"/>
    <n v="150"/>
    <n v="274"/>
    <n v="145"/>
    <m/>
    <n v="0"/>
    <n v="0"/>
    <n v="3559808"/>
    <n v="1823411.2499999998"/>
    <n v="0"/>
    <n v="0"/>
    <n v="274"/>
    <n v="1675968"/>
    <n v="4872731.0924369749"/>
    <n v="95"/>
    <n v="173"/>
    <n v="44"/>
    <n v="250"/>
    <n v="250"/>
    <n v="0"/>
    <n v="2247616"/>
    <n v="553310.99999999988"/>
    <n v="3039018.7499999995"/>
    <n v="0"/>
    <n v="173"/>
    <n v="1675968"/>
    <n v="1478621.8487394957"/>
    <n v="42"/>
    <n v="181"/>
    <n v="53"/>
    <n v="0"/>
    <n v="0"/>
    <n v="0"/>
    <n v="2351552"/>
    <n v="666488.24999999988"/>
    <n v="0"/>
    <n v="0"/>
    <n v="181"/>
    <n v="2351552"/>
    <n v="1781067.2268907563"/>
    <n v="45"/>
    <n v="183"/>
    <n v="64.5"/>
    <n v="0"/>
    <n v="0"/>
    <n v="0"/>
    <n v="2301270.7499999995"/>
    <n v="811103.62499999988"/>
    <n v="0"/>
    <n v="0"/>
    <n v="129"/>
    <n v="1675968"/>
    <n v="2167525.2100840337"/>
    <n v="120"/>
    <n v="118.5"/>
    <n v="118.5"/>
    <n v="0"/>
    <n v="0"/>
    <n v="0"/>
    <m/>
    <n v="1490167.1249999998"/>
    <n v="1490167.1249999998"/>
    <n v="0"/>
    <n v="0"/>
    <n v="118.5"/>
    <n v="1490167.1249999998"/>
    <n v="2986399.1596638653"/>
    <n v="50"/>
    <n v="0"/>
    <n v="0"/>
    <m/>
    <n v="0"/>
    <n v="0"/>
    <n v="0"/>
    <n v="0"/>
    <n v="0"/>
    <n v="0"/>
    <n v="0"/>
    <n v="0"/>
    <n v="0"/>
    <n v="65"/>
    <n v="0"/>
    <n v="0"/>
    <n v="0"/>
    <n v="0"/>
    <n v="0"/>
    <n v="0"/>
    <n v="0"/>
    <n v="0"/>
    <n v="0"/>
    <n v="0"/>
    <n v="0"/>
    <n v="30"/>
    <n v="0"/>
    <n v="30"/>
    <n v="250"/>
    <m/>
    <n v="0"/>
    <n v="389760"/>
    <n v="0"/>
    <n v="0"/>
    <n v="0"/>
    <n v="1008151.2605042016"/>
  </r>
  <r>
    <m/>
    <x v="6"/>
    <x v="27"/>
    <x v="63"/>
    <s v="SIMCUTOL-2"/>
    <x v="637"/>
    <x v="481"/>
    <x v="0"/>
    <x v="4"/>
    <n v="1"/>
    <x v="31"/>
    <n v="502"/>
    <m/>
    <n v="0"/>
    <n v="8734"/>
    <n v="4384468"/>
    <n v="8.9"/>
    <n v="8188"/>
    <n v="20642.016806722691"/>
    <n v="17545.714285714286"/>
    <s v="Shenzhen"/>
    <x v="0"/>
    <n v="60"/>
    <m/>
    <n v="25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2"/>
    <s v=""/>
    <n v="0.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n v="0"/>
    <m/>
    <x v="14"/>
    <m/>
    <m/>
    <m/>
    <m/>
    <m/>
    <n v="502"/>
    <n v="0"/>
    <m/>
    <n v="0"/>
    <n v="0"/>
    <n v="4384468"/>
    <n v="0"/>
    <n v="0"/>
    <n v="0"/>
    <n v="502"/>
    <n v="4384468"/>
    <n v="0"/>
    <n v="0"/>
    <n v="502"/>
    <n v="0"/>
    <n v="0"/>
    <n v="0"/>
    <n v="0"/>
    <n v="4384468"/>
    <n v="0"/>
    <n v="0"/>
    <n v="0"/>
    <n v="502"/>
    <n v="4384468"/>
    <n v="0"/>
    <n v="0"/>
    <n v="502"/>
    <n v="0"/>
    <n v="0"/>
    <n v="0"/>
    <n v="0"/>
    <n v="4384468"/>
    <n v="0"/>
    <n v="0"/>
    <n v="0"/>
    <n v="502"/>
    <n v="4384468"/>
    <n v="0"/>
    <n v="200"/>
    <n v="504"/>
    <n v="0"/>
    <n v="500"/>
    <n v="500"/>
    <n v="0"/>
    <n v="4642596"/>
    <n v="0"/>
    <n v="4605750"/>
    <n v="0"/>
    <n v="502"/>
    <n v="4384468"/>
    <n v="0"/>
    <n v="100"/>
    <n v="504"/>
    <n v="100"/>
    <n v="0"/>
    <n v="0"/>
    <n v="0"/>
    <n v="500"/>
    <n v="4642596"/>
    <n v="921150"/>
    <n v="0"/>
    <n v="0"/>
    <n v="504"/>
    <n v="4642596"/>
    <n v="1754571.4285714286"/>
    <n v="50"/>
    <n v="404"/>
    <n v="50"/>
    <m/>
    <n v="0"/>
    <n v="0"/>
    <n v="3721446"/>
    <n v="460575"/>
    <n v="0"/>
    <n v="0"/>
    <n v="404"/>
    <n v="3721446"/>
    <n v="877285.71428571432"/>
    <n v="60"/>
    <n v="354"/>
    <n v="60"/>
    <n v="0"/>
    <n v="0"/>
    <n v="3260871"/>
    <n v="552690"/>
    <n v="0"/>
    <n v="0"/>
    <n v="354"/>
    <n v="3260871"/>
    <n v="1238521.0084033615"/>
    <n v="30"/>
    <n v="294"/>
    <n v="30"/>
    <n v="0"/>
    <m/>
    <n v="2708181"/>
    <n v="262020"/>
    <n v="0"/>
    <n v="294"/>
    <n v="2708181"/>
    <n v="619260.50420168077"/>
  </r>
  <r>
    <m/>
    <x v="6"/>
    <x v="27"/>
    <x v="63"/>
    <s v="SIMCUVER-CR"/>
    <x v="638"/>
    <x v="482"/>
    <x v="0"/>
    <x v="1"/>
    <n v="1"/>
    <x v="400"/>
    <n v="143"/>
    <m/>
    <n v="0"/>
    <n v="9569"/>
    <n v="1368367"/>
    <n v="9.8000000000000007"/>
    <n v="10706.5"/>
    <n v="25201.680672268907"/>
    <n v="19319.327731092439"/>
    <s v="Shenzhen"/>
    <x v="0"/>
    <n v="60"/>
    <m/>
    <n v="500"/>
    <n v="17"/>
    <n v="0.47773116091603118"/>
    <n v="52"/>
    <n v="0.55886346508559726"/>
    <n v="76"/>
    <n v="0.56204540360358679"/>
    <n v="71"/>
    <n v="0.59704866545559743"/>
    <n v="72"/>
    <n v="0.59849621963990562"/>
    <n v="212"/>
    <n v="0.51416893096842442"/>
    <n v="81"/>
    <n v="0.56992750707828044"/>
    <n v="100"/>
    <n v="0.57497431709672886"/>
    <n v="14"/>
    <n v="0.6295067670566713"/>
    <n v="196"/>
    <n v="0.50742160781775669"/>
    <n v="160"/>
    <n v="0.60922209427164853"/>
    <n v="352"/>
    <n v="0.51629837816169677"/>
    <n v="45"/>
    <n v="0.47873473097921138"/>
    <n v="50"/>
    <n v="0.50100043254494975"/>
    <n v="194"/>
    <n v="0.49205493628150687"/>
    <n v="143"/>
    <n v="0.47508744305904443"/>
    <n v="0.89375000000000004"/>
    <n v="102"/>
    <n v="0.59883431387570074"/>
    <n v="1.2749999999999999"/>
    <n v="312"/>
    <n v="0.39612247705041259"/>
    <n v="1.248"/>
    <n v="190"/>
    <n v="0.56320816664090434"/>
    <n v="1.2666666666666666"/>
    <n v="178"/>
    <n v="0.37210130161882621"/>
    <n v="1.6181818181818182"/>
    <n v="158"/>
    <n v="0.32821346847833305"/>
    <n v="1.58"/>
    <m/>
    <m/>
    <m/>
    <m/>
    <m/>
    <m/>
    <m/>
    <m/>
    <m/>
    <n v="0"/>
    <n v="50"/>
    <n v="50"/>
    <n v="500"/>
    <n v="0"/>
    <n v="0"/>
    <n v="3052511"/>
    <n v="507150"/>
    <n v="478450"/>
    <n v="0"/>
    <n v="143"/>
    <n v="1368367"/>
    <n v="1058894.1458936518"/>
    <n v="5"/>
    <n v="40"/>
    <n v="75"/>
    <n v="0"/>
    <n v="500"/>
    <n v="0"/>
    <n v="3942428"/>
    <n v="405720"/>
    <n v="717675"/>
    <n v="0"/>
    <n v="143"/>
    <n v="1368367"/>
    <n v="1588341.2188404775"/>
    <n v="220"/>
    <n v="472"/>
    <n v="194"/>
    <n v="0"/>
    <n v="0"/>
    <n v="4036193"/>
    <n v="4516568"/>
    <n v="1856386"/>
    <n v="0"/>
    <n v="143"/>
    <n v="1368367"/>
    <n v="4889126.0504201679"/>
    <n v="160"/>
    <n v="243"/>
    <n v="143"/>
    <n v="500"/>
    <n v="0"/>
    <n v="2464749"/>
    <n v="1368367"/>
    <x v="75"/>
    <x v="0"/>
    <n v="143"/>
    <n v="1368367"/>
    <n v="3603840.3361344538"/>
    <n v="80"/>
    <n v="245"/>
    <n v="80"/>
    <n v="500"/>
    <n v="0"/>
    <n v="0"/>
    <n v="2344405"/>
    <n v="811440"/>
    <x v="27"/>
    <n v="0"/>
    <n v="143"/>
    <n v="1368367"/>
    <n v="2016134.4537815126"/>
    <n v="250"/>
    <n v="455"/>
    <n v="312"/>
    <m/>
    <n v="500"/>
    <n v="0"/>
    <n v="4353895"/>
    <n v="3164616"/>
    <n v="0"/>
    <n v="0"/>
    <n v="455"/>
    <n v="1368367"/>
    <n v="7862924.3697478995"/>
    <n v="150"/>
    <n v="333"/>
    <n v="190"/>
    <n v="0"/>
    <n v="500"/>
    <n v="0"/>
    <n v="3186477"/>
    <n v="1927170"/>
    <n v="0"/>
    <n v="0"/>
    <n v="333"/>
    <n v="1368367"/>
    <n v="4788319.3277310925"/>
    <n v="110"/>
    <n v="321"/>
    <n v="183"/>
    <n v="0"/>
    <n v="0"/>
    <n v="0"/>
    <n v="3071649"/>
    <n v="1856169"/>
    <n v="0"/>
    <n v="0"/>
    <n v="321"/>
    <n v="3071649"/>
    <n v="4611907.5630252101"/>
    <n v="100"/>
    <n v="301"/>
    <n v="168"/>
    <n v="0"/>
    <n v="0"/>
    <n v="0"/>
    <n v="3053043"/>
    <n v="1704024"/>
    <n v="0"/>
    <n v="0"/>
    <n v="143"/>
    <n v="1368367"/>
    <n v="4233882.3529411759"/>
    <n v="206"/>
    <n v="133"/>
    <n v="133"/>
    <n v="0"/>
    <n v="0"/>
    <n v="0"/>
    <m/>
    <n v="1349019"/>
    <n v="1349019"/>
    <n v="0"/>
    <n v="0"/>
    <n v="133"/>
    <n v="1349019"/>
    <n v="2569470.5882352944"/>
    <n v="160"/>
    <n v="0"/>
    <n v="0"/>
    <n v="500"/>
    <n v="500"/>
    <n v="0"/>
    <n v="0"/>
    <n v="0"/>
    <n v="5071500"/>
    <n v="0"/>
    <n v="0"/>
    <n v="0"/>
    <n v="0"/>
    <n v="320"/>
    <n v="0"/>
    <n v="0"/>
    <n v="0"/>
    <n v="0"/>
    <n v="0"/>
    <n v="0"/>
    <n v="0"/>
    <n v="0"/>
    <n v="0"/>
    <n v="0"/>
    <n v="0"/>
    <n v="96"/>
    <n v="0"/>
    <n v="96"/>
    <n v="0"/>
    <m/>
    <n v="0"/>
    <n v="918624"/>
    <n v="0"/>
    <n v="0"/>
    <n v="0"/>
    <n v="2419361.3445378151"/>
  </r>
  <r>
    <m/>
    <x v="6"/>
    <x v="27"/>
    <x v="63"/>
    <s v="SIMCUVER-WO"/>
    <x v="639"/>
    <x v="483"/>
    <x v="0"/>
    <x v="3"/>
    <n v="0.9"/>
    <x v="401"/>
    <n v="297"/>
    <m/>
    <n v="0"/>
    <n v="18663"/>
    <n v="5542911"/>
    <n v="19"/>
    <n v="20757.5"/>
    <n v="42008.403361344543"/>
    <n v="33605.042016806721"/>
    <s v="Shenzhen"/>
    <x v="0"/>
    <n v="60"/>
    <m/>
    <n v="500"/>
    <n v="0"/>
    <s v=""/>
    <n v="4"/>
    <n v="0.56577071296809278"/>
    <n v="24"/>
    <n v="0.52661601666159608"/>
    <n v="18"/>
    <n v="0.49351587406516723"/>
    <n v="30"/>
    <n v="0.53962759996149057"/>
    <n v="166"/>
    <n v="0.41008111318732371"/>
    <n v="67"/>
    <n v="0.43588368537684341"/>
    <n v="56"/>
    <n v="0.42421434965891947"/>
    <n v="56"/>
    <n v="0.54827059304811288"/>
    <n v="50"/>
    <n v="0.50126319329340929"/>
    <n v="10"/>
    <n v="0.53175665129433136"/>
    <n v="55"/>
    <n v="0.51770773642990442"/>
    <n v="24"/>
    <n v="0.50584295558351156"/>
    <n v="37"/>
    <n v="0.49332063447918761"/>
    <n v="27"/>
    <n v="0.47694954817957064"/>
    <n v="23"/>
    <n v="0.4657594970666793"/>
    <n v="0.65714285714285714"/>
    <n v="22"/>
    <n v="0.49018274573881082"/>
    <n v="0.62857142857142856"/>
    <n v="65"/>
    <n v="0.41355060239083674"/>
    <n v="0.72222222222222221"/>
    <n v="38"/>
    <n v="0.51369203829622723"/>
    <n v="0.54285714285714282"/>
    <n v="48"/>
    <n v="0.30957994533251065"/>
    <n v="1.3714285714285714"/>
    <n v="46"/>
    <n v="0.33316620394207019"/>
    <n v="1.1499999999999999"/>
    <m/>
    <m/>
    <m/>
    <m/>
    <m/>
    <m/>
    <m/>
    <m/>
    <m/>
    <n v="45"/>
    <n v="263"/>
    <n v="45"/>
    <n v="0"/>
    <n v="0"/>
    <n v="0"/>
    <n v="2379532.5"/>
    <n v="5171895"/>
    <n v="839835"/>
    <n v="0"/>
    <n v="297"/>
    <n v="5542911"/>
    <n v="1588553.0682861381"/>
    <n v="40"/>
    <n v="240"/>
    <n v="55.5"/>
    <n v="100"/>
    <n v="100"/>
    <n v="0"/>
    <n v="1968946.5"/>
    <n v="4719600"/>
    <n v="1035796.5"/>
    <n v="0"/>
    <n v="297"/>
    <n v="5542911"/>
    <n v="1959215.4508862372"/>
    <n v="60"/>
    <n v="174"/>
    <n v="27"/>
    <n v="0"/>
    <n v="0"/>
    <n v="1552597.5"/>
    <n v="3247362"/>
    <n v="503901"/>
    <n v="0"/>
    <n v="297"/>
    <n v="5542911"/>
    <n v="1134226.8907563027"/>
    <n v="35"/>
    <n v="281"/>
    <n v="23"/>
    <n v="0"/>
    <n v="0"/>
    <n v="5525865"/>
    <n v="429249"/>
    <x v="0"/>
    <x v="0"/>
    <n v="297"/>
    <n v="5542911"/>
    <n v="966193.27731092449"/>
    <n v="35"/>
    <n v="319"/>
    <n v="31.5"/>
    <n v="300"/>
    <n v="0"/>
    <n v="0"/>
    <n v="5953497"/>
    <n v="619447.5"/>
    <x v="28"/>
    <n v="0"/>
    <n v="297"/>
    <n v="5542911"/>
    <n v="1323264.705882353"/>
    <n v="90"/>
    <n v="362"/>
    <n v="65"/>
    <m/>
    <n v="0"/>
    <n v="0"/>
    <n v="6756006"/>
    <n v="1278225"/>
    <n v="0"/>
    <n v="0"/>
    <n v="362"/>
    <n v="5542911"/>
    <n v="2730546.2184873954"/>
    <n v="70"/>
    <n v="335"/>
    <n v="38"/>
    <n v="0"/>
    <n v="150"/>
    <n v="0"/>
    <n v="6252105"/>
    <n v="747270"/>
    <n v="0"/>
    <n v="0"/>
    <n v="335"/>
    <n v="5542911"/>
    <n v="1596319.3277310927"/>
    <n v="35"/>
    <n v="345"/>
    <n v="49"/>
    <n v="0"/>
    <n v="0"/>
    <n v="0"/>
    <n v="6438735"/>
    <n v="963585"/>
    <n v="0"/>
    <n v="0"/>
    <n v="345"/>
    <n v="6438735"/>
    <n v="2058411.7647058826"/>
    <n v="40"/>
    <n v="343"/>
    <n v="49.5"/>
    <n v="0"/>
    <n v="0"/>
    <n v="0"/>
    <n v="6745095"/>
    <n v="973417.5"/>
    <n v="0"/>
    <n v="0"/>
    <n v="297"/>
    <n v="5542911"/>
    <n v="2079415.9663865548"/>
    <n v="60"/>
    <n v="293.5"/>
    <n v="54"/>
    <n v="0"/>
    <n v="0"/>
    <n v="0"/>
    <n v="0"/>
    <n v="5771677.5"/>
    <n v="1061910"/>
    <n v="0"/>
    <n v="0"/>
    <n v="293.5"/>
    <n v="5771677.5"/>
    <n v="1814672.2689075628"/>
    <n v="50"/>
    <n v="239.5"/>
    <n v="45"/>
    <m/>
    <n v="0"/>
    <n v="0"/>
    <n v="4709767.5"/>
    <n v="884925"/>
    <n v="0"/>
    <n v="0"/>
    <n v="239.5"/>
    <n v="4709767.5"/>
    <n v="1512226.8907563025"/>
    <n v="60"/>
    <n v="194.5"/>
    <n v="54"/>
    <n v="0"/>
    <n v="0"/>
    <n v="3824842.5"/>
    <n v="1061910"/>
    <n v="0"/>
    <n v="0"/>
    <n v="194.5"/>
    <n v="3824842.5"/>
    <n v="2268453.7815126055"/>
    <n v="30"/>
    <n v="140.5"/>
    <n v="27"/>
    <n v="0"/>
    <m/>
    <n v="2762932.5"/>
    <n v="503901"/>
    <n v="0"/>
    <n v="140.5"/>
    <n v="2762932.5"/>
    <n v="1134226.8907563027"/>
  </r>
  <r>
    <m/>
    <x v="6"/>
    <x v="27"/>
    <x v="64"/>
    <n v="1660858101318"/>
    <x v="640"/>
    <x v="484"/>
    <x v="0"/>
    <x v="3"/>
    <n v="1"/>
    <x v="31"/>
    <n v="156"/>
    <m/>
    <n v="0"/>
    <n v="2750"/>
    <n v="429000"/>
    <n v="3"/>
    <n v="3277.4999999999995"/>
    <n v="7554.6218487394963"/>
    <n v="6714.2857142857147"/>
    <s v="Shenzhen"/>
    <x v="0"/>
    <n v="30"/>
    <m/>
    <n v="200"/>
    <n v="43"/>
    <n v="0.62214398580565156"/>
    <n v="48"/>
    <n v="0.65504743600824511"/>
    <n v="48"/>
    <n v="0.66814071322729041"/>
    <n v="40"/>
    <n v="0.65025490005536968"/>
    <n v="64"/>
    <n v="0.61624643525645229"/>
    <n v="94"/>
    <n v="0.585768684749986"/>
    <n v="67"/>
    <n v="0.57984203366555087"/>
    <n v="54"/>
    <n v="0.61222958064836985"/>
    <n v="41"/>
    <n v="0.57728772137352014"/>
    <n v="79"/>
    <n v="0.58451998035305808"/>
    <n v="20"/>
    <n v="0.55491067821888951"/>
    <n v="1"/>
    <n v="0.72378054158948579"/>
    <n v="32"/>
    <n v="0.40798583295292135"/>
    <n v="48"/>
    <n v="0.40456619208055611"/>
    <n v="100"/>
    <n v="0.44604585413357162"/>
    <n v="101"/>
    <n v="0.44512119379930898"/>
    <n v="1.4428571428571428"/>
    <n v="67"/>
    <n v="0.55063779658088996"/>
    <n v="1.0307692307692307"/>
    <n v="14"/>
    <n v="0.35967513789067557"/>
    <n v="0.14000000000000001"/>
    <n v="3"/>
    <s v=""/>
    <n v="4.2857142857142858E-2"/>
    <n v="59"/>
    <n v="0.45044586063997899"/>
    <n v="0.98333333333333328"/>
    <n v="9"/>
    <n v="0.21070529192627749"/>
    <n v="0.18"/>
    <m/>
    <m/>
    <m/>
    <m/>
    <m/>
    <m/>
    <m/>
    <m/>
    <m/>
    <n v="46.333333333333336"/>
    <n v="157"/>
    <n v="20"/>
    <n v="150"/>
    <n v="150"/>
    <n v="0"/>
    <n v="528000"/>
    <n v="487484.99999999994"/>
    <n v="55000"/>
    <n v="0"/>
    <n v="156"/>
    <n v="429000"/>
    <n v="126968.43443259658"/>
    <n v="35"/>
    <n v="250"/>
    <n v="72"/>
    <n v="0"/>
    <n v="0"/>
    <n v="0"/>
    <n v="750750"/>
    <n v="776249.99999999988"/>
    <n v="198000"/>
    <n v="0"/>
    <n v="156"/>
    <n v="429000"/>
    <n v="457086.3639573477"/>
    <n v="70"/>
    <n v="193"/>
    <n v="100"/>
    <n v="0"/>
    <n v="0"/>
    <n v="754575"/>
    <n v="530750"/>
    <n v="275000"/>
    <n v="0"/>
    <n v="156"/>
    <n v="429000"/>
    <n v="755462.18487394962"/>
    <n v="70"/>
    <n v="185"/>
    <n v="101"/>
    <n v="100"/>
    <n v="0"/>
    <n v="574424.99999999988"/>
    <n v="277750"/>
    <x v="76"/>
    <x v="0"/>
    <n v="156"/>
    <n v="429000"/>
    <n v="763016.80672268907"/>
    <n v="65"/>
    <n v="223"/>
    <n v="65"/>
    <m/>
    <n v="0"/>
    <n v="0"/>
    <n v="613250"/>
    <n v="201824.99999999997"/>
    <x v="0"/>
    <n v="0"/>
    <n v="156"/>
    <n v="429000"/>
    <n v="491050.42016806727"/>
    <n v="100"/>
    <n v="170"/>
    <n v="14"/>
    <m/>
    <n v="0"/>
    <n v="0"/>
    <n v="467500"/>
    <n v="43469.999999999993"/>
    <n v="0"/>
    <n v="0"/>
    <n v="170"/>
    <n v="429000"/>
    <n v="105764.70588235295"/>
    <n v="70"/>
    <n v="159"/>
    <n v="3"/>
    <n v="150"/>
    <n v="150"/>
    <n v="0"/>
    <n v="437250"/>
    <n v="9314.9999999999982"/>
    <n v="450224.99999999994"/>
    <n v="0"/>
    <n v="159"/>
    <n v="429000"/>
    <n v="22663.865546218491"/>
    <n v="60"/>
    <n v="215"/>
    <n v="60"/>
    <n v="170"/>
    <n v="170"/>
    <n v="0"/>
    <n v="591250"/>
    <n v="186299.99999999997"/>
    <n v="527849.99999999988"/>
    <n v="0"/>
    <n v="215"/>
    <n v="591250"/>
    <n v="453277.31092436978"/>
    <n v="50"/>
    <n v="165"/>
    <n v="1.5"/>
    <n v="0"/>
    <n v="0"/>
    <n v="0"/>
    <n v="512324.99999999994"/>
    <n v="4657.4999999999991"/>
    <n v="0"/>
    <n v="0"/>
    <n v="156"/>
    <n v="429000"/>
    <n v="11331.932773109245"/>
    <n v="80"/>
    <n v="163.5"/>
    <n v="80"/>
    <n v="0"/>
    <n v="0"/>
    <n v="0"/>
    <m/>
    <n v="507667.49999999994"/>
    <n v="248399.99999999997"/>
    <n v="0"/>
    <n v="0"/>
    <n v="163.5"/>
    <n v="507667.49999999994"/>
    <n v="537142.85714285716"/>
    <n v="60"/>
    <n v="83.5"/>
    <n v="60"/>
    <m/>
    <n v="0"/>
    <n v="0"/>
    <n v="259267.49999999997"/>
    <n v="186299.99999999997"/>
    <n v="0"/>
    <n v="0"/>
    <n v="83.5"/>
    <n v="259267.49999999997"/>
    <n v="402857.1428571429"/>
    <n v="100"/>
    <n v="23.5"/>
    <n v="100"/>
    <n v="200"/>
    <n v="200"/>
    <n v="72967.499999999985"/>
    <n v="310499.99999999994"/>
    <n v="620999.99999999988"/>
    <n v="620999.99999999988"/>
    <n v="223.5"/>
    <n v="693967.49999999988"/>
    <n v="755462.18487394962"/>
    <n v="36"/>
    <n v="123.5"/>
    <n v="36"/>
    <n v="0"/>
    <m/>
    <n v="383467.49999999994"/>
    <n v="99000"/>
    <n v="0"/>
    <n v="123.5"/>
    <n v="383467.49999999994"/>
    <n v="271966.38655462186"/>
  </r>
  <r>
    <m/>
    <x v="6"/>
    <x v="27"/>
    <x v="64"/>
    <n v="1660858118518"/>
    <x v="641"/>
    <x v="485"/>
    <x v="0"/>
    <x v="3"/>
    <n v="0.6"/>
    <x v="31"/>
    <n v="264"/>
    <m/>
    <n v="0"/>
    <n v="3080"/>
    <n v="813120"/>
    <n v="3.45"/>
    <n v="3769.1249999999995"/>
    <n v="8394.957983193277"/>
    <n v="0"/>
    <s v="Shenzhen"/>
    <x v="0"/>
    <n v="30"/>
    <m/>
    <n v="200"/>
    <n v="124"/>
    <n v="0.62282540517010476"/>
    <n v="111"/>
    <n v="0.59301714338069611"/>
    <n v="145"/>
    <n v="0.62614684676788224"/>
    <n v="50"/>
    <n v="0.62987703281810437"/>
    <n v="136"/>
    <n v="0.57072565602896175"/>
    <n v="221"/>
    <n v="0.58615065342229222"/>
    <n v="137"/>
    <n v="0.57779433544712488"/>
    <n v="145"/>
    <n v="0.55955699221440225"/>
    <n v="122"/>
    <n v="0.58215180099116892"/>
    <n v="229"/>
    <n v="0.53347345811625424"/>
    <n v="163"/>
    <n v="0.57808708297832212"/>
    <n v="104"/>
    <n v="0.55766678865760211"/>
    <n v="0"/>
    <s v=""/>
    <n v="0"/>
    <s v=""/>
    <n v="0"/>
    <s v=""/>
    <n v="0"/>
    <s v=""/>
    <n v="0"/>
    <n v="0"/>
    <s v=""/>
    <n v="0"/>
    <n v="9"/>
    <n v="0.53343681251527741"/>
    <n v="4.0909090909090909E-2"/>
    <n v="1"/>
    <n v="0.5830880880880881"/>
    <n v="7.6923076923076927E-3"/>
    <n v="7"/>
    <n v="0.42839367377620685"/>
    <n v="0"/>
    <n v="18"/>
    <n v="0.37091491726029652"/>
    <n v="0"/>
    <m/>
    <m/>
    <m/>
    <m/>
    <m/>
    <m/>
    <m/>
    <m/>
    <m/>
    <n v="120"/>
    <n v="118"/>
    <n v="70"/>
    <n v="150"/>
    <n v="150"/>
    <n v="0"/>
    <n v="215600"/>
    <n v="421348.49999999994"/>
    <n v="215600"/>
    <n v="0"/>
    <n v="264"/>
    <n v="813120"/>
    <n v="493821.0578348987"/>
    <n v="90"/>
    <n v="218"/>
    <n v="0"/>
    <n v="100"/>
    <n v="100"/>
    <n v="0"/>
    <n v="0"/>
    <n v="778423.49999999988"/>
    <n v="0"/>
    <n v="0"/>
    <n v="264"/>
    <n v="813120"/>
    <n v="0"/>
    <n v="150"/>
    <n v="107"/>
    <n v="0"/>
    <n v="0"/>
    <n v="0"/>
    <n v="299942.99999999994"/>
    <n v="329560"/>
    <n v="0"/>
    <n v="0"/>
    <n v="264"/>
    <n v="813120"/>
    <n v="0"/>
    <n v="140"/>
    <n v="330"/>
    <n v="0"/>
    <n v="200"/>
    <n v="0"/>
    <n v="1178347.4999999998"/>
    <n v="0"/>
    <x v="77"/>
    <x v="0"/>
    <n v="264"/>
    <n v="813120"/>
    <n v="0"/>
    <n v="140"/>
    <n v="264"/>
    <n v="84"/>
    <m/>
    <n v="0"/>
    <n v="0"/>
    <n v="813120"/>
    <n v="299942.99999999994"/>
    <x v="0"/>
    <n v="0"/>
    <n v="264"/>
    <n v="813120"/>
    <n v="705176.4705882353"/>
    <n v="220"/>
    <n v="273"/>
    <n v="9"/>
    <m/>
    <n v="0"/>
    <n v="0"/>
    <n v="840840"/>
    <n v="32136.749999999996"/>
    <n v="0"/>
    <n v="0"/>
    <n v="273"/>
    <n v="813120"/>
    <n v="75554.621848739494"/>
    <n v="130"/>
    <n v="265"/>
    <n v="1"/>
    <n v="400"/>
    <n v="400"/>
    <n v="0"/>
    <n v="816200"/>
    <n v="3570.7499999999995"/>
    <n v="1380690"/>
    <n v="0"/>
    <n v="265"/>
    <n v="813120"/>
    <n v="8394.957983193277"/>
    <n v="0"/>
    <n v="271"/>
    <n v="7"/>
    <n v="225"/>
    <n v="225"/>
    <n v="0"/>
    <n v="834680"/>
    <n v="24995.249999999996"/>
    <n v="803418.74999999988"/>
    <n v="0"/>
    <n v="271"/>
    <n v="834680"/>
    <n v="58764.705882352937"/>
    <n v="0"/>
    <n v="282"/>
    <n v="22.5"/>
    <n v="0"/>
    <n v="0"/>
    <n v="0"/>
    <n v="1006951.4999999999"/>
    <n v="80341.874999999985"/>
    <n v="0"/>
    <n v="0"/>
    <n v="264"/>
    <n v="813120"/>
    <n v="188886.55462184874"/>
    <n v="100"/>
    <n v="259.5"/>
    <n v="60"/>
    <n v="0"/>
    <n v="0"/>
    <n v="0"/>
    <m/>
    <n v="926609.62499999988"/>
    <n v="214244.99999999997"/>
    <n v="0"/>
    <n v="0"/>
    <n v="259.5"/>
    <n v="926609.62499999988"/>
    <n v="0"/>
    <n v="40"/>
    <n v="199.5"/>
    <n v="24"/>
    <m/>
    <n v="0"/>
    <n v="0"/>
    <n v="712364.62499999988"/>
    <n v="85697.999999999985"/>
    <n v="0"/>
    <n v="0"/>
    <n v="199.5"/>
    <n v="712364.62499999988"/>
    <n v="0"/>
    <n v="150"/>
    <n v="175.5"/>
    <n v="90"/>
    <n v="300"/>
    <n v="300"/>
    <n v="626666.62499999988"/>
    <n v="321367.49999999994"/>
    <n v="1071224.9999999998"/>
    <n v="1071224.9999999998"/>
    <n v="475.5"/>
    <n v="1697891.6249999995"/>
    <n v="755546.21848739497"/>
    <n v="24"/>
    <n v="385.5"/>
    <n v="14.399999999999999"/>
    <n v="0"/>
    <m/>
    <n v="1376524.1249999998"/>
    <n v="44351.999999999993"/>
    <n v="0"/>
    <n v="385.5"/>
    <n v="1376524.1249999998"/>
    <n v="120887.39495798318"/>
  </r>
  <r>
    <m/>
    <x v="6"/>
    <x v="27"/>
    <x v="64"/>
    <s v="SIMMANCC-BK"/>
    <x v="642"/>
    <x v="486"/>
    <x v="0"/>
    <x v="3"/>
    <n v="1"/>
    <x v="402"/>
    <n v="151"/>
    <m/>
    <n v="0"/>
    <n v="3404"/>
    <n v="514004"/>
    <n v="3.45"/>
    <n v="3769.1249999999995"/>
    <n v="8394.957983193277"/>
    <n v="7554.6218487394963"/>
    <s v="Shenzhen"/>
    <x v="0"/>
    <n v="30"/>
    <m/>
    <n v="200"/>
    <n v="0"/>
    <s v=""/>
    <n v="0"/>
    <s v=""/>
    <n v="2"/>
    <n v="0.6561011359472334"/>
    <n v="13"/>
    <n v="0.6373236844416742"/>
    <n v="23"/>
    <n v="0.66951008465194106"/>
    <n v="62"/>
    <n v="0.5840630805041207"/>
    <n v="65"/>
    <n v="0.55120658779124099"/>
    <n v="93"/>
    <n v="0.51738996336079146"/>
    <n v="67"/>
    <n v="0.53900543119850375"/>
    <n v="110"/>
    <n v="0.52677158768107879"/>
    <n v="63"/>
    <n v="0.55484251007136853"/>
    <n v="37"/>
    <n v="0.53176832940979202"/>
    <n v="28"/>
    <n v="0.48967262324184713"/>
    <n v="62"/>
    <n v="0.4684057982931974"/>
    <n v="94"/>
    <n v="0.52990212999253727"/>
    <n v="90"/>
    <n v="0.47205336562597455"/>
    <n v="1.5"/>
    <n v="14"/>
    <n v="0.42807496879027063"/>
    <n v="0.23333333333333334"/>
    <n v="41"/>
    <n v="0.43123682711898442"/>
    <n v="0.45555555555555555"/>
    <n v="61"/>
    <n v="0.59214899597542592"/>
    <n v="1.0166666666666666"/>
    <n v="60"/>
    <n v="0.40311556136784932"/>
    <n v="0.63157894736842102"/>
    <n v="43"/>
    <n v="0.35769071419438481"/>
    <n v="0.61428571428571432"/>
    <m/>
    <m/>
    <m/>
    <m/>
    <m/>
    <m/>
    <m/>
    <m/>
    <m/>
    <n v="50"/>
    <n v="154"/>
    <n v="30"/>
    <n v="150"/>
    <n v="150"/>
    <n v="0"/>
    <n v="738668"/>
    <n v="549895.49999999988"/>
    <n v="102120"/>
    <n v="0"/>
    <n v="151"/>
    <n v="514004"/>
    <n v="211637.59621495657"/>
    <n v="40"/>
    <n v="371"/>
    <n v="93"/>
    <n v="0"/>
    <n v="0"/>
    <n v="0"/>
    <n v="942908"/>
    <n v="1324748.2499999998"/>
    <n v="316572"/>
    <n v="0"/>
    <n v="151"/>
    <n v="514004"/>
    <n v="656076.54826636543"/>
    <n v="80"/>
    <n v="310"/>
    <n v="94"/>
    <n v="0"/>
    <n v="0"/>
    <n v="840581"/>
    <n v="1055240"/>
    <n v="319976"/>
    <n v="0"/>
    <n v="151"/>
    <n v="514004"/>
    <n v="789126.05042016809"/>
    <n v="60"/>
    <n v="219"/>
    <n v="90"/>
    <n v="0"/>
    <n v="0"/>
    <n v="781994.24999999988"/>
    <n v="306360"/>
    <x v="0"/>
    <x v="0"/>
    <n v="151"/>
    <n v="514004"/>
    <n v="755546.21848739497"/>
    <n v="60"/>
    <n v="165"/>
    <n v="60"/>
    <m/>
    <n v="0"/>
    <n v="0"/>
    <n v="561660"/>
    <n v="214244.99999999997"/>
    <x v="0"/>
    <n v="0"/>
    <n v="151"/>
    <n v="514004"/>
    <n v="503697.47899159661"/>
    <n v="90"/>
    <n v="192"/>
    <n v="41"/>
    <m/>
    <n v="0"/>
    <n v="0"/>
    <n v="653568"/>
    <n v="146400.74999999997"/>
    <n v="0"/>
    <n v="0"/>
    <n v="192"/>
    <n v="514004"/>
    <n v="344193.27731092437"/>
    <n v="60"/>
    <n v="212"/>
    <n v="61"/>
    <n v="200"/>
    <n v="200"/>
    <n v="0"/>
    <n v="721648"/>
    <n v="217815.74999999997"/>
    <n v="690345"/>
    <n v="0"/>
    <n v="212"/>
    <n v="514004"/>
    <n v="512092.43697478989"/>
    <n v="95"/>
    <n v="211"/>
    <n v="62"/>
    <n v="100"/>
    <n v="100"/>
    <n v="0"/>
    <n v="718244"/>
    <n v="221386.49999999997"/>
    <n v="357074.99999999994"/>
    <n v="0"/>
    <n v="211"/>
    <n v="718244"/>
    <n v="520487.39495798317"/>
    <n v="70"/>
    <n v="194"/>
    <n v="49.5"/>
    <n v="0"/>
    <n v="0"/>
    <n v="0"/>
    <n v="692725.49999999988"/>
    <n v="176752.12499999997"/>
    <n v="0"/>
    <n v="0"/>
    <n v="151"/>
    <n v="514004"/>
    <n v="415550.42016806721"/>
    <n v="110"/>
    <n v="144.5"/>
    <n v="110"/>
    <n v="0"/>
    <n v="0"/>
    <n v="0"/>
    <n v="0"/>
    <n v="515973.37499999994"/>
    <n v="392782.49999999994"/>
    <n v="0"/>
    <n v="0"/>
    <n v="144.5"/>
    <n v="515973.37499999994"/>
    <n v="831008.40336134459"/>
    <n v="0"/>
    <n v="34.5"/>
    <n v="0"/>
    <m/>
    <n v="0"/>
    <n v="0"/>
    <n v="123190.87499999999"/>
    <n v="0"/>
    <n v="0"/>
    <n v="0"/>
    <n v="34.5"/>
    <n v="123190.87499999999"/>
    <n v="0"/>
    <n v="100"/>
    <n v="34.5"/>
    <n v="100"/>
    <n v="200"/>
    <n v="200"/>
    <n v="123190.87499999999"/>
    <n v="357074.99999999994"/>
    <n v="714149.99999999988"/>
    <n v="714149.99999999988"/>
    <n v="234.5"/>
    <n v="837340.87499999988"/>
    <n v="839495.79831932765"/>
    <n v="0"/>
    <n v="134.5"/>
    <n v="0"/>
    <n v="0"/>
    <m/>
    <n v="480265.87499999994"/>
    <n v="0"/>
    <n v="0"/>
    <n v="134.5"/>
    <n v="480265.87499999994"/>
    <n v="0"/>
  </r>
  <r>
    <m/>
    <x v="6"/>
    <x v="27"/>
    <x v="65"/>
    <n v="1635956592996"/>
    <x v="643"/>
    <x v="487"/>
    <x v="0"/>
    <x v="5"/>
    <n v="0.7"/>
    <x v="31"/>
    <n v="164"/>
    <m/>
    <n v="0"/>
    <n v="7693"/>
    <n v="1261652"/>
    <n v="7.9"/>
    <n v="8630.75"/>
    <n v="18478.991596638658"/>
    <n v="16798.319327731093"/>
    <s v="Ningbo"/>
    <x v="1"/>
    <n v="30"/>
    <m/>
    <n v="600"/>
    <n v="43"/>
    <n v="0.42204818073140837"/>
    <n v="64"/>
    <n v="0.4058343838486746"/>
    <n v="122"/>
    <n v="0.51018785226033825"/>
    <n v="70"/>
    <n v="0.47509155836512251"/>
    <n v="77"/>
    <n v="0.50593390644740943"/>
    <n v="217"/>
    <n v="0.44384650009519938"/>
    <n v="96"/>
    <n v="0.49857142794847231"/>
    <n v="99"/>
    <n v="0.48204638598516347"/>
    <n v="57"/>
    <n v="0.50438123434384485"/>
    <n v="191"/>
    <n v="0.44036126976282891"/>
    <n v="66"/>
    <n v="0.51053509734248848"/>
    <n v="55"/>
    <n v="0.50403024209228187"/>
    <n v="16"/>
    <n v="0.30560205539024282"/>
    <n v="7"/>
    <n v="0.28960903068811678"/>
    <n v="1"/>
    <s v=""/>
    <n v="16"/>
    <n v="0.41900782246492346"/>
    <n v="0.32"/>
    <n v="40"/>
    <n v="0.57984494808774412"/>
    <n v="0.5714285714285714"/>
    <n v="85"/>
    <n v="0.47995116767377122"/>
    <n v="0.53125"/>
    <n v="5"/>
    <s v=""/>
    <n v="0.05"/>
    <n v="106"/>
    <n v="0.2910266537909264"/>
    <n v="1.1157894736842104"/>
    <n v="69"/>
    <n v="0.29180717141665208"/>
    <n v="1.2545454545454546"/>
    <m/>
    <m/>
    <m/>
    <m/>
    <m/>
    <m/>
    <m/>
    <m/>
    <m/>
    <n v="50"/>
    <n v="33"/>
    <n v="20"/>
    <n v="0"/>
    <n v="0"/>
    <n v="0"/>
    <n v="242329.5"/>
    <n v="269824.49999999994"/>
    <n v="153860"/>
    <n v="0"/>
    <n v="164"/>
    <n v="1261652"/>
    <n v="310571.28733846487"/>
    <n v="13"/>
    <n v="26"/>
    <n v="10.5"/>
    <n v="600"/>
    <n v="300"/>
    <n v="0"/>
    <n v="211557.5"/>
    <n v="212588.99999999997"/>
    <n v="80776.5"/>
    <n v="0"/>
    <n v="164"/>
    <n v="1261652"/>
    <n v="163049.92585269405"/>
    <n v="50"/>
    <n v="26"/>
    <n v="1"/>
    <n v="0"/>
    <n v="0"/>
    <n v="531429.5"/>
    <n v="200018"/>
    <n v="7693"/>
    <n v="0"/>
    <n v="164"/>
    <n v="1261652"/>
    <n v="18478.991596638658"/>
    <n v="50"/>
    <n v="599"/>
    <n v="16"/>
    <n v="0"/>
    <n v="0"/>
    <n v="4897723.4999999991"/>
    <n v="123088"/>
    <x v="0"/>
    <x v="0"/>
    <n v="164"/>
    <n v="1261652"/>
    <n v="295663.86554621853"/>
    <n v="70"/>
    <n v="204"/>
    <n v="49"/>
    <m/>
    <n v="300"/>
    <n v="0"/>
    <n v="1569372"/>
    <n v="400648.49999999994"/>
    <x v="0"/>
    <n v="0"/>
    <n v="164"/>
    <n v="1261652"/>
    <n v="905470.58823529421"/>
    <n v="160"/>
    <n v="249"/>
    <n v="85"/>
    <m/>
    <n v="0"/>
    <n v="0"/>
    <n v="1915557"/>
    <n v="695002.49999999988"/>
    <n v="0"/>
    <n v="0"/>
    <n v="249"/>
    <n v="1261652"/>
    <n v="1570714.2857142859"/>
    <n v="100"/>
    <n v="169"/>
    <n v="5"/>
    <n v="0"/>
    <n v="0"/>
    <n v="0"/>
    <n v="1300117"/>
    <n v="40882.499999999993"/>
    <n v="0"/>
    <n v="0"/>
    <n v="169"/>
    <n v="1261652"/>
    <n v="92394.957983193293"/>
    <n v="95"/>
    <n v="270"/>
    <n v="109"/>
    <n v="0"/>
    <n v="0"/>
    <n v="0"/>
    <n v="2077110"/>
    <n v="891238.49999999988"/>
    <n v="0"/>
    <n v="0"/>
    <n v="270"/>
    <n v="2077110"/>
    <n v="2014210.0840336138"/>
    <n v="55"/>
    <n v="233"/>
    <n v="76.5"/>
    <n v="0"/>
    <n v="0"/>
    <n v="0"/>
    <n v="1905124.4999999998"/>
    <n v="625502.24999999988"/>
    <n v="0"/>
    <n v="0"/>
    <n v="164"/>
    <n v="1261652"/>
    <n v="1413642.8571428573"/>
    <n v="60"/>
    <n v="156.5"/>
    <n v="42"/>
    <n v="0"/>
    <n v="0"/>
    <n v="0"/>
    <m/>
    <n v="1279622.2499999998"/>
    <n v="343412.99999999994"/>
    <n v="0"/>
    <n v="0"/>
    <n v="156.5"/>
    <n v="1279622.2499999998"/>
    <n v="705529.4117647059"/>
    <n v="50"/>
    <n v="114.5"/>
    <n v="35"/>
    <m/>
    <n v="0"/>
    <n v="0"/>
    <n v="936209.24999999988"/>
    <n v="286177.49999999994"/>
    <n v="0"/>
    <n v="0"/>
    <n v="114.5"/>
    <n v="936209.24999999988"/>
    <n v="587941.17647058819"/>
    <n v="50"/>
    <n v="79.5"/>
    <n v="35"/>
    <n v="0"/>
    <n v="0"/>
    <n v="650031.74999999988"/>
    <n v="286177.49999999994"/>
    <n v="0"/>
    <n v="0"/>
    <n v="79.5"/>
    <n v="650031.74999999988"/>
    <n v="646764.70588235301"/>
    <n v="30"/>
    <n v="44.5"/>
    <n v="21"/>
    <n v="0"/>
    <m/>
    <n v="363854.24999999994"/>
    <n v="161553"/>
    <n v="0"/>
    <n v="44.5"/>
    <n v="363854.24999999994"/>
    <n v="388058.82352941181"/>
  </r>
  <r>
    <m/>
    <x v="6"/>
    <x v="27"/>
    <x v="65"/>
    <n v="1635956597983"/>
    <x v="644"/>
    <x v="488"/>
    <x v="0"/>
    <x v="2"/>
    <n v="1"/>
    <x v="31"/>
    <n v="12"/>
    <m/>
    <n v="0"/>
    <n v="6273"/>
    <n v="75276"/>
    <n v="5.3"/>
    <n v="5790.25"/>
    <n v="10915.966386554623"/>
    <n v="10915.966386554623"/>
    <s v="Ningbo"/>
    <x v="1"/>
    <n v="45"/>
    <m/>
    <n v="600"/>
    <n v="84"/>
    <n v="0.46917534994405524"/>
    <n v="58"/>
    <n v="0.42591390981279986"/>
    <n v="35"/>
    <n v="0.59440263619465783"/>
    <n v="37"/>
    <n v="0.51634110459870941"/>
    <n v="70"/>
    <n v="0.51345773521268245"/>
    <n v="179"/>
    <n v="0.49443723749648827"/>
    <n v="80"/>
    <n v="0.52697155883016811"/>
    <n v="72"/>
    <n v="0.5499515649671527"/>
    <n v="50"/>
    <n v="0.49899718254132619"/>
    <n v="167"/>
    <n v="0.4510373744031394"/>
    <n v="59"/>
    <n v="0.48843711145306068"/>
    <n v="70"/>
    <n v="0.5038812494960192"/>
    <n v="57"/>
    <n v="0.13987697271916055"/>
    <n v="56"/>
    <n v="0.12892678854027645"/>
    <n v="129"/>
    <n v="0.1448744339829191"/>
    <n v="103"/>
    <n v="9.6356867825459339E-2"/>
    <n v="1.4714285714285715"/>
    <n v="49"/>
    <n v="0.4268628174010024"/>
    <n v="0.7"/>
    <n v="16"/>
    <n v="0.37654883947890716"/>
    <n v="8.8888888888888892E-2"/>
    <n v="3"/>
    <s v=""/>
    <n v="0.2"/>
    <n v="0"/>
    <s v=""/>
    <n v="0"/>
    <n v="1"/>
    <n v="0.41947529776857279"/>
    <n v="0"/>
    <m/>
    <m/>
    <m/>
    <m/>
    <m/>
    <m/>
    <m/>
    <m/>
    <m/>
    <n v="60"/>
    <n v="438"/>
    <n v="60"/>
    <n v="0"/>
    <n v="0"/>
    <n v="0"/>
    <n v="1712529"/>
    <n v="2402649"/>
    <n v="376380"/>
    <n v="0"/>
    <n v="12"/>
    <n v="75276"/>
    <n v="550384.85982628353"/>
    <n v="50"/>
    <n v="402"/>
    <n v="84"/>
    <n v="0"/>
    <n v="0"/>
    <n v="0"/>
    <n v="1982268"/>
    <n v="2205171"/>
    <n v="526932"/>
    <n v="0"/>
    <n v="12"/>
    <n v="75276"/>
    <n v="770538.80375679699"/>
    <n v="70"/>
    <n v="141"/>
    <n v="129"/>
    <n v="0"/>
    <n v="0"/>
    <n v="1839321"/>
    <n v="884493"/>
    <n v="809217"/>
    <n v="0"/>
    <n v="12"/>
    <n v="75276"/>
    <n v="1408159.6638655462"/>
    <n v="70"/>
    <n v="191"/>
    <n v="103"/>
    <n v="0"/>
    <n v="0"/>
    <n v="1047730.5"/>
    <n v="646119"/>
    <x v="0"/>
    <x v="0"/>
    <n v="12"/>
    <n v="75276"/>
    <n v="1124344.5378151261"/>
    <n v="70"/>
    <n v="61"/>
    <n v="70"/>
    <m/>
    <n v="0"/>
    <n v="0"/>
    <n v="382653"/>
    <n v="383985"/>
    <x v="0"/>
    <n v="0"/>
    <n v="12"/>
    <n v="75276"/>
    <n v="764117.64705882361"/>
    <n v="180"/>
    <n v="28"/>
    <n v="16"/>
    <m/>
    <n v="0"/>
    <n v="0"/>
    <n v="175644"/>
    <n v="87768"/>
    <n v="0"/>
    <n v="0"/>
    <n v="28"/>
    <n v="75276"/>
    <n v="174655.46218487396"/>
    <n v="15"/>
    <n v="15"/>
    <n v="3"/>
    <n v="0"/>
    <n v="0"/>
    <n v="0"/>
    <n v="94095"/>
    <n v="16456.5"/>
    <n v="0"/>
    <n v="0"/>
    <n v="15"/>
    <n v="75276"/>
    <n v="32747.899159663866"/>
    <n v="0"/>
    <n v="12"/>
    <n v="0"/>
    <n v="0"/>
    <n v="0"/>
    <n v="0"/>
    <n v="75276"/>
    <n v="0"/>
    <n v="0"/>
    <n v="0"/>
    <n v="12"/>
    <n v="75276"/>
    <n v="0"/>
    <n v="0"/>
    <n v="13"/>
    <n v="1.5"/>
    <n v="0"/>
    <n v="0"/>
    <n v="0"/>
    <n v="71311.5"/>
    <n v="8228.25"/>
    <n v="0"/>
    <n v="0"/>
    <n v="12"/>
    <n v="75276"/>
    <n v="16373.949579831933"/>
    <n v="26"/>
    <n v="11.5"/>
    <n v="11.5"/>
    <n v="0"/>
    <n v="0"/>
    <n v="0"/>
    <m/>
    <n v="63083.25"/>
    <n v="63083.25"/>
    <n v="0"/>
    <n v="0"/>
    <n v="11.5"/>
    <n v="63083.25"/>
    <n v="125533.61344537816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6"/>
    <x v="27"/>
    <x v="65"/>
    <s v="SIMO28TOUL"/>
    <x v="645"/>
    <x v="489"/>
    <x v="0"/>
    <x v="2"/>
    <n v="1.8"/>
    <x v="403"/>
    <n v="0"/>
    <m/>
    <n v="0"/>
    <n v="20545"/>
    <n v="0"/>
    <n v="17.52"/>
    <n v="19140.599999999999"/>
    <n v="29403.361344537818"/>
    <n v="25201.680672268907"/>
    <s v="Ningbo"/>
    <x v="1"/>
    <n v="45"/>
    <m/>
    <n v="600"/>
    <n v="6"/>
    <n v="0.50765654580747199"/>
    <n v="2"/>
    <n v="0.36485609175503136"/>
    <n v="4"/>
    <n v="0.46126736557250669"/>
    <n v="11"/>
    <n v="0.42364954493902462"/>
    <n v="7"/>
    <n v="0.49925052097931927"/>
    <n v="23"/>
    <n v="0.33830456350639726"/>
    <n v="25"/>
    <n v="0.39686973084733085"/>
    <n v="31"/>
    <n v="0.2410421959870562"/>
    <n v="29"/>
    <n v="0.227553480197069"/>
    <n v="214"/>
    <n v="-0.14843923683643681"/>
    <n v="28"/>
    <n v="0.31203845491038035"/>
    <n v="34"/>
    <n v="0.31330668169287718"/>
    <n v="25"/>
    <n v="0.19418461259537972"/>
    <n v="44"/>
    <n v="0.17217801129730489"/>
    <n v="51"/>
    <n v="0.15050173307237438"/>
    <n v="34"/>
    <n v="0.14223265219522857"/>
    <n v="1.7"/>
    <n v="26"/>
    <n v="0.27458143537757823"/>
    <n v="1.3"/>
    <n v="-3"/>
    <n v="-9.0111319184352889E-2"/>
    <n v="-0.11538461538461539"/>
    <n v="0"/>
    <s v=""/>
    <n v="0"/>
    <n v="0"/>
    <s v=""/>
    <n v="0"/>
    <n v="0"/>
    <s v=""/>
    <n v="0"/>
    <m/>
    <m/>
    <m/>
    <m/>
    <m/>
    <m/>
    <m/>
    <m/>
    <m/>
    <n v="25"/>
    <n v="182"/>
    <n v="30"/>
    <n v="0"/>
    <n v="0"/>
    <n v="0"/>
    <n v="3020115"/>
    <n v="3300242.3999999994"/>
    <n v="616350"/>
    <n v="0"/>
    <n v="0"/>
    <n v="0"/>
    <n v="741261.21036649961"/>
    <n v="25"/>
    <n v="156"/>
    <n v="66"/>
    <n v="0"/>
    <n v="0"/>
    <n v="0"/>
    <n v="3102295"/>
    <n v="2828779.1999999997"/>
    <n v="1355970"/>
    <n v="0"/>
    <n v="0"/>
    <n v="0"/>
    <n v="1630774.6628062993"/>
    <n v="25"/>
    <n v="51"/>
    <n v="51"/>
    <n v="0"/>
    <n v="0"/>
    <n v="2399120.2000000002"/>
    <n v="1047795"/>
    <n v="1047795"/>
    <n v="0"/>
    <n v="0"/>
    <n v="0"/>
    <n v="1499571.4285714286"/>
    <n v="20"/>
    <n v="68"/>
    <n v="34"/>
    <n v="0"/>
    <n v="0"/>
    <n v="1233057.5999999999"/>
    <n v="698530"/>
    <x v="0"/>
    <x v="0"/>
    <n v="0"/>
    <n v="0"/>
    <n v="999714.2857142858"/>
    <n v="20"/>
    <n v="26"/>
    <n v="36"/>
    <m/>
    <n v="0"/>
    <n v="0"/>
    <n v="534170"/>
    <n v="652795.19999999995"/>
    <x v="0"/>
    <n v="0"/>
    <n v="0"/>
    <n v="0"/>
    <n v="1058521.0084033615"/>
    <n v="26"/>
    <n v="-3"/>
    <n v="-3"/>
    <m/>
    <n v="0"/>
    <n v="0"/>
    <n v="-61635"/>
    <n v="-54399.599999999991"/>
    <n v="0"/>
    <n v="0"/>
    <n v="-3"/>
    <n v="0"/>
    <n v="-88210.0840336134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6"/>
    <x v="27"/>
    <x v="66"/>
    <n v="66800469437952"/>
    <x v="646"/>
    <x v="490"/>
    <x v="0"/>
    <x v="2"/>
    <n v="1"/>
    <x v="31"/>
    <n v="7"/>
    <m/>
    <n v="0"/>
    <n v="6067"/>
    <n v="42469"/>
    <n v="6.05"/>
    <n v="6609.6249999999991"/>
    <n v="16798.319327731093"/>
    <n v="12596.638655462186"/>
    <s v="Shenzhen"/>
    <x v="0"/>
    <n v="30"/>
    <m/>
    <n v="500"/>
    <n v="77"/>
    <n v="0.30176568815319044"/>
    <n v="44"/>
    <n v="0.46957387222250113"/>
    <n v="115"/>
    <n v="0.45577067223092982"/>
    <n v="68"/>
    <n v="0.40949575251418618"/>
    <n v="98"/>
    <n v="0.4521019462080873"/>
    <n v="62"/>
    <n v="0.35447016563756811"/>
    <n v="34"/>
    <n v="0.43180802584942807"/>
    <n v="13"/>
    <n v="0.46483368447348961"/>
    <n v="9"/>
    <n v="0.4333277400630493"/>
    <n v="18"/>
    <n v="0.30513874041721395"/>
    <n v="71"/>
    <n v="0.1781020606754436"/>
    <n v="0"/>
    <s v=""/>
    <n v="3"/>
    <n v="0.16523592624402145"/>
    <n v="6"/>
    <n v="0.37025725546897692"/>
    <n v="0"/>
    <s v=""/>
    <n v="1"/>
    <n v="0.45926209875948232"/>
    <n v="0"/>
    <n v="2"/>
    <n v="0.45925969112050585"/>
    <n v="0"/>
    <n v="0"/>
    <s v=""/>
    <n v="0"/>
    <n v="0"/>
    <s v=""/>
    <n v="0"/>
    <n v="5"/>
    <n v="0.33415481726398316"/>
    <n v="0"/>
    <n v="0"/>
    <s v=""/>
    <n v="0"/>
    <m/>
    <m/>
    <m/>
    <m/>
    <m/>
    <m/>
    <m/>
    <m/>
    <m/>
    <n v="0"/>
    <n v="28"/>
    <n v="0"/>
    <n v="0"/>
    <n v="0"/>
    <n v="0"/>
    <n v="54603"/>
    <n v="175328.99999999997"/>
    <n v="0"/>
    <n v="0"/>
    <n v="7"/>
    <n v="42469"/>
    <n v="0"/>
    <n v="0"/>
    <n v="35"/>
    <n v="9"/>
    <n v="0"/>
    <n v="0"/>
    <n v="0"/>
    <n v="60670"/>
    <n v="219161.24999999997"/>
    <n v="54603"/>
    <n v="0"/>
    <n v="7"/>
    <n v="42469"/>
    <n v="127046.11256267213"/>
    <n v="0"/>
    <n v="29"/>
    <n v="0"/>
    <n v="0"/>
    <n v="0"/>
    <n v="6067"/>
    <n v="175943"/>
    <n v="0"/>
    <n v="0"/>
    <n v="7"/>
    <n v="42469"/>
    <n v="0"/>
    <n v="0"/>
    <n v="28"/>
    <n v="1"/>
    <n v="0"/>
    <n v="0"/>
    <n v="175328.99999999997"/>
    <n v="6067"/>
    <x v="0"/>
    <x v="0"/>
    <n v="7"/>
    <n v="42469"/>
    <n v="16798.319327731093"/>
    <n v="0"/>
    <n v="9"/>
    <n v="0"/>
    <m/>
    <n v="0"/>
    <n v="0"/>
    <n v="54603"/>
    <n v="0"/>
    <x v="0"/>
    <n v="0"/>
    <n v="7"/>
    <n v="42469"/>
    <n v="0"/>
    <n v="0"/>
    <n v="7"/>
    <n v="0"/>
    <m/>
    <n v="0"/>
    <n v="0"/>
    <n v="42469"/>
    <n v="0"/>
    <n v="0"/>
    <n v="0"/>
    <n v="7"/>
    <n v="42469"/>
    <n v="0"/>
    <n v="0"/>
    <n v="7"/>
    <n v="0"/>
    <n v="0"/>
    <n v="0"/>
    <n v="0"/>
    <n v="42469"/>
    <n v="0"/>
    <n v="0"/>
    <n v="0"/>
    <n v="7"/>
    <n v="42469"/>
    <n v="0"/>
    <n v="0"/>
    <n v="12"/>
    <n v="5"/>
    <n v="0"/>
    <n v="0"/>
    <n v="0"/>
    <n v="72804"/>
    <n v="31308.749999999996"/>
    <n v="0"/>
    <n v="0"/>
    <n v="12"/>
    <n v="72804"/>
    <n v="83991.596638655465"/>
    <n v="0"/>
    <n v="7"/>
    <n v="0"/>
    <n v="0"/>
    <n v="0"/>
    <n v="0"/>
    <n v="43832.249999999993"/>
    <n v="0"/>
    <n v="0"/>
    <n v="0"/>
    <n v="7"/>
    <n v="42469"/>
    <n v="0"/>
    <n v="0"/>
    <n v="7"/>
    <n v="0"/>
    <n v="0"/>
    <n v="0"/>
    <n v="0"/>
    <m/>
    <n v="43832.249999999993"/>
    <n v="0"/>
    <n v="0"/>
    <n v="0"/>
    <n v="7"/>
    <n v="43832.249999999993"/>
    <n v="0"/>
    <n v="0"/>
    <n v="7"/>
    <n v="0"/>
    <m/>
    <n v="0"/>
    <n v="0"/>
    <n v="43832.249999999993"/>
    <n v="0"/>
    <n v="0"/>
    <n v="0"/>
    <n v="7"/>
    <n v="43832.249999999993"/>
    <n v="0"/>
    <n v="0"/>
    <n v="7"/>
    <n v="0"/>
    <n v="0"/>
    <n v="0"/>
    <n v="43832.249999999993"/>
    <n v="0"/>
    <n v="0"/>
    <n v="0"/>
    <n v="7"/>
    <n v="43832.249999999993"/>
    <n v="0"/>
    <n v="0"/>
    <n v="7"/>
    <n v="0"/>
    <n v="0"/>
    <m/>
    <n v="43832.249999999993"/>
    <n v="0"/>
    <n v="0"/>
    <n v="7"/>
    <n v="43832.249999999993"/>
    <n v="0"/>
  </r>
  <r>
    <m/>
    <x v="6"/>
    <x v="27"/>
    <x v="66"/>
    <n v="66800471275549"/>
    <x v="647"/>
    <x v="491"/>
    <x v="0"/>
    <x v="2"/>
    <n v="1"/>
    <x v="31"/>
    <n v="7"/>
    <m/>
    <n v="0"/>
    <n v="6283"/>
    <n v="43981"/>
    <n v="6.05"/>
    <n v="6609.6249999999991"/>
    <n v="16798.319327731093"/>
    <n v="12596.638655462186"/>
    <s v="Shenzhen"/>
    <x v="0"/>
    <n v="30"/>
    <m/>
    <n v="500"/>
    <n v="105"/>
    <n v="0.2981095432442093"/>
    <n v="37"/>
    <n v="0.45532277222332956"/>
    <n v="73"/>
    <n v="0.39810082431903887"/>
    <n v="59"/>
    <n v="0.45405302545362258"/>
    <n v="84"/>
    <n v="0.40027066240229175"/>
    <n v="71"/>
    <n v="0.36418007930954072"/>
    <n v="43"/>
    <n v="0.39811445030574966"/>
    <n v="19"/>
    <n v="0.45318448880801665"/>
    <n v="9"/>
    <n v="0.37058256542721046"/>
    <n v="29"/>
    <n v="0.33043857728193943"/>
    <n v="61"/>
    <n v="0.19915871251379091"/>
    <n v="4"/>
    <n v="0.30549644900102246"/>
    <n v="3"/>
    <n v="0.26341162467141127"/>
    <n v="0"/>
    <s v=""/>
    <n v="1"/>
    <n v="0.45069124180716491"/>
    <n v="0"/>
    <s v=""/>
    <n v="0"/>
    <n v="1"/>
    <n v="0.45069124180716491"/>
    <n v="0.25"/>
    <n v="0"/>
    <s v=""/>
    <n v="0"/>
    <n v="0"/>
    <s v=""/>
    <n v="0"/>
    <n v="8"/>
    <n v="0.26438154147881704"/>
    <n v="0"/>
    <n v="2"/>
    <n v="-4.3372080088987762E-2"/>
    <n v="0"/>
    <m/>
    <m/>
    <m/>
    <m/>
    <m/>
    <m/>
    <m/>
    <m/>
    <m/>
    <n v="0"/>
    <n v="29"/>
    <n v="0"/>
    <n v="0"/>
    <n v="0"/>
    <n v="0"/>
    <n v="6283"/>
    <n v="181590.74999999997"/>
    <n v="0"/>
    <n v="0"/>
    <n v="7"/>
    <n v="43981"/>
    <n v="0"/>
    <n v="0"/>
    <n v="27"/>
    <n v="0"/>
    <n v="0"/>
    <n v="0"/>
    <n v="0"/>
    <n v="6283"/>
    <n v="169067.24999999997"/>
    <n v="0"/>
    <n v="0"/>
    <n v="7"/>
    <n v="43981"/>
    <n v="0"/>
    <n v="0"/>
    <n v="27"/>
    <n v="1"/>
    <n v="0"/>
    <n v="0"/>
    <n v="31329.999999999996"/>
    <n v="169641"/>
    <n v="6283"/>
    <n v="0"/>
    <n v="7"/>
    <n v="43981"/>
    <n v="16798.319327731093"/>
    <n v="0"/>
    <n v="25"/>
    <n v="0"/>
    <n v="0"/>
    <n v="0"/>
    <n v="156543.74999999997"/>
    <n v="0"/>
    <x v="0"/>
    <x v="0"/>
    <n v="7"/>
    <n v="43981"/>
    <n v="0"/>
    <n v="4"/>
    <n v="8"/>
    <n v="4"/>
    <m/>
    <n v="0"/>
    <n v="0"/>
    <n v="50264"/>
    <n v="25046.999999999996"/>
    <x v="0"/>
    <n v="0"/>
    <n v="7"/>
    <n v="43981"/>
    <n v="67193.277310924372"/>
    <n v="0"/>
    <n v="7"/>
    <n v="0"/>
    <m/>
    <n v="0"/>
    <n v="0"/>
    <n v="43981"/>
    <n v="0"/>
    <n v="0"/>
    <n v="0"/>
    <n v="7"/>
    <n v="43981"/>
    <n v="0"/>
    <n v="0"/>
    <n v="7"/>
    <n v="0"/>
    <n v="0"/>
    <n v="0"/>
    <n v="0"/>
    <n v="43981"/>
    <n v="0"/>
    <n v="0"/>
    <n v="0"/>
    <n v="7"/>
    <n v="43981"/>
    <n v="0"/>
    <n v="0"/>
    <n v="15"/>
    <n v="8"/>
    <n v="0"/>
    <n v="0"/>
    <n v="0"/>
    <n v="94245"/>
    <n v="50093.999999999993"/>
    <n v="0"/>
    <n v="0"/>
    <n v="15"/>
    <n v="94245"/>
    <n v="134386.55462184874"/>
    <n v="0"/>
    <n v="9"/>
    <n v="3"/>
    <n v="0"/>
    <n v="0"/>
    <n v="0"/>
    <n v="56355.749999999993"/>
    <n v="18785.249999999996"/>
    <n v="0"/>
    <n v="0"/>
    <n v="7"/>
    <n v="43981"/>
    <n v="50394.957983193279"/>
    <n v="0"/>
    <n v="6"/>
    <n v="0"/>
    <n v="0"/>
    <n v="0"/>
    <n v="0"/>
    <m/>
    <n v="37570.499999999993"/>
    <n v="0"/>
    <n v="0"/>
    <n v="0"/>
    <n v="6"/>
    <n v="37570.499999999993"/>
    <n v="0"/>
    <n v="0"/>
    <n v="6"/>
    <n v="0"/>
    <m/>
    <n v="0"/>
    <n v="0"/>
    <n v="37570.499999999993"/>
    <n v="0"/>
    <n v="0"/>
    <n v="0"/>
    <n v="6"/>
    <n v="37570.499999999993"/>
    <n v="0"/>
    <n v="0"/>
    <n v="6"/>
    <n v="0"/>
    <n v="0"/>
    <n v="0"/>
    <n v="37570.499999999993"/>
    <n v="0"/>
    <n v="0"/>
    <n v="0"/>
    <n v="6"/>
    <n v="37570.499999999993"/>
    <n v="0"/>
    <n v="0"/>
    <n v="6"/>
    <n v="0"/>
    <n v="0"/>
    <m/>
    <n v="37570.499999999993"/>
    <n v="0"/>
    <n v="0"/>
    <n v="6"/>
    <n v="37570.499999999993"/>
    <n v="0"/>
  </r>
  <r>
    <m/>
    <x v="6"/>
    <x v="27"/>
    <x v="66"/>
    <n v="66800472805184"/>
    <x v="648"/>
    <x v="492"/>
    <x v="0"/>
    <x v="2"/>
    <n v="1"/>
    <x v="31"/>
    <n v="12"/>
    <m/>
    <n v="0"/>
    <n v="6113"/>
    <n v="73356"/>
    <n v="5.6"/>
    <n v="6117.9999999999991"/>
    <n v="16798.319327731093"/>
    <n v="12596.638655462186"/>
    <s v="Shenzhen"/>
    <x v="0"/>
    <n v="30"/>
    <m/>
    <n v="500"/>
    <n v="48"/>
    <n v="0.28140908761214461"/>
    <n v="11"/>
    <n v="0.59753514620044812"/>
    <n v="28"/>
    <n v="0.46448756849269845"/>
    <n v="24"/>
    <n v="0.47492219919905448"/>
    <n v="23"/>
    <n v="0.40976537209519825"/>
    <n v="25"/>
    <n v="0.38801277278556046"/>
    <n v="12"/>
    <n v="0.42799625707115813"/>
    <n v="11"/>
    <n v="0.44663464257015684"/>
    <n v="6"/>
    <n v="0.42221805140724494"/>
    <n v="15"/>
    <n v="0.36134146763309466"/>
    <n v="132"/>
    <n v="0.21256466280682204"/>
    <n v="5"/>
    <n v="0.23201587979597477"/>
    <n v="2"/>
    <n v="0.43999633433096769"/>
    <n v="6"/>
    <n v="0.44819505968309525"/>
    <n v="0"/>
    <s v=""/>
    <n v="1"/>
    <n v="0.4574368236677851"/>
    <n v="0"/>
    <n v="2"/>
    <n v="0.4574368236677851"/>
    <n v="0.25"/>
    <n v="0"/>
    <s v=""/>
    <n v="0"/>
    <n v="0"/>
    <s v=""/>
    <n v="0"/>
    <n v="4"/>
    <n v="0.17871456179756409"/>
    <n v="0"/>
    <n v="3"/>
    <n v="-0.12881000485177438"/>
    <n v="0"/>
    <m/>
    <m/>
    <m/>
    <m/>
    <m/>
    <m/>
    <m/>
    <m/>
    <m/>
    <n v="0"/>
    <n v="29"/>
    <n v="0"/>
    <n v="0"/>
    <n v="0"/>
    <n v="0"/>
    <n v="55017"/>
    <n v="168084"/>
    <n v="0"/>
    <n v="0"/>
    <n v="12"/>
    <n v="73356"/>
    <n v="0"/>
    <n v="0"/>
    <n v="33"/>
    <n v="9"/>
    <n v="0"/>
    <n v="0"/>
    <n v="0"/>
    <n v="61130"/>
    <n v="191268"/>
    <n v="55017"/>
    <n v="0"/>
    <n v="12"/>
    <n v="73356"/>
    <n v="127046.11256267213"/>
    <n v="0"/>
    <n v="27"/>
    <n v="0"/>
    <n v="0"/>
    <n v="0"/>
    <n v="52481"/>
    <n v="165051"/>
    <n v="0"/>
    <n v="0"/>
    <n v="12"/>
    <n v="73356"/>
    <n v="0"/>
    <n v="0"/>
    <n v="27"/>
    <n v="1"/>
    <n v="0"/>
    <n v="0"/>
    <n v="156492"/>
    <n v="6113"/>
    <x v="0"/>
    <x v="0"/>
    <n v="12"/>
    <n v="73356"/>
    <n v="16798.319327731093"/>
    <n v="8"/>
    <n v="14"/>
    <n v="8"/>
    <m/>
    <n v="0"/>
    <n v="0"/>
    <n v="85582"/>
    <n v="46368"/>
    <x v="0"/>
    <n v="0"/>
    <n v="12"/>
    <n v="73356"/>
    <n v="134386.55462184874"/>
    <n v="0"/>
    <n v="12"/>
    <n v="0"/>
    <m/>
    <n v="0"/>
    <n v="0"/>
    <n v="73356"/>
    <n v="0"/>
    <n v="0"/>
    <n v="0"/>
    <n v="12"/>
    <n v="73356"/>
    <n v="0"/>
    <n v="0"/>
    <n v="12"/>
    <n v="0"/>
    <n v="0"/>
    <n v="0"/>
    <n v="0"/>
    <n v="73356"/>
    <n v="0"/>
    <n v="0"/>
    <n v="0"/>
    <n v="12"/>
    <n v="73356"/>
    <n v="0"/>
    <n v="0"/>
    <n v="16"/>
    <n v="4"/>
    <n v="0"/>
    <n v="0"/>
    <n v="0"/>
    <n v="97808"/>
    <n v="23184"/>
    <n v="0"/>
    <n v="0"/>
    <n v="16"/>
    <n v="97808"/>
    <n v="67193.277310924372"/>
    <n v="0"/>
    <n v="15"/>
    <n v="3"/>
    <n v="0"/>
    <n v="0"/>
    <n v="0"/>
    <n v="86940"/>
    <n v="17388"/>
    <n v="0"/>
    <n v="0"/>
    <n v="12"/>
    <n v="73356"/>
    <n v="50394.957983193279"/>
    <n v="0"/>
    <n v="12"/>
    <n v="0"/>
    <n v="0"/>
    <n v="0"/>
    <n v="0"/>
    <m/>
    <n v="69552"/>
    <n v="0"/>
    <n v="0"/>
    <n v="0"/>
    <n v="12"/>
    <n v="69552"/>
    <n v="0"/>
    <n v="0"/>
    <n v="12"/>
    <n v="0"/>
    <m/>
    <n v="0"/>
    <n v="0"/>
    <n v="69552"/>
    <n v="0"/>
    <n v="0"/>
    <n v="0"/>
    <n v="12"/>
    <n v="69552"/>
    <n v="0"/>
    <n v="0"/>
    <n v="12"/>
    <n v="0"/>
    <n v="0"/>
    <n v="0"/>
    <n v="69552"/>
    <n v="0"/>
    <n v="0"/>
    <n v="0"/>
    <n v="12"/>
    <n v="69552"/>
    <n v="0"/>
    <n v="0"/>
    <n v="12"/>
    <n v="0"/>
    <n v="0"/>
    <m/>
    <n v="69552"/>
    <n v="0"/>
    <n v="0"/>
    <n v="12"/>
    <n v="69552"/>
    <n v="0"/>
  </r>
  <r>
    <m/>
    <x v="6"/>
    <x v="27"/>
    <x v="66"/>
    <n v="68142280732690"/>
    <x v="649"/>
    <x v="493"/>
    <x v="0"/>
    <x v="2"/>
    <n v="1"/>
    <x v="31"/>
    <n v="2"/>
    <m/>
    <n v="0"/>
    <n v="3817"/>
    <n v="7634"/>
    <n v="3.6"/>
    <n v="3932.9999999999995"/>
    <n v="12596.638655462186"/>
    <n v="8394.957983193277"/>
    <s v="Shenzhen"/>
    <x v="0"/>
    <n v="30"/>
    <m/>
    <n v="500"/>
    <n v="107"/>
    <n v="0.46750127292738997"/>
    <n v="34"/>
    <n v="0.51560044267052185"/>
    <n v="74"/>
    <n v="0.56043257930596713"/>
    <n v="44"/>
    <n v="0.51426467010594057"/>
    <n v="21"/>
    <n v="0.49822573320266744"/>
    <n v="55"/>
    <n v="0.48951118796109044"/>
    <n v="65"/>
    <n v="0.51277657228778661"/>
    <n v="31"/>
    <n v="0.49086372061452443"/>
    <n v="37"/>
    <n v="0.46274581276205473"/>
    <n v="36"/>
    <n v="0.443702315367484"/>
    <n v="20"/>
    <n v="0.38551504857885721"/>
    <n v="1"/>
    <n v="0.75765079365079369"/>
    <n v="0"/>
    <s v=""/>
    <n v="2"/>
    <n v="0.51202941397168822"/>
    <n v="3"/>
    <n v="0.51823809523809528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0"/>
    <n v="24"/>
    <n v="0"/>
    <n v="0"/>
    <n v="0"/>
    <n v="0"/>
    <n v="22902"/>
    <n v="89423.999999999985"/>
    <n v="0"/>
    <n v="0"/>
    <n v="2"/>
    <n v="7634"/>
    <n v="0"/>
    <n v="0"/>
    <n v="24"/>
    <n v="3"/>
    <n v="0"/>
    <n v="0"/>
    <n v="0"/>
    <n v="22902"/>
    <n v="89423.999999999985"/>
    <n v="11451"/>
    <n v="0"/>
    <n v="2"/>
    <n v="7634"/>
    <n v="31756.231904526521"/>
    <n v="0"/>
    <n v="24"/>
    <n v="3"/>
    <n v="0"/>
    <n v="0"/>
    <n v="37533"/>
    <n v="91608"/>
    <n v="11451"/>
    <n v="0"/>
    <n v="2"/>
    <n v="7634"/>
    <n v="37789.915966386558"/>
    <n v="0"/>
    <n v="20"/>
    <n v="0"/>
    <n v="0"/>
    <n v="0"/>
    <n v="74519.999999999985"/>
    <n v="0"/>
    <x v="0"/>
    <x v="0"/>
    <n v="2"/>
    <n v="7634"/>
    <n v="0"/>
    <n v="7"/>
    <n v="2"/>
    <n v="7"/>
    <m/>
    <n v="0"/>
    <n v="0"/>
    <n v="7634"/>
    <n v="26081.999999999996"/>
    <x v="0"/>
    <n v="0"/>
    <n v="2"/>
    <n v="7634"/>
    <n v="88176.470588235301"/>
    <n v="0"/>
    <n v="2"/>
    <n v="0"/>
    <m/>
    <n v="0"/>
    <n v="0"/>
    <n v="7634"/>
    <n v="0"/>
    <n v="0"/>
    <n v="0"/>
    <n v="2"/>
    <n v="7634"/>
    <n v="0"/>
    <n v="0"/>
    <n v="2"/>
    <n v="0"/>
    <n v="0"/>
    <n v="0"/>
    <n v="0"/>
    <n v="7634"/>
    <n v="0"/>
    <n v="0"/>
    <n v="0"/>
    <n v="2"/>
    <n v="7634"/>
    <n v="0"/>
    <n v="0"/>
    <n v="2"/>
    <n v="0"/>
    <n v="0"/>
    <n v="0"/>
    <n v="0"/>
    <n v="7634"/>
    <n v="0"/>
    <n v="0"/>
    <n v="0"/>
    <n v="2"/>
    <n v="7634"/>
    <n v="0"/>
    <n v="0"/>
    <n v="2"/>
    <n v="0"/>
    <n v="0"/>
    <n v="0"/>
    <n v="0"/>
    <n v="7451.9999999999991"/>
    <n v="0"/>
    <n v="0"/>
    <n v="0"/>
    <n v="2"/>
    <n v="7634"/>
    <n v="0"/>
    <n v="0"/>
    <n v="2"/>
    <n v="0"/>
    <n v="0"/>
    <n v="0"/>
    <n v="0"/>
    <m/>
    <n v="7451.9999999999991"/>
    <n v="0"/>
    <n v="0"/>
    <n v="0"/>
    <n v="2"/>
    <n v="7451.9999999999991"/>
    <n v="0"/>
    <n v="0"/>
    <n v="2"/>
    <n v="0"/>
    <m/>
    <n v="0"/>
    <n v="0"/>
    <n v="7451.9999999999991"/>
    <n v="0"/>
    <n v="0"/>
    <n v="0"/>
    <n v="2"/>
    <n v="7451.9999999999991"/>
    <n v="0"/>
    <n v="0"/>
    <n v="2"/>
    <n v="0"/>
    <n v="0"/>
    <n v="0"/>
    <n v="7451.9999999999991"/>
    <n v="0"/>
    <n v="0"/>
    <n v="0"/>
    <n v="2"/>
    <n v="7451.9999999999991"/>
    <n v="0"/>
    <n v="0"/>
    <n v="2"/>
    <n v="0"/>
    <n v="0"/>
    <m/>
    <n v="7451.9999999999991"/>
    <n v="0"/>
    <n v="0"/>
    <n v="2"/>
    <n v="7451.9999999999991"/>
    <n v="0"/>
  </r>
  <r>
    <m/>
    <x v="6"/>
    <x v="27"/>
    <x v="67"/>
    <n v="1629726091782"/>
    <x v="650"/>
    <x v="494"/>
    <x v="0"/>
    <x v="1"/>
    <n v="1.3"/>
    <x v="31"/>
    <n v="323"/>
    <m/>
    <n v="0"/>
    <n v="5214"/>
    <n v="1684122"/>
    <n v="5.0999999999999996"/>
    <n v="5571.75"/>
    <n v="14277.310924369749"/>
    <n v="12596.638655462186"/>
    <s v="Shenzhen"/>
    <x v="1"/>
    <n v="30"/>
    <m/>
    <n v="200"/>
    <n v="78"/>
    <n v="0.66196151973537964"/>
    <n v="66"/>
    <n v="0.60478784666425656"/>
    <n v="131"/>
    <n v="0.67112822218842882"/>
    <n v="66"/>
    <n v="0.674462209473498"/>
    <n v="169"/>
    <n v="0.55729587054714702"/>
    <n v="147"/>
    <n v="0.63064813195331437"/>
    <n v="70"/>
    <n v="0.71236624353551481"/>
    <n v="65"/>
    <n v="0.69473545463106312"/>
    <n v="48"/>
    <n v="0.68429118467087802"/>
    <n v="232"/>
    <n v="0.59929949027002538"/>
    <n v="95"/>
    <n v="0.64881790082054225"/>
    <n v="80"/>
    <n v="0.65973400907918245"/>
    <n v="44"/>
    <n v="0.50423962496449726"/>
    <n v="93"/>
    <n v="0.54960445740445529"/>
    <n v="138"/>
    <n v="0.56042822903825251"/>
    <n v="128"/>
    <n v="0.59723037573309334"/>
    <n v="1.28"/>
    <n v="232"/>
    <n v="0.57187117320427516"/>
    <n v="1.6571428571428573"/>
    <n v="265"/>
    <n v="0.42214653755397941"/>
    <n v="1.7666666666666666"/>
    <n v="35"/>
    <s v=""/>
    <n v="0.3888888888888889"/>
    <n v="20"/>
    <n v="0.36875713579361546"/>
    <n v="0.39215686274509803"/>
    <n v="7"/>
    <n v="0.4644909131060963"/>
    <n v="7.0000000000000007E-2"/>
    <m/>
    <m/>
    <m/>
    <m/>
    <m/>
    <m/>
    <m/>
    <m/>
    <m/>
    <n v="90"/>
    <n v="181"/>
    <n v="50"/>
    <n v="250"/>
    <n v="250"/>
    <n v="0"/>
    <n v="1707585"/>
    <n v="955408.5"/>
    <n v="260700"/>
    <n v="0"/>
    <n v="323"/>
    <n v="1684122"/>
    <n v="599887.01362898108"/>
    <n v="80"/>
    <n v="347"/>
    <n v="139.5"/>
    <n v="100"/>
    <n v="100"/>
    <n v="0"/>
    <n v="2114277"/>
    <n v="1831639.5"/>
    <n v="727353"/>
    <n v="0"/>
    <n v="323"/>
    <n v="1684122"/>
    <n v="1673684.7680248572"/>
    <n v="140"/>
    <n v="461"/>
    <n v="138"/>
    <n v="0"/>
    <n v="0"/>
    <n v="2347611"/>
    <n v="2403654"/>
    <n v="719532"/>
    <n v="0"/>
    <n v="323"/>
    <n v="1684122"/>
    <n v="1970268.9075630254"/>
    <n v="100"/>
    <n v="496"/>
    <n v="128"/>
    <n v="250"/>
    <n v="0"/>
    <n v="2618136"/>
    <n v="667392"/>
    <x v="78"/>
    <x v="0"/>
    <n v="323"/>
    <n v="1684122"/>
    <n v="1827495.7983193279"/>
    <n v="140"/>
    <n v="555"/>
    <n v="182"/>
    <n v="150"/>
    <n v="150"/>
    <n v="0"/>
    <n v="2893770"/>
    <n v="960687"/>
    <x v="29"/>
    <n v="0"/>
    <n v="323"/>
    <n v="1684122"/>
    <n v="2598470.5882352944"/>
    <n v="150"/>
    <n v="588"/>
    <n v="265"/>
    <m/>
    <n v="150"/>
    <n v="0"/>
    <n v="3065832"/>
    <n v="1398802.5"/>
    <n v="0"/>
    <n v="0"/>
    <n v="588"/>
    <n v="1684122"/>
    <n v="3783487.3949579834"/>
    <n v="90"/>
    <n v="358"/>
    <n v="35"/>
    <n v="150"/>
    <n v="150"/>
    <n v="0"/>
    <n v="1866612"/>
    <n v="184747.5"/>
    <n v="765382.49999999988"/>
    <n v="0"/>
    <n v="358"/>
    <n v="1684122"/>
    <n v="499705.8823529412"/>
    <n v="51"/>
    <n v="343"/>
    <n v="20"/>
    <n v="0"/>
    <n v="0"/>
    <n v="0"/>
    <n v="1788402"/>
    <n v="105570"/>
    <n v="0"/>
    <n v="0"/>
    <n v="343"/>
    <n v="1788402"/>
    <n v="285546.21848739497"/>
    <n v="100"/>
    <n v="330"/>
    <n v="0"/>
    <n v="300"/>
    <n v="300"/>
    <n v="0"/>
    <n v="1741905"/>
    <n v="0"/>
    <n v="1583550"/>
    <n v="0"/>
    <n v="323"/>
    <n v="1684122"/>
    <n v="0"/>
    <n v="250"/>
    <n v="330"/>
    <n v="325"/>
    <n v="300"/>
    <n v="300"/>
    <n v="0"/>
    <n v="300"/>
    <n v="1741905"/>
    <n v="1715512.5"/>
    <n v="1583550"/>
    <n v="0"/>
    <n v="330"/>
    <n v="1741905"/>
    <n v="4093907.5630252105"/>
    <n v="200"/>
    <n v="5"/>
    <n v="260"/>
    <m/>
    <n v="0"/>
    <n v="300"/>
    <n v="26392.5"/>
    <n v="1372410"/>
    <n v="0"/>
    <n v="1583550"/>
    <n v="305"/>
    <n v="1609942.5"/>
    <n v="62983.193277310929"/>
    <n v="200"/>
    <n v="45"/>
    <n v="245"/>
    <n v="200"/>
    <n v="200"/>
    <n v="237532.5"/>
    <n v="1293232.5"/>
    <n v="1055700"/>
    <n v="1055700"/>
    <n v="245"/>
    <n v="1293232.5"/>
    <n v="3497941.1764705884"/>
    <n v="120"/>
    <n v="0"/>
    <n v="156"/>
    <n v="0"/>
    <m/>
    <n v="0"/>
    <n v="813384"/>
    <n v="0"/>
    <n v="0"/>
    <n v="0"/>
    <n v="2227260.5042016809"/>
  </r>
  <r>
    <m/>
    <x v="6"/>
    <x v="27"/>
    <x v="67"/>
    <n v="1629726117626"/>
    <x v="651"/>
    <x v="495"/>
    <x v="0"/>
    <x v="1"/>
    <n v="1"/>
    <x v="31"/>
    <n v="131"/>
    <m/>
    <n v="0"/>
    <n v="4813"/>
    <n v="630503"/>
    <n v="5.0999999999999996"/>
    <n v="5571.75"/>
    <n v="14277.310924369749"/>
    <n v="12596.638655462186"/>
    <s v="Shenzhen"/>
    <x v="1"/>
    <n v="30"/>
    <m/>
    <n v="200"/>
    <n v="251"/>
    <n v="0.62517144155564541"/>
    <n v="158"/>
    <n v="0.62633896276736301"/>
    <n v="344"/>
    <n v="0.68259517024052163"/>
    <n v="231"/>
    <n v="0.68746782986175881"/>
    <n v="179"/>
    <n v="0.65542926938890034"/>
    <n v="343"/>
    <n v="0.62491667009391849"/>
    <n v="224"/>
    <n v="0.69874564876752088"/>
    <n v="257"/>
    <n v="0.67778149265316234"/>
    <n v="223"/>
    <n v="0.68884759865446432"/>
    <n v="372"/>
    <n v="0.59742630435260768"/>
    <n v="226"/>
    <n v="0.65242965134149966"/>
    <n v="80"/>
    <n v="0.70688252052190437"/>
    <n v="140"/>
    <n v="0.56139639123396035"/>
    <n v="115"/>
    <n v="0.51571060860109019"/>
    <n v="413"/>
    <n v="0.57643365041200645"/>
    <n v="398"/>
    <n v="0.55026837128039785"/>
    <n v="1.0756756756756756"/>
    <n v="519"/>
    <n v="0.60609791644625965"/>
    <n v="2.5950000000000002"/>
    <n v="916"/>
    <n v="0.46148492378107275"/>
    <n v="1.6654545454545455"/>
    <n v="118"/>
    <s v=""/>
    <n v="0.33714285714285713"/>
    <n v="282"/>
    <n v="0.41694114638097229"/>
    <n v="1.2760180995475112"/>
    <n v="16"/>
    <n v="0.44406089205850935"/>
    <n v="0"/>
    <m/>
    <m/>
    <m/>
    <m/>
    <m/>
    <m/>
    <m/>
    <m/>
    <m/>
    <n v="350"/>
    <n v="199"/>
    <n v="199"/>
    <n v="850"/>
    <n v="850"/>
    <n v="0"/>
    <n v="3775798.5"/>
    <n v="1050421.5"/>
    <n v="957787"/>
    <n v="0"/>
    <n v="131"/>
    <n v="630503"/>
    <n v="2387550.3142433446"/>
    <n v="250"/>
    <n v="501"/>
    <n v="172.5"/>
    <n v="400"/>
    <n v="400"/>
    <n v="0"/>
    <n v="4733585.5"/>
    <n v="2644528.5"/>
    <n v="830242.5"/>
    <n v="0"/>
    <n v="131"/>
    <n v="630503"/>
    <n v="2069610.1970199847"/>
    <n v="450"/>
    <n v="544"/>
    <n v="413"/>
    <n v="0"/>
    <n v="0"/>
    <n v="4959043"/>
    <n v="2618272"/>
    <n v="1987769"/>
    <n v="0"/>
    <n v="131"/>
    <n v="630503"/>
    <n v="5896529.4117647065"/>
    <n v="370"/>
    <n v="1393"/>
    <n v="398"/>
    <n v="700"/>
    <n v="0"/>
    <n v="7352950.5"/>
    <n v="1915574"/>
    <x v="79"/>
    <x v="0"/>
    <n v="131"/>
    <n v="630503"/>
    <n v="5682369.7478991598"/>
    <n v="200"/>
    <n v="650"/>
    <n v="200"/>
    <n v="600"/>
    <n v="600"/>
    <n v="0"/>
    <n v="3128450"/>
    <n v="1055700"/>
    <x v="30"/>
    <n v="0"/>
    <n v="131"/>
    <n v="630503"/>
    <n v="2855462.1848739497"/>
    <n v="550"/>
    <n v="1047"/>
    <n v="916"/>
    <m/>
    <n v="600"/>
    <n v="0"/>
    <n v="5039211"/>
    <n v="4835106"/>
    <n v="0"/>
    <n v="0"/>
    <n v="1047"/>
    <n v="630503"/>
    <n v="13078016.806722689"/>
    <n v="350"/>
    <n v="249"/>
    <n v="118"/>
    <n v="600"/>
    <n v="600"/>
    <n v="0"/>
    <n v="1198437"/>
    <n v="622863"/>
    <n v="3061529.9999999995"/>
    <n v="0"/>
    <n v="249"/>
    <n v="630503"/>
    <n v="1684722.6890756304"/>
    <n v="221"/>
    <n v="413"/>
    <n v="291"/>
    <n v="0"/>
    <n v="0"/>
    <n v="0"/>
    <n v="1987769"/>
    <n v="1536043.5"/>
    <n v="0"/>
    <n v="0"/>
    <n v="413"/>
    <n v="1987769"/>
    <n v="4154697.478991597"/>
    <n v="0"/>
    <n v="147"/>
    <n v="19.5"/>
    <n v="0"/>
    <n v="0"/>
    <n v="0"/>
    <n v="775939.5"/>
    <n v="102930.75"/>
    <n v="0"/>
    <n v="0"/>
    <n v="131"/>
    <n v="630503"/>
    <n v="278407.56302521011"/>
    <n v="700"/>
    <n v="127.5"/>
    <n v="127.5"/>
    <n v="1200"/>
    <n v="1200"/>
    <n v="0"/>
    <n v="0"/>
    <n v="673008.75"/>
    <n v="673008.75"/>
    <n v="6334200"/>
    <n v="0"/>
    <n v="127.5"/>
    <n v="673008.75"/>
    <n v="1606071.4285714286"/>
    <n v="400"/>
    <n v="0"/>
    <n v="400"/>
    <m/>
    <n v="0"/>
    <n v="1200"/>
    <n v="0"/>
    <n v="2111400"/>
    <n v="0"/>
    <n v="6334200"/>
    <n v="1200"/>
    <n v="6334200"/>
    <n v="0"/>
    <n v="400"/>
    <n v="800"/>
    <n v="400"/>
    <n v="500"/>
    <n v="500"/>
    <n v="4222800"/>
    <n v="2111400"/>
    <n v="2639250"/>
    <n v="2639250"/>
    <n v="1300"/>
    <n v="6862050"/>
    <n v="5710924.3697478995"/>
    <n v="240"/>
    <n v="900"/>
    <n v="240"/>
    <n v="0"/>
    <m/>
    <n v="4750650"/>
    <n v="1155120"/>
    <n v="0"/>
    <n v="900"/>
    <n v="4750650"/>
    <n v="3426554.6218487397"/>
  </r>
  <r>
    <m/>
    <x v="6"/>
    <x v="27"/>
    <x v="67"/>
    <n v="1639488921197"/>
    <x v="652"/>
    <x v="496"/>
    <x v="0"/>
    <x v="0"/>
    <n v="1"/>
    <x v="31"/>
    <n v="133"/>
    <m/>
    <n v="0"/>
    <n v="2492"/>
    <n v="331436"/>
    <n v="2.6999999999999997"/>
    <n v="2949.7499999999991"/>
    <n v="8394.957983193277"/>
    <n v="6714.2857142857147"/>
    <s v="Shenzhen"/>
    <x v="0"/>
    <n v="30"/>
    <m/>
    <n v="100"/>
    <n v="75"/>
    <n v="0.73401981215618717"/>
    <n v="85"/>
    <n v="0.71316947829679556"/>
    <n v="147"/>
    <n v="0.74225927167950667"/>
    <n v="106"/>
    <n v="0.67463478206087457"/>
    <n v="147"/>
    <n v="0.70153671718768285"/>
    <n v="113"/>
    <n v="0.6699471002074302"/>
    <n v="115"/>
    <n v="0.52447890013843601"/>
    <n v="98"/>
    <n v="0.47680439972404737"/>
    <n v="93"/>
    <n v="0.45049406755024374"/>
    <n v="157"/>
    <n v="0.46334083456413266"/>
    <n v="-7"/>
    <n v="0.42132932232422032"/>
    <n v="1"/>
    <n v="0.57638210258020839"/>
    <n v="1"/>
    <n v="0.37224183044171544"/>
    <n v="11"/>
    <n v="0.60509292819017169"/>
    <n v="82"/>
    <n v="0.49136647678470691"/>
    <n v="91"/>
    <n v="0.55080349688599595"/>
    <n v="0.82727272727272727"/>
    <n v="90"/>
    <n v="0.56750568945981239"/>
    <n v="0.6428571428571429"/>
    <n v="116"/>
    <n v="0.51769475576963941"/>
    <n v="0.89230769230769236"/>
    <n v="0"/>
    <s v=""/>
    <n v="0"/>
    <n v="107"/>
    <n v="0.47764401065785189"/>
    <n v="1.1888888888888889"/>
    <n v="79"/>
    <n v="0.32433229620451121"/>
    <n v="0.79"/>
    <m/>
    <m/>
    <m/>
    <m/>
    <m/>
    <m/>
    <m/>
    <m/>
    <m/>
    <n v="90"/>
    <n v="37"/>
    <n v="37"/>
    <n v="300"/>
    <n v="300"/>
    <n v="0"/>
    <n v="337666"/>
    <n v="103396.49999999997"/>
    <n v="92204"/>
    <n v="0"/>
    <n v="133"/>
    <n v="331436"/>
    <n v="261019.70199844643"/>
    <n v="80"/>
    <n v="357"/>
    <n v="16.5"/>
    <n v="150"/>
    <n v="150"/>
    <n v="0"/>
    <n v="472234"/>
    <n v="997636.49999999965"/>
    <n v="41118"/>
    <n v="0"/>
    <n v="133"/>
    <n v="331436"/>
    <n v="116400.67791822611"/>
    <n v="140"/>
    <n v="341"/>
    <n v="82"/>
    <n v="0"/>
    <n v="0"/>
    <n v="822345.99999999988"/>
    <n v="849772"/>
    <n v="204344"/>
    <n v="0"/>
    <n v="133"/>
    <n v="331436"/>
    <n v="688386.55462184874"/>
    <n v="110"/>
    <n v="391"/>
    <n v="91"/>
    <n v="0"/>
    <n v="0"/>
    <n v="1092649.4999999995"/>
    <n v="226772"/>
    <x v="0"/>
    <x v="0"/>
    <n v="133"/>
    <n v="331436"/>
    <n v="763941.17647058819"/>
    <n v="140"/>
    <n v="223"/>
    <n v="140"/>
    <m/>
    <n v="0"/>
    <n v="0"/>
    <n v="555716"/>
    <n v="391229.99999999988"/>
    <x v="0"/>
    <n v="0"/>
    <n v="133"/>
    <n v="331436"/>
    <n v="1175294.1176470588"/>
    <n v="130"/>
    <n v="249"/>
    <n v="116"/>
    <m/>
    <n v="0"/>
    <n v="0"/>
    <n v="620508"/>
    <n v="324161.99999999988"/>
    <n v="0"/>
    <n v="0"/>
    <n v="249"/>
    <n v="331436"/>
    <n v="973815.12605042011"/>
    <n v="130"/>
    <n v="133"/>
    <n v="0"/>
    <n v="350"/>
    <n v="350"/>
    <n v="0"/>
    <n v="331436"/>
    <n v="0"/>
    <n v="945472.49999999977"/>
    <n v="0"/>
    <n v="133"/>
    <n v="331436"/>
    <n v="0"/>
    <n v="90"/>
    <n v="240"/>
    <n v="110"/>
    <n v="50"/>
    <n v="50"/>
    <n v="0"/>
    <n v="598080"/>
    <n v="307394.99999999988"/>
    <n v="139724.99999999994"/>
    <n v="0"/>
    <n v="240"/>
    <n v="598080"/>
    <n v="923445.37815126043"/>
    <n v="100"/>
    <n v="212"/>
    <n v="99"/>
    <n v="0"/>
    <n v="0"/>
    <n v="0"/>
    <n v="592433.99999999977"/>
    <n v="276655.49999999988"/>
    <n v="0"/>
    <n v="0"/>
    <n v="133"/>
    <n v="331436"/>
    <n v="831100.84033613442"/>
    <n v="120"/>
    <n v="113"/>
    <n v="113"/>
    <n v="0"/>
    <n v="0"/>
    <n v="0"/>
    <m/>
    <n v="315778.49999999988"/>
    <n v="315778.49999999988"/>
    <n v="0"/>
    <n v="0"/>
    <n v="113"/>
    <n v="315778.49999999988"/>
    <n v="758714.2857142858"/>
    <n v="98"/>
    <n v="0"/>
    <n v="0"/>
    <m/>
    <n v="0"/>
    <n v="0"/>
    <n v="0"/>
    <n v="0"/>
    <n v="0"/>
    <n v="0"/>
    <n v="0"/>
    <n v="0"/>
    <n v="0"/>
    <n v="120"/>
    <n v="0"/>
    <n v="120"/>
    <n v="200"/>
    <n v="200"/>
    <n v="0"/>
    <n v="335339.99999999988"/>
    <n v="558899.99999999977"/>
    <n v="558899.99999999977"/>
    <n v="200"/>
    <n v="558899.99999999977"/>
    <n v="1007394.9579831932"/>
    <n v="58.8"/>
    <n v="80"/>
    <n v="58.8"/>
    <n v="0"/>
    <m/>
    <n v="223559.99999999994"/>
    <n v="146529.60000000001"/>
    <n v="0"/>
    <n v="80"/>
    <n v="223559.99999999994"/>
    <n v="493623.52941176464"/>
  </r>
  <r>
    <m/>
    <x v="6"/>
    <x v="27"/>
    <x v="67"/>
    <n v="1660858025311"/>
    <x v="653"/>
    <x v="497"/>
    <x v="0"/>
    <x v="2"/>
    <n v="1"/>
    <x v="31"/>
    <n v="136"/>
    <m/>
    <n v="0"/>
    <n v="2146"/>
    <n v="291856"/>
    <n v="2.65"/>
    <n v="2895.125"/>
    <n v="8394.957983193277"/>
    <n v="6714.2857142857147"/>
    <s v="Shenzhen"/>
    <x v="0"/>
    <n v="30"/>
    <m/>
    <n v="100"/>
    <n v="88"/>
    <n v="0.67071012700551169"/>
    <n v="64"/>
    <n v="0.67100918546308663"/>
    <n v="90"/>
    <n v="0.67807938078606689"/>
    <n v="67"/>
    <n v="0.66660622739032716"/>
    <n v="69"/>
    <n v="0.66443273857516305"/>
    <n v="38"/>
    <n v="0.73655335920328102"/>
    <n v="101"/>
    <n v="0.7546780472051251"/>
    <n v="82"/>
    <n v="0.77153532374561651"/>
    <n v="64"/>
    <n v="0.76241585021968905"/>
    <n v="160"/>
    <n v="0.74881085410832215"/>
    <n v="92"/>
    <n v="0.74868529714158449"/>
    <n v="84"/>
    <n v="0.73469562883842465"/>
    <n v="77"/>
    <n v="0.60039731250370976"/>
    <n v="50"/>
    <n v="0.65701416117081823"/>
    <n v="93"/>
    <n v="0.6406766646182207"/>
    <n v="97"/>
    <n v="0.62154296252663954"/>
    <n v="1.3857142857142857"/>
    <n v="73"/>
    <n v="0.66798485371215455"/>
    <n v="1.1230769230769231"/>
    <n v="67"/>
    <n v="0.56667804198262928"/>
    <n v="0.60909090909090913"/>
    <n v="0"/>
    <s v=""/>
    <n v="0"/>
    <n v="76"/>
    <n v="0.57192646551025006"/>
    <n v="0.86363636363636365"/>
    <n v="58"/>
    <n v="0.52896474704105501"/>
    <n v="0.90625"/>
    <m/>
    <m/>
    <m/>
    <m/>
    <m/>
    <m/>
    <m/>
    <m/>
    <m/>
    <n v="80.666666666666671"/>
    <n v="103"/>
    <n v="60"/>
    <n v="100"/>
    <n v="100"/>
    <n v="0"/>
    <n v="489288"/>
    <n v="282503.25"/>
    <n v="128760"/>
    <n v="0"/>
    <n v="136"/>
    <n v="291856"/>
    <n v="423275.19242991315"/>
    <n v="70"/>
    <n v="334"/>
    <n v="75"/>
    <n v="0"/>
    <n v="100"/>
    <n v="0"/>
    <n v="568690"/>
    <n v="916078.5"/>
    <n v="160950"/>
    <n v="0"/>
    <n v="136"/>
    <n v="291856"/>
    <n v="529093.99053739139"/>
    <n v="94"/>
    <n v="265"/>
    <n v="93"/>
    <n v="0"/>
    <n v="0"/>
    <n v="586018.75"/>
    <n v="568690"/>
    <n v="199578"/>
    <n v="0"/>
    <n v="136"/>
    <n v="291856"/>
    <n v="780731.09243697475"/>
    <n v="70"/>
    <n v="299"/>
    <n v="97"/>
    <n v="0"/>
    <n v="0"/>
    <n v="820082.25"/>
    <n v="208162"/>
    <x v="0"/>
    <x v="0"/>
    <n v="136"/>
    <n v="291856"/>
    <n v="814310.92436974787"/>
    <n v="65"/>
    <n v="209"/>
    <n v="65"/>
    <m/>
    <n v="0"/>
    <n v="0"/>
    <n v="448514"/>
    <n v="178278.75"/>
    <x v="0"/>
    <n v="0"/>
    <n v="136"/>
    <n v="291856"/>
    <n v="545672.26890756295"/>
    <n v="110"/>
    <n v="203"/>
    <n v="67"/>
    <m/>
    <n v="0"/>
    <n v="0"/>
    <n v="435638"/>
    <n v="183764.25"/>
    <n v="0"/>
    <n v="0"/>
    <n v="203"/>
    <n v="291856"/>
    <n v="562462.1848739495"/>
    <n v="100"/>
    <n v="136"/>
    <n v="0"/>
    <n v="200"/>
    <n v="200"/>
    <n v="0"/>
    <n v="291856"/>
    <n v="0"/>
    <n v="530265"/>
    <n v="0"/>
    <n v="136"/>
    <n v="291856"/>
    <n v="0"/>
    <n v="88"/>
    <n v="212"/>
    <n v="78"/>
    <n v="120"/>
    <n v="120"/>
    <n v="0"/>
    <n v="454952"/>
    <n v="213934.5"/>
    <n v="329130"/>
    <n v="0"/>
    <n v="212"/>
    <n v="454952"/>
    <n v="654806.72268907563"/>
    <n v="64"/>
    <n v="194"/>
    <n v="57"/>
    <n v="0"/>
    <n v="0"/>
    <n v="0"/>
    <n v="532093.5"/>
    <n v="156336.75"/>
    <n v="0"/>
    <n v="0"/>
    <n v="136"/>
    <n v="291856"/>
    <n v="478512.60504201677"/>
    <n v="130"/>
    <n v="137"/>
    <n v="130"/>
    <n v="0"/>
    <n v="0"/>
    <n v="0"/>
    <m/>
    <n v="375756.75"/>
    <n v="356557.5"/>
    <n v="0"/>
    <n v="0"/>
    <n v="137"/>
    <n v="375756.75"/>
    <n v="872857.14285714296"/>
    <n v="100"/>
    <n v="7"/>
    <n v="7"/>
    <m/>
    <n v="0"/>
    <n v="0"/>
    <n v="19199.25"/>
    <n v="19199.25"/>
    <n v="0"/>
    <n v="0"/>
    <n v="7"/>
    <n v="19199.25"/>
    <n v="47000"/>
    <n v="100"/>
    <n v="0"/>
    <n v="0"/>
    <n v="0"/>
    <n v="0"/>
    <n v="0"/>
    <n v="0"/>
    <n v="0"/>
    <n v="0"/>
    <n v="0"/>
    <n v="0"/>
    <n v="0"/>
    <n v="60"/>
    <n v="0"/>
    <n v="60"/>
    <n v="0"/>
    <m/>
    <n v="0"/>
    <n v="128760"/>
    <n v="0"/>
    <n v="0"/>
    <n v="0"/>
    <n v="503697.47899159661"/>
  </r>
  <r>
    <m/>
    <x v="6"/>
    <x v="27"/>
    <x v="67"/>
    <s v="SIMTABCUT-WD"/>
    <x v="654"/>
    <x v="498"/>
    <x v="0"/>
    <x v="3"/>
    <n v="1"/>
    <x v="404"/>
    <n v="57"/>
    <m/>
    <n v="0"/>
    <n v="7194"/>
    <n v="410058"/>
    <n v="7.2"/>
    <n v="8035.2000000000007"/>
    <n v="19319.327731092439"/>
    <n v="16798.319327731093"/>
    <s v="Shenzhen"/>
    <x v="0"/>
    <n v="30"/>
    <m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4"/>
    <n v="0.63387523629489606"/>
    <n v="12"/>
    <n v="0.53577795395960859"/>
    <n v="32"/>
    <n v="0.45603291645475436"/>
    <n v="41"/>
    <n v="0.43891778779712221"/>
    <n v="49"/>
    <n v="0.37476382218550958"/>
    <n v="58"/>
    <n v="0.42182070448635639"/>
    <n v="1.9333333333333333"/>
    <n v="54"/>
    <n v="0.56825631416357536"/>
    <n v="2.16"/>
    <n v="16"/>
    <n v="0.54967559896202256"/>
    <n v="0.4"/>
    <n v="45"/>
    <n v="0.57625668356320003"/>
    <n v="1.8"/>
    <n v="78"/>
    <n v="0.35530800043030158"/>
    <n v="1.3"/>
    <n v="35"/>
    <n v="0.36467218444307697"/>
    <n v="0.4375"/>
    <m/>
    <m/>
    <m/>
    <m/>
    <m/>
    <m/>
    <m/>
    <m/>
    <m/>
    <n v="30"/>
    <n v="266"/>
    <n v="25"/>
    <n v="0"/>
    <n v="0"/>
    <n v="0"/>
    <n v="974787"/>
    <n v="1982231.9999999998"/>
    <n v="179850"/>
    <n v="0"/>
    <n v="57"/>
    <n v="410058"/>
    <n v="405868.22964479914"/>
    <n v="30"/>
    <n v="234"/>
    <n v="61.5"/>
    <n v="0"/>
    <n v="0"/>
    <n v="0"/>
    <n v="1212189"/>
    <n v="1743767.9999999998"/>
    <n v="442431"/>
    <n v="0"/>
    <n v="57"/>
    <n v="410058"/>
    <n v="998435.84492620593"/>
    <n v="48"/>
    <n v="178"/>
    <n v="49"/>
    <n v="0"/>
    <n v="0"/>
    <n v="956058"/>
    <n v="1280532"/>
    <n v="352506"/>
    <n v="0"/>
    <n v="57"/>
    <n v="410058"/>
    <n v="946647.05882352951"/>
    <n v="30"/>
    <n v="134"/>
    <n v="58"/>
    <n v="0"/>
    <n v="0"/>
    <n v="998567.99999999988"/>
    <n v="417252"/>
    <x v="0"/>
    <x v="0"/>
    <n v="57"/>
    <n v="410058"/>
    <n v="1120521.0084033615"/>
    <n v="25"/>
    <n v="111"/>
    <n v="25"/>
    <m/>
    <n v="0"/>
    <n v="0"/>
    <n v="798534"/>
    <n v="186299.99999999997"/>
    <x v="0"/>
    <n v="0"/>
    <n v="57"/>
    <n v="410058"/>
    <n v="482983.19327731099"/>
    <n v="40"/>
    <n v="73"/>
    <n v="16"/>
    <m/>
    <n v="0"/>
    <n v="0"/>
    <n v="525162"/>
    <n v="119231.99999999999"/>
    <n v="0"/>
    <n v="0"/>
    <n v="73"/>
    <n v="410058"/>
    <n v="309109.24369747902"/>
    <n v="25"/>
    <n v="102"/>
    <n v="45"/>
    <n v="204"/>
    <n v="204"/>
    <n v="0"/>
    <n v="733788"/>
    <n v="335339.99999999994"/>
    <n v="1469534.4"/>
    <n v="0"/>
    <n v="102"/>
    <n v="410058"/>
    <n v="869369.74789915979"/>
    <n v="60"/>
    <n v="135"/>
    <n v="80"/>
    <n v="0"/>
    <n v="0"/>
    <n v="0"/>
    <n v="971190"/>
    <n v="596159.99999999988"/>
    <n v="0"/>
    <n v="0"/>
    <n v="135"/>
    <n v="971190"/>
    <n v="1545546.218487395"/>
    <n v="80"/>
    <n v="92"/>
    <n v="43.5"/>
    <n v="0"/>
    <n v="0"/>
    <n v="0"/>
    <n v="685583.99999999988"/>
    <n v="324161.99999999994"/>
    <n v="0"/>
    <n v="0"/>
    <n v="57"/>
    <n v="410058"/>
    <n v="840390.7563025211"/>
    <n v="30"/>
    <n v="48.5"/>
    <n v="30"/>
    <n v="0"/>
    <n v="0"/>
    <n v="0"/>
    <m/>
    <n v="361421.99999999994"/>
    <n v="223559.99999999997"/>
    <n v="0"/>
    <n v="0"/>
    <n v="48.5"/>
    <n v="361421.99999999994"/>
    <n v="503949.57983193279"/>
    <n v="0"/>
    <n v="18.5"/>
    <n v="0"/>
    <m/>
    <n v="0"/>
    <n v="0"/>
    <n v="137861.99999999997"/>
    <n v="0"/>
    <n v="0"/>
    <n v="0"/>
    <n v="18.5"/>
    <n v="137861.99999999997"/>
    <n v="0"/>
    <n v="80"/>
    <n v="18.5"/>
    <n v="80"/>
    <n v="200"/>
    <n v="200"/>
    <n v="137861.99999999997"/>
    <n v="596159.99999999988"/>
    <n v="1490399.9999999998"/>
    <n v="1490399.9999999998"/>
    <n v="218.5"/>
    <n v="1628261.9999999998"/>
    <n v="1545546.218487395"/>
    <n v="0"/>
    <n v="138.5"/>
    <n v="0"/>
    <n v="0"/>
    <m/>
    <n v="1032101.9999999999"/>
    <n v="0"/>
    <n v="0"/>
    <n v="138.5"/>
    <n v="1032101.9999999999"/>
    <n v="0"/>
  </r>
  <r>
    <m/>
    <x v="6"/>
    <x v="28"/>
    <x v="68"/>
    <s v="SIMIND"/>
    <x v="655"/>
    <x v="499"/>
    <x v="0"/>
    <x v="4"/>
    <n v="1"/>
    <x v="31"/>
    <n v="0"/>
    <m/>
    <n v="0"/>
    <n v="5888"/>
    <n v="0"/>
    <n v="6.4"/>
    <n v="5888"/>
    <n v="14843.697478991597"/>
    <n v="12617.142857142857"/>
    <s v="Shenzhen"/>
    <x v="0"/>
    <n v="45"/>
    <m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20"/>
    <n v="0"/>
    <n v="0"/>
    <m/>
    <n v="0"/>
    <n v="0"/>
    <n v="0"/>
    <n v="0"/>
    <n v="0"/>
    <n v="0"/>
    <n v="0"/>
    <n v="0"/>
    <n v="0"/>
    <n v="30"/>
    <n v="0"/>
    <n v="0"/>
    <m/>
    <n v="0"/>
    <n v="0"/>
    <n v="0"/>
    <n v="0"/>
    <n v="0"/>
    <n v="0"/>
    <n v="0"/>
    <n v="0"/>
    <n v="12"/>
    <n v="0"/>
    <n v="12"/>
    <n v="0"/>
    <m/>
    <n v="0"/>
    <n v="70656"/>
    <n v="0"/>
    <n v="0"/>
    <n v="0"/>
    <n v="178124.36974789915"/>
  </r>
  <r>
    <m/>
    <x v="6"/>
    <x v="28"/>
    <x v="68"/>
    <s v="SIMIND"/>
    <x v="656"/>
    <x v="500"/>
    <x v="0"/>
    <x v="4"/>
    <n v="1"/>
    <x v="31"/>
    <n v="0"/>
    <m/>
    <n v="0"/>
    <n v="5888"/>
    <n v="0"/>
    <n v="6.4"/>
    <n v="5888"/>
    <n v="14843.697478991597"/>
    <n v="12617.142857142857"/>
    <s v="Shenzhen"/>
    <x v="0"/>
    <n v="45"/>
    <m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20"/>
    <n v="0"/>
    <n v="0"/>
    <m/>
    <n v="0"/>
    <n v="0"/>
    <n v="0"/>
    <n v="0"/>
    <n v="0"/>
    <n v="0"/>
    <n v="0"/>
    <n v="0"/>
    <n v="0"/>
    <n v="30"/>
    <n v="0"/>
    <n v="0"/>
    <m/>
    <n v="0"/>
    <n v="0"/>
    <n v="0"/>
    <n v="0"/>
    <n v="0"/>
    <n v="0"/>
    <n v="0"/>
    <n v="0"/>
    <n v="12"/>
    <n v="0"/>
    <n v="12"/>
    <n v="0"/>
    <m/>
    <n v="0"/>
    <n v="70656"/>
    <n v="0"/>
    <n v="0"/>
    <n v="0"/>
    <n v="178124.36974789915"/>
  </r>
  <r>
    <m/>
    <x v="6"/>
    <x v="28"/>
    <x v="68"/>
    <s v="SIMMAN"/>
    <x v="657"/>
    <x v="501"/>
    <x v="0"/>
    <x v="4"/>
    <n v="1"/>
    <x v="31"/>
    <n v="0"/>
    <m/>
    <n v="0"/>
    <n v="8096.0000000000009"/>
    <n v="0"/>
    <n v="8.8000000000000007"/>
    <n v="8096.0000000000009"/>
    <n v="20410.08403361345"/>
    <n v="17348.571428571431"/>
    <s v="Shenzhen"/>
    <x v="0"/>
    <n v="45"/>
    <m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15"/>
    <n v="0"/>
    <n v="0"/>
    <m/>
    <n v="0"/>
    <n v="0"/>
    <n v="0"/>
    <n v="0"/>
    <n v="0"/>
    <n v="0"/>
    <n v="0"/>
    <n v="0"/>
    <n v="0"/>
    <n v="30"/>
    <n v="0"/>
    <n v="0"/>
    <m/>
    <n v="0"/>
    <n v="0"/>
    <n v="0"/>
    <n v="0"/>
    <n v="0"/>
    <n v="0"/>
    <n v="0"/>
    <n v="0"/>
    <n v="9"/>
    <n v="0"/>
    <n v="9"/>
    <n v="0"/>
    <m/>
    <n v="0"/>
    <n v="72864.000000000015"/>
    <n v="0"/>
    <n v="0"/>
    <n v="0"/>
    <n v="183690.75630252104"/>
  </r>
  <r>
    <m/>
    <x v="6"/>
    <x v="28"/>
    <x v="68"/>
    <s v="SIMMAN"/>
    <x v="658"/>
    <x v="502"/>
    <x v="0"/>
    <x v="4"/>
    <n v="1"/>
    <x v="31"/>
    <n v="0"/>
    <m/>
    <n v="0"/>
    <n v="7084"/>
    <n v="0"/>
    <n v="7.7"/>
    <n v="7084"/>
    <n v="17858.823529411766"/>
    <n v="15180"/>
    <s v="Shenzhen"/>
    <x v="0"/>
    <n v="45"/>
    <m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15"/>
    <n v="0"/>
    <n v="0"/>
    <m/>
    <n v="0"/>
    <n v="0"/>
    <n v="0"/>
    <n v="0"/>
    <n v="0"/>
    <n v="0"/>
    <n v="0"/>
    <n v="0"/>
    <n v="0"/>
    <n v="30"/>
    <n v="0"/>
    <n v="0"/>
    <m/>
    <n v="0"/>
    <n v="0"/>
    <n v="0"/>
    <n v="0"/>
    <n v="0"/>
    <n v="0"/>
    <n v="0"/>
    <n v="0"/>
    <n v="9"/>
    <n v="0"/>
    <n v="9"/>
    <n v="0"/>
    <m/>
    <n v="0"/>
    <n v="63756"/>
    <n v="0"/>
    <n v="0"/>
    <n v="0"/>
    <n v="160729.4117647059"/>
  </r>
  <r>
    <m/>
    <x v="6"/>
    <x v="28"/>
    <x v="68"/>
    <s v="SIMMAN"/>
    <x v="659"/>
    <x v="501"/>
    <x v="0"/>
    <x v="4"/>
    <n v="1"/>
    <x v="31"/>
    <n v="0"/>
    <m/>
    <n v="0"/>
    <n v="8096.0000000000009"/>
    <n v="0"/>
    <n v="8.8000000000000007"/>
    <n v="8096.0000000000009"/>
    <n v="20410.08403361345"/>
    <n v="17348.571428571431"/>
    <s v="Shenzhen"/>
    <x v="0"/>
    <n v="45"/>
    <m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15"/>
    <n v="0"/>
    <n v="0"/>
    <m/>
    <n v="0"/>
    <n v="0"/>
    <n v="0"/>
    <n v="0"/>
    <n v="0"/>
    <n v="0"/>
    <n v="0"/>
    <n v="0"/>
    <n v="0"/>
    <n v="30"/>
    <n v="0"/>
    <n v="0"/>
    <m/>
    <n v="0"/>
    <n v="0"/>
    <n v="0"/>
    <n v="0"/>
    <n v="0"/>
    <n v="0"/>
    <n v="0"/>
    <n v="0"/>
    <n v="9"/>
    <n v="0"/>
    <n v="9"/>
    <n v="0"/>
    <m/>
    <n v="0"/>
    <n v="72864.000000000015"/>
    <n v="0"/>
    <n v="0"/>
    <n v="0"/>
    <n v="183690.75630252104"/>
  </r>
  <r>
    <m/>
    <x v="6"/>
    <x v="28"/>
    <x v="68"/>
    <s v="SIMMAN"/>
    <x v="660"/>
    <x v="503"/>
    <x v="0"/>
    <x v="4"/>
    <n v="1"/>
    <x v="31"/>
    <n v="0"/>
    <m/>
    <n v="0"/>
    <n v="7084"/>
    <n v="0"/>
    <n v="7.7"/>
    <n v="7084"/>
    <n v="17858.823529411766"/>
    <n v="15180"/>
    <s v="Shenzhen"/>
    <x v="0"/>
    <n v="45"/>
    <m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15"/>
    <n v="0"/>
    <n v="0"/>
    <m/>
    <n v="0"/>
    <n v="0"/>
    <n v="0"/>
    <n v="0"/>
    <n v="0"/>
    <n v="0"/>
    <n v="0"/>
    <n v="0"/>
    <n v="0"/>
    <n v="30"/>
    <n v="0"/>
    <n v="0"/>
    <m/>
    <n v="0"/>
    <n v="0"/>
    <n v="0"/>
    <n v="0"/>
    <n v="0"/>
    <n v="0"/>
    <n v="0"/>
    <n v="0"/>
    <n v="9"/>
    <n v="0"/>
    <n v="9"/>
    <n v="0"/>
    <m/>
    <n v="0"/>
    <n v="63756"/>
    <n v="0"/>
    <n v="0"/>
    <n v="0"/>
    <n v="160729.4117647059"/>
  </r>
  <r>
    <m/>
    <x v="6"/>
    <x v="28"/>
    <x v="68"/>
    <s v="SIMMAN"/>
    <x v="661"/>
    <x v="504"/>
    <x v="0"/>
    <x v="4"/>
    <n v="1"/>
    <x v="31"/>
    <n v="0"/>
    <m/>
    <n v="0"/>
    <n v="8096.0000000000009"/>
    <n v="0"/>
    <n v="8.8000000000000007"/>
    <n v="8096.0000000000009"/>
    <n v="20410.08403361345"/>
    <n v="17348.571428571431"/>
    <s v="Shenzhen"/>
    <x v="0"/>
    <n v="45"/>
    <m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15"/>
    <n v="0"/>
    <n v="0"/>
    <m/>
    <n v="0"/>
    <n v="0"/>
    <n v="0"/>
    <n v="0"/>
    <n v="0"/>
    <n v="0"/>
    <n v="0"/>
    <n v="0"/>
    <n v="0"/>
    <n v="30"/>
    <n v="0"/>
    <n v="0"/>
    <m/>
    <n v="0"/>
    <n v="0"/>
    <n v="0"/>
    <n v="0"/>
    <n v="0"/>
    <n v="0"/>
    <n v="0"/>
    <n v="0"/>
    <n v="9"/>
    <n v="0"/>
    <n v="9"/>
    <n v="0"/>
    <m/>
    <n v="0"/>
    <n v="72864.000000000015"/>
    <n v="0"/>
    <n v="0"/>
    <n v="0"/>
    <n v="183690.75630252104"/>
  </r>
  <r>
    <m/>
    <x v="6"/>
    <x v="28"/>
    <x v="68"/>
    <s v="SIMMAN"/>
    <x v="662"/>
    <x v="503"/>
    <x v="0"/>
    <x v="4"/>
    <n v="1"/>
    <x v="31"/>
    <n v="0"/>
    <m/>
    <n v="0"/>
    <n v="7084"/>
    <n v="0"/>
    <n v="7.7"/>
    <n v="7084"/>
    <n v="17858.823529411766"/>
    <n v="15180"/>
    <s v="Shenzhen"/>
    <x v="0"/>
    <n v="45"/>
    <m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15"/>
    <n v="0"/>
    <n v="0"/>
    <m/>
    <n v="0"/>
    <n v="0"/>
    <n v="0"/>
    <n v="0"/>
    <n v="0"/>
    <n v="0"/>
    <n v="0"/>
    <n v="0"/>
    <n v="0"/>
    <n v="30"/>
    <n v="0"/>
    <n v="0"/>
    <m/>
    <n v="0"/>
    <n v="0"/>
    <n v="0"/>
    <n v="0"/>
    <n v="0"/>
    <n v="0"/>
    <n v="0"/>
    <n v="0"/>
    <n v="9"/>
    <n v="0"/>
    <n v="9"/>
    <n v="0"/>
    <m/>
    <n v="0"/>
    <n v="63756"/>
    <n v="0"/>
    <n v="0"/>
    <n v="0"/>
    <n v="160729.4117647059"/>
  </r>
  <r>
    <m/>
    <x v="6"/>
    <x v="28"/>
    <x v="68"/>
    <s v="SIMSERV"/>
    <x v="663"/>
    <x v="505"/>
    <x v="0"/>
    <x v="4"/>
    <n v="1"/>
    <x v="31"/>
    <n v="0"/>
    <m/>
    <n v="0"/>
    <n v="5888"/>
    <n v="0"/>
    <n v="6.4"/>
    <n v="5888"/>
    <n v="14843.697478991597"/>
    <n v="12617.142857142857"/>
    <s v="Shenzhen"/>
    <x v="0"/>
    <n v="45"/>
    <m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20"/>
    <n v="0"/>
    <n v="0"/>
    <m/>
    <n v="0"/>
    <n v="0"/>
    <n v="0"/>
    <n v="0"/>
    <n v="0"/>
    <n v="0"/>
    <n v="0"/>
    <n v="0"/>
    <n v="0"/>
    <n v="30"/>
    <n v="0"/>
    <n v="0"/>
    <m/>
    <n v="0"/>
    <n v="0"/>
    <n v="0"/>
    <n v="0"/>
    <n v="0"/>
    <n v="0"/>
    <n v="0"/>
    <n v="0"/>
    <n v="12"/>
    <n v="0"/>
    <n v="12"/>
    <n v="0"/>
    <m/>
    <n v="0"/>
    <n v="70656"/>
    <n v="0"/>
    <n v="0"/>
    <n v="0"/>
    <n v="178124.36974789915"/>
  </r>
  <r>
    <m/>
    <x v="6"/>
    <x v="28"/>
    <x v="68"/>
    <s v="SIMSERV"/>
    <x v="664"/>
    <x v="506"/>
    <x v="0"/>
    <x v="4"/>
    <n v="1"/>
    <x v="31"/>
    <n v="0"/>
    <m/>
    <n v="0"/>
    <n v="5888"/>
    <n v="0"/>
    <n v="6.4"/>
    <n v="5888"/>
    <n v="14843.697478991597"/>
    <n v="12617.142857142857"/>
    <s v="Shenzhen"/>
    <x v="0"/>
    <n v="45"/>
    <m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20"/>
    <n v="0"/>
    <n v="0"/>
    <m/>
    <n v="0"/>
    <n v="0"/>
    <n v="0"/>
    <n v="0"/>
    <n v="0"/>
    <n v="0"/>
    <n v="0"/>
    <n v="0"/>
    <n v="0"/>
    <n v="30"/>
    <n v="0"/>
    <n v="0"/>
    <m/>
    <n v="0"/>
    <n v="0"/>
    <n v="0"/>
    <n v="0"/>
    <n v="0"/>
    <n v="0"/>
    <n v="0"/>
    <n v="0"/>
    <n v="12"/>
    <n v="0"/>
    <n v="12"/>
    <n v="0"/>
    <m/>
    <n v="0"/>
    <n v="70656"/>
    <n v="0"/>
    <n v="0"/>
    <n v="0"/>
    <n v="178124.36974789915"/>
  </r>
  <r>
    <m/>
    <x v="6"/>
    <x v="29"/>
    <x v="69"/>
    <n v="1629726159155"/>
    <x v="665"/>
    <x v="507"/>
    <x v="0"/>
    <x v="3"/>
    <n v="1"/>
    <x v="31"/>
    <n v="179"/>
    <m/>
    <n v="0"/>
    <n v="4741"/>
    <n v="848639"/>
    <n v="6.35"/>
    <n v="6937.3749999999991"/>
    <n v="14277.310924369749"/>
    <n v="14277.310924369749"/>
    <s v="Shenzhen"/>
    <x v="0"/>
    <n v="30"/>
    <m/>
    <n v="200"/>
    <n v="53"/>
    <n v="0.46997660204159541"/>
    <n v="63"/>
    <n v="0.42000054141351439"/>
    <n v="123"/>
    <n v="0.47205259259309695"/>
    <n v="68"/>
    <n v="0.5072607416313285"/>
    <n v="47"/>
    <n v="0.43163046705254549"/>
    <n v="25"/>
    <n v="0.559243562977356"/>
    <n v="68"/>
    <n v="0.49868529511453219"/>
    <n v="50"/>
    <n v="0.60332885093268529"/>
    <n v="37"/>
    <n v="0.50832511188202423"/>
    <n v="99"/>
    <n v="0.46303070711946231"/>
    <n v="98"/>
    <n v="0.4846477697438995"/>
    <n v="177"/>
    <n v="0.50208751089166037"/>
    <n v="55"/>
    <n v="0.29895387236502147"/>
    <n v="17"/>
    <n v="0.32865690909651429"/>
    <n v="33"/>
    <n v="0.36023477792518088"/>
    <n v="169"/>
    <n v="0.40052207912997351"/>
    <n v="2.4142857142857141"/>
    <n v="176"/>
    <n v="0.43945927126369211"/>
    <n v="3.52"/>
    <n v="86"/>
    <n v="0.39592993962509715"/>
    <n v="0.71666666666666667"/>
    <n v="14"/>
    <s v=""/>
    <n v="0.14000000000000001"/>
    <n v="0"/>
    <s v=""/>
    <n v="0"/>
    <n v="28"/>
    <n v="0.42858126657969631"/>
    <n v="0.35"/>
    <m/>
    <m/>
    <m/>
    <m/>
    <m/>
    <m/>
    <m/>
    <m/>
    <m/>
    <n v="60"/>
    <n v="78"/>
    <n v="78"/>
    <n v="0"/>
    <n v="0"/>
    <n v="0"/>
    <n v="647146.5"/>
    <n v="512635.49999999994"/>
    <n v="369798"/>
    <n v="0"/>
    <n v="179"/>
    <n v="848639"/>
    <n v="935823.74126121053"/>
    <n v="0"/>
    <n v="24"/>
    <n v="25.5"/>
    <n v="200"/>
    <n v="200"/>
    <n v="0"/>
    <n v="1078577.5"/>
    <n v="157733.99999999997"/>
    <n v="120895.5"/>
    <n v="0"/>
    <n v="179"/>
    <n v="848639"/>
    <n v="305942.37695078034"/>
    <n v="120"/>
    <n v="212"/>
    <n v="33"/>
    <n v="0"/>
    <n v="0"/>
    <n v="1286294.5"/>
    <n v="1005092"/>
    <n v="156453"/>
    <n v="0"/>
    <n v="179"/>
    <n v="848639"/>
    <n v="471151.26050420169"/>
    <n v="70"/>
    <n v="299"/>
    <n v="169"/>
    <n v="200"/>
    <n v="0"/>
    <n v="1965102.7499999998"/>
    <n v="801229"/>
    <x v="18"/>
    <x v="0"/>
    <n v="179"/>
    <n v="848639"/>
    <n v="2412865.5462184874"/>
    <n v="50"/>
    <n v="355"/>
    <n v="50"/>
    <m/>
    <n v="0"/>
    <n v="0"/>
    <n v="1683055"/>
    <n v="328612.49999999994"/>
    <x v="0"/>
    <n v="0"/>
    <n v="179"/>
    <n v="848639"/>
    <n v="713865.54621848743"/>
    <n v="120"/>
    <n v="265"/>
    <n v="86"/>
    <m/>
    <n v="80"/>
    <n v="0"/>
    <n v="1256365"/>
    <n v="565213.49999999988"/>
    <n v="0"/>
    <n v="0"/>
    <n v="265"/>
    <n v="848639"/>
    <n v="1227848.7394957985"/>
    <n v="100"/>
    <n v="193"/>
    <n v="14"/>
    <n v="200"/>
    <n v="200"/>
    <n v="0"/>
    <n v="915013"/>
    <n v="92011.499999999985"/>
    <n v="1270634.9999999998"/>
    <n v="0"/>
    <n v="193"/>
    <n v="848639"/>
    <n v="199882.35294117648"/>
    <n v="90"/>
    <n v="179"/>
    <n v="0"/>
    <n v="100"/>
    <n v="100"/>
    <n v="0"/>
    <n v="848639"/>
    <n v="0"/>
    <n v="657224.99999999988"/>
    <n v="0"/>
    <n v="179"/>
    <n v="848639"/>
    <n v="0"/>
    <n v="80"/>
    <n v="207"/>
    <n v="34.5"/>
    <n v="0"/>
    <n v="0"/>
    <n v="0"/>
    <n v="1360455.7499999998"/>
    <n v="226742.62499999997"/>
    <n v="0"/>
    <n v="0"/>
    <n v="179"/>
    <n v="848639"/>
    <n v="492567.22689075634"/>
    <n v="100"/>
    <n v="172.5"/>
    <n v="100"/>
    <n v="0"/>
    <n v="0"/>
    <n v="0"/>
    <n v="200"/>
    <n v="1133713.1249999998"/>
    <n v="657224.99999999988"/>
    <n v="0"/>
    <n v="0"/>
    <n v="172.5"/>
    <n v="1133713.1249999998"/>
    <n v="1427731.0924369749"/>
    <n v="70"/>
    <n v="72.5"/>
    <n v="70"/>
    <m/>
    <n v="0"/>
    <n v="100"/>
    <n v="476488.12499999994"/>
    <n v="460057.49999999994"/>
    <n v="0"/>
    <n v="657224.99999999988"/>
    <n v="172.5"/>
    <n v="1133713.1249999998"/>
    <n v="999411.76470588241"/>
    <n v="150"/>
    <n v="102.5"/>
    <n v="102.5"/>
    <n v="0"/>
    <n v="0"/>
    <n v="673655.62499999988"/>
    <n v="673655.62499999988"/>
    <n v="0"/>
    <n v="0"/>
    <n v="102.5"/>
    <n v="673655.62499999988"/>
    <n v="1463424.3697478992"/>
    <n v="42"/>
    <n v="0"/>
    <n v="42"/>
    <n v="0"/>
    <m/>
    <n v="0"/>
    <n v="199122"/>
    <n v="0"/>
    <n v="0"/>
    <n v="0"/>
    <n v="599647.05882352951"/>
  </r>
  <r>
    <m/>
    <x v="6"/>
    <x v="29"/>
    <x v="69"/>
    <n v="1630369674271"/>
    <x v="666"/>
    <x v="508"/>
    <x v="0"/>
    <x v="1"/>
    <n v="1"/>
    <x v="31"/>
    <n v="549"/>
    <m/>
    <n v="0"/>
    <n v="2770"/>
    <n v="1520730"/>
    <n v="2.95"/>
    <n v="3222.8749999999995"/>
    <n v="8394.957983193277"/>
    <n v="8394.957983193277"/>
    <s v="Shenzhen"/>
    <x v="0"/>
    <n v="30"/>
    <m/>
    <n v="300"/>
    <n v="68"/>
    <n v="0.66192298307451292"/>
    <n v="82"/>
    <n v="0.57575322424146458"/>
    <n v="159"/>
    <n v="0.63601060875944126"/>
    <n v="23"/>
    <n v="0.69866733122528979"/>
    <n v="13"/>
    <n v="0.4496104042865175"/>
    <n v="93"/>
    <n v="0.6576734357855023"/>
    <n v="81"/>
    <n v="0.68278680198967856"/>
    <n v="106"/>
    <n v="0.64372531360389817"/>
    <n v="81"/>
    <n v="0.63093476878595034"/>
    <n v="159"/>
    <n v="0.63499113401080254"/>
    <n v="110"/>
    <n v="0.6371012529665262"/>
    <n v="12"/>
    <n v="0.63013170755308456"/>
    <n v="85"/>
    <n v="0.15120681734707642"/>
    <n v="127"/>
    <n v="0.35112345110452581"/>
    <n v="238"/>
    <n v="0.35159477855236254"/>
    <n v="152"/>
    <n v="0.34130159655735059"/>
    <n v="0.95"/>
    <n v="6"/>
    <n v="0.75334400341442598"/>
    <n v="0.05"/>
    <n v="170"/>
    <n v="0.53443599124081387"/>
    <n v="0.85"/>
    <n v="0"/>
    <s v=""/>
    <n v="0"/>
    <n v="52"/>
    <n v="0.517630023725554"/>
    <n v="1.3"/>
    <n v="66"/>
    <n v="0.44245068155352979"/>
    <n v="0.82499999999999996"/>
    <m/>
    <m/>
    <m/>
    <m/>
    <m/>
    <m/>
    <m/>
    <m/>
    <m/>
    <n v="103"/>
    <n v="605"/>
    <n v="65"/>
    <n v="300"/>
    <n v="300"/>
    <n v="0"/>
    <n v="1366995"/>
    <n v="1847216.2499999998"/>
    <n v="180050"/>
    <n v="0"/>
    <n v="549"/>
    <n v="1520730"/>
    <n v="458548.1251324059"/>
    <n v="80"/>
    <n v="517"/>
    <n v="190.5"/>
    <n v="0"/>
    <n v="0"/>
    <n v="0"/>
    <n v="1607985"/>
    <n v="1578530.2499999998"/>
    <n v="527685"/>
    <n v="0"/>
    <n v="549"/>
    <n v="1520730"/>
    <n v="1343898.7359649742"/>
    <n v="150"/>
    <n v="310"/>
    <n v="238"/>
    <n v="0"/>
    <n v="0"/>
    <n v="1446690"/>
    <n v="858700"/>
    <n v="659260"/>
    <n v="0"/>
    <n v="549"/>
    <n v="1520730"/>
    <n v="1998000"/>
    <n v="160"/>
    <n v="156"/>
    <n v="152"/>
    <n v="0"/>
    <n v="0"/>
    <n v="476306.99999999994"/>
    <n v="421040"/>
    <x v="0"/>
    <x v="0"/>
    <n v="549"/>
    <n v="1520730"/>
    <n v="1276033.6134453781"/>
    <n v="120"/>
    <n v="555"/>
    <n v="120"/>
    <m/>
    <n v="0"/>
    <n v="0"/>
    <n v="1537350"/>
    <n v="366389.99999999994"/>
    <x v="0"/>
    <n v="0"/>
    <n v="549"/>
    <n v="1520730"/>
    <n v="1007394.9579831932"/>
    <n v="200"/>
    <n v="719"/>
    <n v="170"/>
    <m/>
    <n v="300"/>
    <n v="0"/>
    <n v="1991630"/>
    <n v="519052.49999999994"/>
    <n v="0"/>
    <n v="0"/>
    <n v="719"/>
    <n v="1520730"/>
    <n v="1427142.857142857"/>
    <n v="120"/>
    <n v="549"/>
    <n v="0"/>
    <n v="300"/>
    <n v="300"/>
    <n v="0"/>
    <n v="1520730"/>
    <n v="0"/>
    <n v="885442.5"/>
    <n v="0"/>
    <n v="549"/>
    <n v="1520730"/>
    <n v="0"/>
    <n v="40"/>
    <n v="601"/>
    <n v="53"/>
    <n v="0"/>
    <n v="0"/>
    <n v="0"/>
    <n v="1664770"/>
    <n v="161822.24999999997"/>
    <n v="0"/>
    <n v="0"/>
    <n v="601"/>
    <n v="1664770"/>
    <n v="444932.77310924366"/>
    <n v="80"/>
    <n v="615"/>
    <n v="64.5"/>
    <n v="300"/>
    <n v="150"/>
    <n v="0"/>
    <n v="1877748.7499999998"/>
    <n v="196934.62499999997"/>
    <n v="915974.99999999988"/>
    <n v="0"/>
    <n v="549"/>
    <n v="1520730"/>
    <n v="541474.78991596634"/>
    <n v="150"/>
    <n v="550.5"/>
    <n v="150"/>
    <n v="0"/>
    <n v="0"/>
    <n v="0"/>
    <n v="150"/>
    <n v="1680814.1249999998"/>
    <n v="457987.49999999994"/>
    <n v="0"/>
    <n v="0"/>
    <n v="550.5"/>
    <n v="1680814.1249999998"/>
    <n v="1259243.6974789915"/>
    <n v="90"/>
    <n v="400.5"/>
    <n v="90"/>
    <m/>
    <n v="0"/>
    <n v="0"/>
    <n v="1222826.6249999998"/>
    <n v="274792.49999999994"/>
    <n v="0"/>
    <n v="0"/>
    <n v="400.5"/>
    <n v="1222826.6249999998"/>
    <n v="755546.21848739497"/>
    <n v="150"/>
    <n v="310.5"/>
    <n v="150"/>
    <n v="0"/>
    <n v="0"/>
    <n v="948034.12499999988"/>
    <n v="457987.49999999994"/>
    <n v="0"/>
    <n v="0"/>
    <n v="310.5"/>
    <n v="948034.12499999988"/>
    <n v="1259243.6974789915"/>
    <n v="54"/>
    <n v="160.5"/>
    <n v="54"/>
    <n v="0"/>
    <m/>
    <n v="490046.62499999994"/>
    <n v="149580"/>
    <n v="0"/>
    <n v="160.5"/>
    <n v="490046.62499999994"/>
    <n v="453327.73109243694"/>
  </r>
  <r>
    <m/>
    <x v="6"/>
    <x v="29"/>
    <x v="69"/>
    <n v="1652825295706"/>
    <x v="667"/>
    <x v="509"/>
    <x v="0"/>
    <x v="1"/>
    <n v="1"/>
    <x v="31"/>
    <n v="283"/>
    <m/>
    <n v="0"/>
    <n v="6479"/>
    <n v="1833557"/>
    <n v="5.6"/>
    <n v="6117.9999999999991"/>
    <n v="19319.327731092439"/>
    <n v="19319.327731092439"/>
    <s v="Shenzhen"/>
    <x v="0"/>
    <n v="30"/>
    <m/>
    <n v="200"/>
    <n v="60"/>
    <n v="0.67070618927178505"/>
    <n v="45"/>
    <n v="0.56574716506095424"/>
    <n v="85"/>
    <n v="0.68314669894720814"/>
    <n v="5"/>
    <s v=""/>
    <n v="0"/>
    <s v=""/>
    <n v="133"/>
    <n v="0.66945883578351761"/>
    <n v="209"/>
    <n v="0.65224871901704495"/>
    <n v="78"/>
    <n v="0.65418543978850319"/>
    <n v="110"/>
    <n v="0.64991440583741023"/>
    <n v="95"/>
    <n v="0.6287635405069667"/>
    <n v="79"/>
    <n v="0.69354532572385375"/>
    <n v="144"/>
    <n v="0.70677435676900335"/>
    <n v="84"/>
    <n v="0.50541760436657968"/>
    <n v="92"/>
    <n v="0.45422603099875003"/>
    <n v="122"/>
    <n v="0.52065237710783807"/>
    <n v="140"/>
    <n v="0.46156423424345688"/>
    <n v="1"/>
    <n v="127"/>
    <n v="0.69908822371871615"/>
    <n v="1.27"/>
    <n v="-1"/>
    <n v="-0.2059721552830423"/>
    <n v="-5.5555555555555558E-3"/>
    <n v="8"/>
    <s v=""/>
    <n v="4.4444444444444446E-2"/>
    <n v="109"/>
    <n v="0.40357442126055221"/>
    <n v="1.0900000000000001"/>
    <n v="58"/>
    <n v="0.43264574939603867"/>
    <n v="0.57999999999999996"/>
    <m/>
    <m/>
    <m/>
    <m/>
    <m/>
    <m/>
    <m/>
    <m/>
    <m/>
    <n v="80"/>
    <n v="76"/>
    <n v="76"/>
    <n v="500"/>
    <n v="500"/>
    <n v="0"/>
    <n v="2176944"/>
    <n v="440496"/>
    <n v="492404"/>
    <n v="0"/>
    <n v="283"/>
    <n v="1833557"/>
    <n v="1233839.4181201893"/>
    <n v="80"/>
    <n v="488"/>
    <n v="138"/>
    <n v="0"/>
    <n v="0"/>
    <n v="0"/>
    <n v="2591600"/>
    <n v="2828448"/>
    <n v="894102"/>
    <n v="0"/>
    <n v="283"/>
    <n v="1833557"/>
    <n v="2240392.6276392913"/>
    <n v="100"/>
    <n v="324"/>
    <n v="122"/>
    <n v="0"/>
    <n v="0"/>
    <n v="2277098"/>
    <n v="2099196"/>
    <n v="790438"/>
    <n v="0"/>
    <n v="283"/>
    <n v="1833557"/>
    <n v="2356957.9831932774"/>
    <n v="140"/>
    <n v="272"/>
    <n v="140"/>
    <n v="0"/>
    <n v="0"/>
    <n v="1576512"/>
    <n v="907060"/>
    <x v="0"/>
    <x v="0"/>
    <n v="283"/>
    <n v="1833557"/>
    <n v="2704705.8823529412"/>
    <n v="100"/>
    <n v="410"/>
    <n v="100"/>
    <m/>
    <n v="0"/>
    <n v="0"/>
    <n v="2656390"/>
    <n v="579600"/>
    <x v="0"/>
    <n v="0"/>
    <n v="283"/>
    <n v="1833557"/>
    <n v="1931932.7731092439"/>
    <n v="180"/>
    <n v="282"/>
    <n v="-1"/>
    <m/>
    <n v="0"/>
    <n v="0"/>
    <n v="1827078"/>
    <n v="-5796"/>
    <n v="0"/>
    <n v="0"/>
    <n v="282"/>
    <n v="1833557"/>
    <n v="-19319.327731092439"/>
    <n v="180"/>
    <n v="291"/>
    <n v="8"/>
    <n v="350"/>
    <n v="350"/>
    <n v="0"/>
    <n v="1885389"/>
    <n v="46368"/>
    <n v="1960979.9999999998"/>
    <n v="0"/>
    <n v="291"/>
    <n v="1833557"/>
    <n v="154554.62184873951"/>
    <n v="100"/>
    <n v="392"/>
    <n v="112"/>
    <n v="200"/>
    <n v="200"/>
    <n v="0"/>
    <n v="2539768"/>
    <n v="649152"/>
    <n v="1159200"/>
    <n v="0"/>
    <n v="392"/>
    <n v="2539768"/>
    <n v="2163764.7058823532"/>
    <n v="100"/>
    <n v="341"/>
    <n v="54"/>
    <n v="200"/>
    <n v="200"/>
    <n v="0"/>
    <n v="1976436"/>
    <n v="312984"/>
    <n v="1159200"/>
    <n v="0"/>
    <n v="283"/>
    <n v="1833557"/>
    <n v="1043243.6974789917"/>
    <n v="120"/>
    <n v="287"/>
    <n v="120"/>
    <n v="0"/>
    <n v="0"/>
    <n v="0"/>
    <n v="0"/>
    <n v="1663452"/>
    <n v="695520"/>
    <n v="0"/>
    <n v="0"/>
    <n v="287"/>
    <n v="1663452"/>
    <n v="2318319.3277310925"/>
    <n v="80"/>
    <n v="167"/>
    <n v="80"/>
    <m/>
    <n v="0"/>
    <n v="200"/>
    <n v="967932"/>
    <n v="463680"/>
    <n v="0"/>
    <n v="1159200"/>
    <n v="367"/>
    <n v="2127132"/>
    <n v="1545546.218487395"/>
    <n v="130"/>
    <n v="287"/>
    <n v="130"/>
    <n v="300"/>
    <n v="300"/>
    <n v="1663452"/>
    <n v="753480"/>
    <n v="1738800"/>
    <n v="1738800"/>
    <n v="587"/>
    <n v="3402252"/>
    <n v="2511512.6050420171"/>
    <n v="48"/>
    <n v="457"/>
    <n v="48"/>
    <n v="0"/>
    <m/>
    <n v="2648772"/>
    <n v="310992"/>
    <n v="0"/>
    <n v="457"/>
    <n v="2648772"/>
    <n v="927327.73109243705"/>
  </r>
  <r>
    <m/>
    <x v="6"/>
    <x v="29"/>
    <x v="69"/>
    <s v="SIMCAFFRCO"/>
    <x v="668"/>
    <x v="510"/>
    <x v="0"/>
    <x v="0"/>
    <n v="1"/>
    <x v="405"/>
    <n v="196"/>
    <m/>
    <n v="0"/>
    <n v="4680"/>
    <n v="917280"/>
    <n v="4.3"/>
    <n v="4697.75"/>
    <n v="12596.638655462186"/>
    <n v="12596.638655462186"/>
    <s v="Shenzhen"/>
    <x v="0"/>
    <n v="30"/>
    <m/>
    <n v="200"/>
    <n v="1"/>
    <n v="0.6613378160678014"/>
    <n v="11"/>
    <n v="0.49954614801523711"/>
    <n v="26"/>
    <n v="0.59186649655524393"/>
    <n v="43"/>
    <n v="0.5802988021814971"/>
    <n v="42"/>
    <n v="0.55767234720765924"/>
    <n v="80"/>
    <n v="0.55488872364441866"/>
    <n v="22"/>
    <n v="0.63717168422048998"/>
    <n v="56"/>
    <n v="0.58163015453502942"/>
    <n v="42"/>
    <n v="0.54583925591664018"/>
    <n v="61"/>
    <n v="0.51798557022945324"/>
    <n v="324"/>
    <n v="0.42988327214598177"/>
    <n v="76"/>
    <n v="0.55545695554265073"/>
    <n v="1"/>
    <n v="0.52219652234657332"/>
    <n v="35"/>
    <n v="0.517934832840242"/>
    <n v="53"/>
    <n v="0.45801375202831918"/>
    <n v="40"/>
    <n v="0.50976268710789496"/>
    <n v="0.88888888888888884"/>
    <n v="45"/>
    <n v="0.5780766639117435"/>
    <n v="1"/>
    <n v="105"/>
    <n v="0.41422890926506378"/>
    <n v="1.05"/>
    <n v="53"/>
    <n v="0.54145790265981442"/>
    <n v="0.66249999999999998"/>
    <n v="52"/>
    <n v="0.41019029499795939"/>
    <n v="1.4857142857142858"/>
    <n v="43"/>
    <n v="0.40996771706855134"/>
    <n v="0.86"/>
    <m/>
    <m/>
    <m/>
    <m/>
    <m/>
    <m/>
    <m/>
    <m/>
    <m/>
    <n v="40"/>
    <n v="32"/>
    <n v="32"/>
    <n v="0"/>
    <n v="0"/>
    <n v="0"/>
    <n v="643500"/>
    <n v="142416"/>
    <n v="149760"/>
    <n v="0"/>
    <n v="196"/>
    <n v="917280"/>
    <n v="338733.14031494956"/>
    <n v="5"/>
    <n v="31"/>
    <n v="52.5"/>
    <n v="200"/>
    <n v="200"/>
    <n v="0"/>
    <n v="680940"/>
    <n v="137965.5"/>
    <n v="245700"/>
    <n v="0"/>
    <n v="196"/>
    <n v="917280"/>
    <n v="555734.05832921411"/>
    <n v="60"/>
    <n v="197"/>
    <n v="53"/>
    <n v="0"/>
    <n v="0"/>
    <n v="635512.5"/>
    <n v="921960"/>
    <n v="248040"/>
    <n v="0"/>
    <n v="196"/>
    <n v="917280"/>
    <n v="667621.84873949585"/>
    <n v="45"/>
    <n v="347"/>
    <n v="40"/>
    <n v="200"/>
    <n v="0"/>
    <n v="1544323.5"/>
    <n v="187200"/>
    <x v="80"/>
    <x v="0"/>
    <n v="196"/>
    <n v="917280"/>
    <n v="503865.54621848743"/>
    <n v="45"/>
    <n v="241"/>
    <n v="45"/>
    <m/>
    <n v="0"/>
    <n v="0"/>
    <n v="1127880"/>
    <n v="200272.5"/>
    <x v="0"/>
    <n v="0"/>
    <n v="196"/>
    <n v="917280"/>
    <n v="566848.73949579836"/>
    <n v="100"/>
    <n v="301"/>
    <n v="105"/>
    <m/>
    <n v="0"/>
    <n v="0"/>
    <n v="1408680"/>
    <n v="467302.5"/>
    <n v="0"/>
    <n v="0"/>
    <n v="301"/>
    <n v="917280"/>
    <n v="1322647.0588235296"/>
    <n v="80"/>
    <n v="249"/>
    <n v="53"/>
    <n v="200"/>
    <n v="200"/>
    <n v="0"/>
    <n v="1165320"/>
    <n v="235876.5"/>
    <n v="860429.99999999988"/>
    <n v="0"/>
    <n v="249"/>
    <n v="917280"/>
    <n v="667621.84873949585"/>
    <n v="35"/>
    <n v="248"/>
    <n v="53"/>
    <n v="0"/>
    <n v="0"/>
    <n v="0"/>
    <n v="1160640"/>
    <n v="235876.5"/>
    <n v="0"/>
    <n v="0"/>
    <n v="248"/>
    <n v="1160640"/>
    <n v="667621.84873949585"/>
    <n v="50"/>
    <n v="239"/>
    <n v="54"/>
    <n v="0"/>
    <n v="0"/>
    <n v="0"/>
    <n v="1063669.5"/>
    <n v="240327"/>
    <n v="0"/>
    <n v="0"/>
    <n v="196"/>
    <n v="917280"/>
    <n v="680218.48739495804"/>
    <n v="90"/>
    <n v="185"/>
    <n v="90"/>
    <n v="0"/>
    <n v="0"/>
    <n v="0"/>
    <m/>
    <n v="823342.5"/>
    <n v="400545"/>
    <n v="0"/>
    <n v="0"/>
    <n v="185"/>
    <n v="823342.5"/>
    <n v="1133697.4789915967"/>
    <n v="50"/>
    <n v="95"/>
    <n v="50"/>
    <m/>
    <n v="0"/>
    <n v="0"/>
    <n v="422797.5"/>
    <n v="222525"/>
    <n v="0"/>
    <n v="0"/>
    <n v="95"/>
    <n v="422797.5"/>
    <n v="629831.93277310929"/>
    <n v="100"/>
    <n v="45"/>
    <n v="100"/>
    <n v="100"/>
    <n v="100"/>
    <n v="200272.5"/>
    <n v="445050"/>
    <n v="445050"/>
    <n v="445050"/>
    <n v="145"/>
    <n v="645322.5"/>
    <n v="1259663.8655462186"/>
    <n v="30"/>
    <n v="45"/>
    <n v="30"/>
    <n v="0"/>
    <m/>
    <n v="200272.5"/>
    <n v="140400"/>
    <n v="0"/>
    <n v="45"/>
    <n v="200272.5"/>
    <n v="377899.15966386558"/>
  </r>
  <r>
    <m/>
    <x v="6"/>
    <x v="29"/>
    <x v="69"/>
    <s v="SMCFIT12LC-GR"/>
    <x v="669"/>
    <x v="511"/>
    <x v="0"/>
    <x v="4"/>
    <n v="1"/>
    <x v="31"/>
    <n v="182"/>
    <m/>
    <n v="0"/>
    <n v="6705"/>
    <n v="1220310"/>
    <n v="6"/>
    <n v="6002.9999999999991"/>
    <n v="15133.613445378149"/>
    <n v="12863.571428571426"/>
    <s v="Shenzhen"/>
    <x v="0"/>
    <n v="30"/>
    <m/>
    <n v="2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n v="12"/>
    <s v=""/>
    <n v="0.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182"/>
    <n v="1220310"/>
    <n v="0"/>
    <n v="0"/>
    <n v="0"/>
    <n v="0"/>
    <n v="0"/>
    <n v="0"/>
    <n v="0"/>
    <n v="0"/>
    <x v="0"/>
    <x v="0"/>
    <n v="182"/>
    <n v="1220310"/>
    <n v="0"/>
    <n v="0"/>
    <n v="182"/>
    <n v="0"/>
    <m/>
    <m/>
    <n v="0"/>
    <n v="1220310"/>
    <n v="0"/>
    <x v="0"/>
    <n v="0"/>
    <n v="182"/>
    <n v="1220310"/>
    <n v="0"/>
    <n v="0"/>
    <n v="182"/>
    <n v="0"/>
    <m/>
    <n v="0"/>
    <n v="0"/>
    <n v="1220310"/>
    <n v="0"/>
    <n v="0"/>
    <n v="0"/>
    <n v="182"/>
    <n v="1220310"/>
    <n v="0"/>
    <n v="0"/>
    <n v="182"/>
    <n v="0"/>
    <n v="200"/>
    <m/>
    <n v="0"/>
    <n v="1220310"/>
    <n v="0"/>
    <n v="1200599.9999999998"/>
    <n v="0"/>
    <n v="182"/>
    <n v="1220310"/>
    <n v="0"/>
    <n v="0"/>
    <n v="182"/>
    <n v="0"/>
    <n v="0"/>
    <n v="200"/>
    <n v="0"/>
    <n v="1220310"/>
    <n v="0"/>
    <n v="0"/>
    <n v="0"/>
    <n v="182"/>
    <n v="1220310"/>
    <n v="0"/>
    <n v="40"/>
    <n v="194"/>
    <n v="6"/>
    <n v="0"/>
    <n v="0"/>
    <n v="0"/>
    <n v="1204739.9999999998"/>
    <n v="37259.999999999993"/>
    <n v="0"/>
    <n v="0"/>
    <n v="182"/>
    <n v="1220310"/>
    <n v="90801.680672268893"/>
    <n v="50"/>
    <n v="188"/>
    <n v="50"/>
    <n v="0"/>
    <n v="0"/>
    <n v="0"/>
    <m/>
    <n v="1167479.9999999998"/>
    <n v="310499.99999999994"/>
    <n v="0"/>
    <n v="0"/>
    <n v="188"/>
    <n v="1167479.9999999998"/>
    <n v="643178.57142857125"/>
    <n v="40"/>
    <n v="138"/>
    <n v="40"/>
    <m/>
    <n v="0"/>
    <n v="0"/>
    <n v="856979.99999999988"/>
    <n v="248399.99999999997"/>
    <n v="0"/>
    <n v="0"/>
    <n v="138"/>
    <n v="856979.99999999988"/>
    <n v="514542.85714285704"/>
    <n v="70"/>
    <n v="98"/>
    <n v="70"/>
    <n v="0"/>
    <n v="0"/>
    <n v="608579.99999999988"/>
    <n v="434699.99999999994"/>
    <n v="0"/>
    <n v="0"/>
    <n v="98"/>
    <n v="608579.99999999988"/>
    <n v="1059352.9411764704"/>
    <n v="24"/>
    <n v="28"/>
    <n v="24"/>
    <n v="0"/>
    <m/>
    <n v="173879.99999999997"/>
    <n v="160920"/>
    <n v="0"/>
    <n v="28"/>
    <n v="173879.99999999997"/>
    <n v="363206.72268907557"/>
  </r>
  <r>
    <m/>
    <x v="6"/>
    <x v="29"/>
    <x v="69"/>
    <s v="SMCFIT12SV-WH"/>
    <x v="670"/>
    <x v="512"/>
    <x v="0"/>
    <x v="4"/>
    <n v="1"/>
    <x v="31"/>
    <n v="179"/>
    <m/>
    <n v="0"/>
    <n v="6346"/>
    <n v="1135934"/>
    <n v="6.3"/>
    <n v="6303.15"/>
    <n v="15890.294117647058"/>
    <n v="13506.749999999998"/>
    <s v="Shenzhen"/>
    <x v="0"/>
    <n v="30"/>
    <m/>
    <n v="2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n v="17"/>
    <s v=""/>
    <n v="0.283333333333333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179"/>
    <n v="1135934"/>
    <n v="0"/>
    <n v="0"/>
    <n v="0"/>
    <n v="0"/>
    <n v="0"/>
    <n v="0"/>
    <n v="0"/>
    <n v="0"/>
    <x v="0"/>
    <x v="0"/>
    <n v="179"/>
    <n v="1135934"/>
    <n v="0"/>
    <n v="0"/>
    <n v="179"/>
    <n v="0"/>
    <m/>
    <m/>
    <n v="0"/>
    <n v="1135934"/>
    <n v="0"/>
    <x v="0"/>
    <n v="0"/>
    <n v="179"/>
    <n v="1135934"/>
    <n v="0"/>
    <n v="0"/>
    <n v="179"/>
    <n v="0"/>
    <m/>
    <n v="0"/>
    <n v="0"/>
    <n v="1135934"/>
    <n v="0"/>
    <n v="0"/>
    <n v="0"/>
    <n v="179"/>
    <n v="1135934"/>
    <n v="0"/>
    <n v="0"/>
    <n v="179"/>
    <n v="0"/>
    <n v="200"/>
    <m/>
    <n v="0"/>
    <n v="1135934"/>
    <n v="0"/>
    <n v="1260630"/>
    <n v="0"/>
    <n v="179"/>
    <n v="1135934"/>
    <n v="0"/>
    <n v="0"/>
    <n v="179"/>
    <n v="0"/>
    <n v="0"/>
    <n v="200"/>
    <n v="0"/>
    <n v="1135934"/>
    <n v="0"/>
    <n v="0"/>
    <n v="0"/>
    <n v="179"/>
    <n v="1135934"/>
    <n v="0"/>
    <n v="60"/>
    <n v="196"/>
    <n v="9"/>
    <n v="0"/>
    <n v="0"/>
    <n v="0"/>
    <n v="1278017.9999999998"/>
    <n v="58684.499999999993"/>
    <n v="0"/>
    <n v="0"/>
    <n v="179"/>
    <n v="1135934"/>
    <n v="143012.64705882352"/>
    <n v="80"/>
    <n v="187"/>
    <n v="80"/>
    <n v="0"/>
    <n v="0"/>
    <n v="0"/>
    <m/>
    <n v="1219333.4999999998"/>
    <n v="521639.99999999994"/>
    <n v="0"/>
    <n v="0"/>
    <n v="187"/>
    <n v="1219333.4999999998"/>
    <n v="1080539.9999999998"/>
    <n v="60"/>
    <n v="107"/>
    <n v="60"/>
    <m/>
    <n v="0"/>
    <n v="0"/>
    <n v="697693.49999999988"/>
    <n v="391229.99999999994"/>
    <n v="0"/>
    <n v="0"/>
    <n v="107"/>
    <n v="697693.49999999988"/>
    <n v="810404.99999999988"/>
    <n v="80"/>
    <n v="47"/>
    <n v="80"/>
    <n v="200"/>
    <n v="200"/>
    <n v="306463.49999999994"/>
    <n v="521639.99999999994"/>
    <n v="1304099.9999999998"/>
    <n v="1304099.9999999998"/>
    <n v="247"/>
    <n v="1610563.4999999998"/>
    <n v="1271223.5294117646"/>
    <n v="36"/>
    <n v="167"/>
    <n v="36"/>
    <n v="0"/>
    <m/>
    <n v="1088923.4999999998"/>
    <n v="228456"/>
    <n v="0"/>
    <n v="167"/>
    <n v="1088923.4999999998"/>
    <n v="572050.5882352941"/>
  </r>
  <r>
    <m/>
    <x v="6"/>
    <x v="29"/>
    <x v="69"/>
    <s v="SMCFIT4LC-GR"/>
    <x v="671"/>
    <x v="513"/>
    <x v="0"/>
    <x v="4"/>
    <n v="1"/>
    <x v="31"/>
    <n v="192"/>
    <m/>
    <n v="0"/>
    <n v="4901"/>
    <n v="940992"/>
    <n v="3.6"/>
    <n v="3601.7999999999997"/>
    <n v="9080.1680672268903"/>
    <n v="7718.1428571428569"/>
    <s v="Shenzhen"/>
    <x v="0"/>
    <n v="30"/>
    <m/>
    <n v="2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n v="8"/>
    <s v=""/>
    <n v="0.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192"/>
    <n v="940992"/>
    <n v="0"/>
    <n v="0"/>
    <n v="0"/>
    <n v="0"/>
    <n v="0"/>
    <n v="0"/>
    <n v="0"/>
    <n v="0"/>
    <x v="0"/>
    <x v="0"/>
    <n v="192"/>
    <n v="940992"/>
    <n v="0"/>
    <n v="0"/>
    <n v="192"/>
    <n v="0"/>
    <m/>
    <m/>
    <n v="0"/>
    <n v="940992"/>
    <n v="0"/>
    <x v="0"/>
    <n v="0"/>
    <n v="192"/>
    <n v="940992"/>
    <n v="0"/>
    <n v="0"/>
    <n v="192"/>
    <n v="0"/>
    <m/>
    <n v="0"/>
    <n v="0"/>
    <n v="940992"/>
    <n v="0"/>
    <n v="0"/>
    <n v="0"/>
    <n v="192"/>
    <n v="940992"/>
    <n v="0"/>
    <n v="0"/>
    <n v="192"/>
    <n v="0"/>
    <n v="200"/>
    <m/>
    <n v="0"/>
    <n v="940992"/>
    <n v="0"/>
    <n v="720360"/>
    <n v="0"/>
    <n v="192"/>
    <n v="940992"/>
    <n v="0"/>
    <n v="0"/>
    <n v="192"/>
    <n v="0"/>
    <n v="0"/>
    <n v="200"/>
    <n v="0"/>
    <n v="940992"/>
    <n v="0"/>
    <n v="0"/>
    <n v="0"/>
    <n v="192"/>
    <n v="940992"/>
    <n v="0"/>
    <n v="40"/>
    <n v="200"/>
    <n v="6"/>
    <n v="0"/>
    <n v="0"/>
    <n v="0"/>
    <n v="745199.99999999988"/>
    <n v="22355.999999999996"/>
    <n v="0"/>
    <n v="0"/>
    <n v="192"/>
    <n v="940992"/>
    <n v="54481.008403361338"/>
    <n v="50"/>
    <n v="194"/>
    <n v="50"/>
    <n v="0"/>
    <n v="0"/>
    <n v="0"/>
    <m/>
    <n v="722843.99999999988"/>
    <n v="186299.99999999997"/>
    <n v="0"/>
    <n v="0"/>
    <n v="194"/>
    <n v="722843.99999999988"/>
    <n v="385907.14285714284"/>
    <n v="40"/>
    <n v="144"/>
    <n v="40"/>
    <m/>
    <n v="0"/>
    <n v="0"/>
    <n v="536543.99999999988"/>
    <n v="149039.99999999997"/>
    <n v="0"/>
    <n v="0"/>
    <n v="144"/>
    <n v="536543.99999999988"/>
    <n v="308725.71428571426"/>
    <n v="60"/>
    <n v="104"/>
    <n v="60"/>
    <n v="0"/>
    <n v="0"/>
    <n v="387503.99999999994"/>
    <n v="223559.99999999997"/>
    <n v="0"/>
    <n v="0"/>
    <n v="104"/>
    <n v="387503.99999999994"/>
    <n v="544810.08403361344"/>
    <n v="24"/>
    <n v="44"/>
    <n v="24"/>
    <n v="0"/>
    <m/>
    <n v="163943.99999999997"/>
    <n v="117624"/>
    <n v="0"/>
    <n v="44"/>
    <n v="163943.99999999997"/>
    <n v="217924.03361344535"/>
  </r>
  <r>
    <m/>
    <x v="6"/>
    <x v="29"/>
    <x v="69"/>
    <s v="SMCFIT4SV-WH"/>
    <x v="672"/>
    <x v="514"/>
    <x v="0"/>
    <x v="4"/>
    <n v="1"/>
    <x v="31"/>
    <n v="197"/>
    <m/>
    <n v="0"/>
    <n v="4349"/>
    <n v="856753"/>
    <n v="4"/>
    <n v="4001.9999999999995"/>
    <n v="10089.0756302521"/>
    <n v="8575.7142857142844"/>
    <s v="Shenzhen"/>
    <x v="0"/>
    <n v="30"/>
    <m/>
    <n v="2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0"/>
    <s v=""/>
    <n v="0"/>
    <n v="3"/>
    <s v=""/>
    <n v="0.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197"/>
    <n v="856753"/>
    <n v="0"/>
    <n v="0"/>
    <n v="0"/>
    <n v="0"/>
    <n v="0"/>
    <n v="0"/>
    <n v="0"/>
    <n v="0"/>
    <x v="0"/>
    <x v="0"/>
    <n v="197"/>
    <n v="856753"/>
    <n v="0"/>
    <n v="0"/>
    <n v="197"/>
    <n v="0"/>
    <m/>
    <m/>
    <n v="0"/>
    <n v="856753"/>
    <n v="0"/>
    <x v="0"/>
    <n v="0"/>
    <n v="197"/>
    <n v="856753"/>
    <n v="0"/>
    <n v="0"/>
    <n v="197"/>
    <n v="0"/>
    <m/>
    <n v="0"/>
    <n v="0"/>
    <n v="856753"/>
    <n v="0"/>
    <n v="0"/>
    <n v="0"/>
    <n v="197"/>
    <n v="856753"/>
    <n v="0"/>
    <n v="0"/>
    <n v="197"/>
    <n v="0"/>
    <n v="200"/>
    <m/>
    <n v="0"/>
    <n v="856753"/>
    <n v="0"/>
    <n v="800399.99999999988"/>
    <n v="0"/>
    <n v="197"/>
    <n v="856753"/>
    <n v="0"/>
    <n v="0"/>
    <n v="197"/>
    <n v="0"/>
    <n v="0"/>
    <n v="200"/>
    <n v="0"/>
    <n v="856753"/>
    <n v="0"/>
    <n v="0"/>
    <n v="0"/>
    <n v="197"/>
    <n v="856753"/>
    <n v="0"/>
    <n v="60"/>
    <n v="200"/>
    <n v="3"/>
    <n v="0"/>
    <n v="0"/>
    <n v="0"/>
    <n v="828000"/>
    <n v="12420"/>
    <n v="0"/>
    <n v="0"/>
    <n v="197"/>
    <n v="856753"/>
    <n v="30267.226890756301"/>
    <n v="80"/>
    <n v="197"/>
    <n v="80"/>
    <n v="0"/>
    <n v="0"/>
    <n v="0"/>
    <m/>
    <n v="815580"/>
    <n v="331200"/>
    <n v="0"/>
    <n v="0"/>
    <n v="197"/>
    <n v="815580"/>
    <n v="686057.14285714272"/>
    <n v="60"/>
    <n v="117"/>
    <n v="60"/>
    <m/>
    <n v="0"/>
    <n v="0"/>
    <n v="484380"/>
    <n v="248400"/>
    <n v="0"/>
    <n v="0"/>
    <n v="117"/>
    <n v="484380"/>
    <n v="514542.85714285704"/>
    <n v="80"/>
    <n v="57"/>
    <n v="80"/>
    <n v="200"/>
    <n v="200"/>
    <n v="235980"/>
    <n v="331200"/>
    <n v="828000"/>
    <n v="828000"/>
    <n v="257"/>
    <n v="1063980"/>
    <n v="807126.05042016809"/>
    <n v="36"/>
    <n v="177"/>
    <n v="36"/>
    <n v="0"/>
    <m/>
    <n v="732780"/>
    <n v="156564"/>
    <n v="0"/>
    <n v="177"/>
    <n v="732780"/>
    <n v="363206.72268907563"/>
  </r>
  <r>
    <m/>
    <x v="6"/>
    <x v="29"/>
    <x v="70"/>
    <s v="SMCONTCAFMI"/>
    <x v="673"/>
    <x v="515"/>
    <x v="0"/>
    <x v="4"/>
    <n v="1"/>
    <x v="406"/>
    <n v="16"/>
    <m/>
    <n v="0"/>
    <n v="3890"/>
    <n v="62240"/>
    <n v="3.8"/>
    <n v="3801.8999999999996"/>
    <n v="9584.6218487394945"/>
    <n v="8146.9285714285697"/>
    <s v="Shenzhen"/>
    <x v="0"/>
    <n v="30"/>
    <m/>
    <n v="2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29"/>
    <n v="0.65379242845095042"/>
    <n v="0.82857142857142863"/>
    <n v="55"/>
    <n v="0.45316165176016204"/>
    <n v="1.2222222222222223"/>
    <n v="87"/>
    <n v="0.40931396159989181"/>
    <n v="2.174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16"/>
    <n v="62240"/>
    <n v="0"/>
    <n v="0"/>
    <n v="0"/>
    <n v="0"/>
    <n v="0"/>
    <n v="0"/>
    <n v="0"/>
    <n v="0"/>
    <x v="0"/>
    <x v="0"/>
    <n v="16"/>
    <n v="62240"/>
    <n v="0"/>
    <n v="0"/>
    <n v="16"/>
    <n v="0"/>
    <m/>
    <m/>
    <n v="0"/>
    <n v="62240"/>
    <n v="0"/>
    <x v="0"/>
    <n v="0"/>
    <n v="16"/>
    <n v="62240"/>
    <n v="0"/>
    <n v="0"/>
    <n v="16"/>
    <n v="0"/>
    <m/>
    <n v="0"/>
    <n v="0"/>
    <n v="62240"/>
    <n v="0"/>
    <n v="0"/>
    <n v="0"/>
    <n v="16"/>
    <n v="62240"/>
    <n v="0"/>
    <n v="35"/>
    <n v="45"/>
    <n v="29"/>
    <n v="200"/>
    <n v="200"/>
    <n v="0"/>
    <n v="175050"/>
    <n v="114056.99999999999"/>
    <n v="760379.99999999988"/>
    <n v="0"/>
    <n v="45"/>
    <n v="62240"/>
    <n v="277954.03361344535"/>
    <n v="45"/>
    <n v="71"/>
    <n v="56"/>
    <n v="0"/>
    <n v="0"/>
    <n v="0"/>
    <n v="276190"/>
    <n v="220247.99999999997"/>
    <n v="0"/>
    <n v="0"/>
    <n v="71"/>
    <n v="276190"/>
    <n v="536738.82352941169"/>
    <n v="40"/>
    <n v="103"/>
    <n v="90"/>
    <n v="0"/>
    <n v="0"/>
    <n v="0"/>
    <n v="405098.99999999994"/>
    <n v="353969.99999999994"/>
    <n v="0"/>
    <n v="0"/>
    <n v="16"/>
    <n v="62240"/>
    <n v="862615.96638655453"/>
    <n v="72"/>
    <n v="13"/>
    <n v="13"/>
    <n v="0"/>
    <n v="0"/>
    <n v="0"/>
    <n v="0"/>
    <n v="51128.999999999993"/>
    <n v="51128.999999999993"/>
    <n v="0"/>
    <n v="0"/>
    <n v="13"/>
    <n v="51128.999999999993"/>
    <n v="105910.07142857141"/>
    <n v="0"/>
    <n v="0"/>
    <n v="0"/>
    <m/>
    <n v="0"/>
    <n v="0"/>
    <n v="0"/>
    <n v="0"/>
    <n v="0"/>
    <n v="0"/>
    <n v="0"/>
    <n v="0"/>
    <n v="0"/>
    <n v="40"/>
    <n v="0"/>
    <n v="40"/>
    <n v="100"/>
    <n v="100"/>
    <n v="0"/>
    <n v="157319.99999999997"/>
    <n v="393299.99999999994"/>
    <n v="393299.99999999994"/>
    <n v="100"/>
    <n v="393299.99999999994"/>
    <n v="383384.87394957978"/>
    <n v="0"/>
    <n v="60"/>
    <n v="0"/>
    <n v="0"/>
    <m/>
    <n v="235979.99999999997"/>
    <n v="0"/>
    <n v="0"/>
    <n v="60"/>
    <n v="235979.99999999997"/>
    <n v="0"/>
  </r>
  <r>
    <m/>
    <x v="6"/>
    <x v="29"/>
    <x v="58"/>
    <n v="1654207295633"/>
    <x v="674"/>
    <x v="516"/>
    <x v="0"/>
    <x v="0"/>
    <n v="1.3"/>
    <x v="31"/>
    <n v="264"/>
    <m/>
    <n v="0"/>
    <n v="1230"/>
    <n v="324720"/>
    <n v="1"/>
    <n v="1092.5"/>
    <n v="5033.6134453781515"/>
    <n v="4193.2773109243699"/>
    <s v="Shenzhen"/>
    <x v="0"/>
    <n v="30"/>
    <m/>
    <n v="100"/>
    <n v="22"/>
    <n v="0.78472468085106384"/>
    <n v="10"/>
    <s v=""/>
    <n v="52"/>
    <n v="0.7652453458750389"/>
    <n v="135"/>
    <n v="0.66225218949024911"/>
    <n v="125"/>
    <n v="0.67688459597315198"/>
    <n v="189"/>
    <n v="0.72925118296460834"/>
    <n v="161"/>
    <n v="0.73636535467329833"/>
    <n v="198"/>
    <n v="0.66826614715790522"/>
    <n v="225"/>
    <n v="0.62234441432985099"/>
    <n v="167"/>
    <n v="0.7040967146803172"/>
    <n v="162"/>
    <n v="0.70277072298693166"/>
    <n v="283"/>
    <n v="0.61288575951174995"/>
    <n v="27"/>
    <n v="0.6120123313812148"/>
    <n v="11"/>
    <n v="0.61305111904290244"/>
    <n v="124"/>
    <n v="0.60722264904677148"/>
    <n v="250"/>
    <n v="0.62827644990932441"/>
    <n v="2.5"/>
    <n v="302"/>
    <n v="0.64468697123519458"/>
    <n v="2.5166666666666666"/>
    <n v="267"/>
    <n v="0.54304635807760848"/>
    <n v="1.335"/>
    <n v="123"/>
    <s v=""/>
    <n v="0.76875000000000004"/>
    <n v="84"/>
    <n v="0.53158971065060834"/>
    <n v="2.1"/>
    <n v="102"/>
    <n v="0.52228404329495537"/>
    <n v="0.44347826086956521"/>
    <m/>
    <m/>
    <m/>
    <m/>
    <m/>
    <m/>
    <m/>
    <m/>
    <m/>
    <n v="180"/>
    <n v="51"/>
    <n v="51"/>
    <n v="450"/>
    <n v="450"/>
    <n v="0"/>
    <n v="235545"/>
    <n v="52785"/>
    <n v="62730"/>
    <n v="0"/>
    <n v="264"/>
    <n v="324720"/>
    <n v="215726.2905162065"/>
    <n v="130"/>
    <n v="490"/>
    <n v="16.5"/>
    <n v="150"/>
    <n v="50"/>
    <n v="0"/>
    <n v="480315"/>
    <n v="507150"/>
    <n v="20295"/>
    <n v="0"/>
    <n v="264"/>
    <n v="324720"/>
    <n v="69793.799872890348"/>
    <n v="180"/>
    <n v="388"/>
    <n v="124"/>
    <n v="0"/>
    <n v="0"/>
    <n v="621480"/>
    <n v="477240"/>
    <n v="152520"/>
    <n v="0"/>
    <n v="264"/>
    <n v="324720"/>
    <n v="624168.06722689082"/>
    <n v="100"/>
    <n v="989"/>
    <n v="250"/>
    <n v="500"/>
    <n v="0"/>
    <n v="1023615"/>
    <n v="307500"/>
    <x v="81"/>
    <x v="0"/>
    <n v="264"/>
    <n v="324720"/>
    <n v="1258403.3613445379"/>
    <n v="120"/>
    <n v="566"/>
    <n v="156"/>
    <m/>
    <n v="0"/>
    <n v="0"/>
    <n v="696180"/>
    <n v="161460"/>
    <x v="0"/>
    <n v="0"/>
    <n v="264"/>
    <n v="324720"/>
    <n v="785243.69747899158"/>
    <n v="200"/>
    <n v="531"/>
    <n v="267"/>
    <m/>
    <n v="0"/>
    <n v="0"/>
    <n v="653130"/>
    <n v="276345"/>
    <n v="0"/>
    <n v="0"/>
    <n v="531"/>
    <n v="324720"/>
    <n v="1343974.7899159663"/>
    <n v="160"/>
    <n v="387"/>
    <n v="123"/>
    <n v="300"/>
    <n v="300"/>
    <n v="0"/>
    <n v="476010"/>
    <n v="127305"/>
    <n v="300149.99999999994"/>
    <n v="0"/>
    <n v="387"/>
    <n v="324720"/>
    <n v="619134.45378151268"/>
    <n v="40"/>
    <n v="348"/>
    <n v="86"/>
    <n v="0"/>
    <n v="0"/>
    <n v="0"/>
    <n v="428040"/>
    <n v="89010"/>
    <n v="0"/>
    <n v="0"/>
    <n v="348"/>
    <n v="428040"/>
    <n v="432890.75630252104"/>
    <n v="230"/>
    <n v="366"/>
    <n v="97.5"/>
    <n v="0"/>
    <n v="0"/>
    <n v="0"/>
    <n v="378810"/>
    <n v="100912.5"/>
    <n v="0"/>
    <n v="0"/>
    <n v="264"/>
    <n v="324720"/>
    <n v="490777.31092436978"/>
    <n v="150"/>
    <n v="268.5"/>
    <n v="195"/>
    <n v="0"/>
    <n v="0"/>
    <n v="0"/>
    <n v="0"/>
    <n v="277897.5"/>
    <n v="201825"/>
    <n v="0"/>
    <n v="0"/>
    <n v="268.5"/>
    <n v="277897.5"/>
    <n v="817689.07563025213"/>
    <n v="120"/>
    <n v="73.5"/>
    <n v="73.5"/>
    <m/>
    <n v="0"/>
    <n v="0"/>
    <n v="76072.5"/>
    <n v="76072.5"/>
    <n v="0"/>
    <n v="0"/>
    <n v="73.5"/>
    <n v="76072.5"/>
    <n v="308205.8823529412"/>
    <n v="150"/>
    <n v="0"/>
    <n v="195"/>
    <n v="300"/>
    <n v="300"/>
    <n v="0"/>
    <n v="201825"/>
    <n v="310500"/>
    <n v="310500"/>
    <n v="300"/>
    <n v="310500"/>
    <n v="981554.62184873957"/>
    <n v="72"/>
    <n v="105"/>
    <n v="93.600000000000009"/>
    <n v="0"/>
    <m/>
    <n v="108675"/>
    <n v="115128.00000000001"/>
    <n v="0"/>
    <n v="105"/>
    <n v="108675"/>
    <n v="471146.21848739503"/>
  </r>
  <r>
    <m/>
    <x v="6"/>
    <x v="29"/>
    <x v="58"/>
    <n v="1654207307551"/>
    <x v="675"/>
    <x v="517"/>
    <x v="0"/>
    <x v="0"/>
    <n v="1"/>
    <x v="31"/>
    <n v="352"/>
    <m/>
    <n v="0"/>
    <n v="1584"/>
    <n v="557568"/>
    <n v="1.35"/>
    <n v="1474.8749999999998"/>
    <n v="5873.9495798319331"/>
    <n v="5033.6134453781515"/>
    <s v="Shenzhen"/>
    <x v="0"/>
    <n v="30"/>
    <m/>
    <n v="100"/>
    <n v="100"/>
    <n v="0.66431640892295052"/>
    <n v="108"/>
    <n v="0.64930647464741897"/>
    <n v="127"/>
    <n v="0.65443885915901379"/>
    <n v="96"/>
    <n v="0.64543581470025158"/>
    <n v="75"/>
    <n v="0.68033666157809358"/>
    <n v="154"/>
    <n v="0.66935912849677492"/>
    <n v="127"/>
    <n v="0.65554725385893875"/>
    <n v="223"/>
    <n v="0.60295330333816166"/>
    <n v="126"/>
    <n v="0.56970953911641697"/>
    <n v="122"/>
    <n v="0.60071359532479973"/>
    <n v="50"/>
    <n v="0.51250405975966218"/>
    <n v="158"/>
    <n v="0.55168686081880358"/>
    <n v="15"/>
    <n v="0.70223920504304271"/>
    <n v="8"/>
    <n v="0.50697462625607448"/>
    <n v="83"/>
    <n v="0.617794951960003"/>
    <n v="59"/>
    <n v="0.65894857128968465"/>
    <n v="0.73750000000000004"/>
    <n v="61"/>
    <n v="0.27404908763813929"/>
    <n v="0.81333333333333335"/>
    <n v="170"/>
    <n v="0.51231030577576442"/>
    <n v="1.1333333333333333"/>
    <n v="63"/>
    <s v=""/>
    <n v="0.48461538461538461"/>
    <n v="155"/>
    <s v=""/>
    <n v="0.77500000000000002"/>
    <n v="101"/>
    <n v="0.46662730942929459"/>
    <n v="0.77692307692307694"/>
    <m/>
    <m/>
    <m/>
    <m/>
    <m/>
    <m/>
    <m/>
    <m/>
    <m/>
    <n v="100"/>
    <n v="42"/>
    <n v="30"/>
    <n v="300"/>
    <n v="300"/>
    <n v="0"/>
    <n v="198000"/>
    <n v="58684.5"/>
    <n v="47520"/>
    <n v="0"/>
    <n v="352"/>
    <n v="557568"/>
    <n v="148082.76251677144"/>
    <n v="100"/>
    <n v="475"/>
    <n v="12"/>
    <n v="150"/>
    <n v="100"/>
    <n v="0"/>
    <n v="243936"/>
    <n v="663693.75"/>
    <n v="19008"/>
    <n v="0"/>
    <n v="352"/>
    <n v="557568"/>
    <n v="59233.105006708574"/>
    <n v="140"/>
    <n v="428"/>
    <n v="83"/>
    <n v="0"/>
    <n v="0"/>
    <n v="329721.75"/>
    <n v="677952"/>
    <n v="131472"/>
    <n v="0"/>
    <n v="352"/>
    <n v="557568"/>
    <n v="487537.81512605044"/>
    <n v="80"/>
    <n v="662"/>
    <n v="59"/>
    <n v="300"/>
    <n v="0"/>
    <n v="924979.5"/>
    <n v="93456"/>
    <x v="82"/>
    <x v="0"/>
    <n v="352"/>
    <n v="557568"/>
    <n v="346563.02521008404"/>
    <n v="75"/>
    <n v="413"/>
    <n v="75"/>
    <m/>
    <n v="0"/>
    <n v="0"/>
    <n v="654192"/>
    <n v="104793.75"/>
    <x v="0"/>
    <n v="0"/>
    <n v="352"/>
    <n v="557568"/>
    <n v="440546.21848739497"/>
    <n v="150"/>
    <n v="522"/>
    <n v="170"/>
    <m/>
    <n v="0"/>
    <n v="0"/>
    <n v="826848"/>
    <n v="237532.5"/>
    <n v="0"/>
    <n v="0"/>
    <n v="522"/>
    <n v="557568"/>
    <n v="998571.42857142864"/>
    <n v="130"/>
    <n v="415"/>
    <n v="63"/>
    <n v="350"/>
    <n v="350"/>
    <n v="0"/>
    <n v="657360"/>
    <n v="88026.75"/>
    <n v="472736.25"/>
    <n v="0"/>
    <n v="415"/>
    <n v="557568"/>
    <n v="370058.82352941181"/>
    <n v="200"/>
    <n v="507"/>
    <n v="160"/>
    <n v="0"/>
    <n v="0"/>
    <n v="0"/>
    <n v="803088"/>
    <n v="223560"/>
    <n v="0"/>
    <n v="0"/>
    <n v="507"/>
    <n v="803088"/>
    <n v="939831.93277310929"/>
    <n v="130"/>
    <n v="453"/>
    <n v="130.5"/>
    <n v="0"/>
    <n v="0"/>
    <n v="0"/>
    <n v="632954.25"/>
    <n v="182341.125"/>
    <n v="0"/>
    <n v="0"/>
    <n v="352"/>
    <n v="557568"/>
    <n v="766550.42016806721"/>
    <n v="100"/>
    <n v="322.5"/>
    <n v="100"/>
    <n v="0"/>
    <n v="0"/>
    <n v="0"/>
    <m/>
    <n v="450613.125"/>
    <n v="139725"/>
    <n v="0"/>
    <n v="0"/>
    <n v="322.5"/>
    <n v="450613.125"/>
    <n v="503361.34453781514"/>
    <n v="50"/>
    <n v="222.5"/>
    <n v="50"/>
    <m/>
    <n v="0"/>
    <n v="0"/>
    <n v="310888.125"/>
    <n v="69862.5"/>
    <n v="0"/>
    <n v="0"/>
    <n v="222.5"/>
    <n v="310888.125"/>
    <n v="251680.67226890757"/>
    <n v="160"/>
    <n v="172.5"/>
    <n v="160"/>
    <n v="0"/>
    <n v="0"/>
    <n v="241025.625"/>
    <n v="223560"/>
    <n v="0"/>
    <n v="0"/>
    <n v="172.5"/>
    <n v="241025.625"/>
    <n v="939831.93277310929"/>
    <n v="30"/>
    <n v="12.5"/>
    <n v="30"/>
    <n v="0"/>
    <m/>
    <n v="17465.625"/>
    <n v="47520"/>
    <n v="0"/>
    <n v="12.5"/>
    <n v="17465.625"/>
    <n v="176218.48739495798"/>
  </r>
  <r>
    <m/>
    <x v="6"/>
    <x v="29"/>
    <x v="58"/>
    <n v="1654207333519"/>
    <x v="676"/>
    <x v="518"/>
    <x v="0"/>
    <x v="0"/>
    <n v="1"/>
    <x v="31"/>
    <n v="157"/>
    <m/>
    <n v="0"/>
    <n v="1543"/>
    <n v="242251"/>
    <n v="1.35"/>
    <n v="1474.8749999999998"/>
    <n v="5873.9495798319331"/>
    <n v="5033.6134453781515"/>
    <s v="Shenzhen"/>
    <x v="0"/>
    <n v="30"/>
    <m/>
    <n v="100"/>
    <n v="6"/>
    <n v="0.72427647577092535"/>
    <n v="2"/>
    <n v="0.71277361702127673"/>
    <n v="53"/>
    <n v="0.65518953068592056"/>
    <n v="116"/>
    <n v="0.53617071216401058"/>
    <n v="83"/>
    <n v="0.62891294154925215"/>
    <n v="151"/>
    <n v="0.71418515241719549"/>
    <n v="110"/>
    <n v="0.6654484371782915"/>
    <n v="205"/>
    <n v="0.63171819196421031"/>
    <n v="97"/>
    <n v="0.61118598487695375"/>
    <n v="278"/>
    <n v="0.59509164336258324"/>
    <n v="209"/>
    <n v="0.54970474891210186"/>
    <n v="130"/>
    <n v="0.57367301101409751"/>
    <n v="10"/>
    <n v="0.37810909589426051"/>
    <n v="137"/>
    <n v="0.48574958358627662"/>
    <n v="138"/>
    <n v="0.58277838336497634"/>
    <n v="92"/>
    <n v="0.49357951560988089"/>
    <n v="0.92"/>
    <n v="107"/>
    <n v="0.70310605944007509"/>
    <n v="1.3374999999999999"/>
    <n v="232"/>
    <n v="0.55807005860415548"/>
    <n v="1.288888888888889"/>
    <n v="67"/>
    <s v=""/>
    <n v="0.37222222222222223"/>
    <n v="178"/>
    <n v="0.45738563947771033"/>
    <n v="1.4833333333333334"/>
    <n v="101"/>
    <n v="0.36398891139857054"/>
    <n v="1.01"/>
    <m/>
    <m/>
    <m/>
    <m/>
    <m/>
    <m/>
    <m/>
    <m/>
    <m/>
    <n v="150"/>
    <n v="36"/>
    <n v="40"/>
    <n v="450"/>
    <n v="450"/>
    <n v="0"/>
    <n v="591740.5"/>
    <n v="50301"/>
    <n v="61720"/>
    <n v="0"/>
    <n v="157"/>
    <n v="242251"/>
    <n v="197443.68335569525"/>
    <n v="120"/>
    <n v="473"/>
    <n v="205.5"/>
    <n v="150"/>
    <n v="50"/>
    <n v="0"/>
    <n v="671976.5"/>
    <n v="660899.25"/>
    <n v="317086.5"/>
    <n v="0"/>
    <n v="157"/>
    <n v="242251"/>
    <n v="1014366.9232398843"/>
    <n v="190"/>
    <n v="343"/>
    <n v="138"/>
    <n v="0"/>
    <n v="0"/>
    <n v="466670"/>
    <n v="529249"/>
    <n v="212934"/>
    <n v="0"/>
    <n v="157"/>
    <n v="242251"/>
    <n v="810605.04201680678"/>
    <n v="100"/>
    <n v="484"/>
    <n v="92"/>
    <n v="150"/>
    <n v="0"/>
    <n v="676269"/>
    <n v="141956"/>
    <x v="83"/>
    <x v="0"/>
    <n v="157"/>
    <n v="242251"/>
    <n v="540403.36134453781"/>
    <n v="80"/>
    <n v="264"/>
    <n v="80"/>
    <m/>
    <n v="0"/>
    <n v="0"/>
    <n v="407352"/>
    <n v="111780"/>
    <x v="0"/>
    <n v="0"/>
    <n v="157"/>
    <n v="242251"/>
    <n v="469915.96638655465"/>
    <n v="180"/>
    <n v="389"/>
    <n v="232"/>
    <m/>
    <n v="0"/>
    <n v="0"/>
    <n v="600227"/>
    <n v="324162"/>
    <n v="0"/>
    <n v="0"/>
    <n v="389"/>
    <n v="242251"/>
    <n v="1362756.3025210085"/>
    <n v="180"/>
    <n v="224"/>
    <n v="67"/>
    <n v="430"/>
    <n v="430"/>
    <n v="0"/>
    <n v="345632"/>
    <n v="93615.75"/>
    <n v="580790.25"/>
    <n v="0"/>
    <n v="224"/>
    <n v="242251"/>
    <n v="393554.62184873951"/>
    <n v="120"/>
    <n v="335"/>
    <n v="183"/>
    <n v="150"/>
    <n v="150"/>
    <n v="0"/>
    <n v="516905"/>
    <n v="255696.75"/>
    <n v="209587.5"/>
    <n v="0"/>
    <n v="335"/>
    <n v="516905"/>
    <n v="1074932.7731092437"/>
    <n v="100"/>
    <n v="258"/>
    <n v="96"/>
    <n v="0"/>
    <n v="0"/>
    <n v="0"/>
    <n v="360490.5"/>
    <n v="134136"/>
    <n v="0"/>
    <n v="0"/>
    <n v="157"/>
    <n v="242251"/>
    <n v="563899.15966386558"/>
    <n v="130"/>
    <n v="162"/>
    <n v="130"/>
    <n v="0"/>
    <n v="0"/>
    <n v="0"/>
    <m/>
    <n v="226354.5"/>
    <n v="181642.5"/>
    <n v="0"/>
    <n v="0"/>
    <n v="162"/>
    <n v="226354.5"/>
    <n v="654369.74789915967"/>
    <n v="29"/>
    <n v="32"/>
    <n v="29"/>
    <m/>
    <n v="0"/>
    <n v="0"/>
    <n v="44712"/>
    <n v="40520.25"/>
    <n v="0"/>
    <n v="0"/>
    <n v="32"/>
    <n v="44712"/>
    <n v="145974.78991596639"/>
    <n v="130"/>
    <n v="3"/>
    <n v="130"/>
    <n v="200"/>
    <n v="200"/>
    <n v="4191.75"/>
    <n v="181642.5"/>
    <n v="279450"/>
    <n v="279450"/>
    <n v="203"/>
    <n v="283641.75"/>
    <n v="763613.44537815126"/>
    <n v="17.399999999999999"/>
    <n v="73"/>
    <n v="17.399999999999999"/>
    <n v="0"/>
    <m/>
    <n v="101999.25"/>
    <n v="26848.199999999997"/>
    <n v="0"/>
    <n v="73"/>
    <n v="101999.25"/>
    <n v="102206.72268907563"/>
  </r>
  <r>
    <s v="Simplit-Mundo Café"/>
    <x v="6"/>
    <x v="29"/>
    <x v="46"/>
    <n v="1660858266475"/>
    <x v="677"/>
    <x v="519"/>
    <x v="0"/>
    <x v="2"/>
    <n v="1"/>
    <x v="31"/>
    <n v="2"/>
    <m/>
    <n v="0"/>
    <n v="9058"/>
    <n v="18116"/>
    <n v="8"/>
    <n v="8740"/>
    <n v="21000"/>
    <n v="12596.638655462186"/>
    <s v="Shenzhen"/>
    <x v="0"/>
    <n v="30"/>
    <m/>
    <n v="100"/>
    <n v="44"/>
    <n v="0.48124688104023899"/>
    <n v="5"/>
    <n v="0.51030642475617927"/>
    <n v="9"/>
    <n v="0.47877855567277261"/>
    <n v="12"/>
    <n v="0.45674600151971051"/>
    <n v="16"/>
    <n v="0.50019360823817882"/>
    <n v="24"/>
    <n v="0.47975491299733036"/>
    <n v="2"/>
    <n v="0.5686685714285713"/>
    <n v="0"/>
    <n v="0.40084931869294887"/>
    <n v="0"/>
    <s v=""/>
    <n v="1"/>
    <n v="0.46080022511255631"/>
    <n v="0"/>
    <s v=""/>
    <n v="0"/>
    <s v=""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0"/>
    <n v="2"/>
    <n v="0"/>
    <n v="0"/>
    <n v="0"/>
    <n v="0"/>
    <n v="0"/>
    <n v="16560"/>
    <n v="0"/>
    <n v="0"/>
    <n v="2"/>
    <n v="18116"/>
    <n v="0"/>
    <n v="0"/>
    <n v="2"/>
    <n v="0"/>
    <n v="0"/>
    <n v="0"/>
    <n v="0"/>
    <n v="0"/>
    <n v="16560"/>
    <n v="0"/>
    <n v="0"/>
    <n v="2"/>
    <n v="18116"/>
    <n v="0"/>
    <n v="0"/>
    <n v="2"/>
    <n v="0"/>
    <n v="0"/>
    <n v="0"/>
    <n v="0"/>
    <n v="18116"/>
    <n v="0"/>
    <n v="0"/>
    <n v="2"/>
    <n v="18116"/>
    <n v="0"/>
    <n v="0"/>
    <n v="2"/>
    <n v="0"/>
    <n v="0"/>
    <n v="0"/>
    <n v="16560"/>
    <n v="0"/>
    <x v="0"/>
    <x v="0"/>
    <n v="2"/>
    <n v="18116"/>
    <n v="0"/>
    <n v="0"/>
    <n v="2"/>
    <n v="0"/>
    <m/>
    <n v="0"/>
    <n v="0"/>
    <n v="18116"/>
    <n v="0"/>
    <x v="0"/>
    <n v="0"/>
    <n v="2"/>
    <n v="18116"/>
    <n v="0"/>
    <n v="0"/>
    <n v="2"/>
    <n v="0"/>
    <m/>
    <n v="0"/>
    <n v="0"/>
    <n v="18116"/>
    <n v="0"/>
    <n v="0"/>
    <n v="0"/>
    <n v="2"/>
    <n v="18116"/>
    <n v="0"/>
    <n v="0"/>
    <n v="2"/>
    <n v="0"/>
    <n v="0"/>
    <n v="0"/>
    <n v="0"/>
    <n v="18116"/>
    <n v="0"/>
    <n v="0"/>
    <n v="0"/>
    <n v="2"/>
    <n v="18116"/>
    <n v="0"/>
    <n v="0"/>
    <n v="2"/>
    <n v="0"/>
    <n v="0"/>
    <n v="0"/>
    <n v="0"/>
    <n v="18116"/>
    <n v="0"/>
    <n v="0"/>
    <n v="0"/>
    <n v="2"/>
    <n v="18116"/>
    <n v="0"/>
    <n v="0"/>
    <n v="2"/>
    <n v="0"/>
    <n v="0"/>
    <n v="0"/>
    <n v="0"/>
    <n v="16560"/>
    <n v="0"/>
    <n v="0"/>
    <n v="0"/>
    <n v="2"/>
    <n v="18116"/>
    <n v="0"/>
    <n v="0"/>
    <n v="2"/>
    <n v="0"/>
    <n v="0"/>
    <n v="0"/>
    <n v="0"/>
    <m/>
    <n v="16560"/>
    <n v="0"/>
    <n v="0"/>
    <n v="0"/>
    <n v="2"/>
    <n v="16560"/>
    <n v="0"/>
    <n v="0"/>
    <n v="2"/>
    <n v="0"/>
    <m/>
    <n v="0"/>
    <n v="0"/>
    <n v="16560"/>
    <n v="0"/>
    <n v="0"/>
    <n v="0"/>
    <n v="2"/>
    <n v="16560"/>
    <n v="0"/>
    <n v="0"/>
    <n v="2"/>
    <n v="0"/>
    <n v="0"/>
    <n v="0"/>
    <n v="16560"/>
    <n v="0"/>
    <n v="0"/>
    <n v="0"/>
    <n v="2"/>
    <n v="16560"/>
    <n v="0"/>
    <n v="0"/>
    <n v="2"/>
    <n v="0"/>
    <n v="0"/>
    <m/>
    <n v="16560"/>
    <n v="0"/>
    <n v="0"/>
    <n v="2"/>
    <n v="16560"/>
    <n v="0"/>
  </r>
  <r>
    <m/>
    <x v="6"/>
    <x v="29"/>
    <x v="46"/>
    <n v="67951423489593"/>
    <x v="678"/>
    <x v="520"/>
    <x v="0"/>
    <x v="2"/>
    <n v="1"/>
    <x v="31"/>
    <n v="7"/>
    <m/>
    <n v="0"/>
    <n v="3731"/>
    <n v="26117"/>
    <n v="3.3"/>
    <n v="3605.2499999999995"/>
    <n v="7554.6218487394963"/>
    <n v="5873.9495798319331"/>
    <s v="Shenzhen"/>
    <x v="0"/>
    <n v="30"/>
    <m/>
    <n v="100"/>
    <n v="51"/>
    <n v="0.45672630263774872"/>
    <n v="7"/>
    <n v="0.58531787685441783"/>
    <n v="16"/>
    <n v="0.5620424538725004"/>
    <n v="26"/>
    <n v="0.48619447179021574"/>
    <n v="7"/>
    <n v="0.51550409073200298"/>
    <n v="20"/>
    <n v="0.45891323965450559"/>
    <n v="9"/>
    <n v="0.53162866246271578"/>
    <n v="57"/>
    <n v="0.43139354987167183"/>
    <n v="3"/>
    <n v="0.59604856921887084"/>
    <n v="32"/>
    <n v="0.44434876212410918"/>
    <n v="22"/>
    <n v="0.41080029574118337"/>
    <n v="39"/>
    <n v="0.44716498696354906"/>
    <n v="31"/>
    <n v="0.40549525783342161"/>
    <n v="10"/>
    <n v="0.27159170697792751"/>
    <n v="11"/>
    <n v="0.29131351439611641"/>
    <n v="9"/>
    <n v="0.33401166436576191"/>
    <n v="0.9"/>
    <n v="1"/>
    <n v="0.82233333333333336"/>
    <n v="0.1"/>
    <n v="0"/>
    <s v=""/>
    <n v="0"/>
    <n v="0"/>
    <s v=""/>
    <n v="0"/>
    <n v="4"/>
    <n v="0.12298631739836775"/>
    <n v="0"/>
    <n v="0"/>
    <s v=""/>
    <n v="0"/>
    <m/>
    <m/>
    <m/>
    <m/>
    <m/>
    <m/>
    <m/>
    <m/>
    <m/>
    <n v="10"/>
    <n v="80"/>
    <n v="12"/>
    <n v="0"/>
    <n v="0"/>
    <n v="0"/>
    <n v="141778"/>
    <n v="273239.99999999994"/>
    <n v="44772"/>
    <n v="0"/>
    <n v="7"/>
    <n v="26117"/>
    <n v="76181.060659557959"/>
    <n v="10"/>
    <n v="66"/>
    <n v="15"/>
    <n v="0"/>
    <n v="0"/>
    <n v="0"/>
    <n v="130585"/>
    <n v="225422.99999999997"/>
    <n v="55965"/>
    <n v="0"/>
    <n v="7"/>
    <n v="26117"/>
    <n v="95226.325824447442"/>
    <n v="10"/>
    <n v="47"/>
    <n v="11"/>
    <n v="0"/>
    <n v="0"/>
    <n v="108775"/>
    <n v="175357"/>
    <n v="41041"/>
    <n v="0"/>
    <n v="7"/>
    <n v="26117"/>
    <n v="83100.840336134454"/>
    <n v="10"/>
    <n v="35"/>
    <n v="9"/>
    <n v="0"/>
    <n v="0"/>
    <n v="119542.49999999999"/>
    <n v="33579"/>
    <x v="0"/>
    <x v="0"/>
    <n v="7"/>
    <n v="26117"/>
    <n v="67991.596638655465"/>
    <n v="10"/>
    <n v="8"/>
    <n v="10"/>
    <m/>
    <n v="0"/>
    <n v="0"/>
    <n v="29848"/>
    <n v="34154.999999999993"/>
    <x v="0"/>
    <n v="0"/>
    <n v="7"/>
    <n v="26117"/>
    <n v="75546.218487394959"/>
    <n v="0"/>
    <n v="7"/>
    <n v="0"/>
    <m/>
    <n v="0"/>
    <n v="0"/>
    <n v="26117"/>
    <n v="0"/>
    <n v="0"/>
    <n v="0"/>
    <n v="7"/>
    <n v="26117"/>
    <n v="0"/>
    <n v="0"/>
    <n v="7"/>
    <n v="0"/>
    <n v="0"/>
    <n v="0"/>
    <n v="0"/>
    <n v="26117"/>
    <n v="0"/>
    <n v="0"/>
    <n v="0"/>
    <n v="7"/>
    <n v="26117"/>
    <n v="0"/>
    <n v="0"/>
    <n v="11"/>
    <n v="4"/>
    <n v="0"/>
    <n v="0"/>
    <n v="0"/>
    <n v="41041"/>
    <n v="13661.999999999998"/>
    <n v="0"/>
    <n v="0"/>
    <n v="11"/>
    <n v="41041"/>
    <n v="30218.487394957985"/>
    <n v="0"/>
    <n v="7"/>
    <n v="0"/>
    <n v="0"/>
    <n v="0"/>
    <n v="0"/>
    <n v="23908.499999999996"/>
    <n v="0"/>
    <n v="0"/>
    <n v="0"/>
    <n v="7"/>
    <n v="26117"/>
    <n v="0"/>
    <n v="0"/>
    <n v="7"/>
    <n v="0"/>
    <n v="0"/>
    <n v="0"/>
    <n v="0"/>
    <m/>
    <n v="23908.499999999996"/>
    <n v="0"/>
    <n v="0"/>
    <n v="0"/>
    <n v="7"/>
    <n v="23908.499999999996"/>
    <n v="0"/>
    <n v="0"/>
    <n v="7"/>
    <n v="0"/>
    <m/>
    <n v="0"/>
    <n v="0"/>
    <n v="23908.499999999996"/>
    <n v="0"/>
    <n v="0"/>
    <n v="0"/>
    <n v="7"/>
    <n v="23908.499999999996"/>
    <n v="0"/>
    <n v="0"/>
    <n v="7"/>
    <n v="0"/>
    <n v="0"/>
    <n v="0"/>
    <n v="23908.499999999996"/>
    <n v="0"/>
    <n v="0"/>
    <n v="0"/>
    <n v="7"/>
    <n v="23908.499999999996"/>
    <n v="0"/>
    <n v="0"/>
    <n v="7"/>
    <n v="0"/>
    <n v="0"/>
    <m/>
    <n v="23908.499999999996"/>
    <n v="0"/>
    <n v="0"/>
    <n v="7"/>
    <n v="23908.499999999996"/>
    <n v="0"/>
  </r>
  <r>
    <m/>
    <x v="6"/>
    <x v="29"/>
    <x v="46"/>
    <n v="67951425161311"/>
    <x v="679"/>
    <x v="520"/>
    <x v="0"/>
    <x v="2"/>
    <n v="1"/>
    <x v="31"/>
    <n v="5"/>
    <m/>
    <n v="0"/>
    <n v="3798"/>
    <n v="18990"/>
    <n v="3.3"/>
    <n v="3605.2499999999995"/>
    <n v="9235.2941176470595"/>
    <n v="9235.2941176470595"/>
    <s v="Shenzhen"/>
    <x v="0"/>
    <n v="30"/>
    <m/>
    <n v="100"/>
    <n v="62"/>
    <n v="0.488144602636712"/>
    <n v="22"/>
    <n v="0.57862754103302161"/>
    <n v="65"/>
    <n v="0.47592801674759116"/>
    <n v="10"/>
    <n v="0.42560213155238552"/>
    <n v="8"/>
    <n v="0.44998120774328598"/>
    <n v="42"/>
    <n v="0.46106583373047361"/>
    <n v="9"/>
    <n v="0.56987955446255523"/>
    <n v="136"/>
    <n v="0.43195961963809149"/>
    <n v="3"/>
    <n v="0.53201197147971024"/>
    <n v="26"/>
    <n v="0.40584417922451682"/>
    <n v="4"/>
    <n v="0.49732080217089153"/>
    <n v="7"/>
    <n v="0.43852116841079125"/>
    <n v="0"/>
    <s v=""/>
    <n v="1"/>
    <n v="0.25117096472048628"/>
    <n v="2"/>
    <n v="0.31959502212737495"/>
    <n v="4"/>
    <n v="0.45237869173522255"/>
    <n v="0"/>
    <n v="1"/>
    <n v="0.58871974522292991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0"/>
    <n v="5"/>
    <n v="0"/>
    <n v="0"/>
    <n v="0"/>
    <n v="0"/>
    <n v="13293"/>
    <n v="17077.499999999996"/>
    <n v="0"/>
    <n v="0"/>
    <n v="5"/>
    <n v="18990"/>
    <n v="0"/>
    <n v="0"/>
    <n v="13"/>
    <n v="1.5"/>
    <n v="0"/>
    <n v="0"/>
    <n v="0"/>
    <n v="28485"/>
    <n v="44401.499999999993"/>
    <n v="5697"/>
    <n v="0"/>
    <n v="5"/>
    <n v="18990"/>
    <n v="11641.127039050916"/>
    <n v="0"/>
    <n v="12"/>
    <n v="2"/>
    <n v="0"/>
    <n v="0"/>
    <n v="22788"/>
    <n v="45576"/>
    <n v="7596"/>
    <n v="0"/>
    <n v="5"/>
    <n v="18990"/>
    <n v="18470.588235294119"/>
    <n v="0"/>
    <n v="10"/>
    <n v="4"/>
    <n v="0"/>
    <n v="0"/>
    <n v="34154.999999999993"/>
    <n v="15192"/>
    <x v="0"/>
    <x v="0"/>
    <n v="5"/>
    <n v="18990"/>
    <n v="36941.176470588238"/>
    <n v="0"/>
    <n v="6"/>
    <n v="0"/>
    <m/>
    <n v="0"/>
    <n v="0"/>
    <n v="22788"/>
    <n v="0"/>
    <x v="0"/>
    <n v="0"/>
    <n v="5"/>
    <n v="18990"/>
    <n v="0"/>
    <n v="0"/>
    <n v="5"/>
    <n v="0"/>
    <m/>
    <n v="0"/>
    <n v="0"/>
    <n v="18990"/>
    <n v="0"/>
    <n v="0"/>
    <n v="0"/>
    <n v="5"/>
    <n v="18990"/>
    <n v="0"/>
    <n v="0"/>
    <n v="5"/>
    <n v="0"/>
    <n v="0"/>
    <n v="0"/>
    <n v="0"/>
    <n v="18990"/>
    <n v="0"/>
    <n v="0"/>
    <n v="0"/>
    <n v="5"/>
    <n v="18990"/>
    <n v="0"/>
    <n v="0"/>
    <n v="5"/>
    <n v="0"/>
    <n v="0"/>
    <n v="0"/>
    <n v="0"/>
    <n v="18990"/>
    <n v="0"/>
    <n v="0"/>
    <n v="0"/>
    <n v="5"/>
    <n v="18990"/>
    <n v="0"/>
    <n v="0"/>
    <n v="5"/>
    <n v="0"/>
    <n v="0"/>
    <n v="0"/>
    <n v="0"/>
    <n v="17077.499999999996"/>
    <n v="0"/>
    <n v="0"/>
    <n v="0"/>
    <n v="5"/>
    <n v="18990"/>
    <n v="0"/>
    <n v="0"/>
    <n v="5"/>
    <n v="0"/>
    <n v="0"/>
    <n v="0"/>
    <n v="0"/>
    <m/>
    <n v="17077.499999999996"/>
    <n v="0"/>
    <n v="0"/>
    <n v="0"/>
    <n v="5"/>
    <n v="17077.499999999996"/>
    <n v="0"/>
    <n v="0"/>
    <n v="5"/>
    <n v="0"/>
    <m/>
    <n v="0"/>
    <n v="0"/>
    <n v="17077.499999999996"/>
    <n v="0"/>
    <n v="0"/>
    <n v="0"/>
    <n v="5"/>
    <n v="17077.499999999996"/>
    <n v="0"/>
    <n v="0"/>
    <n v="5"/>
    <n v="0"/>
    <n v="0"/>
    <n v="0"/>
    <n v="17077.499999999996"/>
    <n v="0"/>
    <n v="0"/>
    <n v="0"/>
    <n v="5"/>
    <n v="17077.499999999996"/>
    <n v="0"/>
    <n v="0"/>
    <n v="5"/>
    <n v="0"/>
    <n v="0"/>
    <m/>
    <n v="17077.499999999996"/>
    <n v="0"/>
    <n v="0"/>
    <n v="5"/>
    <n v="17077.499999999996"/>
    <n v="0"/>
  </r>
  <r>
    <m/>
    <x v="6"/>
    <x v="30"/>
    <x v="71"/>
    <s v="SIMBACOHA-55"/>
    <x v="680"/>
    <x v="521"/>
    <x v="0"/>
    <x v="1"/>
    <n v="1"/>
    <x v="407"/>
    <n v="200"/>
    <m/>
    <n v="0"/>
    <n v="28782"/>
    <n v="5756400"/>
    <n v="19.899999999999999"/>
    <n v="21740.75"/>
    <n v="58815.126050420171"/>
    <n v="50411.764705882357"/>
    <s v="Shenzhen"/>
    <x v="0"/>
    <n v="45"/>
    <m/>
    <n v="300"/>
    <n v="29"/>
    <n v="0.66843281730902504"/>
    <n v="47"/>
    <n v="0.6568065686555643"/>
    <n v="17"/>
    <n v="0.65722129691812647"/>
    <n v="4"/>
    <n v="0.66576010751343928"/>
    <n v="0"/>
    <n v="0.66575768395370294"/>
    <n v="9"/>
    <n v="0.63981417168266452"/>
    <n v="42"/>
    <n v="0.66129479500326072"/>
    <n v="50"/>
    <n v="0.64638249465309394"/>
    <n v="49"/>
    <n v="0.64221508946244665"/>
    <n v="119"/>
    <n v="0.56955378533336565"/>
    <n v="79"/>
    <n v="0.56570239898229868"/>
    <n v="53"/>
    <n v="0.56022148829745277"/>
    <n v="43"/>
    <n v="0.28990133859906497"/>
    <n v="7"/>
    <n v="0.37654597015620311"/>
    <n v="22"/>
    <n v="0.55853369898253036"/>
    <n v="18"/>
    <n v="0.47665771392155665"/>
    <n v="0.25714285714285712"/>
    <n v="18"/>
    <n v="0.59747415790023684"/>
    <n v="0.51428571428571423"/>
    <n v="42"/>
    <n v="0.39288244437963965"/>
    <n v="1.1666666666666667"/>
    <n v="64"/>
    <n v="0.51456652187672403"/>
    <n v="1.6842105263157894"/>
    <n v="56"/>
    <n v="0.31947913901268277"/>
    <n v="1.2444444444444445"/>
    <n v="30"/>
    <n v="0.22138776096195584"/>
    <n v="0.6"/>
    <m/>
    <m/>
    <m/>
    <m/>
    <m/>
    <m/>
    <m/>
    <m/>
    <m/>
    <n v="20"/>
    <n v="20"/>
    <n v="20"/>
    <n v="100"/>
    <n v="100"/>
    <n v="0"/>
    <n v="1511055"/>
    <n v="411930"/>
    <n v="575640"/>
    <n v="0"/>
    <n v="200"/>
    <n v="5756400"/>
    <n v="988489.5134524398"/>
    <n v="40"/>
    <n v="27"/>
    <n v="10.5"/>
    <n v="100"/>
    <n v="100"/>
    <n v="0"/>
    <n v="1453491"/>
    <n v="556105.5"/>
    <n v="302211"/>
    <n v="0"/>
    <n v="200"/>
    <n v="5756400"/>
    <n v="518956.99456253095"/>
    <n v="100"/>
    <n v="222"/>
    <n v="22"/>
    <n v="0"/>
    <n v="0"/>
    <n v="1872157.5"/>
    <n v="6389604"/>
    <n v="633204"/>
    <n v="0"/>
    <n v="200"/>
    <n v="5756400"/>
    <n v="1293932.7731092437"/>
    <n v="70"/>
    <n v="195"/>
    <n v="18"/>
    <n v="250"/>
    <n v="0"/>
    <n v="4016317.5"/>
    <n v="518076"/>
    <x v="84"/>
    <x v="0"/>
    <n v="200"/>
    <n v="5756400"/>
    <n v="1058672.2689075631"/>
    <n v="35"/>
    <n v="218"/>
    <n v="35"/>
    <m/>
    <n v="0"/>
    <n v="0"/>
    <n v="6274476"/>
    <n v="720877.5"/>
    <x v="0"/>
    <n v="0"/>
    <n v="200"/>
    <n v="5756400"/>
    <n v="2058529.411764706"/>
    <n v="36"/>
    <n v="242"/>
    <n v="42"/>
    <m/>
    <n v="100"/>
    <n v="0"/>
    <n v="6965244"/>
    <n v="865053"/>
    <n v="0"/>
    <n v="0"/>
    <n v="242"/>
    <n v="5756400"/>
    <n v="2470235.2941176472"/>
    <n v="38"/>
    <n v="264"/>
    <n v="64"/>
    <n v="0"/>
    <n v="0"/>
    <n v="0"/>
    <n v="7598448"/>
    <n v="1318176"/>
    <n v="0"/>
    <n v="0"/>
    <n v="264"/>
    <n v="5756400"/>
    <n v="3764168.0672268909"/>
    <n v="45"/>
    <n v="256"/>
    <n v="57"/>
    <n v="0"/>
    <n v="0"/>
    <n v="0"/>
    <n v="7368192"/>
    <n v="1174000.5"/>
    <n v="0"/>
    <n v="0"/>
    <n v="256"/>
    <n v="7368192"/>
    <n v="3352462.1848739497"/>
    <n v="50"/>
    <n v="230"/>
    <n v="34.5"/>
    <n v="0"/>
    <n v="150"/>
    <n v="0"/>
    <n v="4737195"/>
    <n v="710579.25"/>
    <n v="0"/>
    <n v="0"/>
    <n v="200"/>
    <n v="5756400"/>
    <n v="2029121.848739496"/>
    <n v="120"/>
    <n v="195.5"/>
    <n v="120"/>
    <n v="0"/>
    <n v="0"/>
    <n v="0"/>
    <n v="0"/>
    <n v="4026615.75"/>
    <n v="2471580"/>
    <n v="0"/>
    <n v="0"/>
    <n v="195.5"/>
    <n v="4026615.75"/>
    <n v="6049411.7647058824"/>
    <n v="80"/>
    <n v="75.5"/>
    <n v="75.5"/>
    <m/>
    <n v="0"/>
    <n v="0"/>
    <n v="1555035.75"/>
    <n v="1555035.75"/>
    <n v="0"/>
    <n v="0"/>
    <n v="75.5"/>
    <n v="1555035.75"/>
    <n v="3806088.2352941181"/>
    <n v="80"/>
    <n v="0"/>
    <n v="80"/>
    <n v="200"/>
    <n v="200"/>
    <n v="0"/>
    <n v="1647720"/>
    <n v="4119300"/>
    <n v="4119300"/>
    <n v="200"/>
    <n v="4119300"/>
    <n v="4705210.084033614"/>
    <n v="48"/>
    <n v="120"/>
    <n v="48"/>
    <n v="0"/>
    <m/>
    <n v="2471580"/>
    <n v="1381536"/>
    <n v="0"/>
    <n v="120"/>
    <n v="2471580"/>
    <n v="2823126.0504201683"/>
  </r>
  <r>
    <m/>
    <x v="6"/>
    <x v="30"/>
    <x v="71"/>
    <s v="SIMBACOIR-40"/>
    <x v="681"/>
    <x v="522"/>
    <x v="0"/>
    <x v="1"/>
    <n v="0.8"/>
    <x v="408"/>
    <n v="183"/>
    <m/>
    <n v="0"/>
    <n v="34124"/>
    <n v="6244692"/>
    <n v="26"/>
    <n v="28404.999999999996"/>
    <n v="67218.487394957992"/>
    <n v="64697.478991596639"/>
    <s v="Shenzhen"/>
    <x v="0"/>
    <n v="45"/>
    <m/>
    <n v="300"/>
    <n v="16"/>
    <n v="0.64289262998467889"/>
    <n v="0"/>
    <s v=""/>
    <n v="4"/>
    <n v="0.6111963760282153"/>
    <n v="24"/>
    <n v="0.6687372264720286"/>
    <n v="16"/>
    <n v="0.66310391476834341"/>
    <n v="24"/>
    <n v="0.64235064083462179"/>
    <n v="21"/>
    <n v="0.64621373808259897"/>
    <n v="22"/>
    <n v="0.64021630782406014"/>
    <n v="13"/>
    <n v="0.62574086031741982"/>
    <n v="29"/>
    <n v="0.60089617422568553"/>
    <n v="11"/>
    <n v="0.54530801335606116"/>
    <n v="39"/>
    <n v="0.57593829142097053"/>
    <n v="45"/>
    <n v="0.3959810552948867"/>
    <n v="60"/>
    <n v="0.42666157955056272"/>
    <n v="-6"/>
    <n v="0.69390217720465075"/>
    <n v="16"/>
    <n v="0.45863889839049271"/>
    <n v="0.64"/>
    <n v="23"/>
    <n v="0.59282960009603602"/>
    <n v="0.8214285714285714"/>
    <n v="42"/>
    <n v="0.24284444638737274"/>
    <n v="0.84"/>
    <n v="52"/>
    <n v="0.51445905322153218"/>
    <n v="1.1555555555555554"/>
    <n v="63"/>
    <n v="0.23057393041734109"/>
    <n v="0.96923076923076923"/>
    <n v="15"/>
    <n v="0.17108134161892807"/>
    <n v="0.375"/>
    <m/>
    <m/>
    <m/>
    <m/>
    <m/>
    <m/>
    <m/>
    <m/>
    <m/>
    <n v="25"/>
    <n v="93"/>
    <n v="30"/>
    <n v="0"/>
    <n v="0"/>
    <n v="0"/>
    <n v="3890136"/>
    <n v="2502629.9999999995"/>
    <n v="1023720"/>
    <n v="0"/>
    <n v="183"/>
    <n v="6244692"/>
    <n v="1694583.7158392773"/>
    <n v="25"/>
    <n v="64"/>
    <n v="90"/>
    <n v="100"/>
    <n v="100"/>
    <n v="0"/>
    <n v="3412400"/>
    <n v="1722239.9999999998"/>
    <n v="3071160"/>
    <n v="0"/>
    <n v="183"/>
    <n v="6244692"/>
    <n v="5083751.147517832"/>
    <n v="70"/>
    <n v="11"/>
    <n v="-6"/>
    <n v="0"/>
    <n v="0"/>
    <n v="944024"/>
    <n v="375364"/>
    <n v="-204744"/>
    <n v="0"/>
    <n v="183"/>
    <n v="6244692"/>
    <n v="-403310.92436974798"/>
    <n v="25"/>
    <n v="107"/>
    <n v="16"/>
    <n v="50"/>
    <n v="0"/>
    <n v="2879369.9999999995"/>
    <n v="545984"/>
    <x v="85"/>
    <x v="0"/>
    <n v="183"/>
    <n v="6244692"/>
    <n v="1075495.7983193279"/>
    <n v="28"/>
    <n v="206"/>
    <n v="22.400000000000002"/>
    <m/>
    <n v="0"/>
    <n v="0"/>
    <n v="7029544"/>
    <n v="602784"/>
    <x v="0"/>
    <n v="0"/>
    <n v="183"/>
    <n v="6244692"/>
    <n v="1505694.1176470593"/>
    <n v="50"/>
    <n v="225"/>
    <n v="42"/>
    <m/>
    <n v="100"/>
    <n v="0"/>
    <n v="7677900"/>
    <n v="1130219.9999999998"/>
    <n v="0"/>
    <n v="0"/>
    <n v="225"/>
    <n v="6244692"/>
    <n v="2823176.4705882357"/>
    <n v="45"/>
    <n v="235"/>
    <n v="52"/>
    <n v="200"/>
    <n v="200"/>
    <n v="0"/>
    <n v="8019140"/>
    <n v="1399319.9999999998"/>
    <n v="5202599.9999999991"/>
    <n v="0"/>
    <n v="235"/>
    <n v="6244692"/>
    <n v="3495361.3445378155"/>
    <n v="65"/>
    <n v="246"/>
    <n v="65"/>
    <n v="0"/>
    <n v="200"/>
    <n v="0"/>
    <n v="8394504"/>
    <n v="1749149.9999999998"/>
    <n v="0"/>
    <n v="0"/>
    <n v="246"/>
    <n v="8394504"/>
    <n v="4369201.6806722693"/>
    <n v="40"/>
    <n v="198"/>
    <n v="10.5"/>
    <n v="0"/>
    <n v="0"/>
    <n v="0"/>
    <n v="5328179.9999999991"/>
    <n v="282554.99999999994"/>
    <n v="0"/>
    <n v="0"/>
    <n v="183"/>
    <n v="6244692"/>
    <n v="705794.11764705891"/>
    <n v="60"/>
    <n v="187.5"/>
    <n v="48"/>
    <n v="0"/>
    <n v="0"/>
    <n v="0"/>
    <m/>
    <n v="5045624.9999999991"/>
    <n v="1291679.9999999998"/>
    <n v="0"/>
    <n v="0"/>
    <n v="187.5"/>
    <n v="5045624.9999999991"/>
    <n v="3105478.9915966387"/>
    <n v="45"/>
    <n v="139.5"/>
    <n v="36"/>
    <m/>
    <n v="0"/>
    <n v="0"/>
    <n v="3753944.9999999995"/>
    <n v="968759.99999999988"/>
    <n v="0"/>
    <n v="0"/>
    <n v="139.5"/>
    <n v="3753944.9999999995"/>
    <n v="2329109.2436974789"/>
    <n v="60"/>
    <n v="103.5"/>
    <n v="48"/>
    <n v="0"/>
    <n v="0"/>
    <n v="2785184.9999999995"/>
    <n v="1291679.9999999998"/>
    <n v="0"/>
    <n v="0"/>
    <n v="103.5"/>
    <n v="2785184.9999999995"/>
    <n v="3226487.3949579839"/>
    <n v="27"/>
    <n v="55.5"/>
    <n v="21.6"/>
    <n v="0"/>
    <m/>
    <n v="1493504.9999999998"/>
    <n v="737078.4"/>
    <n v="0"/>
    <n v="55.5"/>
    <n v="1493504.9999999998"/>
    <n v="1451919.3277310927"/>
  </r>
  <r>
    <m/>
    <x v="6"/>
    <x v="30"/>
    <x v="71"/>
    <s v="SIMBACOUR-30"/>
    <x v="682"/>
    <x v="523"/>
    <x v="0"/>
    <x v="3"/>
    <n v="0.8"/>
    <x v="409"/>
    <n v="245"/>
    <m/>
    <n v="0"/>
    <n v="20484"/>
    <n v="5018580"/>
    <n v="15.2"/>
    <n v="16606"/>
    <n v="42008.403361344543"/>
    <n v="40327.731092436974"/>
    <s v="Shenzhen"/>
    <x v="0"/>
    <n v="45"/>
    <m/>
    <n v="300"/>
    <n v="8"/>
    <n v="0.70492295826236473"/>
    <n v="3"/>
    <n v="0.7156791382264277"/>
    <n v="8"/>
    <n v="0.70000406521751479"/>
    <n v="18"/>
    <n v="0.66348697007424262"/>
    <n v="14"/>
    <n v="0.68287372170866556"/>
    <n v="9"/>
    <n v="0.63561149990586996"/>
    <n v="29"/>
    <n v="0.6279868830464499"/>
    <n v="58"/>
    <n v="0.59226155544171588"/>
    <n v="71"/>
    <n v="0.57174179074205256"/>
    <n v="78"/>
    <n v="0.54607178734061901"/>
    <n v="3"/>
    <n v="0.5834634873086102"/>
    <n v="1"/>
    <n v="0.51156436609152278"/>
    <n v="5"/>
    <n v="0.26461758588927375"/>
    <n v="5"/>
    <n v="0.35121035299049524"/>
    <n v="16"/>
    <n v="0.37853323065942157"/>
    <n v="23"/>
    <n v="0.39105377476413"/>
    <n v="0.28749999999999998"/>
    <n v="14"/>
    <n v="0.60521372170556242"/>
    <n v="0.46666666666666667"/>
    <n v="32"/>
    <n v="0.33850194957109436"/>
    <n v="0.71111111111111114"/>
    <n v="60"/>
    <n v="0.4959758080430815"/>
    <n v="1.7142857142857142"/>
    <n v="53"/>
    <n v="0.19887712092032603"/>
    <n v="1.0192307692307692"/>
    <n v="23"/>
    <n v="0.16302766636086433"/>
    <n v="0.35384615384615387"/>
    <m/>
    <m/>
    <m/>
    <m/>
    <m/>
    <m/>
    <m/>
    <m/>
    <m/>
    <n v="60"/>
    <n v="12"/>
    <n v="12"/>
    <n v="100"/>
    <n v="100"/>
    <n v="0"/>
    <n v="727182"/>
    <n v="188783.99999999997"/>
    <n v="245808"/>
    <n v="0"/>
    <n v="245"/>
    <n v="5018580"/>
    <n v="423614.15154297021"/>
    <n v="0"/>
    <n v="11"/>
    <n v="7.5"/>
    <n v="200"/>
    <n v="100"/>
    <n v="0"/>
    <n v="952506"/>
    <n v="173051.99999999997"/>
    <n v="153630"/>
    <n v="0"/>
    <n v="245"/>
    <n v="5018580"/>
    <n v="264758.84471435635"/>
    <n v="30"/>
    <n v="261"/>
    <n v="16"/>
    <n v="0"/>
    <n v="0"/>
    <n v="1176444"/>
    <n v="5346324"/>
    <n v="327744"/>
    <n v="0"/>
    <n v="245"/>
    <n v="5018580"/>
    <n v="672134.45378151268"/>
    <n v="80"/>
    <n v="290"/>
    <n v="23"/>
    <n v="180"/>
    <n v="0"/>
    <n v="4562279.9999999991"/>
    <n v="471132"/>
    <x v="86"/>
    <x v="0"/>
    <n v="245"/>
    <n v="5018580"/>
    <n v="966193.27731092449"/>
    <n v="30"/>
    <n v="259"/>
    <n v="24"/>
    <m/>
    <n v="0"/>
    <n v="0"/>
    <n v="5305356"/>
    <n v="377567.99999999994"/>
    <x v="0"/>
    <n v="0"/>
    <n v="245"/>
    <n v="5018580"/>
    <n v="1008201.6806722691"/>
    <n v="45"/>
    <n v="277"/>
    <n v="32"/>
    <m/>
    <n v="100"/>
    <n v="0"/>
    <n v="5674068"/>
    <n v="503423.99999999994"/>
    <n v="0"/>
    <n v="0"/>
    <n v="277"/>
    <n v="5018580"/>
    <n v="1344268.9075630254"/>
    <n v="35"/>
    <n v="305"/>
    <n v="60"/>
    <n v="0"/>
    <n v="0"/>
    <n v="0"/>
    <n v="6247620"/>
    <n v="943919.99999999988"/>
    <n v="0"/>
    <n v="0"/>
    <n v="305"/>
    <n v="5018580"/>
    <n v="2520504.2016806724"/>
    <n v="52"/>
    <n v="298"/>
    <n v="54"/>
    <n v="0"/>
    <n v="0"/>
    <n v="0"/>
    <n v="6104232"/>
    <n v="849527.99999999988"/>
    <n v="0"/>
    <n v="0"/>
    <n v="298"/>
    <n v="6104232"/>
    <n v="2268453.7815126055"/>
    <n v="65"/>
    <n v="268"/>
    <n v="24"/>
    <n v="0"/>
    <n v="0"/>
    <n v="0"/>
    <n v="4216175.9999999991"/>
    <n v="377567.99999999994"/>
    <n v="0"/>
    <n v="0"/>
    <n v="245"/>
    <n v="5018580"/>
    <n v="1008201.6806722691"/>
    <n v="80"/>
    <n v="244"/>
    <n v="64"/>
    <n v="0"/>
    <n v="0"/>
    <n v="0"/>
    <m/>
    <n v="3838607.9999999995"/>
    <n v="1006847.9999999999"/>
    <n v="0"/>
    <n v="0"/>
    <n v="244"/>
    <n v="3838607.9999999995"/>
    <n v="2580974.7899159663"/>
    <n v="40"/>
    <n v="180"/>
    <n v="32"/>
    <m/>
    <n v="0"/>
    <n v="0"/>
    <n v="2831759.9999999995"/>
    <n v="503423.99999999994"/>
    <n v="0"/>
    <n v="0"/>
    <n v="180"/>
    <n v="2831759.9999999995"/>
    <n v="1290487.3949579832"/>
    <n v="45"/>
    <n v="148"/>
    <n v="36"/>
    <n v="0"/>
    <n v="0"/>
    <n v="2328335.9999999995"/>
    <n v="566351.99999999988"/>
    <n v="0"/>
    <n v="0"/>
    <n v="148"/>
    <n v="2328335.9999999995"/>
    <n v="1512302.5210084035"/>
    <n v="24"/>
    <n v="112"/>
    <n v="19.200000000000003"/>
    <n v="0"/>
    <m/>
    <n v="1761983.9999999998"/>
    <n v="393292.80000000005"/>
    <n v="0"/>
    <n v="112"/>
    <n v="1761983.9999999998"/>
    <n v="806561.34453781531"/>
  </r>
  <r>
    <m/>
    <x v="6"/>
    <x v="30"/>
    <x v="71"/>
    <s v="SIMBASLIV-BK"/>
    <x v="683"/>
    <x v="524"/>
    <x v="0"/>
    <x v="4"/>
    <n v="1"/>
    <x v="31"/>
    <n v="107"/>
    <m/>
    <n v="0"/>
    <n v="12293"/>
    <n v="1315351"/>
    <n v="8.9"/>
    <n v="8904.4499999999989"/>
    <n v="22448.193277310926"/>
    <n v="19080.964285714286"/>
    <s v="Shenzhen"/>
    <x v="0"/>
    <n v="45"/>
    <m/>
    <n v="2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34"/>
    <s v=""/>
    <n v="0.97142857142857142"/>
    <n v="35"/>
    <s v=""/>
    <n v="0.8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107"/>
    <n v="1315351"/>
    <n v="0"/>
    <n v="0"/>
    <n v="0"/>
    <n v="0"/>
    <n v="0"/>
    <n v="0"/>
    <n v="0"/>
    <n v="0"/>
    <x v="0"/>
    <x v="0"/>
    <n v="107"/>
    <n v="1315351"/>
    <n v="0"/>
    <n v="0"/>
    <n v="107"/>
    <n v="0"/>
    <m/>
    <m/>
    <n v="0"/>
    <n v="1315351"/>
    <n v="0"/>
    <x v="0"/>
    <n v="0"/>
    <n v="107"/>
    <n v="1315351"/>
    <n v="0"/>
    <n v="0"/>
    <n v="107"/>
    <n v="0"/>
    <m/>
    <n v="0"/>
    <n v="0"/>
    <n v="1315351"/>
    <n v="0"/>
    <n v="0"/>
    <n v="0"/>
    <n v="107"/>
    <n v="1315351"/>
    <n v="0"/>
    <n v="20"/>
    <n v="107"/>
    <n v="0"/>
    <n v="200"/>
    <n v="200"/>
    <n v="0"/>
    <n v="1315351"/>
    <n v="0"/>
    <n v="1780889.9999999998"/>
    <n v="0"/>
    <n v="107"/>
    <n v="1315351"/>
    <n v="0"/>
    <n v="35"/>
    <n v="141"/>
    <n v="35"/>
    <n v="0"/>
    <n v="200"/>
    <n v="0"/>
    <n v="1733313"/>
    <n v="322402.5"/>
    <n v="0"/>
    <n v="0"/>
    <n v="141"/>
    <n v="1733313"/>
    <n v="785686.76470588241"/>
    <n v="40"/>
    <n v="142"/>
    <n v="40.5"/>
    <n v="0"/>
    <n v="0"/>
    <n v="0"/>
    <n v="1308033"/>
    <n v="373065.75"/>
    <n v="0"/>
    <n v="0"/>
    <n v="107"/>
    <n v="1315351"/>
    <n v="909151.82773109246"/>
    <n v="80"/>
    <n v="101.5"/>
    <n v="80"/>
    <n v="0"/>
    <n v="0"/>
    <n v="0"/>
    <n v="0"/>
    <n v="934967.25"/>
    <n v="736920"/>
    <n v="0"/>
    <n v="0"/>
    <n v="101.5"/>
    <n v="934967.25"/>
    <n v="1526477.142857143"/>
    <n v="15"/>
    <n v="21.5"/>
    <n v="15"/>
    <m/>
    <n v="0"/>
    <n v="0"/>
    <n v="198047.25"/>
    <n v="138172.5"/>
    <n v="0"/>
    <n v="0"/>
    <n v="21.5"/>
    <n v="198047.25"/>
    <n v="286214.46428571432"/>
    <n v="100"/>
    <n v="6.5"/>
    <n v="100"/>
    <n v="200"/>
    <n v="200"/>
    <n v="59874.75"/>
    <n v="921150"/>
    <n v="1842300"/>
    <n v="1842300"/>
    <n v="206.5"/>
    <n v="1902174.75"/>
    <n v="2244819.3277310925"/>
    <n v="9"/>
    <n v="106.5"/>
    <n v="9"/>
    <n v="0"/>
    <m/>
    <n v="981024.75"/>
    <n v="110637"/>
    <n v="0"/>
    <n v="106.5"/>
    <n v="981024.75"/>
    <n v="202033.73949579833"/>
  </r>
  <r>
    <m/>
    <x v="6"/>
    <x v="30"/>
    <x v="71"/>
    <s v="SIMBASLUC-GR"/>
    <x v="684"/>
    <x v="525"/>
    <x v="0"/>
    <x v="4"/>
    <n v="1"/>
    <x v="31"/>
    <n v="132"/>
    <m/>
    <n v="0"/>
    <n v="12293"/>
    <n v="1622676"/>
    <n v="8.9"/>
    <n v="8904.4499999999989"/>
    <n v="22448.193277310926"/>
    <n v="19080.964285714286"/>
    <s v="Shenzhen"/>
    <x v="0"/>
    <n v="45"/>
    <m/>
    <n v="2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30"/>
    <s v=""/>
    <n v="2"/>
    <n v="13"/>
    <s v=""/>
    <n v="0.433333333333333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132"/>
    <n v="1622676"/>
    <n v="0"/>
    <n v="0"/>
    <n v="0"/>
    <n v="0"/>
    <n v="0"/>
    <n v="0"/>
    <n v="0"/>
    <n v="0"/>
    <x v="0"/>
    <x v="0"/>
    <n v="132"/>
    <n v="1622676"/>
    <n v="0"/>
    <n v="0"/>
    <n v="132"/>
    <n v="0"/>
    <m/>
    <m/>
    <n v="0"/>
    <n v="1622676"/>
    <n v="0"/>
    <x v="0"/>
    <n v="0"/>
    <n v="132"/>
    <n v="1622676"/>
    <n v="0"/>
    <n v="0"/>
    <n v="132"/>
    <n v="0"/>
    <m/>
    <n v="0"/>
    <n v="0"/>
    <n v="1622676"/>
    <n v="0"/>
    <n v="0"/>
    <n v="0"/>
    <n v="132"/>
    <n v="1622676"/>
    <n v="0"/>
    <n v="20"/>
    <n v="132"/>
    <n v="0"/>
    <n v="200"/>
    <n v="200"/>
    <n v="0"/>
    <n v="1622676"/>
    <n v="0"/>
    <n v="1780889.9999999998"/>
    <n v="0"/>
    <n v="132"/>
    <n v="1622676"/>
    <n v="0"/>
    <n v="15"/>
    <n v="162"/>
    <n v="31"/>
    <n v="0"/>
    <n v="200"/>
    <n v="0"/>
    <n v="1991466"/>
    <n v="285556.5"/>
    <n v="0"/>
    <n v="0"/>
    <n v="162"/>
    <n v="1991466"/>
    <n v="695893.99159663869"/>
    <n v="30"/>
    <n v="145"/>
    <n v="16.5"/>
    <n v="0"/>
    <n v="0"/>
    <n v="0"/>
    <n v="1335667.5"/>
    <n v="151989.75"/>
    <n v="0"/>
    <n v="0"/>
    <n v="132"/>
    <n v="1622676"/>
    <n v="370395.18907563027"/>
    <n v="40"/>
    <n v="128.5"/>
    <n v="40"/>
    <n v="0"/>
    <n v="0"/>
    <n v="0"/>
    <m/>
    <n v="1183677.75"/>
    <n v="368460"/>
    <n v="0"/>
    <n v="0"/>
    <n v="128.5"/>
    <n v="1183677.75"/>
    <n v="763238.57142857148"/>
    <n v="40"/>
    <n v="88.5"/>
    <n v="40"/>
    <m/>
    <n v="0"/>
    <n v="0"/>
    <n v="815217.75"/>
    <n v="368460"/>
    <n v="0"/>
    <n v="0"/>
    <n v="88.5"/>
    <n v="815217.75"/>
    <n v="763238.57142857148"/>
    <n v="60"/>
    <n v="48.5"/>
    <n v="48.5"/>
    <n v="0"/>
    <n v="0"/>
    <n v="446757.75"/>
    <n v="446757.75"/>
    <n v="0"/>
    <n v="0"/>
    <n v="48.5"/>
    <n v="446757.75"/>
    <n v="1088737.3739495799"/>
    <n v="24"/>
    <n v="0"/>
    <n v="24"/>
    <n v="0"/>
    <m/>
    <n v="0"/>
    <n v="295032"/>
    <n v="0"/>
    <n v="0"/>
    <n v="0"/>
    <n v="538756.63865546219"/>
  </r>
  <r>
    <m/>
    <x v="6"/>
    <x v="30"/>
    <x v="70"/>
    <n v="1627418212924"/>
    <x v="685"/>
    <x v="526"/>
    <x v="0"/>
    <x v="2"/>
    <n v="1"/>
    <x v="31"/>
    <n v="423"/>
    <m/>
    <n v="0"/>
    <n v="6626"/>
    <n v="2802798"/>
    <n v="6.0500000000000007"/>
    <n v="6609.6250000000009"/>
    <n v="14277.310924369749"/>
    <n v="12596.638655462186"/>
    <s v="Ningbo"/>
    <x v="2"/>
    <n v="30"/>
    <m/>
    <n v="100"/>
    <n v="463"/>
    <n v="0.62622362433053314"/>
    <n v="254"/>
    <n v="0.57088301714536993"/>
    <n v="374"/>
    <n v="0.48010338851677437"/>
    <n v="232"/>
    <n v="0.48345808212027097"/>
    <n v="266"/>
    <n v="0.61437693736457344"/>
    <n v="650"/>
    <n v="0.54958011419676867"/>
    <n v="288"/>
    <n v="0.47635340633807871"/>
    <n v="591"/>
    <n v="0.39832098059024079"/>
    <n v="517"/>
    <n v="0.38536126881889909"/>
    <n v="615"/>
    <n v="0.34523741675941311"/>
    <n v="65"/>
    <n v="0.48276956096036583"/>
    <n v="26"/>
    <n v="0.49073479773207218"/>
    <n v="133"/>
    <n v="0.28321252865963242"/>
    <n v="172"/>
    <n v="0.45983038411645055"/>
    <n v="461"/>
    <n v="0.38409117534789267"/>
    <n v="253"/>
    <n v="0.40326847063632904"/>
    <n v="0.84333333333333338"/>
    <n v="318"/>
    <n v="0.46115393353143325"/>
    <n v="1.3305439330543933"/>
    <n v="660"/>
    <n v="0.24981938009350257"/>
    <n v="1.32"/>
    <n v="84"/>
    <s v=""/>
    <n v="0.28000000000000003"/>
    <n v="115"/>
    <n v="0.34328807267733014"/>
    <n v="0.32857142857142857"/>
    <n v="134"/>
    <n v="0.3782447572199919"/>
    <n v="0.53600000000000003"/>
    <m/>
    <m/>
    <m/>
    <m/>
    <m/>
    <m/>
    <m/>
    <m/>
    <m/>
    <n v="220"/>
    <n v="580"/>
    <n v="164"/>
    <n v="400"/>
    <n v="400"/>
    <n v="0"/>
    <n v="5850758"/>
    <n v="3631815.0000000005"/>
    <n v="1086664"/>
    <n v="0"/>
    <n v="423"/>
    <n v="2802798"/>
    <n v="1967629.4047030581"/>
    <n v="200"/>
    <n v="1064"/>
    <n v="258"/>
    <n v="600"/>
    <n v="600"/>
    <n v="0"/>
    <n v="6440472"/>
    <n v="6662502.0000000009"/>
    <n v="1709508"/>
    <n v="0"/>
    <n v="423"/>
    <n v="2802798"/>
    <n v="3095416.9903255426"/>
    <n v="220"/>
    <n v="913"/>
    <n v="461"/>
    <n v="0"/>
    <n v="0"/>
    <n v="6227522.25"/>
    <n v="6049538"/>
    <n v="3054586"/>
    <n v="0"/>
    <n v="423"/>
    <n v="2802798"/>
    <n v="6581840.3361344542"/>
    <n v="300"/>
    <n v="383"/>
    <n v="253"/>
    <n v="600"/>
    <n v="0"/>
    <n v="2398250.2500000005"/>
    <n v="1676378"/>
    <x v="87"/>
    <x v="0"/>
    <n v="423"/>
    <n v="2802798"/>
    <n v="3612159.6638655467"/>
    <n v="239"/>
    <n v="741"/>
    <n v="239"/>
    <n v="500"/>
    <n v="500"/>
    <n v="0"/>
    <n v="4909866"/>
    <n v="1496558.2500000002"/>
    <x v="31"/>
    <n v="0"/>
    <n v="423"/>
    <n v="2802798"/>
    <n v="3412277.3109243698"/>
    <n v="500"/>
    <n v="1083"/>
    <n v="660"/>
    <m/>
    <n v="500"/>
    <n v="0"/>
    <n v="7175958"/>
    <n v="4132755.0000000005"/>
    <n v="0"/>
    <n v="0"/>
    <n v="1083"/>
    <n v="2802798"/>
    <n v="9423025.2100840341"/>
    <n v="300"/>
    <n v="507"/>
    <n v="84"/>
    <n v="0"/>
    <n v="0"/>
    <n v="0"/>
    <n v="3359382"/>
    <n v="525987.00000000012"/>
    <n v="0"/>
    <n v="0"/>
    <n v="507"/>
    <n v="2802798"/>
    <n v="1199294.117647059"/>
    <n v="350"/>
    <n v="538"/>
    <n v="118"/>
    <n v="600"/>
    <n v="600"/>
    <n v="0"/>
    <n v="3564788"/>
    <n v="738886.50000000012"/>
    <n v="3757050.0000000005"/>
    <n v="0"/>
    <n v="538"/>
    <n v="3564788"/>
    <n v="1684722.6890756304"/>
    <n v="250"/>
    <n v="557"/>
    <n v="120"/>
    <n v="0"/>
    <n v="0"/>
    <n v="0"/>
    <n v="3487794.7500000005"/>
    <n v="751410.00000000012"/>
    <n v="0"/>
    <n v="0"/>
    <n v="423"/>
    <n v="2802798"/>
    <n v="1713277.3109243698"/>
    <n v="350"/>
    <n v="437"/>
    <n v="350"/>
    <n v="0"/>
    <n v="0"/>
    <n v="0"/>
    <n v="0"/>
    <n v="2736384.7500000005"/>
    <n v="2191612.5000000005"/>
    <n v="0"/>
    <n v="0"/>
    <n v="437"/>
    <n v="2736384.7500000005"/>
    <n v="4408823.5294117648"/>
    <n v="200"/>
    <n v="87"/>
    <n v="87"/>
    <m/>
    <n v="0"/>
    <n v="0"/>
    <n v="544772.25000000012"/>
    <n v="544772.25000000012"/>
    <n v="0"/>
    <n v="0"/>
    <n v="87"/>
    <n v="544772.25000000012"/>
    <n v="1095907.5630252101"/>
    <n v="300"/>
    <n v="0"/>
    <n v="0"/>
    <n v="0"/>
    <n v="0"/>
    <n v="0"/>
    <n v="0"/>
    <n v="0"/>
    <n v="0"/>
    <n v="0"/>
    <n v="0"/>
    <n v="0"/>
    <n v="120"/>
    <n v="0"/>
    <n v="120"/>
    <n v="0"/>
    <m/>
    <n v="0"/>
    <n v="795120"/>
    <n v="0"/>
    <n v="0"/>
    <n v="0"/>
    <n v="1713277.3109243698"/>
  </r>
  <r>
    <m/>
    <x v="6"/>
    <x v="30"/>
    <x v="70"/>
    <n v="1645629782262"/>
    <x v="686"/>
    <x v="527"/>
    <x v="0"/>
    <x v="2"/>
    <n v="1"/>
    <x v="31"/>
    <n v="123"/>
    <m/>
    <n v="0"/>
    <n v="3800"/>
    <n v="467400"/>
    <n v="3.7"/>
    <n v="4042.2499999999995"/>
    <n v="9235.2941176470595"/>
    <n v="7554.6218487394963"/>
    <s v="Shenzhen"/>
    <x v="2"/>
    <n v="30"/>
    <m/>
    <n v="100"/>
    <n v="33"/>
    <n v="0.51209505793331778"/>
    <n v="39"/>
    <n v="0.54394385913210064"/>
    <n v="48"/>
    <n v="0.49381102414744743"/>
    <n v="46"/>
    <n v="0.44872736794550649"/>
    <n v="39"/>
    <n v="0.49243533739230988"/>
    <n v="62"/>
    <n v="0.50026320241210809"/>
    <n v="51"/>
    <n v="0.45883244009260932"/>
    <n v="44"/>
    <n v="0.55775822940756914"/>
    <n v="37"/>
    <n v="0.44503297590739821"/>
    <n v="30"/>
    <n v="0.52157234628326687"/>
    <n v="26"/>
    <n v="0.47854495601276864"/>
    <n v="35"/>
    <n v="0.51921571240567055"/>
    <n v="19"/>
    <n v="0.59659652983015332"/>
    <n v="12"/>
    <n v="0.55609832296467665"/>
    <n v="37"/>
    <n v="0.57611245873883654"/>
    <n v="38"/>
    <n v="0.57246591474895103"/>
    <n v="0.84444444444444444"/>
    <n v="19"/>
    <n v="0.53353164447314327"/>
    <n v="0.47499999999999998"/>
    <n v="26"/>
    <n v="0.45806185074326528"/>
    <n v="0.43333333333333335"/>
    <n v="4"/>
    <s v=""/>
    <n v="0.08"/>
    <n v="38"/>
    <n v="0.29132437177892279"/>
    <n v="0.88372093023255816"/>
    <n v="28"/>
    <n v="0.27690560301621397"/>
    <n v="0.8"/>
    <m/>
    <m/>
    <m/>
    <m/>
    <m/>
    <m/>
    <m/>
    <m/>
    <m/>
    <n v="35"/>
    <n v="66"/>
    <n v="45"/>
    <n v="150"/>
    <n v="150"/>
    <n v="0"/>
    <n v="380000"/>
    <n v="252746.99999999997"/>
    <n v="171000"/>
    <n v="0"/>
    <n v="123"/>
    <n v="467400"/>
    <n v="349233.81117152749"/>
    <n v="40"/>
    <n v="148"/>
    <n v="18"/>
    <n v="0"/>
    <n v="0"/>
    <n v="0"/>
    <n v="353400"/>
    <n v="566765.99999999988"/>
    <n v="68400"/>
    <n v="0"/>
    <n v="123"/>
    <n v="467400"/>
    <n v="139693.52446861099"/>
    <n v="50"/>
    <n v="140"/>
    <n v="37"/>
    <n v="0"/>
    <n v="0"/>
    <n v="438180"/>
    <n v="532000"/>
    <n v="140600"/>
    <n v="0"/>
    <n v="123"/>
    <n v="467400"/>
    <n v="341705.8823529412"/>
    <n v="45"/>
    <n v="93"/>
    <n v="38"/>
    <n v="100"/>
    <n v="0"/>
    <n v="356143.49999999994"/>
    <n v="144400"/>
    <x v="88"/>
    <x v="0"/>
    <n v="123"/>
    <n v="467400"/>
    <n v="350941.17647058825"/>
    <n v="40"/>
    <n v="142"/>
    <n v="40"/>
    <m/>
    <n v="0"/>
    <n v="0"/>
    <n v="539600"/>
    <n v="153179.99999999997"/>
    <x v="0"/>
    <n v="0"/>
    <n v="123"/>
    <n v="467400"/>
    <n v="369411.76470588241"/>
    <n v="60"/>
    <n v="149"/>
    <n v="26"/>
    <m/>
    <n v="0"/>
    <n v="0"/>
    <n v="566200"/>
    <n v="99566.999999999985"/>
    <n v="0"/>
    <n v="0"/>
    <n v="149"/>
    <n v="467400"/>
    <n v="240117.64705882355"/>
    <n v="50"/>
    <n v="127"/>
    <n v="4"/>
    <n v="100"/>
    <n v="100"/>
    <n v="0"/>
    <n v="482600"/>
    <n v="15317.999999999998"/>
    <n v="370185"/>
    <n v="0"/>
    <n v="127"/>
    <n v="467400"/>
    <n v="36941.176470588238"/>
    <n v="43"/>
    <n v="161"/>
    <n v="39"/>
    <n v="0"/>
    <n v="0"/>
    <n v="0"/>
    <n v="611800"/>
    <n v="149350.49999999997"/>
    <n v="0"/>
    <n v="0"/>
    <n v="161"/>
    <n v="611800"/>
    <n v="360176.4705882353"/>
    <n v="35"/>
    <n v="151"/>
    <n v="25.5"/>
    <n v="0"/>
    <n v="0"/>
    <n v="0"/>
    <n v="578254.49999999988"/>
    <n v="97652.249999999985"/>
    <n v="0"/>
    <n v="0"/>
    <n v="123"/>
    <n v="467400"/>
    <n v="235500.00000000003"/>
    <n v="50"/>
    <n v="125.5"/>
    <n v="50"/>
    <n v="0"/>
    <n v="0"/>
    <n v="0"/>
    <m/>
    <n v="480602.24999999994"/>
    <n v="191474.99999999997"/>
    <n v="0"/>
    <n v="0"/>
    <n v="125.5"/>
    <n v="480602.24999999994"/>
    <n v="377731.09243697481"/>
    <n v="40"/>
    <n v="75.5"/>
    <n v="40"/>
    <m/>
    <n v="0"/>
    <n v="0"/>
    <n v="289127.24999999994"/>
    <n v="153179.99999999997"/>
    <n v="0"/>
    <n v="0"/>
    <n v="75.5"/>
    <n v="289127.24999999994"/>
    <n v="302184.87394957984"/>
    <n v="50"/>
    <n v="35.5"/>
    <n v="35.5"/>
    <n v="0"/>
    <n v="0"/>
    <n v="135947.24999999997"/>
    <n v="135947.24999999997"/>
    <n v="0"/>
    <n v="0"/>
    <n v="35.5"/>
    <n v="135947.24999999997"/>
    <n v="327852.9411764706"/>
    <n v="24"/>
    <n v="0"/>
    <n v="24"/>
    <n v="0"/>
    <m/>
    <n v="0"/>
    <n v="91200"/>
    <n v="0"/>
    <n v="0"/>
    <n v="0"/>
    <n v="221647.05882352943"/>
  </r>
  <r>
    <m/>
    <x v="6"/>
    <x v="30"/>
    <x v="70"/>
    <n v="1662389376894"/>
    <x v="687"/>
    <x v="528"/>
    <x v="0"/>
    <x v="0"/>
    <n v="1"/>
    <x v="31"/>
    <n v="91"/>
    <m/>
    <n v="0"/>
    <n v="8375"/>
    <n v="762125"/>
    <n v="8"/>
    <n v="8375"/>
    <n v="19990"/>
    <n v="17990"/>
    <s v="Shenzhen"/>
    <x v="0"/>
    <n v="30"/>
    <m/>
    <n v="100"/>
    <m/>
    <m/>
    <m/>
    <m/>
    <m/>
    <m/>
    <m/>
    <m/>
    <m/>
    <m/>
    <m/>
    <m/>
    <m/>
    <m/>
    <m/>
    <m/>
    <m/>
    <m/>
    <m/>
    <m/>
    <m/>
    <m/>
    <m/>
    <m/>
    <n v="5"/>
    <n v="0.39055513627929733"/>
    <n v="5"/>
    <n v="0.27888557371623018"/>
    <n v="8"/>
    <n v="0.36647709474119977"/>
    <n v="3"/>
    <n v="0.4386049642302946"/>
    <n v="0"/>
    <n v="12"/>
    <n v="0.487623811905953"/>
    <n v="0"/>
    <n v="7"/>
    <n v="0.23395348157244564"/>
    <n v="0"/>
    <n v="0"/>
    <s v=""/>
    <n v="0"/>
    <n v="3"/>
    <n v="0.33619136202488281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n v="91"/>
    <n v="0"/>
    <n v="0"/>
    <n v="0"/>
    <n v="0"/>
    <n v="753480"/>
    <n v="0"/>
    <n v="0"/>
    <n v="0"/>
    <n v="91"/>
    <n v="762125"/>
    <n v="0"/>
    <n v="5"/>
    <n v="91"/>
    <n v="5"/>
    <n v="0"/>
    <n v="0"/>
    <n v="0"/>
    <m/>
    <n v="753480"/>
    <n v="41400"/>
    <n v="0"/>
    <n v="0"/>
    <n v="91"/>
    <n v="753480"/>
    <n v="89950"/>
    <n v="5"/>
    <n v="86"/>
    <n v="5"/>
    <m/>
    <n v="0"/>
    <n v="0"/>
    <n v="712080"/>
    <n v="41400"/>
    <n v="0"/>
    <n v="0"/>
    <n v="86"/>
    <n v="712080"/>
    <n v="89950"/>
    <n v="5"/>
    <n v="81"/>
    <n v="5"/>
    <n v="0"/>
    <n v="0"/>
    <n v="670680"/>
    <n v="41400"/>
    <n v="0"/>
    <n v="0"/>
    <n v="81"/>
    <n v="670680"/>
    <n v="99950"/>
    <n v="5"/>
    <n v="76"/>
    <n v="5"/>
    <n v="0"/>
    <m/>
    <n v="629280"/>
    <n v="41875"/>
    <n v="0"/>
    <n v="76"/>
    <n v="629280"/>
    <n v="99950"/>
  </r>
  <r>
    <m/>
    <x v="6"/>
    <x v="30"/>
    <x v="70"/>
    <n v="1650295261109"/>
    <x v="688"/>
    <x v="529"/>
    <x v="0"/>
    <x v="0"/>
    <n v="1.1499999999999999"/>
    <x v="31"/>
    <n v="156"/>
    <m/>
    <n v="0"/>
    <n v="2692"/>
    <n v="419952"/>
    <n v="2.2000000000000002"/>
    <n v="2403.5"/>
    <n v="6714.2857142857147"/>
    <n v="5873.9495798319331"/>
    <s v="Shenzhen"/>
    <x v="0"/>
    <n v="30"/>
    <m/>
    <n v="100"/>
    <n v="78"/>
    <n v="0.66142084763151532"/>
    <n v="50"/>
    <n v="0.66110372273670681"/>
    <n v="71"/>
    <n v="0.65472424026854203"/>
    <n v="44"/>
    <n v="0.65006284657831992"/>
    <n v="60"/>
    <n v="0.68148523358851498"/>
    <n v="71"/>
    <n v="0.65095977129936156"/>
    <n v="72"/>
    <n v="0.62890370660517725"/>
    <n v="60"/>
    <n v="0.63535556931347392"/>
    <n v="31"/>
    <n v="0.67634874074790707"/>
    <n v="110"/>
    <n v="0.59375031789022625"/>
    <n v="71"/>
    <n v="0.59410045657261212"/>
    <n v="68"/>
    <n v="0.62659887637762435"/>
    <n v="59"/>
    <n v="0.55321499931539575"/>
    <n v="51"/>
    <n v="0.50947372527686463"/>
    <n v="93"/>
    <n v="0.5204855774377164"/>
    <n v="93"/>
    <n v="0.49355928748467687"/>
    <n v="1.4307692307692308"/>
    <n v="49"/>
    <n v="0.60379914990760364"/>
    <n v="0.81666666666666665"/>
    <n v="30"/>
    <n v="0.47268025751072956"/>
    <n v="0.42857142857142855"/>
    <n v="0"/>
    <s v=""/>
    <n v="0"/>
    <n v="57"/>
    <n v="0.36940029438588856"/>
    <n v="0.95"/>
    <n v="27"/>
    <n v="0.42949834001284887"/>
    <n v="0.58695652173913049"/>
    <m/>
    <m/>
    <m/>
    <m/>
    <m/>
    <m/>
    <m/>
    <m/>
    <m/>
    <n v="70"/>
    <n v="87"/>
    <n v="90"/>
    <n v="150"/>
    <n v="150"/>
    <n v="0"/>
    <n v="698574"/>
    <n v="198099"/>
    <n v="242280"/>
    <n v="0"/>
    <n v="156"/>
    <n v="419952"/>
    <n v="507803.12124849949"/>
    <n v="70"/>
    <n v="179"/>
    <n v="76.5"/>
    <n v="0"/>
    <n v="0"/>
    <n v="0"/>
    <n v="706650"/>
    <n v="407583"/>
    <n v="205938"/>
    <n v="0"/>
    <n v="156"/>
    <n v="419952"/>
    <n v="431632.65306122456"/>
    <n v="77"/>
    <n v="135"/>
    <n v="93"/>
    <n v="0"/>
    <n v="0"/>
    <n v="657825"/>
    <n v="363420"/>
    <n v="250356"/>
    <n v="0"/>
    <n v="156"/>
    <n v="419952"/>
    <n v="624428.57142857148"/>
    <n v="65"/>
    <n v="172"/>
    <n v="93"/>
    <n v="150"/>
    <n v="0"/>
    <n v="391644"/>
    <n v="250356"/>
    <x v="89"/>
    <x v="0"/>
    <n v="156"/>
    <n v="419952"/>
    <n v="624428.57142857148"/>
    <n v="60"/>
    <n v="205"/>
    <n v="69"/>
    <m/>
    <n v="0"/>
    <n v="0"/>
    <n v="551860"/>
    <n v="157113"/>
    <x v="0"/>
    <n v="0"/>
    <n v="156"/>
    <n v="419952"/>
    <n v="463285.71428571432"/>
    <n v="70"/>
    <n v="186"/>
    <n v="30"/>
    <m/>
    <n v="0"/>
    <n v="0"/>
    <n v="500712"/>
    <n v="68310"/>
    <n v="0"/>
    <n v="0"/>
    <n v="186"/>
    <n v="419952"/>
    <n v="201428.57142857145"/>
    <n v="70"/>
    <n v="156"/>
    <n v="0"/>
    <n v="200"/>
    <n v="200"/>
    <n v="0"/>
    <n v="419952"/>
    <n v="0"/>
    <n v="440220"/>
    <n v="0"/>
    <n v="156"/>
    <n v="419952"/>
    <n v="0"/>
    <n v="60"/>
    <n v="213"/>
    <n v="58"/>
    <n v="100"/>
    <n v="100"/>
    <n v="0"/>
    <n v="573396"/>
    <n v="132066"/>
    <n v="227700"/>
    <n v="0"/>
    <n v="213"/>
    <n v="573396"/>
    <n v="389428.57142857148"/>
    <n v="46"/>
    <n v="183"/>
    <n v="21"/>
    <n v="0"/>
    <n v="0"/>
    <n v="0"/>
    <n v="416691"/>
    <n v="47817"/>
    <n v="0"/>
    <n v="0"/>
    <n v="156"/>
    <n v="419952"/>
    <n v="141000"/>
    <n v="110"/>
    <n v="162"/>
    <n v="126.49999999999999"/>
    <n v="0"/>
    <n v="0"/>
    <n v="0"/>
    <m/>
    <n v="368874"/>
    <n v="288040.49999999994"/>
    <n v="0"/>
    <n v="0"/>
    <n v="162"/>
    <n v="368874"/>
    <n v="743054.62184873945"/>
    <n v="60"/>
    <n v="35.500000000000014"/>
    <n v="35.500000000000014"/>
    <m/>
    <n v="0"/>
    <n v="0"/>
    <n v="80833.500000000029"/>
    <n v="80833.500000000029"/>
    <n v="0"/>
    <n v="0"/>
    <n v="35.500000000000014"/>
    <n v="80833.500000000029"/>
    <n v="208525.21008403369"/>
    <n v="80"/>
    <n v="0"/>
    <n v="0"/>
    <n v="0"/>
    <n v="0"/>
    <n v="0"/>
    <n v="0"/>
    <n v="0"/>
    <n v="0"/>
    <n v="0"/>
    <n v="0"/>
    <n v="0"/>
    <n v="36"/>
    <n v="0"/>
    <n v="41.4"/>
    <n v="200"/>
    <n v="200"/>
    <n v="0"/>
    <n v="111448.8"/>
    <n v="455400"/>
    <n v="200"/>
    <n v="455400"/>
    <n v="277971.42857142858"/>
  </r>
  <r>
    <m/>
    <x v="6"/>
    <x v="30"/>
    <x v="70"/>
    <n v="1650295282448"/>
    <x v="689"/>
    <x v="530"/>
    <x v="0"/>
    <x v="0"/>
    <n v="1.3"/>
    <x v="31"/>
    <n v="199"/>
    <m/>
    <n v="0"/>
    <n v="4573"/>
    <n v="910027"/>
    <n v="3.2"/>
    <n v="3495.9999999999995"/>
    <n v="8394.957983193277"/>
    <n v="7554.6218487394963"/>
    <s v="Shenzhen"/>
    <x v="0"/>
    <n v="30"/>
    <m/>
    <n v="300"/>
    <n v="51"/>
    <n v="0.66398895859473028"/>
    <n v="46"/>
    <n v="0.63618406752644541"/>
    <n v="53"/>
    <n v="0.61927927104284775"/>
    <n v="25"/>
    <n v="0.59067342478142904"/>
    <n v="58"/>
    <n v="0.62315555203676787"/>
    <n v="25"/>
    <n v="0.65366632733419128"/>
    <n v="54"/>
    <n v="0.58841757995395338"/>
    <n v="41"/>
    <n v="0.62842432962720729"/>
    <n v="22"/>
    <n v="0.66184953633017785"/>
    <n v="72"/>
    <n v="0.59846018702744441"/>
    <n v="50"/>
    <n v="0.52819850630261744"/>
    <n v="49"/>
    <n v="0.57874742588066719"/>
    <n v="62"/>
    <n v="0.43451836204797328"/>
    <n v="51"/>
    <n v="0.39448175864407042"/>
    <n v="50"/>
    <n v="0.42101465353174838"/>
    <n v="56"/>
    <n v="0.38617864907658606"/>
    <n v="1.4"/>
    <n v="58"/>
    <n v="0.505119087510433"/>
    <n v="0.96666666666666667"/>
    <n v="37"/>
    <n v="0.45042816197768887"/>
    <n v="0.46250000000000002"/>
    <n v="0"/>
    <s v=""/>
    <n v="0"/>
    <n v="48"/>
    <n v="0.30510834788465463"/>
    <n v="0.92307692307692313"/>
    <n v="22"/>
    <n v="9.0784443329667383E-2"/>
    <n v="0.7857142857142857"/>
    <m/>
    <m/>
    <m/>
    <m/>
    <m/>
    <m/>
    <m/>
    <m/>
    <m/>
    <n v="50"/>
    <n v="171"/>
    <n v="80"/>
    <n v="0"/>
    <n v="0"/>
    <n v="0"/>
    <n v="944324.5"/>
    <n v="566351.99999999988"/>
    <n v="365840"/>
    <n v="0"/>
    <n v="199"/>
    <n v="910027"/>
    <n v="564366.9232398842"/>
    <n v="60"/>
    <n v="108"/>
    <n v="76.5"/>
    <n v="0"/>
    <n v="0"/>
    <n v="0"/>
    <n v="834572.5"/>
    <n v="357695.99999999994"/>
    <n v="349834.5"/>
    <n v="0"/>
    <n v="199"/>
    <n v="910027"/>
    <n v="539675.87034813932"/>
    <n v="31"/>
    <n v="68"/>
    <n v="50"/>
    <n v="0"/>
    <n v="0"/>
    <n v="743074"/>
    <n v="310964"/>
    <n v="228650"/>
    <n v="0"/>
    <n v="199"/>
    <n v="910027"/>
    <n v="419747.89915966382"/>
    <n v="40"/>
    <n v="167"/>
    <n v="56"/>
    <n v="180"/>
    <n v="0"/>
    <n v="553103.99999999988"/>
    <n v="256088"/>
    <x v="90"/>
    <x v="0"/>
    <n v="199"/>
    <n v="910027"/>
    <n v="470117.6470588235"/>
    <n v="60"/>
    <n v="257"/>
    <n v="78"/>
    <m/>
    <n v="0"/>
    <n v="0"/>
    <n v="1175261"/>
    <n v="258335.99999999997"/>
    <x v="0"/>
    <n v="0"/>
    <n v="199"/>
    <n v="910027"/>
    <n v="654806.72268907563"/>
    <n v="80"/>
    <n v="236"/>
    <n v="37"/>
    <m/>
    <n v="0"/>
    <n v="0"/>
    <n v="1079228"/>
    <n v="122543.99999999999"/>
    <n v="0"/>
    <n v="0"/>
    <n v="236"/>
    <n v="910027"/>
    <n v="310613.44537815126"/>
    <n v="60"/>
    <n v="199"/>
    <n v="0"/>
    <n v="100"/>
    <n v="100"/>
    <n v="0"/>
    <n v="910027"/>
    <n v="0"/>
    <n v="320160"/>
    <n v="0"/>
    <n v="199"/>
    <n v="910027"/>
    <n v="0"/>
    <n v="52"/>
    <n v="247"/>
    <n v="49"/>
    <n v="200"/>
    <n v="200"/>
    <n v="0"/>
    <n v="1129531"/>
    <n v="162287.99999999997"/>
    <n v="662399.99999999988"/>
    <n v="0"/>
    <n v="247"/>
    <n v="1129531"/>
    <n v="411352.94117647054"/>
    <n v="28"/>
    <n v="221"/>
    <n v="15"/>
    <n v="0"/>
    <n v="0"/>
    <n v="0"/>
    <n v="731951.99999999988"/>
    <n v="49679.999999999993"/>
    <n v="0"/>
    <n v="0"/>
    <n v="199"/>
    <n v="910027"/>
    <n v="125924.36974789915"/>
    <n v="75"/>
    <n v="206"/>
    <n v="97.5"/>
    <n v="0"/>
    <n v="0"/>
    <n v="0"/>
    <m/>
    <n v="682271.99999999988"/>
    <n v="322919.99999999994"/>
    <n v="0"/>
    <n v="0"/>
    <n v="206"/>
    <n v="682271.99999999988"/>
    <n v="736575.63025210088"/>
    <n v="50"/>
    <n v="108.5"/>
    <n v="65"/>
    <m/>
    <n v="0"/>
    <n v="0"/>
    <n v="359351.99999999994"/>
    <n v="215279.99999999997"/>
    <n v="0"/>
    <n v="0"/>
    <n v="108.5"/>
    <n v="359351.99999999994"/>
    <n v="491050.42016806727"/>
    <n v="60"/>
    <n v="43.5"/>
    <n v="43.5"/>
    <n v="0"/>
    <n v="0"/>
    <n v="144071.99999999997"/>
    <n v="144071.99999999997"/>
    <n v="0"/>
    <n v="0"/>
    <n v="43.5"/>
    <n v="144071.99999999997"/>
    <n v="365180.67226890754"/>
    <n v="30"/>
    <n v="0"/>
    <n v="39"/>
    <n v="0"/>
    <m/>
    <n v="0"/>
    <n v="178347"/>
    <n v="0"/>
    <n v="0"/>
    <n v="0"/>
    <n v="327403.36134453781"/>
  </r>
  <r>
    <m/>
    <x v="6"/>
    <x v="30"/>
    <x v="70"/>
    <n v="1654189048611"/>
    <x v="690"/>
    <x v="531"/>
    <x v="0"/>
    <x v="3"/>
    <n v="1.2"/>
    <x v="31"/>
    <n v="433"/>
    <m/>
    <n v="0"/>
    <n v="3741"/>
    <n v="1619853"/>
    <n v="2.9"/>
    <n v="3168.2499999999995"/>
    <n v="7554.6218487394963"/>
    <n v="6714.2857142857147"/>
    <s v="Shenzhen"/>
    <x v="0"/>
    <n v="30"/>
    <m/>
    <n v="300"/>
    <n v="123"/>
    <n v="0.49319797402650339"/>
    <n v="64"/>
    <n v="0.57935835116290135"/>
    <n v="95"/>
    <n v="0.6030144800455145"/>
    <n v="54"/>
    <n v="0.59412092142983053"/>
    <n v="83"/>
    <n v="0.59320968252322115"/>
    <n v="102"/>
    <n v="0.61493889958341974"/>
    <n v="73"/>
    <n v="0.58319718072694893"/>
    <n v="74"/>
    <n v="0.56843047939173563"/>
    <n v="37"/>
    <n v="0.65856158914048524"/>
    <n v="144"/>
    <n v="0.54897038022978506"/>
    <n v="116"/>
    <n v="0.5680707011453372"/>
    <n v="78"/>
    <n v="0.5642173768785177"/>
    <n v="104"/>
    <n v="0.52837827457717357"/>
    <n v="56"/>
    <n v="0.46860101675797156"/>
    <n v="146"/>
    <n v="0.51203304386815696"/>
    <n v="71"/>
    <n v="0.51949916101466276"/>
    <n v="1.42"/>
    <n v="42"/>
    <n v="0.49524215522314563"/>
    <n v="0.42"/>
    <n v="61"/>
    <n v="0.34675102769903682"/>
    <n v="0.43571428571428572"/>
    <n v="0"/>
    <s v=""/>
    <n v="0"/>
    <n v="68"/>
    <n v="0.2862015743639218"/>
    <n v="0.68"/>
    <n v="38"/>
    <n v="0.29347671657415847"/>
    <n v="0.54285714285714282"/>
    <m/>
    <m/>
    <m/>
    <m/>
    <m/>
    <m/>
    <m/>
    <m/>
    <m/>
    <n v="100"/>
    <n v="171"/>
    <n v="100"/>
    <n v="100"/>
    <n v="100"/>
    <n v="0"/>
    <n v="1234530"/>
    <n v="513256.49999999994"/>
    <n v="374100"/>
    <n v="0"/>
    <n v="433"/>
    <n v="1619853"/>
    <n v="634842.17216298298"/>
    <n v="60"/>
    <n v="321"/>
    <n v="84"/>
    <n v="0"/>
    <n v="0"/>
    <n v="0"/>
    <n v="1126041"/>
    <n v="963481.49999999988"/>
    <n v="314244"/>
    <n v="0"/>
    <n v="433"/>
    <n v="1619853"/>
    <n v="533267.42461690563"/>
    <n v="100"/>
    <n v="284"/>
    <n v="146"/>
    <n v="0"/>
    <n v="0"/>
    <n v="1171977"/>
    <n v="1062444"/>
    <n v="546186"/>
    <n v="0"/>
    <n v="433"/>
    <n v="1619853"/>
    <n v="1102974.7899159666"/>
    <n v="50"/>
    <n v="339"/>
    <n v="71"/>
    <n v="300"/>
    <n v="0"/>
    <n v="1017508.4999999999"/>
    <n v="265611"/>
    <x v="91"/>
    <x v="0"/>
    <n v="433"/>
    <n v="1619853"/>
    <n v="536378.15126050427"/>
    <n v="100"/>
    <n v="475"/>
    <n v="120"/>
    <m/>
    <n v="0"/>
    <n v="0"/>
    <n v="1776975"/>
    <n v="360179.99999999994"/>
    <x v="0"/>
    <n v="0"/>
    <n v="433"/>
    <n v="1619853"/>
    <n v="906554.62184873957"/>
    <n v="140"/>
    <n v="494"/>
    <n v="61"/>
    <m/>
    <n v="0"/>
    <n v="0"/>
    <n v="1848054"/>
    <n v="183091.49999999997"/>
    <n v="0"/>
    <n v="0"/>
    <n v="494"/>
    <n v="1619853"/>
    <n v="460831.93277310929"/>
    <n v="99"/>
    <n v="433"/>
    <n v="0"/>
    <n v="0"/>
    <n v="100"/>
    <n v="0"/>
    <n v="1619853"/>
    <n v="0"/>
    <n v="0"/>
    <n v="0"/>
    <n v="433"/>
    <n v="1619853"/>
    <n v="0"/>
    <n v="100"/>
    <n v="501"/>
    <n v="70"/>
    <n v="300"/>
    <n v="300"/>
    <n v="0"/>
    <n v="1874241"/>
    <n v="210104.99999999997"/>
    <n v="900449.99999999988"/>
    <n v="0"/>
    <n v="501"/>
    <n v="1874241"/>
    <n v="528823.5294117647"/>
    <n v="70"/>
    <n v="471"/>
    <n v="39"/>
    <n v="0"/>
    <n v="0"/>
    <n v="0"/>
    <n v="1413706.4999999998"/>
    <n v="117058.49999999999"/>
    <n v="0"/>
    <n v="0"/>
    <n v="433"/>
    <n v="1619853"/>
    <n v="294630.25210084033"/>
    <n v="140"/>
    <n v="432"/>
    <n v="168"/>
    <n v="0"/>
    <n v="0"/>
    <n v="0"/>
    <m/>
    <n v="1296647.9999999998"/>
    <n v="504251.99999999994"/>
    <n v="0"/>
    <n v="0"/>
    <n v="432"/>
    <n v="1296647.9999999998"/>
    <n v="1128000"/>
    <n v="80"/>
    <n v="264"/>
    <n v="96"/>
    <m/>
    <n v="0"/>
    <n v="0"/>
    <n v="792395.99999999988"/>
    <n v="288143.99999999994"/>
    <n v="0"/>
    <n v="0"/>
    <n v="264"/>
    <n v="792395.99999999988"/>
    <n v="644571.42857142864"/>
    <n v="80"/>
    <n v="168"/>
    <n v="96"/>
    <n v="0"/>
    <n v="0"/>
    <n v="504251.99999999994"/>
    <n v="288143.99999999994"/>
    <n v="0"/>
    <n v="0"/>
    <n v="168"/>
    <n v="504251.99999999994"/>
    <n v="725243.6974789917"/>
    <n v="48"/>
    <n v="72"/>
    <n v="57.599999999999994"/>
    <n v="0"/>
    <m/>
    <n v="216107.99999999997"/>
    <n v="215481.59999999998"/>
    <n v="0"/>
    <n v="72"/>
    <n v="216107.99999999997"/>
    <n v="435146.21848739492"/>
  </r>
  <r>
    <m/>
    <x v="6"/>
    <x v="30"/>
    <x v="70"/>
    <n v="1654189204021"/>
    <x v="691"/>
    <x v="532"/>
    <x v="0"/>
    <x v="3"/>
    <n v="0.8"/>
    <x v="31"/>
    <n v="337"/>
    <m/>
    <n v="0"/>
    <n v="4479"/>
    <n v="1509423"/>
    <n v="3.6"/>
    <n v="3932.9999999999995"/>
    <n v="9235.2941176470595"/>
    <n v="8394.957983193277"/>
    <s v="Shenzhen"/>
    <x v="0"/>
    <n v="30"/>
    <m/>
    <n v="300"/>
    <n v="38"/>
    <n v="0.61681687239672522"/>
    <n v="59"/>
    <n v="0.61321655391914642"/>
    <n v="118"/>
    <n v="0.61626616224817077"/>
    <n v="61"/>
    <n v="0.62124151741593514"/>
    <n v="81"/>
    <n v="0.63363015665028222"/>
    <n v="104"/>
    <n v="0.57935802623917343"/>
    <n v="64"/>
    <n v="0.62458912507719977"/>
    <n v="59"/>
    <n v="0.65802990357792934"/>
    <n v="49"/>
    <n v="0.65325116966276031"/>
    <n v="85"/>
    <n v="0.55636348345836806"/>
    <n v="86"/>
    <n v="0.55018370890557478"/>
    <n v="54"/>
    <n v="0.57889660888606931"/>
    <n v="92"/>
    <n v="0.41680741670220089"/>
    <n v="77"/>
    <n v="0.51205302564608046"/>
    <n v="119"/>
    <n v="0.41488946630839652"/>
    <n v="30"/>
    <n v="0.41244011616653836"/>
    <n v="0.5"/>
    <n v="35"/>
    <n v="0.50331497503610723"/>
    <n v="0.4375"/>
    <n v="62"/>
    <n v="0.37626895348580985"/>
    <n v="0.5636363636363636"/>
    <n v="0"/>
    <s v=""/>
    <n v="0"/>
    <n v="49"/>
    <n v="0.28354466560236508"/>
    <n v="0.81666666666666665"/>
    <n v="48"/>
    <n v="0.25792758688168871"/>
    <n v="0.96"/>
    <m/>
    <m/>
    <m/>
    <m/>
    <m/>
    <m/>
    <m/>
    <m/>
    <m/>
    <n v="50"/>
    <n v="332"/>
    <n v="70"/>
    <n v="0"/>
    <n v="0"/>
    <n v="0"/>
    <n v="1363855.5"/>
    <n v="1237031.9999999998"/>
    <n v="313530"/>
    <n v="0"/>
    <n v="337"/>
    <n v="1509423"/>
    <n v="543252.59515570942"/>
    <n v="60"/>
    <n v="231"/>
    <n v="115.5"/>
    <n v="0"/>
    <n v="0"/>
    <n v="0"/>
    <n v="1184695.5"/>
    <n v="860705.99999999988"/>
    <n v="517324.5"/>
    <n v="0"/>
    <n v="337"/>
    <n v="1509423"/>
    <n v="896366.78200692055"/>
    <n v="100"/>
    <n v="149"/>
    <n v="119"/>
    <n v="0"/>
    <n v="0"/>
    <n v="905835"/>
    <n v="667371"/>
    <n v="533001"/>
    <n v="0"/>
    <n v="337"/>
    <n v="1509423"/>
    <n v="1099000"/>
    <n v="60"/>
    <n v="120"/>
    <n v="30"/>
    <n v="300"/>
    <n v="0"/>
    <n v="447119.99999999994"/>
    <n v="134370"/>
    <x v="92"/>
    <x v="0"/>
    <n v="337"/>
    <n v="1509423"/>
    <n v="277058.82352941181"/>
    <n v="80"/>
    <n v="372"/>
    <n v="64"/>
    <m/>
    <n v="0"/>
    <n v="0"/>
    <n v="1666188"/>
    <n v="238463.99999999997"/>
    <x v="0"/>
    <n v="0"/>
    <n v="337"/>
    <n v="1509423"/>
    <n v="591058.82352941181"/>
    <n v="110"/>
    <n v="399"/>
    <n v="62"/>
    <m/>
    <n v="180"/>
    <n v="0"/>
    <n v="1787121"/>
    <n v="231011.99999999997"/>
    <n v="0"/>
    <n v="0"/>
    <n v="399"/>
    <n v="1509423"/>
    <n v="572588.23529411771"/>
    <n v="87"/>
    <n v="337"/>
    <n v="0"/>
    <n v="300"/>
    <n v="300"/>
    <n v="0"/>
    <n v="1509423"/>
    <n v="0"/>
    <n v="1080540"/>
    <n v="0"/>
    <n v="337"/>
    <n v="1509423"/>
    <n v="0"/>
    <n v="60"/>
    <n v="386"/>
    <n v="50"/>
    <n v="0"/>
    <n v="0"/>
    <n v="0"/>
    <n v="1728894"/>
    <n v="186299.99999999997"/>
    <n v="0"/>
    <n v="0"/>
    <n v="386"/>
    <n v="1728894"/>
    <n v="461764.70588235295"/>
    <n v="50"/>
    <n v="385"/>
    <n v="46.5"/>
    <n v="0"/>
    <n v="0"/>
    <n v="0"/>
    <n v="1434509.9999999998"/>
    <n v="173258.99999999997"/>
    <n v="0"/>
    <n v="0"/>
    <n v="337"/>
    <n v="1509423"/>
    <n v="429441.17647058825"/>
    <n v="70"/>
    <n v="338.5"/>
    <n v="56"/>
    <n v="0"/>
    <n v="0"/>
    <n v="0"/>
    <m/>
    <n v="1261250.9999999998"/>
    <n v="208655.99999999997"/>
    <n v="0"/>
    <n v="0"/>
    <n v="338.5"/>
    <n v="1261250.9999999998"/>
    <n v="470117.6470588235"/>
    <n v="50"/>
    <n v="282.5"/>
    <n v="40"/>
    <m/>
    <n v="0"/>
    <n v="0"/>
    <n v="1052594.9999999998"/>
    <n v="149039.99999999997"/>
    <n v="0"/>
    <n v="0"/>
    <n v="282.5"/>
    <n v="1052594.9999999998"/>
    <n v="335798.31932773109"/>
    <n v="70"/>
    <n v="242.5"/>
    <n v="56"/>
    <n v="0"/>
    <n v="0"/>
    <n v="903554.99999999988"/>
    <n v="208655.99999999997"/>
    <n v="0"/>
    <n v="0"/>
    <n v="242.5"/>
    <n v="903554.99999999988"/>
    <n v="517176.4705882353"/>
    <n v="30"/>
    <n v="186.5"/>
    <n v="24"/>
    <n v="0"/>
    <m/>
    <n v="694898.99999999988"/>
    <n v="107496"/>
    <n v="0"/>
    <n v="186.5"/>
    <n v="694898.99999999988"/>
    <n v="221647.05882352943"/>
  </r>
  <r>
    <m/>
    <x v="6"/>
    <x v="30"/>
    <x v="70"/>
    <n v="1654207748340"/>
    <x v="692"/>
    <x v="533"/>
    <x v="0"/>
    <x v="1"/>
    <n v="1"/>
    <x v="31"/>
    <n v="422"/>
    <m/>
    <n v="0"/>
    <n v="7067"/>
    <n v="2982274"/>
    <n v="6.9"/>
    <n v="7538.2499999999991"/>
    <n v="16798.319327731093"/>
    <n v="15957.983193277312"/>
    <s v="Shenzhen"/>
    <x v="0"/>
    <n v="30"/>
    <m/>
    <n v="100"/>
    <n v="303"/>
    <n v="0.50615890904744698"/>
    <n v="159"/>
    <n v="0.49552441244189205"/>
    <n v="302"/>
    <n v="0.50244595258877833"/>
    <n v="33"/>
    <n v="0.51543620152095415"/>
    <n v="4"/>
    <n v="0.51978105569519784"/>
    <n v="232"/>
    <n v="0.45473839875834393"/>
    <n v="192"/>
    <n v="0.56084949663404049"/>
    <n v="98"/>
    <n v="0.56895364941608395"/>
    <n v="87"/>
    <n v="0.59384905550058043"/>
    <n v="368"/>
    <n v="0.4280578120433528"/>
    <n v="150"/>
    <n v="0.47979241797167332"/>
    <n v="156"/>
    <n v="0.50751957006075499"/>
    <n v="137"/>
    <n v="0.3293040538730006"/>
    <n v="118"/>
    <n v="0.31701867631744135"/>
    <n v="156"/>
    <n v="0.3809143206818778"/>
    <n v="131"/>
    <n v="0.44251870676457838"/>
    <n v="0.87333333333333329"/>
    <n v="157"/>
    <n v="0.54392535189195335"/>
    <n v="0.87222222222222223"/>
    <n v="208"/>
    <n v="0.43619241408309972"/>
    <n v="0.83199999999999996"/>
    <n v="0"/>
    <s v=""/>
    <n v="0"/>
    <n v="125"/>
    <n v="0.32817674978590428"/>
    <n v="1.25"/>
    <n v="99"/>
    <n v="0.35723760186653208"/>
    <n v="0.66"/>
    <m/>
    <m/>
    <m/>
    <m/>
    <m/>
    <m/>
    <m/>
    <m/>
    <m/>
    <n v="250"/>
    <n v="238"/>
    <n v="150"/>
    <n v="150"/>
    <n v="150"/>
    <n v="0"/>
    <n v="3413361"/>
    <n v="1699676.9999999998"/>
    <n v="1060050"/>
    <n v="0"/>
    <n v="422"/>
    <n v="2982274"/>
    <n v="2117435.209377869"/>
    <n v="180"/>
    <n v="282"/>
    <n v="177"/>
    <n v="350"/>
    <n v="250"/>
    <n v="0"/>
    <n v="3279088"/>
    <n v="2013902.9999999998"/>
    <n v="1250859"/>
    <n v="0"/>
    <n v="422"/>
    <n v="2982274"/>
    <n v="2498573.5470658853"/>
    <n v="300"/>
    <n v="578"/>
    <n v="156"/>
    <n v="0"/>
    <n v="0"/>
    <n v="3313699"/>
    <n v="4084726"/>
    <n v="1102452"/>
    <n v="0"/>
    <n v="422"/>
    <n v="2982274"/>
    <n v="2620537.8151260503"/>
    <n v="150"/>
    <n v="688"/>
    <n v="131"/>
    <n v="650"/>
    <n v="0"/>
    <n v="4913351.9999999991"/>
    <n v="925777"/>
    <x v="93"/>
    <x v="0"/>
    <n v="422"/>
    <n v="2982274"/>
    <n v="2200579.8319327733"/>
    <n v="180"/>
    <n v="579"/>
    <n v="180"/>
    <m/>
    <n v="0"/>
    <n v="0"/>
    <n v="4091793"/>
    <n v="1285469.9999999998"/>
    <x v="0"/>
    <n v="0"/>
    <n v="422"/>
    <n v="2982274"/>
    <n v="3023697.478991597"/>
    <n v="250"/>
    <n v="630"/>
    <n v="208"/>
    <m/>
    <n v="306"/>
    <n v="0"/>
    <n v="4452210"/>
    <n v="1485431.9999999998"/>
    <n v="0"/>
    <n v="0"/>
    <n v="630"/>
    <n v="2982274"/>
    <n v="3494050.4201680673"/>
    <n v="200"/>
    <n v="422"/>
    <n v="0"/>
    <n v="350"/>
    <n v="350"/>
    <n v="0"/>
    <n v="2982274"/>
    <n v="0"/>
    <n v="2416207.5"/>
    <n v="0"/>
    <n v="422"/>
    <n v="2982274"/>
    <n v="0"/>
    <n v="100"/>
    <n v="547"/>
    <n v="129"/>
    <n v="0"/>
    <n v="0"/>
    <n v="0"/>
    <n v="3865649"/>
    <n v="921253.49999999988"/>
    <n v="0"/>
    <n v="0"/>
    <n v="547"/>
    <n v="3865649"/>
    <n v="2166983.193277311"/>
    <n v="150"/>
    <n v="521"/>
    <n v="120"/>
    <n v="0"/>
    <n v="0"/>
    <n v="0"/>
    <n v="3720721.4999999995"/>
    <n v="856979.99999999988"/>
    <n v="0"/>
    <n v="0"/>
    <n v="422"/>
    <n v="2982274"/>
    <n v="2015798.3193277312"/>
    <n v="300"/>
    <n v="401"/>
    <n v="300"/>
    <n v="0"/>
    <n v="0"/>
    <n v="0"/>
    <m/>
    <n v="2863741.4999999995"/>
    <n v="2142449.9999999995"/>
    <n v="0"/>
    <n v="0"/>
    <n v="401"/>
    <n v="2863741.4999999995"/>
    <n v="4787394.9579831939"/>
    <n v="150"/>
    <n v="101"/>
    <n v="101"/>
    <m/>
    <n v="0"/>
    <n v="0"/>
    <n v="721291.49999999988"/>
    <n v="721291.49999999988"/>
    <n v="0"/>
    <n v="0"/>
    <n v="101"/>
    <n v="721291.49999999988"/>
    <n v="1611756.3025210085"/>
    <n v="200"/>
    <n v="0"/>
    <n v="200"/>
    <n v="300"/>
    <n v="300"/>
    <n v="0"/>
    <n v="1428299.9999999998"/>
    <n v="2142449.9999999995"/>
    <n v="2142449.9999999995"/>
    <n v="300"/>
    <n v="2142449.9999999995"/>
    <n v="3359663.8655462186"/>
    <n v="90"/>
    <n v="100"/>
    <n v="90"/>
    <n v="0"/>
    <m/>
    <n v="714149.99999999988"/>
    <n v="636030"/>
    <n v="0"/>
    <n v="100"/>
    <n v="714149.99999999988"/>
    <n v="1511848.7394957985"/>
  </r>
  <r>
    <m/>
    <x v="6"/>
    <x v="30"/>
    <x v="70"/>
    <n v="1660858416606"/>
    <x v="693"/>
    <x v="534"/>
    <x v="0"/>
    <x v="3"/>
    <n v="1"/>
    <x v="31"/>
    <n v="54"/>
    <m/>
    <n v="0"/>
    <n v="5888"/>
    <n v="317952"/>
    <n v="6.1"/>
    <n v="6664.2499999999991"/>
    <n v="14277.310924369749"/>
    <n v="13436.974789915967"/>
    <s v="Shenzhen"/>
    <x v="0"/>
    <n v="45"/>
    <m/>
    <n v="200"/>
    <n v="40"/>
    <n v="0.66503591248690785"/>
    <n v="30"/>
    <n v="0.68044265424107597"/>
    <n v="32"/>
    <n v="0.65584053490714089"/>
    <n v="24"/>
    <n v="0.6673315443670087"/>
    <n v="59"/>
    <n v="0.60455978913835373"/>
    <n v="67"/>
    <n v="0.65162136086687861"/>
    <n v="28"/>
    <n v="0.67248718825083842"/>
    <n v="33"/>
    <n v="0.67605148571676177"/>
    <n v="24"/>
    <n v="0.67387149378282984"/>
    <n v="60"/>
    <n v="0.6252199931132395"/>
    <n v="44"/>
    <n v="0.60166893893757978"/>
    <n v="34"/>
    <n v="0.59174086161664374"/>
    <n v="68"/>
    <n v="0.38077627271555858"/>
    <n v="41"/>
    <n v="0.31267760176157144"/>
    <n v="58"/>
    <n v="0.33102794307411676"/>
    <n v="37"/>
    <n v="0.39701245905605503"/>
    <n v="1.0571428571428572"/>
    <n v="11"/>
    <n v="0.46796789341300216"/>
    <n v="0.2"/>
    <n v="5"/>
    <n v="0.54133316810463727"/>
    <n v="7.1428571428571425E-2"/>
    <n v="3"/>
    <s v=""/>
    <n v="8.5714285714285715E-2"/>
    <n v="41"/>
    <n v="0.36482688496393878"/>
    <n v="1.3666666666666667"/>
    <n v="35"/>
    <n v="0.37091333111679753"/>
    <n v="1.4"/>
    <m/>
    <m/>
    <m/>
    <m/>
    <m/>
    <m/>
    <m/>
    <m/>
    <m/>
    <n v="34"/>
    <n v="214"/>
    <n v="55"/>
    <n v="0"/>
    <n v="0"/>
    <n v="0"/>
    <n v="1027456"/>
    <n v="1351088.9999999998"/>
    <n v="323840"/>
    <n v="0"/>
    <n v="54"/>
    <n v="317952"/>
    <n v="659875.71499187918"/>
    <n v="40"/>
    <n v="157"/>
    <n v="61.5"/>
    <n v="0"/>
    <n v="0"/>
    <n v="0"/>
    <n v="921472"/>
    <n v="991219.49999999988"/>
    <n v="362112"/>
    <n v="0"/>
    <n v="54"/>
    <n v="317952"/>
    <n v="737861.02676364675"/>
    <n v="45"/>
    <n v="105"/>
    <n v="58"/>
    <n v="0"/>
    <n v="0"/>
    <n v="906602.5"/>
    <n v="618240"/>
    <n v="341504"/>
    <n v="0"/>
    <n v="54"/>
    <n v="317952"/>
    <n v="828084.03361344547"/>
    <n v="35"/>
    <n v="55"/>
    <n v="37"/>
    <n v="0"/>
    <n v="0"/>
    <n v="347242.49999999994"/>
    <n v="217856"/>
    <x v="0"/>
    <x v="0"/>
    <n v="54"/>
    <n v="317952"/>
    <n v="528260.50420168077"/>
    <n v="55"/>
    <n v="65"/>
    <n v="55"/>
    <m/>
    <n v="0"/>
    <n v="0"/>
    <n v="382720"/>
    <n v="347242.49999999994"/>
    <x v="0"/>
    <n v="0"/>
    <n v="54"/>
    <n v="317952"/>
    <n v="785252.10084033618"/>
    <n v="70"/>
    <n v="59"/>
    <n v="5"/>
    <m/>
    <n v="0"/>
    <n v="0"/>
    <n v="347392"/>
    <n v="31567.499999999996"/>
    <n v="0"/>
    <n v="0"/>
    <n v="59"/>
    <n v="317952"/>
    <n v="71386.554621848743"/>
    <n v="35"/>
    <n v="57"/>
    <n v="3"/>
    <n v="200"/>
    <n v="200"/>
    <n v="0"/>
    <n v="335616"/>
    <n v="18940.499999999996"/>
    <n v="1220609.9999999998"/>
    <n v="0"/>
    <n v="57"/>
    <n v="317952"/>
    <n v="42831.932773109249"/>
    <n v="30"/>
    <n v="95"/>
    <n v="42"/>
    <n v="0"/>
    <n v="0"/>
    <n v="0"/>
    <n v="559360"/>
    <n v="265166.99999999994"/>
    <n v="0"/>
    <n v="0"/>
    <n v="95"/>
    <n v="559360"/>
    <n v="599647.05882352951"/>
    <n v="25"/>
    <n v="89"/>
    <n v="39"/>
    <n v="0"/>
    <n v="0"/>
    <n v="0"/>
    <n v="561901.49999999988"/>
    <n v="246226.49999999997"/>
    <n v="0"/>
    <n v="0"/>
    <n v="54"/>
    <n v="317952"/>
    <n v="556815.12605042022"/>
    <n v="50"/>
    <n v="50"/>
    <n v="50"/>
    <n v="0"/>
    <n v="0"/>
    <n v="0"/>
    <m/>
    <n v="315674.99999999994"/>
    <n v="315674.99999999994"/>
    <n v="0"/>
    <n v="0"/>
    <n v="50"/>
    <n v="315674.99999999994"/>
    <n v="671848.73949579836"/>
    <n v="40"/>
    <n v="0"/>
    <n v="0"/>
    <m/>
    <n v="0"/>
    <n v="0"/>
    <n v="0"/>
    <n v="0"/>
    <n v="0"/>
    <n v="0"/>
    <n v="0"/>
    <n v="0"/>
    <n v="0"/>
    <n v="40"/>
    <n v="0"/>
    <n v="0"/>
    <n v="0"/>
    <n v="0"/>
    <n v="0"/>
    <n v="0"/>
    <n v="0"/>
    <n v="0"/>
    <n v="0"/>
    <n v="0"/>
    <n v="0"/>
    <n v="24"/>
    <n v="0"/>
    <n v="24"/>
    <n v="0"/>
    <m/>
    <n v="0"/>
    <n v="141312"/>
    <n v="0"/>
    <n v="0"/>
    <n v="0"/>
    <n v="342655.46218487399"/>
  </r>
  <r>
    <m/>
    <x v="6"/>
    <x v="30"/>
    <x v="70"/>
    <n v="1660858812938"/>
    <x v="694"/>
    <x v="535"/>
    <x v="0"/>
    <x v="2"/>
    <n v="0.6"/>
    <x v="31"/>
    <n v="30"/>
    <m/>
    <n v="0"/>
    <n v="1531"/>
    <n v="45930"/>
    <n v="1.4"/>
    <n v="1529.4999999999998"/>
    <n v="4193.2773109243699"/>
    <n v="4613.4453781512611"/>
    <s v="Shenzhen"/>
    <x v="0"/>
    <n v="30"/>
    <m/>
    <n v="50"/>
    <n v="9"/>
    <n v="0.59837818143965016"/>
    <n v="31"/>
    <n v="0.6167639055812083"/>
    <n v="30"/>
    <n v="0.57596456692913389"/>
    <n v="56"/>
    <n v="0.52203943197667035"/>
    <n v="15"/>
    <n v="0.58288007229226724"/>
    <n v="71"/>
    <n v="0.47609769675040009"/>
    <n v="18"/>
    <n v="0.47740610447459003"/>
    <n v="11"/>
    <n v="0.60289807981756638"/>
    <n v="41"/>
    <n v="0.47573139912196993"/>
    <n v="31"/>
    <n v="0.51829728326700131"/>
    <n v="10"/>
    <n v="0.54148037754595135"/>
    <n v="26"/>
    <n v="0.55054237325734201"/>
    <n v="18"/>
    <n v="0.47159090018041866"/>
    <n v="10"/>
    <n v="0.21707925860567315"/>
    <n v="54"/>
    <n v="0.52011864406333042"/>
    <n v="15"/>
    <n v="0.46110872884292287"/>
    <n v="0.3"/>
    <n v="53"/>
    <n v="0.51555111821086264"/>
    <n v="2.3043478260869565"/>
    <n v="14"/>
    <n v="0.30472702228900578"/>
    <n v="0.19718309859154928"/>
    <n v="0"/>
    <s v=""/>
    <n v="0"/>
    <n v="41"/>
    <n v="0.44085610682294463"/>
    <n v="1.0249999999999999"/>
    <n v="18"/>
    <n v="0.49459190687066051"/>
    <n v="0.43902439024390244"/>
    <m/>
    <m/>
    <m/>
    <m/>
    <m/>
    <m/>
    <m/>
    <m/>
    <m/>
    <n v="20"/>
    <n v="105"/>
    <n v="15"/>
    <n v="0"/>
    <n v="0"/>
    <n v="0"/>
    <n v="128604"/>
    <n v="152145"/>
    <n v="22965"/>
    <n v="0"/>
    <n v="30"/>
    <n v="45930"/>
    <n v="52856.436692323994"/>
    <n v="30"/>
    <n v="174"/>
    <n v="15"/>
    <n v="100"/>
    <n v="50"/>
    <n v="0"/>
    <n v="128604"/>
    <n v="252126"/>
    <n v="22965"/>
    <n v="0"/>
    <n v="30"/>
    <n v="45930"/>
    <n v="52856.436692323994"/>
    <n v="30"/>
    <n v="167"/>
    <n v="54"/>
    <n v="0"/>
    <n v="0"/>
    <n v="125635.2"/>
    <n v="255677"/>
    <n v="82674"/>
    <n v="0"/>
    <n v="30"/>
    <n v="45930"/>
    <n v="226436.97478991598"/>
    <n v="50"/>
    <n v="208"/>
    <n v="15"/>
    <n v="0"/>
    <n v="0"/>
    <n v="301392"/>
    <n v="22965"/>
    <x v="0"/>
    <x v="0"/>
    <n v="30"/>
    <n v="45930"/>
    <n v="62899.159663865546"/>
    <n v="23"/>
    <n v="83"/>
    <n v="13.799999999999999"/>
    <m/>
    <n v="0"/>
    <n v="0"/>
    <n v="127073"/>
    <n v="19996.199999999997"/>
    <x v="0"/>
    <n v="0"/>
    <n v="30"/>
    <n v="45930"/>
    <n v="57867.226890756298"/>
    <n v="71"/>
    <n v="44"/>
    <n v="14"/>
    <m/>
    <n v="0"/>
    <n v="0"/>
    <n v="67364"/>
    <n v="20286"/>
    <n v="0"/>
    <n v="0"/>
    <n v="44"/>
    <n v="45930"/>
    <n v="58705.882352941175"/>
    <n v="18"/>
    <n v="30"/>
    <n v="0"/>
    <n v="100"/>
    <n v="100"/>
    <n v="0"/>
    <n v="45930"/>
    <n v="0"/>
    <n v="140069.99999999997"/>
    <n v="0"/>
    <n v="30"/>
    <n v="45930"/>
    <n v="0"/>
    <n v="40"/>
    <n v="71"/>
    <n v="42"/>
    <n v="0"/>
    <n v="0"/>
    <n v="0"/>
    <n v="108701"/>
    <n v="60858"/>
    <n v="0"/>
    <n v="0"/>
    <n v="71"/>
    <n v="108701"/>
    <n v="176117.64705882352"/>
    <n v="41"/>
    <n v="48"/>
    <n v="24"/>
    <n v="0"/>
    <n v="0"/>
    <n v="0"/>
    <n v="69552"/>
    <n v="34776"/>
    <n v="0"/>
    <n v="0"/>
    <n v="30"/>
    <n v="45930"/>
    <n v="100638.65546218488"/>
    <n v="30"/>
    <n v="24"/>
    <n v="18"/>
    <n v="0"/>
    <n v="0"/>
    <n v="0"/>
    <m/>
    <n v="34776"/>
    <n v="26082"/>
    <n v="0"/>
    <n v="0"/>
    <n v="24"/>
    <n v="34776"/>
    <n v="83042.016806722706"/>
    <n v="10"/>
    <n v="6"/>
    <n v="6"/>
    <m/>
    <n v="0"/>
    <n v="0"/>
    <n v="8694"/>
    <n v="8694"/>
    <n v="0"/>
    <n v="0"/>
    <n v="6"/>
    <n v="8694"/>
    <n v="27680.672268907569"/>
    <n v="26"/>
    <n v="0"/>
    <n v="0"/>
    <n v="0"/>
    <n v="0"/>
    <n v="0"/>
    <n v="0"/>
    <n v="0"/>
    <n v="0"/>
    <n v="0"/>
    <n v="0"/>
    <n v="0"/>
    <n v="6"/>
    <n v="0"/>
    <n v="3.5999999999999996"/>
    <n v="0"/>
    <m/>
    <n v="0"/>
    <n v="5511.5999999999995"/>
    <n v="0"/>
    <n v="0"/>
    <n v="0"/>
    <n v="15095.79831932773"/>
  </r>
  <r>
    <m/>
    <x v="6"/>
    <x v="30"/>
    <x v="70"/>
    <n v="1660858828618"/>
    <x v="695"/>
    <x v="536"/>
    <x v="0"/>
    <x v="2"/>
    <n v="0.6"/>
    <x v="31"/>
    <n v="18"/>
    <m/>
    <n v="0"/>
    <n v="2898"/>
    <n v="52164"/>
    <n v="2.6"/>
    <n v="2840.5"/>
    <n v="6714.2857142857147"/>
    <n v="5453.7815126050418"/>
    <s v="Shenzhen"/>
    <x v="0"/>
    <n v="30"/>
    <m/>
    <n v="50"/>
    <n v="14"/>
    <n v="0.5064203817856433"/>
    <n v="17"/>
    <n v="0.46505752651736038"/>
    <n v="19"/>
    <n v="0.47261713230961583"/>
    <n v="35"/>
    <n v="0.37322559137434025"/>
    <n v="10"/>
    <n v="0.36914514099622536"/>
    <n v="29"/>
    <n v="0.36844581069562488"/>
    <n v="31"/>
    <n v="0.33826897421391861"/>
    <n v="44"/>
    <n v="0.32856862782151275"/>
    <n v="24"/>
    <n v="0.34707295855794185"/>
    <n v="16"/>
    <n v="0.45494956579299911"/>
    <n v="9"/>
    <n v="0.38670638614783093"/>
    <n v="28"/>
    <n v="0.3630520799351763"/>
    <n v="8"/>
    <n v="0.39712599257330983"/>
    <n v="7"/>
    <n v="0.28171411258227796"/>
    <n v="52"/>
    <n v="0.29792345888231275"/>
    <n v="9"/>
    <n v="0.38965619493968173"/>
    <n v="0.25714285714285712"/>
    <n v="22"/>
    <n v="0.39293085237474912"/>
    <n v="2.2000000000000002"/>
    <n v="12"/>
    <n v="5.0681310166006015E-2"/>
    <n v="0.41379310344827586"/>
    <n v="0"/>
    <s v=""/>
    <n v="0"/>
    <n v="10"/>
    <n v="0.21341470904922946"/>
    <n v="0.25"/>
    <n v="10"/>
    <n v="0.63537548824407752"/>
    <n v="0.41666666666666669"/>
    <m/>
    <m/>
    <m/>
    <m/>
    <m/>
    <m/>
    <m/>
    <m/>
    <m/>
    <n v="15"/>
    <n v="86"/>
    <n v="10"/>
    <n v="0"/>
    <n v="0"/>
    <n v="0"/>
    <n v="210105"/>
    <n v="231426"/>
    <n v="28980"/>
    <n v="0"/>
    <n v="18"/>
    <n v="52164"/>
    <n v="56422.569027611054"/>
    <n v="20"/>
    <n v="170"/>
    <n v="10.5"/>
    <n v="100"/>
    <n v="50"/>
    <n v="0"/>
    <n v="207207"/>
    <n v="457470"/>
    <n v="30429"/>
    <n v="0"/>
    <n v="18"/>
    <n v="52164"/>
    <n v="59243.697478991606"/>
    <n v="25"/>
    <n v="165"/>
    <n v="52"/>
    <n v="0"/>
    <n v="0"/>
    <n v="192924"/>
    <n v="478170"/>
    <n v="150696"/>
    <n v="0"/>
    <n v="18"/>
    <n v="52164"/>
    <n v="349142.85714285716"/>
    <n v="35"/>
    <n v="200"/>
    <n v="9"/>
    <n v="0"/>
    <n v="0"/>
    <n v="538200"/>
    <n v="26082"/>
    <x v="0"/>
    <x v="0"/>
    <n v="18"/>
    <n v="52164"/>
    <n v="60428.571428571435"/>
    <n v="10"/>
    <n v="40"/>
    <n v="6"/>
    <m/>
    <n v="0"/>
    <n v="0"/>
    <n v="115920"/>
    <n v="16146"/>
    <x v="0"/>
    <n v="0"/>
    <n v="18"/>
    <n v="52164"/>
    <n v="40285.71428571429"/>
    <n v="29"/>
    <n v="30"/>
    <n v="12"/>
    <m/>
    <n v="0"/>
    <n v="0"/>
    <n v="86940"/>
    <n v="32292"/>
    <n v="0"/>
    <n v="0"/>
    <n v="30"/>
    <n v="52164"/>
    <n v="80571.42857142858"/>
    <n v="31"/>
    <n v="18"/>
    <n v="0"/>
    <n v="0"/>
    <n v="0"/>
    <n v="0"/>
    <n v="52164"/>
    <n v="0"/>
    <n v="0"/>
    <n v="0"/>
    <n v="18"/>
    <n v="52164"/>
    <n v="0"/>
    <n v="40"/>
    <n v="28"/>
    <n v="10"/>
    <n v="0"/>
    <n v="0"/>
    <n v="0"/>
    <n v="81144"/>
    <n v="26910"/>
    <n v="0"/>
    <n v="0"/>
    <n v="28"/>
    <n v="81144"/>
    <n v="67142.857142857145"/>
    <n v="24"/>
    <n v="28"/>
    <n v="13.5"/>
    <n v="0"/>
    <n v="0"/>
    <n v="0"/>
    <n v="75348"/>
    <n v="36328.5"/>
    <n v="0"/>
    <n v="0"/>
    <n v="18"/>
    <n v="52164"/>
    <n v="90642.857142857145"/>
    <n v="15"/>
    <n v="14.5"/>
    <n v="9"/>
    <n v="0"/>
    <n v="0"/>
    <n v="0"/>
    <m/>
    <n v="39019.5"/>
    <n v="24219"/>
    <n v="0"/>
    <n v="0"/>
    <n v="14.5"/>
    <n v="39019.5"/>
    <n v="49084.033613445376"/>
    <n v="10"/>
    <n v="5.5"/>
    <n v="5.5"/>
    <m/>
    <n v="0"/>
    <n v="0"/>
    <n v="14800.5"/>
    <n v="14800.5"/>
    <n v="0"/>
    <n v="0"/>
    <n v="5.5"/>
    <n v="14800.5"/>
    <n v="29995.798319327729"/>
    <n v="28"/>
    <n v="0"/>
    <n v="0"/>
    <n v="0"/>
    <n v="0"/>
    <n v="0"/>
    <n v="0"/>
    <n v="0"/>
    <n v="0"/>
    <n v="0"/>
    <n v="0"/>
    <n v="0"/>
    <n v="6"/>
    <n v="0"/>
    <n v="3.5999999999999996"/>
    <n v="0"/>
    <m/>
    <n v="0"/>
    <n v="10432.799999999999"/>
    <n v="0"/>
    <n v="0"/>
    <n v="0"/>
    <n v="24171.428571428569"/>
  </r>
  <r>
    <m/>
    <x v="6"/>
    <x v="30"/>
    <x v="70"/>
    <n v="1660858844449"/>
    <x v="696"/>
    <x v="537"/>
    <x v="0"/>
    <x v="2"/>
    <n v="0.7"/>
    <x v="31"/>
    <n v="185"/>
    <m/>
    <n v="0"/>
    <n v="3946"/>
    <n v="730010"/>
    <n v="3.2"/>
    <n v="3495.9999999999995"/>
    <n v="8394.957983193277"/>
    <n v="7134.453781512605"/>
    <s v="Shenzhen"/>
    <x v="0"/>
    <n v="30"/>
    <m/>
    <n v="50"/>
    <n v="9"/>
    <n v="0.53164781261339411"/>
    <n v="15"/>
    <n v="0.46368507696954164"/>
    <n v="13"/>
    <n v="0.47893711785789589"/>
    <n v="18"/>
    <n v="0.45173431223161098"/>
    <n v="5"/>
    <s v=""/>
    <n v="21"/>
    <n v="0.28531036715945074"/>
    <n v="27"/>
    <n v="0.29831212747471214"/>
    <n v="31"/>
    <n v="0.29094768900035833"/>
    <n v="24"/>
    <n v="0.23014799073793371"/>
    <n v="26"/>
    <n v="0.44130215463374411"/>
    <n v="8"/>
    <n v="0.43843169287318767"/>
    <n v="22"/>
    <n v="0.34770204194232129"/>
    <n v="6"/>
    <n v="0.28981937068534308"/>
    <n v="5"/>
    <s v=""/>
    <n v="22"/>
    <n v="0.28561827562441572"/>
    <n v="10"/>
    <n v="0.30270744862262833"/>
    <n v="0.5"/>
    <n v="26"/>
    <n v="0.31982866011381267"/>
    <n v="2"/>
    <n v="17"/>
    <n v="0.22164883376311212"/>
    <n v="0.80952380952380953"/>
    <n v="0"/>
    <s v=""/>
    <n v="0"/>
    <n v="10"/>
    <n v="0.28369229020974812"/>
    <n v="0.32258064516129031"/>
    <n v="2"/>
    <n v="0.23058840116713128"/>
    <n v="8.3333333333333329E-2"/>
    <m/>
    <m/>
    <m/>
    <m/>
    <m/>
    <m/>
    <m/>
    <m/>
    <m/>
    <n v="15"/>
    <n v="204"/>
    <n v="10"/>
    <n v="100"/>
    <n v="100"/>
    <n v="0"/>
    <n v="155867"/>
    <n v="675647.99999999988"/>
    <n v="39460"/>
    <n v="0"/>
    <n v="185"/>
    <n v="730010"/>
    <n v="70545.865404985525"/>
    <n v="15"/>
    <n v="388"/>
    <n v="7.5"/>
    <n v="0"/>
    <n v="0"/>
    <n v="0"/>
    <n v="155867"/>
    <n v="1285055.9999999998"/>
    <n v="29595"/>
    <n v="0"/>
    <n v="185"/>
    <n v="730010"/>
    <n v="52909.399053739144"/>
    <n v="15"/>
    <n v="387"/>
    <n v="22"/>
    <n v="0"/>
    <n v="0"/>
    <n v="156411.19999999998"/>
    <n v="1527102"/>
    <n v="86812"/>
    <n v="0"/>
    <n v="185"/>
    <n v="730010"/>
    <n v="184689.0756302521"/>
    <n v="20"/>
    <n v="359"/>
    <n v="10"/>
    <n v="0"/>
    <n v="0"/>
    <n v="1189007.9999999998"/>
    <n v="39460"/>
    <x v="0"/>
    <x v="0"/>
    <n v="185"/>
    <n v="730010"/>
    <n v="83949.579831932773"/>
    <n v="13"/>
    <n v="211"/>
    <n v="9.1"/>
    <m/>
    <n v="0"/>
    <n v="0"/>
    <n v="832606"/>
    <n v="30139.199999999993"/>
    <x v="0"/>
    <n v="0"/>
    <n v="185"/>
    <n v="730010"/>
    <n v="76394.117647058811"/>
    <n v="21"/>
    <n v="202"/>
    <n v="17"/>
    <m/>
    <n v="0"/>
    <n v="0"/>
    <n v="797092"/>
    <n v="56303.999999999993"/>
    <n v="0"/>
    <n v="0"/>
    <n v="202"/>
    <n v="730010"/>
    <n v="142714.28571428571"/>
    <n v="27"/>
    <n v="185"/>
    <n v="0"/>
    <n v="0"/>
    <n v="0"/>
    <n v="0"/>
    <n v="730010"/>
    <n v="0"/>
    <n v="0"/>
    <n v="0"/>
    <n v="185"/>
    <n v="730010"/>
    <n v="0"/>
    <n v="31"/>
    <n v="195"/>
    <n v="10"/>
    <n v="0"/>
    <n v="0"/>
    <n v="0"/>
    <n v="769470"/>
    <n v="33119.999999999993"/>
    <n v="0"/>
    <n v="0"/>
    <n v="195"/>
    <n v="769470"/>
    <n v="83949.579831932773"/>
    <n v="24"/>
    <n v="187"/>
    <n v="3"/>
    <n v="0"/>
    <n v="0"/>
    <n v="0"/>
    <n v="619343.99999999988"/>
    <n v="9935.9999999999982"/>
    <n v="0"/>
    <n v="0"/>
    <n v="185"/>
    <n v="730010"/>
    <n v="25184.873949579829"/>
    <n v="30"/>
    <n v="184"/>
    <n v="21"/>
    <n v="0"/>
    <n v="0"/>
    <n v="0"/>
    <m/>
    <n v="609407.99999999988"/>
    <n v="69551.999999999985"/>
    <n v="0"/>
    <n v="0"/>
    <n v="184"/>
    <n v="609407.99999999988"/>
    <n v="149823.5294117647"/>
    <n v="10"/>
    <n v="163"/>
    <n v="7"/>
    <m/>
    <n v="0"/>
    <n v="0"/>
    <n v="539855.99999999988"/>
    <n v="23183.999999999996"/>
    <n v="0"/>
    <n v="0"/>
    <n v="163"/>
    <n v="539855.99999999988"/>
    <n v="49941.176470588238"/>
    <n v="22"/>
    <n v="156"/>
    <n v="15.399999999999999"/>
    <n v="0"/>
    <n v="0"/>
    <n v="516671.99999999994"/>
    <n v="51004.799999999988"/>
    <n v="0"/>
    <n v="0"/>
    <n v="156"/>
    <n v="516671.99999999994"/>
    <n v="129282.35294117645"/>
    <n v="6"/>
    <n v="140.6"/>
    <n v="4.1999999999999993"/>
    <n v="0"/>
    <m/>
    <n v="465667.1999999999"/>
    <n v="16573.199999999997"/>
    <n v="0"/>
    <n v="140.6"/>
    <n v="465667.1999999999"/>
    <n v="35258.823529411755"/>
  </r>
  <r>
    <m/>
    <x v="6"/>
    <x v="30"/>
    <x v="70"/>
    <n v="1660859102915"/>
    <x v="697"/>
    <x v="538"/>
    <x v="0"/>
    <x v="2"/>
    <n v="1"/>
    <x v="31"/>
    <n v="2"/>
    <m/>
    <n v="0"/>
    <n v="5693"/>
    <n v="11386"/>
    <n v="4.9000000000000004"/>
    <n v="5353.25"/>
    <n v="12596.638655462186"/>
    <n v="12176.470588235296"/>
    <s v="Shenzhen"/>
    <x v="0"/>
    <n v="30"/>
    <m/>
    <n v="50"/>
    <n v="17"/>
    <n v="0.49900924499229593"/>
    <n v="28"/>
    <n v="0.48359023618531743"/>
    <n v="31"/>
    <n v="0.54680326501346943"/>
    <n v="19"/>
    <n v="0.46390788277281181"/>
    <n v="6"/>
    <n v="0.58304047453155394"/>
    <n v="10"/>
    <n v="0.41194638791140553"/>
    <n v="3"/>
    <n v="0.47213926636696585"/>
    <n v="3"/>
    <n v="0.38395736392165347"/>
    <n v="12"/>
    <n v="0.48186368945588032"/>
    <n v="9"/>
    <n v="0.52888786722449543"/>
    <n v="22"/>
    <n v="0.5124641878425511"/>
    <n v="6"/>
    <n v="0.54807463746927254"/>
    <n v="14"/>
    <n v="0.29094301811969697"/>
    <n v="32"/>
    <n v="0.23995456741194218"/>
    <n v="55"/>
    <n v="0.28230309609765303"/>
    <n v="18"/>
    <n v="0.33792826767250134"/>
    <n v="0.9"/>
    <n v="14"/>
    <n v="0.60948422959729887"/>
    <n v="0.93333333333333335"/>
    <n v="3"/>
    <n v="0.46181964573268924"/>
    <n v="0.3"/>
    <n v="0"/>
    <s v=""/>
    <n v="0"/>
    <n v="0"/>
    <s v=""/>
    <n v="0"/>
    <n v="1"/>
    <n v="0.42899780849629132"/>
    <n v="8.3333333333333329E-2"/>
    <m/>
    <m/>
    <m/>
    <m/>
    <m/>
    <m/>
    <m/>
    <m/>
    <m/>
    <n v="20"/>
    <n v="152"/>
    <n v="20"/>
    <n v="0"/>
    <n v="0"/>
    <n v="0"/>
    <n v="700239"/>
    <n v="770868"/>
    <n v="113860"/>
    <n v="0"/>
    <n v="2"/>
    <n v="11386"/>
    <n v="211708.21269684349"/>
    <n v="25"/>
    <n v="123"/>
    <n v="48"/>
    <n v="0"/>
    <n v="0"/>
    <n v="0"/>
    <n v="688853"/>
    <n v="623794.5"/>
    <n v="273264"/>
    <n v="0"/>
    <n v="2"/>
    <n v="11386"/>
    <n v="508099.71047242434"/>
    <n v="30"/>
    <n v="69"/>
    <n v="55"/>
    <n v="0"/>
    <n v="0"/>
    <n v="491661.5"/>
    <n v="392817"/>
    <n v="313115"/>
    <n v="0"/>
    <n v="2"/>
    <n v="11386"/>
    <n v="692815.12605042022"/>
    <n v="20"/>
    <n v="32"/>
    <n v="18"/>
    <n v="0"/>
    <n v="0"/>
    <n v="162288"/>
    <n v="102474"/>
    <x v="0"/>
    <x v="0"/>
    <n v="2"/>
    <n v="11386"/>
    <n v="226739.49579831935"/>
    <n v="15"/>
    <n v="16"/>
    <n v="15"/>
    <m/>
    <n v="0"/>
    <n v="0"/>
    <n v="91088"/>
    <n v="76072.5"/>
    <x v="0"/>
    <n v="0"/>
    <n v="2"/>
    <n v="11386"/>
    <n v="188949.57983193279"/>
    <n v="10"/>
    <n v="5"/>
    <n v="3"/>
    <m/>
    <n v="0"/>
    <n v="0"/>
    <n v="28465"/>
    <n v="15214.5"/>
    <n v="0"/>
    <n v="0"/>
    <n v="5"/>
    <n v="11386"/>
    <n v="37789.915966386558"/>
    <n v="8"/>
    <n v="2"/>
    <n v="0"/>
    <n v="0"/>
    <n v="0"/>
    <n v="0"/>
    <n v="11386"/>
    <n v="0"/>
    <n v="0"/>
    <n v="0"/>
    <n v="2"/>
    <n v="11386"/>
    <n v="0"/>
    <n v="8"/>
    <n v="2"/>
    <n v="0"/>
    <n v="0"/>
    <n v="0"/>
    <n v="0"/>
    <n v="11386"/>
    <n v="0"/>
    <n v="0"/>
    <n v="0"/>
    <n v="2"/>
    <n v="11386"/>
    <n v="0"/>
    <n v="12"/>
    <n v="3"/>
    <n v="0"/>
    <n v="0"/>
    <n v="0"/>
    <n v="0"/>
    <n v="15214.5"/>
    <n v="0"/>
    <n v="0"/>
    <n v="0"/>
    <n v="2"/>
    <n v="11386"/>
    <n v="0"/>
    <n v="0"/>
    <n v="3"/>
    <n v="0"/>
    <n v="0"/>
    <n v="0"/>
    <n v="0"/>
    <m/>
    <n v="15214.5"/>
    <n v="0"/>
    <n v="0"/>
    <n v="0"/>
    <n v="3"/>
    <n v="15214.5"/>
    <n v="0"/>
    <n v="0"/>
    <n v="3"/>
    <n v="0"/>
    <m/>
    <n v="0"/>
    <n v="0"/>
    <n v="15214.5"/>
    <n v="0"/>
    <n v="0"/>
    <n v="0"/>
    <n v="3"/>
    <n v="15214.5"/>
    <n v="0"/>
    <n v="0"/>
    <n v="3"/>
    <n v="0"/>
    <n v="0"/>
    <n v="0"/>
    <n v="15214.5"/>
    <n v="0"/>
    <n v="0"/>
    <n v="0"/>
    <n v="3"/>
    <n v="15214.5"/>
    <n v="0"/>
    <n v="0"/>
    <n v="3"/>
    <n v="0"/>
    <n v="0"/>
    <m/>
    <n v="15214.5"/>
    <n v="0"/>
    <n v="0"/>
    <n v="3"/>
    <n v="15214.5"/>
    <n v="0"/>
  </r>
  <r>
    <m/>
    <x v="6"/>
    <x v="30"/>
    <x v="70"/>
    <n v="1660859287583"/>
    <x v="698"/>
    <x v="539"/>
    <x v="0"/>
    <x v="2"/>
    <n v="1"/>
    <x v="31"/>
    <n v="184"/>
    <m/>
    <n v="0"/>
    <n v="8009"/>
    <n v="1473656"/>
    <n v="8.15"/>
    <n v="8903.875"/>
    <n v="16798.319327731093"/>
    <n v="16798.319327731093"/>
    <s v="Shenzhen"/>
    <x v="0"/>
    <n v="30"/>
    <m/>
    <n v="200"/>
    <n v="61"/>
    <n v="0.4819311379800208"/>
    <n v="75"/>
    <n v="0.46170510220313971"/>
    <n v="156"/>
    <n v="0.45829760552152388"/>
    <n v="60"/>
    <n v="0.48462981878984723"/>
    <n v="77"/>
    <n v="0.48014553649445868"/>
    <n v="81"/>
    <n v="0.43255385137321101"/>
    <n v="61"/>
    <n v="0.48325804377844023"/>
    <n v="65"/>
    <n v="0.52206736493810779"/>
    <n v="47"/>
    <n v="0.53068352294806809"/>
    <n v="98"/>
    <n v="0.49042721379587567"/>
    <n v="101"/>
    <n v="0.49192009927709068"/>
    <n v="71"/>
    <n v="0.47841948644028737"/>
    <n v="90"/>
    <n v="0.37931087086364007"/>
    <n v="75"/>
    <n v="0.37103006809933958"/>
    <n v="92"/>
    <n v="0.31546688955116781"/>
    <n v="73"/>
    <n v="0.3638316958624318"/>
    <n v="1.2166666666666666"/>
    <n v="78"/>
    <n v="0.5322319557551527"/>
    <n v="1.1142857142857143"/>
    <n v="29"/>
    <n v="0.31106894657729273"/>
    <n v="0.31182795698924731"/>
    <n v="0"/>
    <s v=""/>
    <n v="0"/>
    <n v="52"/>
    <n v="0.35717864006571609"/>
    <n v="1.3"/>
    <n v="40"/>
    <n v="0.35102992805205052"/>
    <n v="0.8"/>
    <m/>
    <m/>
    <m/>
    <m/>
    <m/>
    <m/>
    <m/>
    <m/>
    <m/>
    <n v="70"/>
    <n v="133"/>
    <n v="90"/>
    <n v="150"/>
    <n v="150"/>
    <n v="0"/>
    <n v="2358650.5"/>
    <n v="1121888.25"/>
    <n v="720810"/>
    <n v="0"/>
    <n v="184"/>
    <n v="1473656"/>
    <n v="1270461.1256267214"/>
    <n v="80"/>
    <n v="188"/>
    <n v="112.5"/>
    <n v="0"/>
    <n v="0"/>
    <n v="0"/>
    <n v="2222497.5"/>
    <n v="1585827"/>
    <n v="901012.5"/>
    <n v="0"/>
    <n v="184"/>
    <n v="1473656"/>
    <n v="1588076.4070334018"/>
    <n v="113"/>
    <n v="83"/>
    <n v="92"/>
    <n v="0"/>
    <n v="0"/>
    <n v="1911952.5"/>
    <n v="664747"/>
    <n v="736828"/>
    <n v="0"/>
    <n v="184"/>
    <n v="1473656"/>
    <n v="1545445.3781512605"/>
    <n v="60"/>
    <n v="207"/>
    <n v="73"/>
    <n v="200"/>
    <n v="0"/>
    <n v="1746096.75"/>
    <n v="584657"/>
    <x v="94"/>
    <x v="0"/>
    <n v="184"/>
    <n v="1473656"/>
    <n v="1226277.3109243698"/>
    <n v="70"/>
    <n v="262"/>
    <n v="70"/>
    <m/>
    <n v="0"/>
    <n v="0"/>
    <n v="2098358"/>
    <n v="590467.5"/>
    <x v="0"/>
    <n v="0"/>
    <n v="184"/>
    <n v="1473656"/>
    <n v="1175882.3529411764"/>
    <n v="93"/>
    <n v="213"/>
    <n v="29"/>
    <m/>
    <n v="0"/>
    <n v="0"/>
    <n v="1705917"/>
    <n v="244622.25"/>
    <n v="0"/>
    <n v="0"/>
    <n v="213"/>
    <n v="1473656"/>
    <n v="487151.26050420169"/>
    <n v="78"/>
    <n v="184"/>
    <n v="0"/>
    <n v="200"/>
    <n v="200"/>
    <n v="0"/>
    <n v="1473656"/>
    <n v="0"/>
    <n v="1630815"/>
    <n v="0"/>
    <n v="184"/>
    <n v="1473656"/>
    <n v="0"/>
    <n v="40"/>
    <n v="236"/>
    <n v="53"/>
    <n v="100"/>
    <n v="100"/>
    <n v="0"/>
    <n v="1890124"/>
    <n v="447068.25"/>
    <n v="843525"/>
    <n v="0"/>
    <n v="236"/>
    <n v="1890124"/>
    <n v="890310.92436974798"/>
    <n v="50"/>
    <n v="224"/>
    <n v="34.5"/>
    <n v="0"/>
    <n v="0"/>
    <n v="0"/>
    <n v="1889496"/>
    <n v="291016.125"/>
    <n v="0"/>
    <n v="0"/>
    <n v="184"/>
    <n v="1473656"/>
    <n v="579542.01680672274"/>
    <n v="80"/>
    <n v="189.5"/>
    <n v="80"/>
    <n v="0"/>
    <n v="0"/>
    <n v="0"/>
    <m/>
    <n v="1598479.875"/>
    <n v="674820"/>
    <n v="0"/>
    <n v="0"/>
    <n v="189.5"/>
    <n v="1598479.875"/>
    <n v="1343865.5462184874"/>
    <n v="50"/>
    <n v="109.5"/>
    <n v="50"/>
    <m/>
    <n v="0"/>
    <n v="0"/>
    <n v="923659.875"/>
    <n v="421762.5"/>
    <n v="0"/>
    <n v="0"/>
    <n v="109.5"/>
    <n v="923659.875"/>
    <n v="839915.96638655465"/>
    <n v="77"/>
    <n v="59.5"/>
    <n v="59.5"/>
    <n v="0"/>
    <n v="0"/>
    <n v="501897.375"/>
    <n v="501897.375"/>
    <n v="0"/>
    <n v="0"/>
    <n v="59.5"/>
    <n v="501897.375"/>
    <n v="999500"/>
    <n v="30"/>
    <n v="0"/>
    <n v="30"/>
    <n v="0"/>
    <m/>
    <n v="0"/>
    <n v="240270"/>
    <n v="0"/>
    <n v="0"/>
    <n v="0"/>
    <n v="503949.57983193279"/>
  </r>
  <r>
    <m/>
    <x v="6"/>
    <x v="30"/>
    <x v="70"/>
    <n v="67327712330533"/>
    <x v="699"/>
    <x v="540"/>
    <x v="0"/>
    <x v="2"/>
    <n v="1"/>
    <x v="31"/>
    <n v="157"/>
    <m/>
    <n v="0"/>
    <n v="6513"/>
    <n v="1022541"/>
    <n v="6.0500000000000007"/>
    <n v="6609.6250000000009"/>
    <n v="14277.310924369749"/>
    <n v="12596.638655462186"/>
    <s v="Ningbo"/>
    <x v="2"/>
    <n v="30"/>
    <m/>
    <n v="100"/>
    <n v="250"/>
    <n v="0.51267226239346553"/>
    <n v="283"/>
    <n v="0.66350448258800776"/>
    <n v="171"/>
    <n v="0.52075409166223774"/>
    <n v="153"/>
    <n v="0.48993080881722367"/>
    <n v="169"/>
    <n v="0.50795379748482505"/>
    <n v="607"/>
    <n v="0.42600557143209034"/>
    <n v="264"/>
    <n v="0.48763938591287675"/>
    <n v="271"/>
    <n v="0.42696154510999346"/>
    <n v="246"/>
    <n v="0.48233152360664977"/>
    <n v="1224"/>
    <n v="0.26013737054032526"/>
    <n v="190"/>
    <n v="0.43958746874019777"/>
    <n v="21"/>
    <n v="-1.1134888264745406"/>
    <n v="38"/>
    <n v="0.29367781861102937"/>
    <n v="93"/>
    <n v="0.3509172269623097"/>
    <n v="370"/>
    <n v="0.36749184336701257"/>
    <n v="255"/>
    <n v="0.46511481923443682"/>
    <n v="1.02"/>
    <n v="248"/>
    <n v="0.49160150835526106"/>
    <n v="1.24"/>
    <n v="354"/>
    <n v="0.42686763004359274"/>
    <n v="0.88500000000000001"/>
    <n v="256"/>
    <s v=""/>
    <n v="0.85333333333333339"/>
    <n v="83"/>
    <n v="0.2871821153644093"/>
    <n v="0.27666666666666667"/>
    <n v="-8"/>
    <n v="0.47979533291866455"/>
    <n v="-0.04"/>
    <m/>
    <m/>
    <m/>
    <m/>
    <m/>
    <m/>
    <m/>
    <m/>
    <m/>
    <n v="180"/>
    <n v="109"/>
    <n v="180"/>
    <n v="500"/>
    <n v="500"/>
    <n v="0"/>
    <n v="4490713.5"/>
    <n v="682530.75000000012"/>
    <n v="1172340"/>
    <n v="0"/>
    <n v="157"/>
    <n v="1022541"/>
    <n v="2159593.2490643319"/>
    <n v="200"/>
    <n v="919"/>
    <n v="139.5"/>
    <n v="450"/>
    <n v="300"/>
    <n v="0"/>
    <n v="4979188.5"/>
    <n v="5754548.2500000009"/>
    <n v="908563.5"/>
    <n v="0"/>
    <n v="157"/>
    <n v="1022541"/>
    <n v="1673684.7680248572"/>
    <n v="180"/>
    <n v="849"/>
    <n v="370"/>
    <n v="0"/>
    <n v="0"/>
    <n v="5322975"/>
    <n v="5529537"/>
    <n v="2409810"/>
    <n v="0"/>
    <n v="157"/>
    <n v="1022541"/>
    <n v="5282605.042016807"/>
    <n v="250"/>
    <n v="449"/>
    <n v="255"/>
    <n v="450"/>
    <n v="0"/>
    <n v="2811525.7500000005"/>
    <n v="1660815"/>
    <x v="95"/>
    <x v="0"/>
    <n v="157"/>
    <n v="1022541"/>
    <n v="3640714.2857142859"/>
    <n v="200"/>
    <n v="405"/>
    <n v="200"/>
    <n v="400"/>
    <n v="400"/>
    <n v="0"/>
    <n v="2637765"/>
    <n v="1252350.0000000002"/>
    <x v="32"/>
    <n v="0"/>
    <n v="157"/>
    <n v="1022541"/>
    <n v="2855462.1848739497"/>
    <n v="400"/>
    <n v="511"/>
    <n v="354"/>
    <m/>
    <n v="400"/>
    <n v="0"/>
    <n v="3328143"/>
    <n v="2216659.5000000005"/>
    <n v="0"/>
    <n v="0"/>
    <n v="511"/>
    <n v="1022541"/>
    <n v="5054168.0672268914"/>
    <n v="300"/>
    <n v="413"/>
    <n v="256"/>
    <n v="0"/>
    <n v="0"/>
    <n v="0"/>
    <n v="2689869"/>
    <n v="1603008.0000000002"/>
    <n v="0"/>
    <n v="0"/>
    <n v="413"/>
    <n v="1022541"/>
    <n v="3654991.5966386558"/>
    <n v="300"/>
    <n v="240"/>
    <n v="85"/>
    <n v="0"/>
    <n v="0"/>
    <n v="0"/>
    <n v="1563120"/>
    <n v="532248.75000000012"/>
    <n v="0"/>
    <n v="0"/>
    <n v="240"/>
    <n v="1563120"/>
    <n v="1213571.4285714286"/>
    <n v="200"/>
    <n v="149"/>
    <n v="0"/>
    <n v="500"/>
    <n v="500"/>
    <n v="0"/>
    <n v="933000.75000000012"/>
    <n v="0"/>
    <n v="3130875.0000000005"/>
    <n v="0"/>
    <n v="157"/>
    <n v="1022541"/>
    <n v="0"/>
    <n v="400"/>
    <n v="149"/>
    <n v="400"/>
    <n v="0"/>
    <n v="0"/>
    <n v="500"/>
    <n v="500"/>
    <n v="933000.75000000012"/>
    <n v="2504700.0000000005"/>
    <n v="0"/>
    <n v="3130875.0000000005"/>
    <n v="649"/>
    <n v="4063875.7500000005"/>
    <n v="5038655.4621848743"/>
    <n v="250"/>
    <n v="249"/>
    <n v="249"/>
    <m/>
    <n v="0"/>
    <n v="0"/>
    <n v="1559175.7500000002"/>
    <n v="1559175.7500000002"/>
    <n v="0"/>
    <n v="0"/>
    <n v="249"/>
    <n v="1559175.7500000002"/>
    <n v="3136563.0252100844"/>
    <n v="250"/>
    <n v="0"/>
    <n v="0"/>
    <n v="0"/>
    <n v="0"/>
    <n v="0"/>
    <n v="0"/>
    <n v="0"/>
    <n v="0"/>
    <n v="0"/>
    <n v="0"/>
    <n v="0"/>
    <n v="150"/>
    <n v="0"/>
    <n v="150"/>
    <n v="0"/>
    <m/>
    <n v="0"/>
    <n v="976950"/>
    <n v="0"/>
    <n v="0"/>
    <n v="0"/>
    <n v="2141596.6386554623"/>
  </r>
  <r>
    <m/>
    <x v="6"/>
    <x v="30"/>
    <x v="70"/>
    <s v="SIM4FRHRDUB-WD"/>
    <x v="700"/>
    <x v="541"/>
    <x v="0"/>
    <x v="4"/>
    <n v="1"/>
    <x v="410"/>
    <n v="238"/>
    <m/>
    <n v="0"/>
    <n v="5518"/>
    <n v="1313284"/>
    <n v="6.3500000000000005"/>
    <n v="6353.1750000000002"/>
    <n v="16016.407563025212"/>
    <n v="13613.946428571429"/>
    <s v="Shenzhen"/>
    <x v="0"/>
    <n v="30"/>
    <m/>
    <n v="3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12"/>
    <n v="0.57511822147451963"/>
    <n v="0.3"/>
    <n v="17"/>
    <n v="0.45613038873327827"/>
    <n v="0.42499999999999999"/>
    <n v="28"/>
    <n v="0.37089551031957885"/>
    <n v="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238"/>
    <n v="1313284"/>
    <n v="0"/>
    <n v="0"/>
    <n v="0"/>
    <n v="0"/>
    <n v="0"/>
    <n v="0"/>
    <n v="0"/>
    <n v="0"/>
    <x v="0"/>
    <x v="0"/>
    <n v="238"/>
    <n v="1313284"/>
    <n v="0"/>
    <n v="0"/>
    <n v="238"/>
    <n v="0"/>
    <m/>
    <m/>
    <n v="0"/>
    <n v="1313284"/>
    <n v="0"/>
    <x v="0"/>
    <n v="0"/>
    <n v="238"/>
    <n v="1313284"/>
    <n v="0"/>
    <n v="0"/>
    <n v="238"/>
    <n v="0"/>
    <m/>
    <n v="0"/>
    <n v="0"/>
    <n v="1313284"/>
    <n v="0"/>
    <n v="0"/>
    <n v="0"/>
    <n v="238"/>
    <n v="1313284"/>
    <n v="0"/>
    <n v="40"/>
    <n v="250"/>
    <n v="12"/>
    <n v="300"/>
    <n v="300"/>
    <n v="0"/>
    <n v="1379500"/>
    <n v="78867.000000000015"/>
    <n v="1905952.5"/>
    <n v="0"/>
    <n v="250"/>
    <n v="1313284"/>
    <n v="192196.89075630254"/>
    <n v="40"/>
    <n v="255"/>
    <n v="17"/>
    <n v="0"/>
    <n v="0"/>
    <n v="0"/>
    <n v="1407090"/>
    <n v="111728.25000000001"/>
    <n v="0"/>
    <n v="0"/>
    <n v="255"/>
    <n v="1407090"/>
    <n v="272278.92857142858"/>
    <n v="35"/>
    <n v="266"/>
    <n v="36"/>
    <n v="0"/>
    <n v="0"/>
    <n v="0"/>
    <n v="1748218.5000000002"/>
    <n v="236601.00000000003"/>
    <n v="0"/>
    <n v="0"/>
    <n v="238"/>
    <n v="1313284"/>
    <n v="576590.67226890766"/>
    <n v="80"/>
    <n v="230"/>
    <n v="80"/>
    <n v="0"/>
    <n v="0"/>
    <n v="0"/>
    <m/>
    <n v="1511617.5000000002"/>
    <n v="525780.00000000012"/>
    <n v="0"/>
    <n v="0"/>
    <n v="230"/>
    <n v="1511617.5000000002"/>
    <n v="1089115.7142857143"/>
    <n v="60"/>
    <n v="150"/>
    <n v="60"/>
    <m/>
    <n v="0"/>
    <n v="0"/>
    <n v="985837.50000000012"/>
    <n v="394335.00000000006"/>
    <n v="0"/>
    <n v="0"/>
    <n v="150"/>
    <n v="985837.50000000012"/>
    <n v="816836.7857142858"/>
    <n v="100"/>
    <n v="90"/>
    <n v="90"/>
    <n v="0"/>
    <n v="0"/>
    <n v="591502.50000000012"/>
    <n v="591502.50000000012"/>
    <n v="0"/>
    <n v="0"/>
    <n v="90"/>
    <n v="591502.50000000012"/>
    <n v="1441476.6806722691"/>
    <n v="36"/>
    <n v="0"/>
    <n v="36"/>
    <n v="0"/>
    <m/>
    <n v="0"/>
    <n v="198648"/>
    <n v="0"/>
    <n v="0"/>
    <n v="0"/>
    <n v="576590.67226890766"/>
  </r>
  <r>
    <m/>
    <x v="6"/>
    <x v="30"/>
    <x v="70"/>
    <s v="SIMCONCERL"/>
    <x v="701"/>
    <x v="537"/>
    <x v="0"/>
    <x v="2"/>
    <n v="0.7"/>
    <x v="31"/>
    <n v="80"/>
    <m/>
    <n v="0"/>
    <n v="4129"/>
    <n v="330320"/>
    <n v="3.2"/>
    <n v="3495.9999999999995"/>
    <n v="8394.957983193277"/>
    <n v="7134.453781512605"/>
    <s v="Shenzhen"/>
    <x v="0"/>
    <n v="30"/>
    <m/>
    <n v="50"/>
    <n v="18"/>
    <n v="0.50506649527380987"/>
    <n v="22"/>
    <n v="0.42187215978622988"/>
    <n v="17"/>
    <n v="0.43633213483838285"/>
    <n v="28"/>
    <n v="0.34608537985935206"/>
    <n v="14"/>
    <n v="0.51219346888478123"/>
    <n v="13"/>
    <n v="0.44062629881762805"/>
    <n v="15"/>
    <n v="0.48335886956665614"/>
    <n v="19"/>
    <n v="0.35549284644327284"/>
    <n v="38"/>
    <n v="0.32780735070926836"/>
    <n v="11"/>
    <n v="0.49725407302455021"/>
    <n v="10"/>
    <n v="0.51188582059388421"/>
    <n v="24"/>
    <n v="0.41710916640478551"/>
    <n v="17"/>
    <n v="0.62651424527000166"/>
    <n v="21"/>
    <n v="0.33917273625118305"/>
    <n v="20"/>
    <n v="0.24913974468798294"/>
    <n v="13"/>
    <n v="0.42253951829123931"/>
    <n v="0.4642857142857143"/>
    <n v="10"/>
    <n v="0.42135614179719699"/>
    <n v="0.7142857142857143"/>
    <n v="18"/>
    <n v="0.30893939596865999"/>
    <n v="1.3846153846153846"/>
    <n v="0"/>
    <s v=""/>
    <n v="0"/>
    <n v="32"/>
    <n v="0.2313707856307535"/>
    <n v="1.6842105263157894"/>
    <n v="4"/>
    <n v="0.26124191979863848"/>
    <n v="0.10526315789473684"/>
    <m/>
    <m/>
    <m/>
    <m/>
    <m/>
    <m/>
    <m/>
    <m/>
    <m/>
    <n v="20"/>
    <n v="195"/>
    <n v="20"/>
    <n v="0"/>
    <n v="0"/>
    <n v="0"/>
    <n v="295223.5"/>
    <n v="645839.99999999988"/>
    <n v="82580"/>
    <n v="0"/>
    <n v="80"/>
    <n v="330320"/>
    <n v="141091.73080997105"/>
    <n v="25"/>
    <n v="180"/>
    <n v="31.5"/>
    <n v="50"/>
    <n v="0"/>
    <n v="0"/>
    <n v="266320.5"/>
    <n v="596159.99999999988"/>
    <n v="130063.5"/>
    <n v="0"/>
    <n v="80"/>
    <n v="330320"/>
    <n v="222219.47602570441"/>
    <n v="14.700000000000001"/>
    <n v="153"/>
    <n v="20"/>
    <n v="0"/>
    <n v="0"/>
    <n v="168714.59999999998"/>
    <n v="631737"/>
    <n v="82580"/>
    <n v="0"/>
    <n v="80"/>
    <n v="330320"/>
    <n v="167899.15966386555"/>
    <n v="28"/>
    <n v="173"/>
    <n v="13"/>
    <n v="0"/>
    <n v="0"/>
    <n v="572975.99999999988"/>
    <n v="53677"/>
    <x v="0"/>
    <x v="0"/>
    <n v="80"/>
    <n v="330320"/>
    <n v="109134.4537815126"/>
    <n v="14"/>
    <n v="90"/>
    <n v="9.7999999999999989"/>
    <m/>
    <n v="0"/>
    <n v="0"/>
    <n v="371610"/>
    <n v="32457.599999999991"/>
    <x v="0"/>
    <n v="0"/>
    <n v="80"/>
    <n v="330320"/>
    <n v="82270.588235294112"/>
    <n v="13"/>
    <n v="98"/>
    <n v="18"/>
    <m/>
    <n v="0"/>
    <n v="0"/>
    <n v="404642"/>
    <n v="59615.999999999993"/>
    <n v="0"/>
    <n v="0"/>
    <n v="98"/>
    <n v="330320"/>
    <n v="151109.24369747899"/>
    <n v="15"/>
    <n v="80"/>
    <n v="0"/>
    <n v="0"/>
    <n v="0"/>
    <n v="0"/>
    <n v="330320"/>
    <n v="0"/>
    <n v="0"/>
    <n v="0"/>
    <n v="80"/>
    <n v="330320"/>
    <n v="0"/>
    <n v="19"/>
    <n v="112"/>
    <n v="33"/>
    <n v="0"/>
    <n v="0"/>
    <n v="0"/>
    <n v="462448"/>
    <n v="109295.99999999999"/>
    <n v="0"/>
    <n v="0"/>
    <n v="112"/>
    <n v="462448"/>
    <n v="277033.61344537814"/>
    <n v="38"/>
    <n v="84"/>
    <n v="6"/>
    <n v="0"/>
    <n v="0"/>
    <n v="0"/>
    <n v="278207.99999999994"/>
    <n v="19871.999999999996"/>
    <n v="0"/>
    <n v="0"/>
    <n v="80"/>
    <n v="330320"/>
    <n v="50369.747899159658"/>
    <n v="15"/>
    <n v="78"/>
    <n v="10.5"/>
    <n v="0"/>
    <n v="0"/>
    <n v="0"/>
    <m/>
    <n v="258335.99999999997"/>
    <n v="34775.999999999993"/>
    <n v="0"/>
    <n v="0"/>
    <n v="78"/>
    <n v="258335.99999999997"/>
    <n v="74911.76470588235"/>
    <n v="10"/>
    <n v="67.5"/>
    <n v="7"/>
    <m/>
    <n v="0"/>
    <n v="0"/>
    <n v="223559.99999999997"/>
    <n v="23183.999999999996"/>
    <n v="0"/>
    <n v="0"/>
    <n v="67.5"/>
    <n v="223559.99999999997"/>
    <n v="49941.176470588238"/>
    <n v="24"/>
    <n v="60.5"/>
    <n v="16.799999999999997"/>
    <n v="0"/>
    <n v="0"/>
    <n v="200375.99999999997"/>
    <n v="55641.599999999984"/>
    <n v="0"/>
    <n v="0"/>
    <n v="60.5"/>
    <n v="200375.99999999997"/>
    <n v="141035.29411764702"/>
    <n v="6"/>
    <n v="43.7"/>
    <n v="4.1999999999999993"/>
    <n v="0"/>
    <m/>
    <n v="144734.39999999999"/>
    <n v="17341.799999999996"/>
    <n v="0"/>
    <n v="43.7"/>
    <n v="144734.39999999999"/>
    <n v="35258.823529411755"/>
  </r>
  <r>
    <m/>
    <x v="6"/>
    <x v="30"/>
    <x v="70"/>
    <s v="SIMCONCERM"/>
    <x v="702"/>
    <x v="536"/>
    <x v="0"/>
    <x v="2"/>
    <n v="0.8"/>
    <x v="31"/>
    <n v="38"/>
    <m/>
    <n v="0"/>
    <n v="2800"/>
    <n v="106400"/>
    <n v="2.6"/>
    <n v="2840.5"/>
    <n v="6714.2857142857147"/>
    <n v="5453.7815126050418"/>
    <s v="Shenzhen"/>
    <x v="0"/>
    <n v="30"/>
    <m/>
    <n v="50"/>
    <n v="22"/>
    <n v="0.4927443041506801"/>
    <n v="30"/>
    <n v="0.46012860037492886"/>
    <n v="18"/>
    <n v="0.4816837733408228"/>
    <n v="39"/>
    <n v="0.36642609985170543"/>
    <n v="21"/>
    <n v="0.50144121975628431"/>
    <n v="17"/>
    <n v="0.40047811781832127"/>
    <n v="39"/>
    <n v="0.3708549809404787"/>
    <n v="21"/>
    <n v="0.3734700871464588"/>
    <n v="25"/>
    <n v="0.35744491525423733"/>
    <n v="11"/>
    <n v="0.43749765628854786"/>
    <n v="12"/>
    <n v="0.41699909404407043"/>
    <n v="28"/>
    <n v="0.38453162962296406"/>
    <n v="10"/>
    <n v="0.28722498527760248"/>
    <n v="19"/>
    <n v="0.35387101931443393"/>
    <n v="51"/>
    <n v="0.29435271185275491"/>
    <n v="17"/>
    <n v="0.1921273101004323"/>
    <n v="0.48571428571428571"/>
    <n v="19"/>
    <n v="0.41134397528321315"/>
    <n v="0.90476190476190477"/>
    <n v="21"/>
    <n v="0.261618716384724"/>
    <n v="1.2352941176470589"/>
    <n v="0"/>
    <s v=""/>
    <n v="0"/>
    <n v="31"/>
    <n v="0.29111799852237696"/>
    <n v="1.4761904761904763"/>
    <n v="9"/>
    <n v="0.28318164575872307"/>
    <n v="0.36"/>
    <m/>
    <m/>
    <m/>
    <m/>
    <m/>
    <m/>
    <m/>
    <m/>
    <m/>
    <n v="25"/>
    <n v="106"/>
    <n v="20"/>
    <n v="0"/>
    <n v="0"/>
    <n v="0"/>
    <n v="278600"/>
    <n v="285246"/>
    <n v="56000"/>
    <n v="0"/>
    <n v="38"/>
    <n v="106400"/>
    <n v="112845.13805522211"/>
    <n v="20"/>
    <n v="94"/>
    <n v="28.5"/>
    <n v="50"/>
    <n v="50"/>
    <n v="0"/>
    <n v="270200"/>
    <n v="252954"/>
    <n v="79800"/>
    <n v="0"/>
    <n v="38"/>
    <n v="106400"/>
    <n v="160804.32172869149"/>
    <n v="20"/>
    <n v="80"/>
    <n v="51"/>
    <n v="0"/>
    <n v="0"/>
    <n v="235608.8"/>
    <n v="224000"/>
    <n v="142800"/>
    <n v="0"/>
    <n v="38"/>
    <n v="106400"/>
    <n v="342428.57142857142"/>
    <n v="35"/>
    <n v="71"/>
    <n v="17"/>
    <n v="0"/>
    <n v="0"/>
    <n v="191061"/>
    <n v="47600"/>
    <x v="0"/>
    <x v="0"/>
    <n v="38"/>
    <n v="106400"/>
    <n v="114142.85714285714"/>
    <n v="21"/>
    <n v="57"/>
    <n v="16.8"/>
    <m/>
    <n v="0"/>
    <n v="0"/>
    <n v="159600"/>
    <n v="45208.800000000003"/>
    <x v="0"/>
    <n v="0"/>
    <n v="38"/>
    <n v="106400"/>
    <n v="112800.00000000001"/>
    <n v="17"/>
    <n v="59"/>
    <n v="21"/>
    <m/>
    <n v="0"/>
    <n v="0"/>
    <n v="165200"/>
    <n v="56511"/>
    <n v="0"/>
    <n v="0"/>
    <n v="59"/>
    <n v="106400"/>
    <n v="141000"/>
    <n v="39"/>
    <n v="38"/>
    <n v="0"/>
    <n v="100"/>
    <n v="100"/>
    <n v="0"/>
    <n v="106400"/>
    <n v="0"/>
    <n v="260129.99999999997"/>
    <n v="0"/>
    <n v="38"/>
    <n v="106400"/>
    <n v="0"/>
    <n v="21"/>
    <n v="69"/>
    <n v="32"/>
    <n v="0"/>
    <n v="0"/>
    <n v="0"/>
    <n v="193200"/>
    <n v="86112"/>
    <n v="0"/>
    <n v="0"/>
    <n v="69"/>
    <n v="193200"/>
    <n v="214857.14285714287"/>
    <n v="25"/>
    <n v="47"/>
    <n v="6"/>
    <n v="0"/>
    <n v="0"/>
    <n v="0"/>
    <n v="126477"/>
    <n v="16146"/>
    <n v="0"/>
    <n v="0"/>
    <n v="38"/>
    <n v="106400"/>
    <n v="40285.71428571429"/>
    <n v="15"/>
    <n v="41"/>
    <n v="12"/>
    <n v="0"/>
    <n v="0"/>
    <n v="0"/>
    <m/>
    <n v="110331"/>
    <n v="32292"/>
    <n v="0"/>
    <n v="0"/>
    <n v="41"/>
    <n v="110331"/>
    <n v="65445.378151260506"/>
    <n v="12"/>
    <n v="29"/>
    <n v="9.6000000000000014"/>
    <m/>
    <n v="0"/>
    <n v="0"/>
    <n v="78039"/>
    <n v="25833.600000000002"/>
    <n v="0"/>
    <n v="0"/>
    <n v="29"/>
    <n v="78039"/>
    <n v="52356.302521008409"/>
    <n v="28"/>
    <n v="19.399999999999999"/>
    <n v="19.399999999999999"/>
    <n v="0"/>
    <n v="0"/>
    <n v="52205.399999999994"/>
    <n v="52205.399999999994"/>
    <n v="0"/>
    <n v="0"/>
    <n v="19.399999999999999"/>
    <n v="52205.399999999994"/>
    <n v="130257.14285714286"/>
    <n v="7.1999999999999993"/>
    <n v="0"/>
    <n v="5.76"/>
    <n v="0"/>
    <m/>
    <n v="0"/>
    <n v="16128"/>
    <n v="0"/>
    <n v="0"/>
    <n v="0"/>
    <n v="38674.285714285717"/>
  </r>
  <r>
    <s v="Simplit-Organización"/>
    <x v="6"/>
    <x v="30"/>
    <x v="70"/>
    <s v="SIMCONCERS"/>
    <x v="703"/>
    <x v="535"/>
    <x v="0"/>
    <x v="2"/>
    <n v="0.6"/>
    <x v="31"/>
    <n v="8"/>
    <m/>
    <n v="0"/>
    <n v="1486"/>
    <n v="11888"/>
    <n v="1.4"/>
    <n v="1529.4999999999998"/>
    <n v="4193.2773109243699"/>
    <n v="4613.4453781512611"/>
    <s v="Shenzhen"/>
    <x v="0"/>
    <n v="30"/>
    <m/>
    <n v="50"/>
    <n v="21"/>
    <n v="0.51400352334596089"/>
    <n v="29"/>
    <n v="0.48619339684196783"/>
    <n v="19"/>
    <n v="0.54574056174849439"/>
    <n v="25"/>
    <n v="0.57436513031197811"/>
    <n v="27"/>
    <n v="0.42462917685411578"/>
    <n v="41"/>
    <n v="0.55678147892914598"/>
    <n v="31"/>
    <n v="0.53581059715409252"/>
    <n v="20"/>
    <n v="0.49611284448719045"/>
    <n v="30"/>
    <n v="0.5513100246627014"/>
    <n v="19"/>
    <n v="0.57640476685008546"/>
    <n v="20"/>
    <n v="0.61676609371896396"/>
    <n v="45"/>
    <n v="0.61497582822522379"/>
    <n v="21"/>
    <n v="0.43190274442403104"/>
    <n v="29"/>
    <n v="0.36941509884756846"/>
    <n v="11"/>
    <n v="0.2724231926017941"/>
    <n v="9"/>
    <n v="0.50010380206691762"/>
    <n v="0.36"/>
    <n v="39"/>
    <n v="0.55979854728217837"/>
    <n v="1.4444444444444444"/>
    <n v="4"/>
    <n v="-3.098892988929889E-2"/>
    <n v="9.7560975609756101E-2"/>
    <n v="0"/>
    <s v=""/>
    <n v="0"/>
    <n v="32"/>
    <n v="0.43433508586832592"/>
    <n v="1.6"/>
    <n v="5"/>
    <n v="0.56351362192291476"/>
    <n v="0.16666666666666666"/>
    <m/>
    <m/>
    <m/>
    <m/>
    <m/>
    <m/>
    <m/>
    <m/>
    <m/>
    <n v="20"/>
    <n v="73"/>
    <n v="20"/>
    <n v="0"/>
    <n v="0"/>
    <n v="0"/>
    <n v="110707"/>
    <n v="105777"/>
    <n v="29720"/>
    <n v="0"/>
    <n v="8"/>
    <n v="11888"/>
    <n v="70475.248923098668"/>
    <n v="25"/>
    <n v="52"/>
    <n v="43.5"/>
    <n v="50"/>
    <n v="50"/>
    <n v="0"/>
    <n v="94361"/>
    <n v="75348"/>
    <n v="64641"/>
    <n v="0"/>
    <n v="8"/>
    <n v="11888"/>
    <n v="153283.6664077396"/>
    <n v="30"/>
    <n v="23"/>
    <n v="11"/>
    <n v="0"/>
    <n v="0"/>
    <n v="53193.8"/>
    <n v="34178"/>
    <n v="16346"/>
    <n v="0"/>
    <n v="8"/>
    <n v="11888"/>
    <n v="46126.050420168067"/>
    <n v="25"/>
    <n v="58"/>
    <n v="9"/>
    <n v="0"/>
    <n v="0"/>
    <n v="84042"/>
    <n v="13374"/>
    <x v="0"/>
    <x v="0"/>
    <n v="8"/>
    <n v="11888"/>
    <n v="37739.495798319331"/>
    <n v="27"/>
    <n v="47"/>
    <n v="16.2"/>
    <m/>
    <n v="0"/>
    <n v="0"/>
    <n v="69842"/>
    <n v="23473.8"/>
    <x v="0"/>
    <n v="0"/>
    <n v="8"/>
    <n v="11888"/>
    <n v="67931.092436974795"/>
    <n v="41"/>
    <n v="12"/>
    <n v="4"/>
    <m/>
    <n v="0"/>
    <n v="0"/>
    <n v="17832"/>
    <n v="5796"/>
    <n v="0"/>
    <n v="0"/>
    <n v="12"/>
    <n v="11888"/>
    <n v="16773.10924369748"/>
    <n v="31"/>
    <n v="8"/>
    <n v="0"/>
    <n v="100"/>
    <n v="100"/>
    <n v="0"/>
    <n v="11888"/>
    <n v="0"/>
    <n v="140069.99999999997"/>
    <n v="0"/>
    <n v="8"/>
    <n v="11888"/>
    <n v="0"/>
    <n v="20"/>
    <n v="40"/>
    <n v="33"/>
    <n v="0"/>
    <n v="0"/>
    <n v="0"/>
    <n v="59440"/>
    <n v="47817"/>
    <n v="0"/>
    <n v="0"/>
    <n v="40"/>
    <n v="59440"/>
    <n v="138378.15126050421"/>
    <n v="30"/>
    <n v="13"/>
    <n v="7.5"/>
    <n v="0"/>
    <n v="0"/>
    <n v="0"/>
    <n v="18837"/>
    <n v="10867.5"/>
    <n v="0"/>
    <n v="0"/>
    <n v="8"/>
    <n v="11888"/>
    <n v="31449.579831932773"/>
    <n v="20"/>
    <n v="5.5"/>
    <n v="5.5"/>
    <n v="0"/>
    <n v="0"/>
    <n v="0"/>
    <m/>
    <n v="7969.5"/>
    <n v="7969.5"/>
    <n v="0"/>
    <n v="0"/>
    <n v="5.5"/>
    <n v="7969.5"/>
    <n v="25373.949579831937"/>
    <n v="20"/>
    <n v="0"/>
    <n v="0"/>
    <m/>
    <n v="0"/>
    <n v="0"/>
    <n v="0"/>
    <n v="0"/>
    <n v="0"/>
    <n v="0"/>
    <n v="0"/>
    <n v="0"/>
    <n v="0"/>
    <n v="45"/>
    <n v="0"/>
    <n v="0"/>
    <n v="0"/>
    <n v="0"/>
    <n v="0"/>
    <n v="0"/>
    <n v="0"/>
    <n v="0"/>
    <n v="0"/>
    <n v="0"/>
    <n v="0"/>
    <n v="12"/>
    <n v="0"/>
    <n v="7.1999999999999993"/>
    <n v="0"/>
    <m/>
    <n v="0"/>
    <n v="10699.199999999999"/>
    <n v="0"/>
    <n v="0"/>
    <n v="0"/>
    <n v="30191.596638655461"/>
  </r>
  <r>
    <m/>
    <x v="6"/>
    <x v="30"/>
    <x v="70"/>
    <s v="SIMOREXBAS-WD"/>
    <x v="704"/>
    <x v="542"/>
    <x v="0"/>
    <x v="1"/>
    <n v="1"/>
    <x v="411"/>
    <n v="732"/>
    <m/>
    <n v="0"/>
    <n v="6078"/>
    <n v="4449096"/>
    <n v="5.0999999999999996"/>
    <n v="5571.75"/>
    <n v="16798.319327731093"/>
    <n v="19319.327731092439"/>
    <s v="Shenzhen"/>
    <x v="0"/>
    <n v="30"/>
    <m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30"/>
    <n v="0.65927726610124571"/>
    <n v="146"/>
    <n v="0.55901267812540456"/>
    <n v="104"/>
    <n v="0.53137013220119056"/>
    <n v="6"/>
    <n v="0.46750946298860824"/>
    <n v="3"/>
    <n v="0.53133756969145729"/>
    <n v="0.3"/>
    <n v="4"/>
    <n v="0.67375460966982403"/>
    <n v="0"/>
    <n v="166"/>
    <n v="0.57520136299742575"/>
    <n v="0"/>
    <n v="123"/>
    <n v="0.66215246863132693"/>
    <n v="0.82"/>
    <n v="140"/>
    <n v="0.4817016956144537"/>
    <n v="1.4"/>
    <n v="94"/>
    <n v="0.44893849826764182"/>
    <n v="0.72307692307692306"/>
    <m/>
    <m/>
    <m/>
    <m/>
    <m/>
    <m/>
    <m/>
    <m/>
    <m/>
    <n v="50"/>
    <n v="270"/>
    <n v="90"/>
    <n v="0"/>
    <n v="0"/>
    <n v="0"/>
    <n v="1531656"/>
    <n v="1425195"/>
    <n v="547020"/>
    <n v="0"/>
    <n v="732"/>
    <n v="4449096"/>
    <n v="1270461.1256267214"/>
    <n v="80"/>
    <n v="110"/>
    <n v="156"/>
    <n v="0"/>
    <n v="0"/>
    <n v="0"/>
    <n v="1002870"/>
    <n v="580635"/>
    <n v="948168"/>
    <n v="0"/>
    <n v="732"/>
    <n v="4449096"/>
    <n v="2202132.6177529837"/>
    <n v="150"/>
    <n v="2"/>
    <n v="6"/>
    <n v="0"/>
    <n v="0"/>
    <n v="54702"/>
    <n v="12156"/>
    <n v="36468"/>
    <n v="0"/>
    <n v="732"/>
    <n v="4449096"/>
    <n v="100789.91596638656"/>
    <n v="10"/>
    <n v="3"/>
    <n v="3"/>
    <n v="300"/>
    <n v="0"/>
    <n v="15835.5"/>
    <n v="18234"/>
    <x v="96"/>
    <x v="0"/>
    <n v="732"/>
    <n v="4449096"/>
    <n v="50394.957983193279"/>
    <n v="0"/>
    <n v="736"/>
    <n v="0"/>
    <m/>
    <n v="0"/>
    <n v="0"/>
    <n v="4473408"/>
    <n v="0"/>
    <x v="0"/>
    <n v="0"/>
    <n v="732"/>
    <n v="4449096"/>
    <n v="0"/>
    <n v="0"/>
    <n v="898"/>
    <n v="166"/>
    <m/>
    <n v="0"/>
    <n v="0"/>
    <n v="5458044"/>
    <n v="876231"/>
    <n v="0"/>
    <n v="0"/>
    <n v="898"/>
    <n v="4449096"/>
    <n v="2788521.0084033613"/>
    <n v="150"/>
    <n v="855"/>
    <n v="123"/>
    <n v="500"/>
    <n v="500"/>
    <n v="0"/>
    <n v="5196690"/>
    <n v="649255.5"/>
    <n v="2551274.9999999995"/>
    <n v="0"/>
    <n v="855"/>
    <n v="4449096"/>
    <n v="2066193.2773109244"/>
    <n v="100"/>
    <n v="872"/>
    <n v="144"/>
    <n v="0"/>
    <n v="0"/>
    <n v="0"/>
    <n v="5300016"/>
    <n v="760104"/>
    <n v="0"/>
    <n v="0"/>
    <n v="872"/>
    <n v="5300016"/>
    <n v="2418957.9831932774"/>
    <n v="130"/>
    <n v="826"/>
    <n v="108"/>
    <n v="500"/>
    <n v="300"/>
    <n v="0"/>
    <n v="4360041"/>
    <n v="570078"/>
    <n v="2639250"/>
    <n v="0"/>
    <n v="732"/>
    <n v="4449096"/>
    <n v="1814218.487394958"/>
    <n v="250"/>
    <n v="718"/>
    <n v="250"/>
    <n v="0"/>
    <n v="0"/>
    <n v="0"/>
    <n v="300"/>
    <n v="3789963"/>
    <n v="1319625"/>
    <n v="0"/>
    <n v="0"/>
    <n v="718"/>
    <n v="3789963"/>
    <n v="4829831.9327731095"/>
    <n v="140"/>
    <n v="468"/>
    <n v="140"/>
    <m/>
    <n v="0"/>
    <n v="0"/>
    <n v="2470338"/>
    <n v="738990"/>
    <n v="0"/>
    <n v="0"/>
    <n v="468"/>
    <n v="2470338"/>
    <n v="2704705.8823529412"/>
    <n v="200"/>
    <n v="328"/>
    <n v="200"/>
    <n v="0"/>
    <n v="0"/>
    <n v="1731348"/>
    <n v="1055700"/>
    <n v="0"/>
    <n v="0"/>
    <n v="328"/>
    <n v="1731348"/>
    <n v="3359663.8655462186"/>
    <n v="84"/>
    <n v="128"/>
    <n v="84"/>
    <n v="500"/>
    <n v="500"/>
    <n v="675648"/>
    <n v="510552"/>
    <n v="2639250"/>
    <n v="628"/>
    <n v="3314898"/>
    <n v="1411058.8235294118"/>
  </r>
  <r>
    <m/>
    <x v="6"/>
    <x v="30"/>
    <x v="70"/>
    <s v="SIMOREXOSL-WD"/>
    <x v="705"/>
    <x v="543"/>
    <x v="0"/>
    <x v="4"/>
    <n v="1"/>
    <x v="31"/>
    <n v="653"/>
    <m/>
    <n v="0"/>
    <n v="5781"/>
    <n v="3774993"/>
    <n v="4.88"/>
    <n v="4882.4399999999987"/>
    <n v="12308.67226890756"/>
    <n v="10462.371428571425"/>
    <s v="Shenzhen"/>
    <x v="0"/>
    <n v="30"/>
    <m/>
    <n v="300"/>
    <m/>
    <m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n v="0"/>
    <s v=""/>
    <n v="0"/>
    <n v="0"/>
    <s v=""/>
    <n v="0"/>
    <n v="0"/>
    <s v=""/>
    <n v="0"/>
    <n v="35"/>
    <s v=""/>
    <n v="1"/>
    <n v="86"/>
    <s v=""/>
    <n v="0.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m/>
    <n v="0"/>
    <m/>
    <m/>
    <n v="653"/>
    <n v="3774993"/>
    <n v="0"/>
    <n v="0"/>
    <n v="0"/>
    <n v="0"/>
    <n v="0"/>
    <n v="0"/>
    <n v="0"/>
    <n v="0"/>
    <x v="0"/>
    <x v="0"/>
    <n v="653"/>
    <n v="3774993"/>
    <n v="0"/>
    <n v="0"/>
    <n v="653"/>
    <n v="0"/>
    <m/>
    <m/>
    <n v="0"/>
    <n v="3774993"/>
    <n v="0"/>
    <x v="0"/>
    <n v="0"/>
    <n v="653"/>
    <n v="3774993"/>
    <n v="0"/>
    <n v="0"/>
    <n v="653"/>
    <n v="0"/>
    <m/>
    <n v="0"/>
    <n v="0"/>
    <n v="3774993"/>
    <n v="0"/>
    <n v="0"/>
    <n v="0"/>
    <n v="653"/>
    <n v="3774993"/>
    <n v="0"/>
    <n v="80"/>
    <n v="653"/>
    <n v="0"/>
    <n v="300"/>
    <n v="300"/>
    <n v="0"/>
    <n v="3774993"/>
    <n v="0"/>
    <n v="1464731.9999999995"/>
    <n v="0"/>
    <n v="653"/>
    <n v="3774993"/>
    <n v="0"/>
    <n v="35"/>
    <n v="688"/>
    <n v="36"/>
    <n v="500"/>
    <n v="500"/>
    <n v="0"/>
    <n v="3977328"/>
    <n v="181828.8"/>
    <n v="2525399.9999999995"/>
    <n v="0"/>
    <n v="688"/>
    <n v="3977328"/>
    <n v="443112.20168067212"/>
    <n v="100"/>
    <n v="739"/>
    <n v="84"/>
    <n v="0"/>
    <n v="0"/>
    <n v="0"/>
    <n v="3732541.1999999993"/>
    <n v="424267.19999999995"/>
    <n v="0"/>
    <n v="0"/>
    <n v="653"/>
    <n v="3774993"/>
    <n v="1033928.470588235"/>
    <n v="200"/>
    <n v="655"/>
    <n v="200"/>
    <n v="0"/>
    <n v="0"/>
    <n v="0"/>
    <n v="500"/>
    <n v="3308273.9999999995"/>
    <n v="1010159.9999999999"/>
    <n v="0"/>
    <n v="0"/>
    <n v="655"/>
    <n v="3308273.9999999995"/>
    <n v="2092474.285714285"/>
    <n v="120"/>
    <n v="455"/>
    <n v="120"/>
    <m/>
    <n v="0"/>
    <n v="0"/>
    <n v="2298113.9999999995"/>
    <n v="606095.99999999988"/>
    <n v="0"/>
    <n v="0"/>
    <n v="455"/>
    <n v="2298113.9999999995"/>
    <n v="1255484.5714285709"/>
    <n v="200"/>
    <n v="335"/>
    <n v="200"/>
    <n v="0"/>
    <n v="0"/>
    <n v="1692017.9999999998"/>
    <n v="1010159.9999999999"/>
    <n v="0"/>
    <n v="0"/>
    <n v="335"/>
    <n v="1692017.9999999998"/>
    <n v="2461734.4537815121"/>
    <n v="72"/>
    <n v="135"/>
    <n v="72"/>
    <n v="500"/>
    <n v="500"/>
    <n v="681857.99999999988"/>
    <n v="416232"/>
    <n v="2525399.9999999995"/>
    <n v="635"/>
    <n v="3207257.9999999995"/>
    <n v="886224.40336134424"/>
  </r>
  <r>
    <m/>
    <x v="6"/>
    <x v="30"/>
    <x v="70"/>
    <s v="SIMTUPBENT"/>
    <x v="706"/>
    <x v="544"/>
    <x v="0"/>
    <x v="5"/>
    <n v="0.6"/>
    <x v="412"/>
    <n v="92"/>
    <m/>
    <n v="0"/>
    <n v="2786"/>
    <n v="256312"/>
    <n v="2.8"/>
    <n v="3058.9999999999995"/>
    <n v="8394.957983193277"/>
    <n v="7554.6218487394963"/>
    <s v="Shenzhen"/>
    <x v="0"/>
    <n v="30"/>
    <m/>
    <n v="100"/>
    <n v="5"/>
    <n v="0.61977367480643242"/>
    <n v="17"/>
    <n v="0.55295435782521529"/>
    <n v="28"/>
    <n v="0.56188011505743396"/>
    <n v="7"/>
    <n v="0.57749834546657841"/>
    <n v="25"/>
    <n v="0.56705116410728185"/>
    <n v="32"/>
    <n v="0.57718027302554675"/>
    <n v="19"/>
    <n v="0.57581247554082882"/>
    <n v="29"/>
    <n v="0.54185686544901923"/>
    <n v="15"/>
    <n v="0.56585419451327956"/>
    <n v="17"/>
    <n v="0.55102588530225616"/>
    <n v="5"/>
    <n v="0.45677331518039482"/>
    <n v="1"/>
    <n v="0.45677331518039482"/>
    <n v="7"/>
    <n v="0.52003517448532544"/>
    <n v="13"/>
    <n v="0.53760881921438497"/>
    <n v="18"/>
    <n v="0.55576545446587888"/>
    <n v="7"/>
    <n v="0.55980691878744793"/>
    <n v="0.28000000000000003"/>
    <n v="10"/>
    <n v="0.61395392687325789"/>
    <n v="0.4"/>
    <n v="16"/>
    <n v="0.45551580607815373"/>
    <n v="0.5"/>
    <n v="10"/>
    <n v="0.62780859948087131"/>
    <n v="0.52631578947368418"/>
    <n v="16"/>
    <n v="0.43287176366349189"/>
    <n v="0.55172413793103448"/>
    <n v="15"/>
    <n v="0.42744778991194854"/>
    <n v="1"/>
    <m/>
    <m/>
    <m/>
    <m/>
    <m/>
    <m/>
    <m/>
    <m/>
    <m/>
    <n v="20"/>
    <n v="117"/>
    <n v="15"/>
    <n v="0"/>
    <n v="0"/>
    <n v="0"/>
    <n v="146265"/>
    <n v="339066"/>
    <n v="41790"/>
    <n v="0"/>
    <n v="92"/>
    <n v="256312"/>
    <n v="105818.79810747829"/>
    <n v="25"/>
    <n v="110"/>
    <n v="19.5"/>
    <n v="100"/>
    <n v="100"/>
    <n v="0"/>
    <n v="123977"/>
    <n v="318780"/>
    <n v="54327"/>
    <n v="0"/>
    <n v="92"/>
    <n v="256312"/>
    <n v="137564.43753972178"/>
    <n v="50"/>
    <n v="199"/>
    <n v="18"/>
    <n v="0"/>
    <n v="0"/>
    <n v="113120"/>
    <n v="554414"/>
    <n v="50148"/>
    <n v="0"/>
    <n v="92"/>
    <n v="256312"/>
    <n v="151109.24369747899"/>
    <n v="25"/>
    <n v="176"/>
    <n v="7"/>
    <n v="0"/>
    <n v="0"/>
    <n v="510048"/>
    <n v="19502"/>
    <x v="0"/>
    <x v="0"/>
    <n v="92"/>
    <n v="256312"/>
    <n v="58764.705882352937"/>
    <n v="25"/>
    <n v="102"/>
    <n v="15"/>
    <m/>
    <n v="0"/>
    <n v="0"/>
    <n v="284172"/>
    <n v="43470"/>
    <x v="0"/>
    <n v="0"/>
    <n v="92"/>
    <n v="256312"/>
    <n v="125924.36974789915"/>
    <n v="32"/>
    <n v="108"/>
    <n v="16"/>
    <m/>
    <n v="0"/>
    <n v="0"/>
    <n v="300888"/>
    <n v="46368"/>
    <n v="0"/>
    <n v="0"/>
    <n v="108"/>
    <n v="256312"/>
    <n v="134319.32773109243"/>
    <n v="19"/>
    <n v="102"/>
    <n v="10"/>
    <n v="0"/>
    <n v="0"/>
    <n v="0"/>
    <n v="284172"/>
    <n v="28980"/>
    <n v="0"/>
    <n v="0"/>
    <n v="102"/>
    <n v="256312"/>
    <n v="83949.579831932773"/>
    <n v="29"/>
    <n v="108"/>
    <n v="16"/>
    <n v="0"/>
    <n v="0"/>
    <n v="0"/>
    <n v="300888"/>
    <n v="46368"/>
    <n v="0"/>
    <n v="0"/>
    <n v="108"/>
    <n v="300888"/>
    <n v="134319.32773109243"/>
    <n v="15"/>
    <n v="107"/>
    <n v="22.5"/>
    <n v="0"/>
    <n v="0"/>
    <n v="0"/>
    <n v="310086"/>
    <n v="65205"/>
    <n v="0"/>
    <n v="0"/>
    <n v="92"/>
    <n v="256312"/>
    <n v="188886.55462184874"/>
    <n v="17"/>
    <n v="84.5"/>
    <n v="10.199999999999999"/>
    <n v="0"/>
    <n v="0"/>
    <n v="0"/>
    <m/>
    <n v="244881"/>
    <n v="29559.599999999999"/>
    <n v="0"/>
    <n v="0"/>
    <n v="84.5"/>
    <n v="244881"/>
    <n v="77057.142857142855"/>
    <n v="15"/>
    <n v="74.3"/>
    <n v="9"/>
    <m/>
    <n v="0"/>
    <n v="0"/>
    <n v="215321.4"/>
    <n v="26082"/>
    <n v="0"/>
    <n v="0"/>
    <n v="74.3"/>
    <n v="215321.4"/>
    <n v="67991.596638655465"/>
    <n v="20"/>
    <n v="65.3"/>
    <n v="12"/>
    <n v="0"/>
    <n v="0"/>
    <n v="189239.4"/>
    <n v="34776"/>
    <n v="0"/>
    <n v="0"/>
    <n v="65.3"/>
    <n v="189239.4"/>
    <n v="100739.49579831932"/>
    <n v="9"/>
    <n v="53.3"/>
    <n v="5.3999999999999995"/>
    <n v="0"/>
    <m/>
    <n v="154463.4"/>
    <n v="15044.399999999998"/>
    <n v="0"/>
    <n v="53.3"/>
    <n v="154463.4"/>
    <n v="45332.773109243688"/>
  </r>
  <r>
    <m/>
    <x v="6"/>
    <x v="30"/>
    <x v="70"/>
    <s v="SIMTUPSILBL"/>
    <x v="707"/>
    <x v="544"/>
    <x v="0"/>
    <x v="0"/>
    <n v="0.8"/>
    <x v="413"/>
    <n v="39"/>
    <m/>
    <n v="0"/>
    <n v="2732"/>
    <n v="106548"/>
    <n v="2.8"/>
    <n v="3058.9999999999995"/>
    <n v="8394.957983193277"/>
    <n v="7554.6218487394963"/>
    <s v="Shenzhen"/>
    <x v="0"/>
    <n v="30"/>
    <m/>
    <n v="100"/>
    <n v="15"/>
    <n v="0.55710955710955712"/>
    <n v="18"/>
    <n v="0.57696827262044659"/>
    <n v="53"/>
    <n v="0.56573780986084921"/>
    <n v="22"/>
    <n v="0.5997406110287562"/>
    <n v="21"/>
    <n v="0.5758262461324134"/>
    <n v="34"/>
    <n v="0.59135704239479991"/>
    <n v="15"/>
    <n v="0.58807609785418069"/>
    <n v="31"/>
    <n v="0.59984672768111025"/>
    <n v="7"/>
    <n v="0.60961168271432309"/>
    <n v="17"/>
    <n v="0.58957119247216316"/>
    <n v="0"/>
    <s v=""/>
    <n v="0"/>
    <s v=""/>
    <n v="12"/>
    <n v="0.63237187441935105"/>
    <n v="20"/>
    <n v="0.62759809885503659"/>
    <n v="43"/>
    <n v="0.54538322117708105"/>
    <n v="16"/>
    <n v="0.58376471561486032"/>
    <n v="0.64"/>
    <n v="13"/>
    <n v="0.59241012653056202"/>
    <n v="0.61904761904761907"/>
    <n v="5"/>
    <n v="0.68456722240956391"/>
    <n v="0.14705882352941177"/>
    <n v="13"/>
    <n v="0.66216396838012836"/>
    <n v="0.8666666666666667"/>
    <n v="14"/>
    <n v="0.46192644251599474"/>
    <n v="0.45161290322580644"/>
    <n v="17"/>
    <n v="0.40774222952771383"/>
    <n v="1.3076923076923077"/>
    <m/>
    <m/>
    <m/>
    <m/>
    <m/>
    <m/>
    <m/>
    <m/>
    <m/>
    <n v="20"/>
    <n v="106"/>
    <n v="20"/>
    <n v="0"/>
    <n v="0"/>
    <n v="0"/>
    <n v="254076"/>
    <n v="307188"/>
    <n v="54640"/>
    <n v="0"/>
    <n v="39"/>
    <n v="106548"/>
    <n v="141091.73080997105"/>
    <n v="25"/>
    <n v="95"/>
    <n v="30"/>
    <n v="100"/>
    <n v="100"/>
    <n v="0"/>
    <n v="243148"/>
    <n v="275310"/>
    <n v="81960"/>
    <n v="0"/>
    <n v="39"/>
    <n v="106548"/>
    <n v="211637.59621495657"/>
    <n v="50"/>
    <n v="160"/>
    <n v="43"/>
    <n v="0"/>
    <n v="0"/>
    <n v="209874.4"/>
    <n v="437120"/>
    <n v="117476"/>
    <n v="0"/>
    <n v="39"/>
    <n v="106548"/>
    <n v="360983.19327731093"/>
    <n v="25"/>
    <n v="132"/>
    <n v="16"/>
    <n v="0"/>
    <n v="0"/>
    <n v="382536"/>
    <n v="43712"/>
    <x v="0"/>
    <x v="0"/>
    <n v="39"/>
    <n v="106548"/>
    <n v="134319.32773109243"/>
    <n v="21"/>
    <n v="52"/>
    <n v="16.8"/>
    <m/>
    <n v="0"/>
    <n v="0"/>
    <n v="142064"/>
    <n v="48686.400000000001"/>
    <x v="0"/>
    <n v="0"/>
    <n v="39"/>
    <n v="106548"/>
    <n v="141035.29411764705"/>
    <n v="34"/>
    <n v="44"/>
    <n v="5"/>
    <m/>
    <n v="0"/>
    <n v="0"/>
    <n v="120208"/>
    <n v="14490"/>
    <n v="0"/>
    <n v="0"/>
    <n v="44"/>
    <n v="106548"/>
    <n v="41974.789915966387"/>
    <n v="15"/>
    <n v="52"/>
    <n v="13"/>
    <n v="0"/>
    <n v="0"/>
    <n v="0"/>
    <n v="142064"/>
    <n v="37674"/>
    <n v="0"/>
    <n v="0"/>
    <n v="52"/>
    <n v="106548"/>
    <n v="109134.4537815126"/>
    <n v="31"/>
    <n v="53"/>
    <n v="14"/>
    <n v="0"/>
    <n v="0"/>
    <n v="0"/>
    <n v="144796"/>
    <n v="40572"/>
    <n v="0"/>
    <n v="0"/>
    <n v="53"/>
    <n v="144796"/>
    <n v="117529.41176470587"/>
    <n v="13"/>
    <n v="56"/>
    <n v="21"/>
    <n v="0"/>
    <n v="0"/>
    <n v="0"/>
    <n v="162288"/>
    <n v="60858"/>
    <n v="0"/>
    <n v="0"/>
    <n v="39"/>
    <n v="106548"/>
    <n v="176294.11764705883"/>
    <n v="17"/>
    <n v="35"/>
    <n v="13.600000000000001"/>
    <n v="0"/>
    <n v="0"/>
    <n v="0"/>
    <m/>
    <n v="101430"/>
    <n v="39412.800000000003"/>
    <n v="0"/>
    <n v="0"/>
    <n v="35"/>
    <n v="101430"/>
    <n v="102742.85714285716"/>
    <n v="17"/>
    <n v="21.4"/>
    <n v="13.600000000000001"/>
    <m/>
    <n v="0"/>
    <n v="0"/>
    <n v="62017.2"/>
    <n v="39412.800000000003"/>
    <n v="0"/>
    <n v="0"/>
    <n v="21.4"/>
    <n v="62017.2"/>
    <n v="102742.85714285716"/>
    <n v="17"/>
    <n v="7.7999999999999972"/>
    <n v="7.7999999999999972"/>
    <n v="0"/>
    <n v="0"/>
    <n v="22604.399999999991"/>
    <n v="22604.399999999991"/>
    <n v="0"/>
    <n v="0"/>
    <n v="7.7999999999999972"/>
    <n v="22604.399999999991"/>
    <n v="65480.67226890754"/>
    <n v="10.199999999999999"/>
    <n v="0"/>
    <n v="8.16"/>
    <n v="0"/>
    <m/>
    <n v="0"/>
    <n v="22293.119999999999"/>
    <n v="0"/>
    <n v="0"/>
    <n v="0"/>
    <n v="68502.857142857145"/>
  </r>
  <r>
    <m/>
    <x v="6"/>
    <x v="30"/>
    <x v="70"/>
    <s v="SIMTUPSILGR"/>
    <x v="708"/>
    <x v="544"/>
    <x v="0"/>
    <x v="0"/>
    <n v="1"/>
    <x v="414"/>
    <n v="30"/>
    <m/>
    <n v="0"/>
    <n v="2833"/>
    <n v="84990"/>
    <n v="2.8"/>
    <n v="3058.9999999999995"/>
    <n v="8394.957983193277"/>
    <n v="7554.6218487394963"/>
    <s v="Shenzhen"/>
    <x v="0"/>
    <n v="30"/>
    <m/>
    <n v="100"/>
    <n v="28"/>
    <n v="0.60620972887538893"/>
    <n v="32"/>
    <n v="0.58785021243483071"/>
    <n v="58"/>
    <n v="0.58430696831587814"/>
    <n v="31"/>
    <n v="0.60191656137682303"/>
    <n v="21"/>
    <n v="0.58410465880760043"/>
    <n v="35"/>
    <n v="0.5882340374775461"/>
    <n v="19"/>
    <n v="0.5889113377295021"/>
    <n v="2"/>
    <n v="0.62246598540145981"/>
    <n v="1"/>
    <n v="0.63755343771272988"/>
    <n v="12"/>
    <n v="0.58138520908023283"/>
    <n v="13"/>
    <n v="0.63831103887985996"/>
    <n v="16"/>
    <n v="0.5532896682107753"/>
    <n v="22"/>
    <n v="0.49799298839542083"/>
    <n v="34"/>
    <n v="0.51496359786689849"/>
    <n v="57"/>
    <n v="0.48451611322928151"/>
    <n v="27"/>
    <n v="0.53030754650254042"/>
    <n v="0.9"/>
    <n v="27"/>
    <n v="0.6288469635266154"/>
    <n v="1.2857142857142858"/>
    <n v="27"/>
    <n v="0.38639849533664894"/>
    <n v="0.77142857142857146"/>
    <n v="16"/>
    <n v="0.63929244566016785"/>
    <n v="0.84210526315789469"/>
    <n v="9"/>
    <n v="0.43232196722302568"/>
    <n v="0.52941176470588236"/>
    <n v="1"/>
    <n v="0.27851344781514409"/>
    <n v="6.6666666666666666E-2"/>
    <m/>
    <m/>
    <m/>
    <m/>
    <m/>
    <m/>
    <m/>
    <m/>
    <m/>
    <n v="20"/>
    <n v="168"/>
    <n v="24"/>
    <n v="0"/>
    <n v="0"/>
    <n v="0"/>
    <n v="373956"/>
    <n v="486864"/>
    <n v="67992"/>
    <n v="0"/>
    <n v="30"/>
    <n v="84990"/>
    <n v="169310.07697196526"/>
    <n v="35"/>
    <n v="152"/>
    <n v="51"/>
    <n v="100"/>
    <n v="100"/>
    <n v="0"/>
    <n v="382455"/>
    <n v="440496"/>
    <n v="144483"/>
    <n v="0"/>
    <n v="30"/>
    <n v="84990"/>
    <n v="359783.91356542619"/>
    <n v="50"/>
    <n v="209"/>
    <n v="57"/>
    <n v="0"/>
    <n v="0"/>
    <n v="298830"/>
    <n v="592097"/>
    <n v="161481"/>
    <n v="0"/>
    <n v="30"/>
    <n v="84990"/>
    <n v="478512.60504201677"/>
    <n v="30"/>
    <n v="164"/>
    <n v="27"/>
    <n v="0"/>
    <n v="0"/>
    <n v="475272"/>
    <n v="76491"/>
    <x v="0"/>
    <x v="0"/>
    <n v="30"/>
    <n v="84990"/>
    <n v="226663.86554621847"/>
    <n v="21"/>
    <n v="57"/>
    <n v="21"/>
    <m/>
    <n v="0"/>
    <n v="0"/>
    <n v="161481"/>
    <n v="60858"/>
    <x v="0"/>
    <n v="0"/>
    <n v="30"/>
    <n v="84990"/>
    <n v="176294.11764705883"/>
    <n v="35"/>
    <n v="57"/>
    <n v="27"/>
    <m/>
    <n v="0"/>
    <n v="0"/>
    <n v="161481"/>
    <n v="78246"/>
    <n v="0"/>
    <n v="0"/>
    <n v="57"/>
    <n v="84990"/>
    <n v="226663.86554621847"/>
    <n v="19"/>
    <n v="46"/>
    <n v="16"/>
    <n v="0"/>
    <n v="0"/>
    <n v="0"/>
    <n v="130318"/>
    <n v="46368"/>
    <n v="0"/>
    <n v="0"/>
    <n v="46"/>
    <n v="84990"/>
    <n v="134319.32773109243"/>
    <n v="17"/>
    <n v="39"/>
    <n v="9"/>
    <n v="0"/>
    <n v="0"/>
    <n v="0"/>
    <n v="110487"/>
    <n v="26082"/>
    <n v="0"/>
    <n v="0"/>
    <n v="39"/>
    <n v="110487"/>
    <n v="75554.621848739494"/>
    <n v="15"/>
    <n v="31"/>
    <n v="1.5"/>
    <n v="0"/>
    <n v="0"/>
    <n v="0"/>
    <n v="89838"/>
    <n v="4347"/>
    <n v="0"/>
    <n v="0"/>
    <n v="30"/>
    <n v="84990"/>
    <n v="12592.436974789915"/>
    <n v="16"/>
    <n v="29.5"/>
    <n v="16"/>
    <n v="0"/>
    <n v="0"/>
    <n v="0"/>
    <m/>
    <n v="85491"/>
    <n v="46368"/>
    <n v="0"/>
    <n v="0"/>
    <n v="29.5"/>
    <n v="85491"/>
    <n v="120873.94957983194"/>
    <n v="16"/>
    <n v="13.5"/>
    <n v="13.5"/>
    <m/>
    <n v="0"/>
    <n v="0"/>
    <n v="39123"/>
    <n v="39123"/>
    <n v="0"/>
    <n v="0"/>
    <n v="13.5"/>
    <n v="39123"/>
    <n v="101987.3949579832"/>
    <n v="16"/>
    <n v="0"/>
    <n v="0"/>
    <n v="0"/>
    <n v="0"/>
    <n v="0"/>
    <n v="0"/>
    <n v="0"/>
    <n v="0"/>
    <n v="0"/>
    <n v="0"/>
    <n v="0"/>
    <n v="9.6"/>
    <n v="0"/>
    <n v="9.6"/>
    <n v="0"/>
    <m/>
    <n v="0"/>
    <n v="27196.799999999999"/>
    <n v="0"/>
    <n v="0"/>
    <n v="0"/>
    <n v="80591.59663865545"/>
  </r>
  <r>
    <m/>
    <x v="6"/>
    <x v="30"/>
    <x v="70"/>
    <s v="SIMTUPSILRD"/>
    <x v="709"/>
    <x v="544"/>
    <x v="0"/>
    <x v="0"/>
    <n v="0.7"/>
    <x v="415"/>
    <n v="75"/>
    <m/>
    <n v="0"/>
    <n v="2837"/>
    <n v="212775"/>
    <n v="2.8"/>
    <n v="3058.9999999999995"/>
    <n v="8394.957983193277"/>
    <n v="7554.6218487394963"/>
    <s v="Shenzhen"/>
    <x v="0"/>
    <n v="30"/>
    <m/>
    <n v="100"/>
    <n v="11"/>
    <n v="0.58528276324115092"/>
    <n v="31"/>
    <n v="0.56170755096782943"/>
    <n v="51"/>
    <n v="0.50925223494026239"/>
    <n v="35"/>
    <n v="0.58116105472316237"/>
    <n v="26"/>
    <n v="0.59213474222329354"/>
    <n v="40"/>
    <n v="0.57181946750791146"/>
    <n v="12"/>
    <n v="0.58375685043961023"/>
    <n v="6"/>
    <n v="0.60638031125660685"/>
    <n v="4"/>
    <n v="0.61692933079143641"/>
    <n v="6"/>
    <n v="0.61554378892836281"/>
    <n v="8"/>
    <n v="0.53541442531409966"/>
    <n v="20"/>
    <n v="0.55605865506864727"/>
    <n v="18"/>
    <n v="0.51815452411833796"/>
    <n v="24"/>
    <n v="0.49717836117816977"/>
    <n v="44"/>
    <n v="0.56208911727654864"/>
    <n v="15"/>
    <n v="0.56273589586158346"/>
    <n v="0.42857142857142855"/>
    <n v="18"/>
    <n v="0.58616911116647208"/>
    <n v="0.69230769230769229"/>
    <n v="14"/>
    <n v="0.46111868200515393"/>
    <n v="0.35"/>
    <n v="9"/>
    <n v="0.66083747609942634"/>
    <n v="0.6428571428571429"/>
    <n v="19"/>
    <n v="0.42152876176562187"/>
    <n v="1.0555555555555556"/>
    <n v="11"/>
    <n v="0.4132735417646437"/>
    <n v="0.6875"/>
    <m/>
    <m/>
    <m/>
    <m/>
    <m/>
    <m/>
    <m/>
    <m/>
    <m/>
    <n v="20"/>
    <n v="162"/>
    <n v="15"/>
    <n v="0"/>
    <n v="0"/>
    <n v="0"/>
    <n v="269515"/>
    <n v="469476"/>
    <n v="42555"/>
    <n v="0"/>
    <n v="75"/>
    <n v="212775"/>
    <n v="105818.79810747829"/>
    <n v="35"/>
    <n v="148"/>
    <n v="36"/>
    <n v="100"/>
    <n v="100"/>
    <n v="0"/>
    <n v="269515"/>
    <n v="428904"/>
    <n v="102132"/>
    <n v="0"/>
    <n v="75"/>
    <n v="212775"/>
    <n v="253965.11545794789"/>
    <n v="50"/>
    <n v="217"/>
    <n v="44"/>
    <n v="0"/>
    <n v="0"/>
    <n v="220126.6"/>
    <n v="615629"/>
    <n v="124828"/>
    <n v="0"/>
    <n v="75"/>
    <n v="212775"/>
    <n v="369378.15126050421"/>
    <n v="35"/>
    <n v="180"/>
    <n v="15"/>
    <n v="0"/>
    <n v="0"/>
    <n v="521640"/>
    <n v="42555"/>
    <x v="0"/>
    <x v="0"/>
    <n v="75"/>
    <n v="212775"/>
    <n v="125924.36974789915"/>
    <n v="26"/>
    <n v="93"/>
    <n v="18.2"/>
    <m/>
    <n v="0"/>
    <n v="0"/>
    <n v="263841"/>
    <n v="52743.6"/>
    <x v="0"/>
    <n v="0"/>
    <n v="75"/>
    <n v="212775"/>
    <n v="152788.23529411762"/>
    <n v="40"/>
    <n v="89"/>
    <n v="14"/>
    <m/>
    <n v="0"/>
    <n v="0"/>
    <n v="252493"/>
    <n v="40572"/>
    <n v="0"/>
    <n v="0"/>
    <n v="89"/>
    <n v="212775"/>
    <n v="117529.41176470587"/>
    <n v="14"/>
    <n v="84"/>
    <n v="9"/>
    <n v="0"/>
    <n v="0"/>
    <n v="0"/>
    <n v="238308"/>
    <n v="26082"/>
    <n v="0"/>
    <n v="0"/>
    <n v="84"/>
    <n v="212775"/>
    <n v="75554.621848739494"/>
    <n v="18"/>
    <n v="94"/>
    <n v="19"/>
    <n v="0"/>
    <n v="0"/>
    <n v="0"/>
    <n v="266678"/>
    <n v="55062"/>
    <n v="0"/>
    <n v="0"/>
    <n v="94"/>
    <n v="266678"/>
    <n v="159504.20168067227"/>
    <n v="16"/>
    <n v="86"/>
    <n v="15"/>
    <n v="0"/>
    <n v="0"/>
    <n v="0"/>
    <n v="249228"/>
    <n v="43470"/>
    <n v="0"/>
    <n v="0"/>
    <n v="75"/>
    <n v="212775"/>
    <n v="125924.36974789915"/>
    <n v="17"/>
    <n v="71"/>
    <n v="11.899999999999999"/>
    <n v="0"/>
    <n v="0"/>
    <n v="0"/>
    <m/>
    <n v="205758"/>
    <n v="34486.199999999997"/>
    <n v="0"/>
    <n v="0"/>
    <n v="71"/>
    <n v="205758"/>
    <n v="89900"/>
    <n v="17"/>
    <n v="59.1"/>
    <n v="11.899999999999999"/>
    <m/>
    <n v="0"/>
    <n v="0"/>
    <n v="171271.80000000002"/>
    <n v="34486.199999999997"/>
    <n v="0"/>
    <n v="0"/>
    <n v="59.1"/>
    <n v="171271.80000000002"/>
    <n v="89900"/>
    <n v="17"/>
    <n v="47.2"/>
    <n v="11.899999999999999"/>
    <n v="0"/>
    <n v="0"/>
    <n v="136785.60000000001"/>
    <n v="34486.199999999997"/>
    <n v="0"/>
    <n v="0"/>
    <n v="47.2"/>
    <n v="136785.60000000001"/>
    <n v="99899.999999999985"/>
    <n v="10.199999999999999"/>
    <n v="35.300000000000004"/>
    <n v="7.1399999999999988"/>
    <n v="0"/>
    <m/>
    <n v="102299.40000000001"/>
    <n v="20256.179999999997"/>
    <n v="0"/>
    <n v="35.300000000000004"/>
    <n v="102299.40000000001"/>
    <n v="59939.999999999985"/>
  </r>
  <r>
    <m/>
    <x v="6"/>
    <x v="30"/>
    <x v="72"/>
    <n v="1627418180602"/>
    <x v="710"/>
    <x v="545"/>
    <x v="0"/>
    <x v="3"/>
    <n v="1"/>
    <x v="31"/>
    <n v="285"/>
    <m/>
    <n v="0"/>
    <n v="6071"/>
    <n v="1730235"/>
    <n v="5.35"/>
    <n v="5844.875"/>
    <n v="12596.638655462186"/>
    <n v="10915.966386554623"/>
    <s v="Shenzhen"/>
    <x v="0"/>
    <n v="30"/>
    <m/>
    <n v="100"/>
    <n v="132"/>
    <n v="0.4555171202207749"/>
    <n v="54"/>
    <n v="0.41242741363677682"/>
    <n v="127"/>
    <n v="0.45782931582310488"/>
    <n v="58"/>
    <n v="0.46191545881937923"/>
    <n v="104"/>
    <n v="0.41189771254205249"/>
    <n v="170"/>
    <n v="0.45832530195314297"/>
    <n v="84"/>
    <n v="0.47276148406958413"/>
    <n v="93"/>
    <n v="0.44434798988186808"/>
    <n v="64"/>
    <n v="0.43505734852482558"/>
    <n v="176"/>
    <n v="0.40547239828673054"/>
    <n v="42"/>
    <n v="0.46462629395857591"/>
    <n v="55"/>
    <n v="0.45742342347743786"/>
    <n v="55"/>
    <n v="0.38869959464549841"/>
    <n v="36"/>
    <n v="0.25460836141143611"/>
    <n v="96"/>
    <n v="0.29738489316377553"/>
    <n v="79"/>
    <n v="0.3753255581919675"/>
    <n v="0.98750000000000004"/>
    <n v="148"/>
    <n v="0.39039395296511648"/>
    <n v="1.48"/>
    <n v="142"/>
    <n v="0.32803025019820309"/>
    <n v="0.83529411764705885"/>
    <n v="0"/>
    <s v=""/>
    <n v="0"/>
    <n v="49"/>
    <n v="0.32121711661105029"/>
    <n v="0.48514851485148514"/>
    <n v="47"/>
    <n v="0.29600286399955883"/>
    <n v="0.72307692307692306"/>
    <m/>
    <m/>
    <m/>
    <m/>
    <m/>
    <m/>
    <m/>
    <m/>
    <m/>
    <n v="120"/>
    <n v="229"/>
    <n v="50"/>
    <n v="300"/>
    <n v="300"/>
    <n v="0"/>
    <n v="1214200"/>
    <n v="1268030.25"/>
    <n v="303550"/>
    <n v="0"/>
    <n v="285"/>
    <n v="1730235"/>
    <n v="529270.53174210864"/>
    <n v="60"/>
    <n v="488"/>
    <n v="54"/>
    <n v="130"/>
    <n v="130"/>
    <n v="0"/>
    <n v="1390259"/>
    <n v="2702178"/>
    <n v="327834"/>
    <n v="0"/>
    <n v="285"/>
    <n v="1730235"/>
    <n v="571612.17428147735"/>
    <n v="130"/>
    <n v="381"/>
    <n v="96"/>
    <n v="0"/>
    <n v="0"/>
    <n v="1616150"/>
    <n v="2313051"/>
    <n v="582816"/>
    <n v="0"/>
    <n v="285"/>
    <n v="1730235"/>
    <n v="1209277.3109243698"/>
    <n v="80"/>
    <n v="585"/>
    <n v="79"/>
    <n v="100"/>
    <n v="0"/>
    <n v="3239291.25"/>
    <n v="479609"/>
    <x v="97"/>
    <x v="0"/>
    <n v="285"/>
    <n v="1730235"/>
    <n v="995134.45378151268"/>
    <n v="100"/>
    <n v="433"/>
    <n v="100"/>
    <m/>
    <n v="0"/>
    <n v="0"/>
    <n v="2628743"/>
    <n v="553725"/>
    <x v="0"/>
    <n v="0"/>
    <n v="285"/>
    <n v="1730235"/>
    <n v="1259663.8655462186"/>
    <n v="170"/>
    <n v="427"/>
    <n v="142"/>
    <m/>
    <n v="0"/>
    <n v="0"/>
    <n v="2592317"/>
    <n v="786289.5"/>
    <n v="0"/>
    <n v="0"/>
    <n v="427"/>
    <n v="1730235"/>
    <n v="1788722.6890756304"/>
    <n v="85"/>
    <n v="285"/>
    <n v="0"/>
    <n v="100"/>
    <n v="100"/>
    <n v="0"/>
    <n v="1730235"/>
    <n v="0"/>
    <n v="535267.49999999988"/>
    <n v="0"/>
    <n v="285"/>
    <n v="1730235"/>
    <n v="0"/>
    <n v="101"/>
    <n v="334"/>
    <n v="50"/>
    <n v="0"/>
    <n v="0"/>
    <n v="0"/>
    <n v="2027714"/>
    <n v="276862.5"/>
    <n v="0"/>
    <n v="0"/>
    <n v="334"/>
    <n v="2027714"/>
    <n v="629831.93277310929"/>
    <n v="65"/>
    <n v="332"/>
    <n v="55.5"/>
    <n v="200"/>
    <n v="200"/>
    <n v="0"/>
    <n v="1838367"/>
    <n v="307317.375"/>
    <n v="1107450"/>
    <n v="0"/>
    <n v="285"/>
    <n v="1730235"/>
    <n v="699113.44537815126"/>
    <n v="140"/>
    <n v="276.5"/>
    <n v="140"/>
    <n v="0"/>
    <n v="0"/>
    <n v="0"/>
    <n v="200"/>
    <n v="1531049.625"/>
    <n v="775215"/>
    <n v="0"/>
    <n v="0"/>
    <n v="276.5"/>
    <n v="1531049.625"/>
    <n v="1528235.2941176472"/>
    <n v="70"/>
    <n v="136.5"/>
    <n v="70"/>
    <m/>
    <n v="0"/>
    <n v="0"/>
    <n v="755834.625"/>
    <n v="387607.5"/>
    <n v="0"/>
    <n v="0"/>
    <n v="136.5"/>
    <n v="755834.625"/>
    <n v="764117.64705882361"/>
    <n v="90"/>
    <n v="66.5"/>
    <n v="66.5"/>
    <n v="0"/>
    <n v="0"/>
    <n v="368227.125"/>
    <n v="368227.125"/>
    <n v="0"/>
    <n v="0"/>
    <n v="66.5"/>
    <n v="368227.125"/>
    <n v="837676.47058823542"/>
    <n v="42"/>
    <n v="0"/>
    <n v="42"/>
    <n v="0"/>
    <m/>
    <n v="0"/>
    <n v="254982"/>
    <n v="0"/>
    <n v="0"/>
    <n v="0"/>
    <n v="529058.82352941181"/>
  </r>
  <r>
    <m/>
    <x v="6"/>
    <x v="30"/>
    <x v="72"/>
    <n v="1660857800718"/>
    <x v="711"/>
    <x v="546"/>
    <x v="0"/>
    <x v="1"/>
    <n v="1"/>
    <x v="31"/>
    <n v="194"/>
    <m/>
    <n v="0"/>
    <n v="5579"/>
    <n v="1082326"/>
    <n v="5.15"/>
    <n v="5626.375"/>
    <n v="12596.638655462186"/>
    <n v="10915.966386554623"/>
    <s v="Shenzhen"/>
    <x v="0"/>
    <n v="30"/>
    <m/>
    <n v="300"/>
    <n v="149"/>
    <n v="0.51961688157372377"/>
    <n v="115"/>
    <n v="0.52669933914546929"/>
    <n v="164"/>
    <n v="0.55953378065209514"/>
    <n v="106"/>
    <n v="0.58640414231653659"/>
    <n v="103"/>
    <n v="0.54682907545666082"/>
    <n v="13"/>
    <n v="0.57967355728312575"/>
    <n v="125"/>
    <n v="0.60440992790599701"/>
    <n v="129"/>
    <n v="0.62436641643272128"/>
    <n v="99"/>
    <n v="0.60544118409475434"/>
    <n v="196"/>
    <n v="0.53593211258768592"/>
    <n v="117"/>
    <n v="0.52681544219419218"/>
    <n v="60"/>
    <n v="0.57628603706964088"/>
    <n v="111"/>
    <n v="0.41114856633280156"/>
    <n v="148"/>
    <n v="0.4159810358231894"/>
    <n v="203"/>
    <n v="0.37943849475166513"/>
    <n v="204"/>
    <n v="0.37813263487042892"/>
    <n v="1.5692307692307692"/>
    <n v="77"/>
    <n v="0.53204924358087557"/>
    <n v="0.59230769230769231"/>
    <n v="25"/>
    <n v="0.39612899269415397"/>
    <n v="0.125"/>
    <n v="0"/>
    <s v=""/>
    <n v="0"/>
    <n v="152"/>
    <n v="0.33307268140272311"/>
    <n v="1.2666666666666666"/>
    <n v="104"/>
    <n v="0.34220230549468561"/>
    <n v="1.04"/>
    <m/>
    <m/>
    <m/>
    <m/>
    <m/>
    <m/>
    <m/>
    <m/>
    <m/>
    <n v="150"/>
    <n v="311"/>
    <n v="120"/>
    <n v="320"/>
    <n v="320"/>
    <n v="0"/>
    <n v="3040555"/>
    <n v="1657707.75"/>
    <n v="669480"/>
    <n v="0"/>
    <n v="194"/>
    <n v="1082326"/>
    <n v="1270249.2761810608"/>
    <n v="120"/>
    <n v="512"/>
    <n v="222"/>
    <n v="0"/>
    <n v="0"/>
    <n v="0"/>
    <n v="3509191"/>
    <n v="2729088"/>
    <n v="1238538"/>
    <n v="0"/>
    <n v="194"/>
    <n v="1082326"/>
    <n v="2349961.1609349628"/>
    <n v="150"/>
    <n v="370"/>
    <n v="203"/>
    <n v="0"/>
    <n v="0"/>
    <n v="2963585.5"/>
    <n v="2064230"/>
    <n v="1132537"/>
    <n v="0"/>
    <n v="194"/>
    <n v="1082326"/>
    <n v="2557117.6470588236"/>
    <n v="130"/>
    <n v="273"/>
    <n v="204"/>
    <n v="0"/>
    <n v="0"/>
    <n v="1455158.25"/>
    <n v="1138116"/>
    <x v="0"/>
    <x v="0"/>
    <n v="194"/>
    <n v="1082326"/>
    <n v="2569714.2857142859"/>
    <n v="130"/>
    <n v="271"/>
    <n v="130"/>
    <m/>
    <n v="0"/>
    <n v="0"/>
    <n v="1511909"/>
    <n v="692932.5"/>
    <x v="0"/>
    <n v="0"/>
    <n v="194"/>
    <n v="1082326"/>
    <n v="1637563.0252100842"/>
    <n v="200"/>
    <n v="219"/>
    <n v="25"/>
    <m/>
    <n v="0"/>
    <n v="0"/>
    <n v="1221801"/>
    <n v="133256.25"/>
    <n v="0"/>
    <n v="0"/>
    <n v="219"/>
    <n v="1082326"/>
    <n v="314915.96638655465"/>
    <n v="150"/>
    <n v="194"/>
    <n v="0"/>
    <n v="300"/>
    <n v="300"/>
    <n v="0"/>
    <n v="1082326"/>
    <n v="0"/>
    <n v="1545772.5"/>
    <n v="0"/>
    <n v="194"/>
    <n v="1082326"/>
    <n v="0"/>
    <n v="120"/>
    <n v="346"/>
    <n v="157"/>
    <n v="300"/>
    <n v="300"/>
    <n v="0"/>
    <n v="1930334"/>
    <n v="836849.25"/>
    <n v="1599075"/>
    <n v="0"/>
    <n v="346"/>
    <n v="1930334"/>
    <n v="1977672.2689075633"/>
    <n v="100"/>
    <n v="298"/>
    <n v="112.5"/>
    <n v="300"/>
    <n v="0"/>
    <n v="0"/>
    <n v="1588414.5"/>
    <n v="599653.125"/>
    <n v="1599075"/>
    <n v="0"/>
    <n v="194"/>
    <n v="1082326"/>
    <n v="1417121.848739496"/>
    <n v="180"/>
    <n v="185.5"/>
    <n v="180"/>
    <n v="0"/>
    <n v="0"/>
    <n v="0"/>
    <n v="200"/>
    <n v="988761.375"/>
    <n v="959445"/>
    <n v="0"/>
    <n v="0"/>
    <n v="185.5"/>
    <n v="988761.375"/>
    <n v="1964873.9495798321"/>
    <n v="125"/>
    <n v="5.5"/>
    <n v="125"/>
    <m/>
    <n v="200"/>
    <n v="300"/>
    <n v="29316.375"/>
    <n v="666281.25"/>
    <n v="0"/>
    <n v="1599075"/>
    <n v="305.5"/>
    <n v="1628391.375"/>
    <n v="1364495.7983193279"/>
    <n v="120"/>
    <n v="180.5"/>
    <n v="120"/>
    <n v="0"/>
    <n v="0"/>
    <n v="962110.125"/>
    <n v="639630"/>
    <n v="0"/>
    <n v="0"/>
    <n v="180.5"/>
    <n v="962110.125"/>
    <n v="1511596.6386554623"/>
    <n v="75"/>
    <n v="60.5"/>
    <n v="75"/>
    <n v="300"/>
    <m/>
    <n v="322480.125"/>
    <n v="418425"/>
    <n v="0"/>
    <n v="60.5"/>
    <n v="322480.125"/>
    <n v="944747.89915966394"/>
  </r>
  <r>
    <m/>
    <x v="6"/>
    <x v="30"/>
    <x v="72"/>
    <n v="1660858702400"/>
    <x v="712"/>
    <x v="547"/>
    <x v="0"/>
    <x v="0"/>
    <n v="1"/>
    <x v="31"/>
    <n v="187"/>
    <m/>
    <n v="0"/>
    <n v="3167"/>
    <n v="592229"/>
    <n v="3.3"/>
    <n v="3605.2499999999995"/>
    <n v="10915.966386554623"/>
    <n v="7554.6218487394963"/>
    <s v="Shenzhen"/>
    <x v="0"/>
    <n v="30"/>
    <m/>
    <n v="100"/>
    <n v="37"/>
    <n v="0.64296093130744858"/>
    <n v="28"/>
    <n v="0.67002537445429389"/>
    <n v="40"/>
    <n v="0.63692187720288773"/>
    <n v="26"/>
    <n v="0.64572251519321888"/>
    <n v="51"/>
    <n v="0.62650505516535349"/>
    <n v="107"/>
    <n v="0.58891398662276195"/>
    <n v="47"/>
    <n v="0.59058024448298541"/>
    <n v="56"/>
    <n v="0.6346806756947696"/>
    <n v="42"/>
    <n v="0.6418878422145281"/>
    <n v="38"/>
    <n v="0.72593491202370819"/>
    <n v="-1"/>
    <n v="0.61104493773687063"/>
    <n v="0"/>
    <s v=""/>
    <n v="3"/>
    <n v="0.69369664303352607"/>
    <n v="15"/>
    <n v="0.60411982723262614"/>
    <n v="54"/>
    <n v="0.56354105286054235"/>
    <n v="36"/>
    <n v="0.55160283520343079"/>
    <n v="1.0285714285714285"/>
    <n v="37"/>
    <n v="0.62818047014464384"/>
    <n v="0.74"/>
    <n v="42"/>
    <n v="0.55326767490955842"/>
    <n v="0.42"/>
    <n v="0"/>
    <s v=""/>
    <n v="0"/>
    <n v="68"/>
    <n v="0.44711461512895473"/>
    <n v="1.36"/>
    <n v="43"/>
    <n v="0.37107159612589058"/>
    <n v="0.86"/>
    <m/>
    <m/>
    <m/>
    <m/>
    <m/>
    <m/>
    <m/>
    <m/>
    <m/>
    <n v="35"/>
    <n v="4"/>
    <n v="20"/>
    <n v="150"/>
    <n v="150"/>
    <n v="0"/>
    <n v="305615.5"/>
    <n v="13661.999999999998"/>
    <n v="63340"/>
    <n v="0"/>
    <n v="187"/>
    <n v="592229"/>
    <n v="183461.61994209452"/>
    <n v="30"/>
    <n v="147"/>
    <n v="22.5"/>
    <n v="0"/>
    <n v="0"/>
    <n v="0"/>
    <n v="356287.5"/>
    <n v="502078.49999999994"/>
    <n v="71257.5"/>
    <n v="0"/>
    <n v="187"/>
    <n v="592229"/>
    <n v="206394.32243485632"/>
    <n v="40"/>
    <n v="117"/>
    <n v="54"/>
    <n v="0"/>
    <n v="0"/>
    <n v="455805"/>
    <n v="370539"/>
    <n v="171018"/>
    <n v="0"/>
    <n v="187"/>
    <n v="592229"/>
    <n v="589462.18487394962"/>
    <n v="35"/>
    <n v="176"/>
    <n v="36"/>
    <n v="100"/>
    <n v="0"/>
    <n v="601127.99999999988"/>
    <n v="114012"/>
    <x v="98"/>
    <x v="0"/>
    <n v="187"/>
    <n v="592229"/>
    <n v="392974.78991596639"/>
    <n v="50"/>
    <n v="224"/>
    <n v="50"/>
    <m/>
    <n v="0"/>
    <n v="0"/>
    <n v="709408"/>
    <n v="170774.99999999997"/>
    <x v="0"/>
    <n v="0"/>
    <n v="187"/>
    <n v="592229"/>
    <n v="545798.31932773115"/>
    <n v="100"/>
    <n v="229"/>
    <n v="42"/>
    <m/>
    <n v="0"/>
    <n v="0"/>
    <n v="725243"/>
    <n v="143450.99999999997"/>
    <n v="0"/>
    <n v="0"/>
    <n v="229"/>
    <n v="592229"/>
    <n v="458470.58823529416"/>
    <n v="50"/>
    <n v="187"/>
    <n v="0"/>
    <n v="150"/>
    <n v="150"/>
    <n v="0"/>
    <n v="592229"/>
    <n v="0"/>
    <n v="495247.49999999994"/>
    <n v="0"/>
    <n v="187"/>
    <n v="592229"/>
    <n v="0"/>
    <n v="50"/>
    <n v="255"/>
    <n v="70"/>
    <n v="0"/>
    <n v="0"/>
    <n v="0"/>
    <n v="807585"/>
    <n v="239084.99999999997"/>
    <n v="0"/>
    <n v="0"/>
    <n v="255"/>
    <n v="807585"/>
    <n v="764117.64705882361"/>
    <n v="50"/>
    <n v="230"/>
    <n v="49.5"/>
    <n v="200"/>
    <n v="100"/>
    <n v="0"/>
    <n v="785564.99999999988"/>
    <n v="169067.24999999997"/>
    <n v="683099.99999999988"/>
    <n v="0"/>
    <n v="187"/>
    <n v="592229"/>
    <n v="540340.33613445377"/>
    <n v="60"/>
    <n v="180.5"/>
    <n v="60"/>
    <n v="0"/>
    <n v="0"/>
    <n v="0"/>
    <n v="0"/>
    <n v="616497.74999999988"/>
    <n v="204929.99999999997"/>
    <n v="0"/>
    <n v="0"/>
    <n v="180.5"/>
    <n v="616497.74999999988"/>
    <n v="453277.31092436978"/>
    <n v="50"/>
    <n v="120.5"/>
    <n v="50"/>
    <m/>
    <n v="0"/>
    <n v="0"/>
    <n v="411567.74999999994"/>
    <n v="170774.99999999997"/>
    <n v="0"/>
    <n v="0"/>
    <n v="120.5"/>
    <n v="411567.74999999994"/>
    <n v="377731.09243697481"/>
    <n v="60"/>
    <n v="70.5"/>
    <n v="60"/>
    <n v="0"/>
    <n v="0"/>
    <n v="240792.74999999997"/>
    <n v="204929.99999999997"/>
    <n v="0"/>
    <n v="0"/>
    <n v="70.5"/>
    <n v="240792.74999999997"/>
    <n v="654957.98319327738"/>
    <n v="30"/>
    <n v="10.5"/>
    <n v="30"/>
    <n v="0"/>
    <m/>
    <n v="35862.749999999993"/>
    <n v="95010"/>
    <n v="0"/>
    <n v="10.5"/>
    <n v="35862.749999999993"/>
    <n v="327478.99159663869"/>
  </r>
  <r>
    <m/>
    <x v="6"/>
    <x v="30"/>
    <x v="72"/>
    <s v="SIMMOLVER-WD"/>
    <x v="713"/>
    <x v="548"/>
    <x v="0"/>
    <x v="0"/>
    <n v="1"/>
    <x v="416"/>
    <n v="34"/>
    <m/>
    <n v="0"/>
    <n v="6715"/>
    <n v="228310"/>
    <n v="7.5"/>
    <n v="8370"/>
    <n v="14277.310924369749"/>
    <n v="12596.638655462186"/>
    <s v="Shenzhen"/>
    <x v="0"/>
    <n v="30"/>
    <m/>
    <n v="3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3"/>
    <n v="0.61789977282774744"/>
    <n v="14"/>
    <n v="0.51722896288759068"/>
    <n v="12"/>
    <n v="0.40500929997518109"/>
    <n v="19"/>
    <n v="0.49735465243273774"/>
    <n v="17"/>
    <n v="0.38812568778426726"/>
    <n v="26"/>
    <n v="0.44465062957592971"/>
    <n v="1.04"/>
    <n v="36"/>
    <n v="0.41413990155407704"/>
    <n v="1.8"/>
    <n v="35"/>
    <n v="0.36491300150552214"/>
    <n v="1"/>
    <n v="34"/>
    <n v="0.47557138555495931"/>
    <n v="1.36"/>
    <n v="35"/>
    <n v="0.30992358578023438"/>
    <n v="1"/>
    <n v="24"/>
    <n v="0.3553318140175134"/>
    <n v="0.6"/>
    <m/>
    <m/>
    <m/>
    <m/>
    <m/>
    <m/>
    <m/>
    <m/>
    <m/>
    <n v="25"/>
    <n v="270"/>
    <n v="20"/>
    <n v="0"/>
    <n v="0"/>
    <n v="0"/>
    <n v="439832.5"/>
    <n v="2095874.9999999998"/>
    <n v="134300"/>
    <n v="0"/>
    <n v="34"/>
    <n v="228310"/>
    <n v="239954.80545159243"/>
    <n v="25"/>
    <n v="259"/>
    <n v="28.5"/>
    <n v="0"/>
    <n v="0"/>
    <n v="0"/>
    <n v="480122.5"/>
    <n v="2010487.4999999998"/>
    <n v="191377.5"/>
    <n v="0"/>
    <n v="34"/>
    <n v="228310"/>
    <n v="341935.59776851925"/>
    <n v="45"/>
    <n v="241"/>
    <n v="17"/>
    <n v="0"/>
    <n v="0"/>
    <n v="443995"/>
    <n v="1618315"/>
    <n v="114155"/>
    <n v="0"/>
    <n v="34"/>
    <n v="228310"/>
    <n v="242714.28571428574"/>
    <n v="25"/>
    <n v="225"/>
    <n v="26"/>
    <n v="0"/>
    <n v="0"/>
    <n v="1746562.4999999998"/>
    <n v="174590"/>
    <x v="0"/>
    <x v="0"/>
    <n v="34"/>
    <n v="228310"/>
    <n v="371210.0840336135"/>
    <n v="20"/>
    <n v="70"/>
    <n v="20"/>
    <m/>
    <n v="0"/>
    <n v="0"/>
    <n v="470050"/>
    <n v="155249.99999999997"/>
    <x v="0"/>
    <n v="0"/>
    <n v="34"/>
    <n v="228310"/>
    <n v="285546.21848739497"/>
    <n v="35"/>
    <n v="69"/>
    <n v="35"/>
    <m/>
    <n v="0"/>
    <n v="0"/>
    <n v="463335"/>
    <n v="271687.49999999994"/>
    <n v="0"/>
    <n v="0"/>
    <n v="69"/>
    <n v="228310"/>
    <n v="499705.8823529412"/>
    <n v="25"/>
    <n v="68"/>
    <n v="34"/>
    <n v="0"/>
    <n v="0"/>
    <n v="0"/>
    <n v="456620"/>
    <n v="263924.99999999994"/>
    <n v="0"/>
    <n v="0"/>
    <n v="68"/>
    <n v="228310"/>
    <n v="485428.57142857148"/>
    <n v="35"/>
    <n v="69"/>
    <n v="36"/>
    <n v="0"/>
    <n v="0"/>
    <n v="0"/>
    <n v="463335"/>
    <n v="279449.99999999994"/>
    <n v="0"/>
    <n v="0"/>
    <n v="69"/>
    <n v="463335"/>
    <n v="513983.19327731099"/>
    <n v="40"/>
    <n v="58"/>
    <n v="27"/>
    <n v="0"/>
    <n v="0"/>
    <n v="0"/>
    <n v="450224.99999999994"/>
    <n v="209587.49999999997"/>
    <n v="0"/>
    <n v="0"/>
    <n v="34"/>
    <n v="228310"/>
    <n v="385487.39495798323"/>
    <n v="7"/>
    <n v="31"/>
    <n v="7"/>
    <n v="0"/>
    <n v="0"/>
    <n v="0"/>
    <m/>
    <n v="240637.49999999997"/>
    <n v="54337.499999999993"/>
    <n v="0"/>
    <n v="0"/>
    <n v="31"/>
    <n v="240637.49999999997"/>
    <n v="88176.470588235301"/>
    <n v="30"/>
    <n v="24"/>
    <n v="24"/>
    <m/>
    <n v="0"/>
    <n v="0"/>
    <n v="186299.99999999997"/>
    <n v="186299.99999999997"/>
    <n v="0"/>
    <n v="0"/>
    <n v="24"/>
    <n v="186299.99999999997"/>
    <n v="302319.32773109246"/>
    <n v="50"/>
    <n v="0"/>
    <n v="50"/>
    <n v="200"/>
    <n v="200"/>
    <n v="0"/>
    <n v="388124.99999999994"/>
    <n v="1552499.9999999998"/>
    <n v="1552499.9999999998"/>
    <n v="200"/>
    <n v="1552499.9999999998"/>
    <n v="713865.54621848743"/>
    <n v="18"/>
    <n v="150"/>
    <n v="18"/>
    <n v="0"/>
    <m/>
    <n v="1164374.9999999998"/>
    <n v="120870"/>
    <n v="0"/>
    <n v="150"/>
    <n v="1164374.9999999998"/>
    <n v="256991.59663865549"/>
  </r>
  <r>
    <m/>
    <x v="6"/>
    <x v="30"/>
    <x v="73"/>
    <n v="1660858341796"/>
    <x v="714"/>
    <x v="549"/>
    <x v="0"/>
    <x v="1"/>
    <n v="1"/>
    <x v="31"/>
    <n v="1451"/>
    <m/>
    <n v="0"/>
    <n v="6430"/>
    <n v="9329930"/>
    <n v="5"/>
    <n v="5462.5"/>
    <n v="16798.319327731093"/>
    <n v="12596.638655462186"/>
    <s v="Ningbo"/>
    <x v="2"/>
    <n v="30"/>
    <m/>
    <n v="100"/>
    <n v="280"/>
    <n v="0.597432372410997"/>
    <n v="225"/>
    <n v="0.62827439761555237"/>
    <n v="353"/>
    <n v="0.62861719009579409"/>
    <n v="214"/>
    <n v="0.62146639571969231"/>
    <n v="318"/>
    <n v="0.60014280186293789"/>
    <n v="576"/>
    <n v="0.60037390813116798"/>
    <n v="331"/>
    <n v="0.59298182547292677"/>
    <n v="442"/>
    <n v="0.60016668124375427"/>
    <n v="387"/>
    <n v="0.60142345664083963"/>
    <n v="498"/>
    <n v="0.5542023718525021"/>
    <n v="132"/>
    <n v="0.61637535221557738"/>
    <n v="148"/>
    <n v="0.56548356234304742"/>
    <n v="155"/>
    <n v="0.41415043700465021"/>
    <n v="192"/>
    <n v="0.37894305319821742"/>
    <n v="205"/>
    <n v="0.45587770200508021"/>
    <n v="97"/>
    <n v="0.51003277044586259"/>
    <n v="0.48499999999999999"/>
    <n v="118"/>
    <n v="0.57845902909976388"/>
    <n v="0.39333333333333331"/>
    <n v="203"/>
    <n v="0.40414566603243429"/>
    <n v="0.36909090909090908"/>
    <n v="0"/>
    <s v=""/>
    <n v="0"/>
    <n v="130"/>
    <n v="0.32822950479995794"/>
    <n v="1"/>
    <n v="118"/>
    <n v="0.24476578256871664"/>
    <n v="0.84285714285714286"/>
    <m/>
    <m/>
    <m/>
    <m/>
    <m/>
    <m/>
    <m/>
    <m/>
    <m/>
    <n v="250"/>
    <n v="931"/>
    <n v="230"/>
    <n v="600"/>
    <n v="600"/>
    <n v="0"/>
    <n v="4648890"/>
    <n v="4817925"/>
    <n v="1478900"/>
    <n v="0"/>
    <n v="1451"/>
    <n v="9329930"/>
    <n v="3246733.9877127325"/>
    <n v="200"/>
    <n v="1017"/>
    <n v="288"/>
    <n v="600"/>
    <n v="300"/>
    <n v="0"/>
    <n v="3793700"/>
    <n v="5262975"/>
    <n v="1851840"/>
    <n v="0"/>
    <n v="1451"/>
    <n v="9329930"/>
    <n v="4065475.6020055083"/>
    <n v="455"/>
    <n v="794"/>
    <n v="205"/>
    <n v="0"/>
    <n v="0"/>
    <n v="3494360"/>
    <n v="5105420"/>
    <n v="1318150"/>
    <n v="0"/>
    <n v="1451"/>
    <n v="9329930"/>
    <n v="3443655.4621848739"/>
    <n v="200"/>
    <n v="860"/>
    <n v="97"/>
    <n v="500"/>
    <n v="0"/>
    <n v="4450500"/>
    <n v="623710"/>
    <x v="99"/>
    <x v="0"/>
    <n v="1451"/>
    <n v="9329930"/>
    <n v="1629436.9747899161"/>
    <n v="300"/>
    <n v="1569"/>
    <n v="300"/>
    <m/>
    <n v="800"/>
    <n v="0"/>
    <n v="10088670"/>
    <n v="1552500"/>
    <x v="0"/>
    <n v="0"/>
    <n v="1451"/>
    <n v="9329930"/>
    <n v="5039495.7983193276"/>
    <n v="550"/>
    <n v="1654"/>
    <n v="203"/>
    <m/>
    <n v="500"/>
    <n v="0"/>
    <n v="10635220"/>
    <n v="1050525"/>
    <n v="0"/>
    <n v="0"/>
    <n v="1654"/>
    <n v="9329930"/>
    <n v="3410058.823529412"/>
    <n v="250"/>
    <n v="1451"/>
    <n v="0"/>
    <n v="850"/>
    <n v="850"/>
    <n v="0"/>
    <n v="9329930"/>
    <n v="0"/>
    <n v="4252125"/>
    <n v="0"/>
    <n v="1451"/>
    <n v="9329930"/>
    <n v="0"/>
    <n v="130"/>
    <n v="1581"/>
    <n v="134"/>
    <n v="0"/>
    <n v="0"/>
    <n v="0"/>
    <n v="10165830"/>
    <n v="693450"/>
    <n v="0"/>
    <n v="0"/>
    <n v="1581"/>
    <n v="10165830"/>
    <n v="2250974.7899159663"/>
    <n v="140"/>
    <n v="1569"/>
    <n v="136.5"/>
    <n v="0"/>
    <n v="0"/>
    <n v="0"/>
    <n v="8119575"/>
    <n v="706387.5"/>
    <n v="0"/>
    <n v="0"/>
    <n v="1451"/>
    <n v="9329930"/>
    <n v="2292970.588235294"/>
    <n v="250"/>
    <n v="1432.5"/>
    <n v="250"/>
    <n v="0"/>
    <n v="0"/>
    <n v="0"/>
    <m/>
    <n v="7413187.5"/>
    <n v="1293750"/>
    <n v="0"/>
    <n v="0"/>
    <n v="1432.5"/>
    <n v="7413187.5"/>
    <n v="3149159.6638655467"/>
    <n v="150"/>
    <n v="1182.5"/>
    <n v="150"/>
    <m/>
    <n v="0"/>
    <n v="0"/>
    <n v="6119437.5"/>
    <n v="776250"/>
    <n v="0"/>
    <n v="0"/>
    <n v="1182.5"/>
    <n v="6119437.5"/>
    <n v="1889495.7983193279"/>
    <n v="150"/>
    <n v="1032.5"/>
    <n v="150"/>
    <n v="0"/>
    <n v="0"/>
    <n v="5343187.5"/>
    <n v="776250"/>
    <n v="0"/>
    <n v="0"/>
    <n v="1032.5"/>
    <n v="5343187.5"/>
    <n v="2519747.8991596638"/>
    <n v="90"/>
    <n v="882.5"/>
    <n v="90"/>
    <n v="0"/>
    <m/>
    <n v="4566937.5"/>
    <n v="578700"/>
    <n v="0"/>
    <n v="882.5"/>
    <n v="4566937.5"/>
    <n v="1511848.7394957985"/>
  </r>
  <r>
    <m/>
    <x v="6"/>
    <x v="30"/>
    <x v="73"/>
    <n v="1660858356962"/>
    <x v="715"/>
    <x v="550"/>
    <x v="0"/>
    <x v="1"/>
    <n v="1"/>
    <x v="31"/>
    <n v="904"/>
    <m/>
    <n v="0"/>
    <n v="6804"/>
    <n v="6150816"/>
    <n v="5"/>
    <n v="5462.5"/>
    <n v="16798.319327731093"/>
    <n v="12596.638655462186"/>
    <s v="Ningbo"/>
    <x v="2"/>
    <n v="30"/>
    <m/>
    <n v="100"/>
    <n v="214"/>
    <n v="0.60401469072256198"/>
    <n v="126"/>
    <n v="0.58440283813220784"/>
    <n v="212"/>
    <n v="0.6391616064667317"/>
    <n v="124"/>
    <n v="0.64018355624230094"/>
    <n v="213"/>
    <n v="0.6017962136579339"/>
    <n v="311"/>
    <n v="0.60007060980553073"/>
    <n v="153"/>
    <n v="0.61597696947748815"/>
    <n v="183"/>
    <n v="0.61272398607191925"/>
    <n v="149"/>
    <n v="0.61860291266810252"/>
    <n v="347"/>
    <n v="0.55875294881349069"/>
    <n v="182"/>
    <n v="0.59590617742725238"/>
    <n v="117"/>
    <n v="0.59963332882040954"/>
    <n v="74"/>
    <n v="0.29001338259396481"/>
    <n v="92"/>
    <n v="0.39448609561966308"/>
    <n v="66"/>
    <n v="0.39098897464572563"/>
    <n v="58"/>
    <n v="0.49169056604343281"/>
    <n v="0.57999999999999996"/>
    <n v="93"/>
    <n v="0.57248493801791034"/>
    <n v="0.46500000000000002"/>
    <n v="90"/>
    <n v="0.35868927670404632"/>
    <n v="0.29032258064516131"/>
    <n v="0"/>
    <s v=""/>
    <n v="0"/>
    <n v="103"/>
    <n v="0.29846083252649397"/>
    <n v="0.89565217391304353"/>
    <n v="121"/>
    <n v="0.21676083218205122"/>
    <n v="1.3444444444444446"/>
    <m/>
    <m/>
    <m/>
    <m/>
    <m/>
    <m/>
    <m/>
    <m/>
    <m/>
    <n v="200"/>
    <n v="691"/>
    <n v="100"/>
    <n v="250"/>
    <n v="250"/>
    <n v="0"/>
    <n v="2068416"/>
    <n v="3575925"/>
    <n v="680400"/>
    <n v="0"/>
    <n v="904"/>
    <n v="6150816"/>
    <n v="1411623.4729185794"/>
    <n v="120"/>
    <n v="718"/>
    <n v="138"/>
    <n v="200"/>
    <n v="200"/>
    <n v="0"/>
    <n v="1782648"/>
    <n v="3715650"/>
    <n v="938952"/>
    <n v="0"/>
    <n v="904"/>
    <n v="6150816"/>
    <n v="1948040.3926276395"/>
    <n v="200"/>
    <n v="619"/>
    <n v="66"/>
    <n v="0"/>
    <n v="0"/>
    <n v="1878696"/>
    <n v="4211676"/>
    <n v="449064"/>
    <n v="0"/>
    <n v="904"/>
    <n v="6150816"/>
    <n v="1108689.0756302522"/>
    <n v="100"/>
    <n v="541"/>
    <n v="58"/>
    <n v="400"/>
    <n v="0"/>
    <n v="2799675"/>
    <n v="394632"/>
    <x v="100"/>
    <x v="0"/>
    <n v="904"/>
    <n v="6150816"/>
    <n v="974302.52100840339"/>
    <n v="200"/>
    <n v="997"/>
    <n v="200"/>
    <m/>
    <n v="400"/>
    <n v="0"/>
    <n v="6783588"/>
    <n v="1035000"/>
    <x v="0"/>
    <n v="0"/>
    <n v="904"/>
    <n v="6150816"/>
    <n v="3359663.8655462186"/>
    <n v="310"/>
    <n v="994"/>
    <n v="90"/>
    <m/>
    <n v="400"/>
    <n v="0"/>
    <n v="6763176"/>
    <n v="465750"/>
    <n v="0"/>
    <n v="0"/>
    <n v="994"/>
    <n v="6150816"/>
    <n v="1511848.7394957985"/>
    <n v="150"/>
    <n v="904"/>
    <n v="0"/>
    <n v="500"/>
    <n v="500"/>
    <n v="0"/>
    <n v="6150816"/>
    <n v="0"/>
    <n v="2501250"/>
    <n v="0"/>
    <n v="904"/>
    <n v="6150816"/>
    <n v="0"/>
    <n v="115"/>
    <n v="1007"/>
    <n v="106"/>
    <n v="0"/>
    <n v="0"/>
    <n v="0"/>
    <n v="6851628"/>
    <n v="548550"/>
    <n v="0"/>
    <n v="0"/>
    <n v="1007"/>
    <n v="6851628"/>
    <n v="1780621.848739496"/>
    <n v="90"/>
    <n v="1025"/>
    <n v="130.5"/>
    <n v="0"/>
    <n v="0"/>
    <n v="0"/>
    <n v="5304375"/>
    <n v="675337.5"/>
    <n v="0"/>
    <n v="0"/>
    <n v="904"/>
    <n v="6150816"/>
    <n v="2192180.6722689075"/>
    <n v="150"/>
    <n v="894.5"/>
    <n v="150"/>
    <n v="0"/>
    <n v="0"/>
    <n v="0"/>
    <m/>
    <n v="4629037.5"/>
    <n v="776250"/>
    <n v="0"/>
    <n v="0"/>
    <n v="894.5"/>
    <n v="4629037.5"/>
    <n v="1889495.7983193279"/>
    <n v="120"/>
    <n v="744.5"/>
    <n v="120"/>
    <m/>
    <n v="0"/>
    <n v="0"/>
    <n v="3852787.5"/>
    <n v="621000"/>
    <n v="0"/>
    <n v="0"/>
    <n v="744.5"/>
    <n v="3852787.5"/>
    <n v="1511596.6386554623"/>
    <n v="150"/>
    <n v="624.5"/>
    <n v="150"/>
    <n v="0"/>
    <n v="0"/>
    <n v="3231787.5"/>
    <n v="776250"/>
    <n v="0"/>
    <n v="0"/>
    <n v="624.5"/>
    <n v="3231787.5"/>
    <n v="2519747.8991596638"/>
    <n v="72"/>
    <n v="474.5"/>
    <n v="72"/>
    <n v="0"/>
    <m/>
    <n v="2455537.5"/>
    <n v="489888"/>
    <n v="0"/>
    <n v="474.5"/>
    <n v="2455537.5"/>
    <n v="1209478.9915966387"/>
  </r>
  <r>
    <m/>
    <x v="6"/>
    <x v="30"/>
    <x v="73"/>
    <n v="68540048936286"/>
    <x v="716"/>
    <x v="551"/>
    <x v="0"/>
    <x v="1"/>
    <n v="1"/>
    <x v="31"/>
    <n v="452"/>
    <m/>
    <n v="0"/>
    <n v="5636"/>
    <n v="2547472"/>
    <n v="3.9000000000000004"/>
    <n v="4260.75"/>
    <n v="12596.638655462186"/>
    <n v="10915.966386554623"/>
    <s v="Ningbo"/>
    <x v="2"/>
    <n v="30"/>
    <m/>
    <n v="100"/>
    <n v="336"/>
    <n v="0.65578283234620982"/>
    <n v="187"/>
    <n v="0.7279778177306514"/>
    <n v="192"/>
    <n v="0.62222003700145356"/>
    <n v="220"/>
    <n v="0.59611861579462688"/>
    <n v="305"/>
    <n v="0.59454255420837909"/>
    <n v="278"/>
    <n v="0.53350548449985302"/>
    <n v="204"/>
    <n v="0.60877436652145189"/>
    <n v="246"/>
    <n v="0.61436592662027723"/>
    <n v="30"/>
    <n v="0.6224804603425218"/>
    <n v="374"/>
    <n v="0.53655411235533956"/>
    <n v="287"/>
    <n v="0.56907956470687604"/>
    <n v="208"/>
    <n v="0.57911124357443167"/>
    <n v="136"/>
    <n v="0.32466751474298339"/>
    <n v="252"/>
    <n v="0.25554371571690498"/>
    <n v="192"/>
    <n v="0.34796606500128496"/>
    <n v="130"/>
    <n v="0.47402221975970688"/>
    <n v="0.59090909090909094"/>
    <n v="190"/>
    <n v="0.52481030175053178"/>
    <n v="0.6785714285714286"/>
    <n v="176"/>
    <n v="0.43753821406164384"/>
    <n v="0.58666666666666667"/>
    <n v="0"/>
    <s v=""/>
    <n v="0"/>
    <n v="259"/>
    <n v="0.30153226278787865"/>
    <n v="1.2949999999999999"/>
    <n v="212"/>
    <n v="0.28586435607795535"/>
    <n v="1.4133333333333333"/>
    <m/>
    <m/>
    <m/>
    <m/>
    <m/>
    <m/>
    <m/>
    <m/>
    <m/>
    <n v="280"/>
    <n v="439"/>
    <n v="160"/>
    <n v="300"/>
    <n v="300"/>
    <n v="0"/>
    <n v="4114280"/>
    <n v="1772023.5"/>
    <n v="901760"/>
    <n v="0"/>
    <n v="452"/>
    <n v="2547472"/>
    <n v="1693665.7015747479"/>
    <n v="190"/>
    <n v="273"/>
    <n v="378"/>
    <n v="600"/>
    <n v="600"/>
    <n v="0"/>
    <n v="3945200"/>
    <n v="1101964.5"/>
    <n v="2130408"/>
    <n v="0"/>
    <n v="452"/>
    <n v="2547472"/>
    <n v="4001285.2199703418"/>
    <n v="300"/>
    <n v="528"/>
    <n v="192"/>
    <n v="0"/>
    <n v="0"/>
    <n v="2945012"/>
    <n v="2975808"/>
    <n v="1082112"/>
    <n v="0"/>
    <n v="452"/>
    <n v="2547472"/>
    <n v="2418554.6218487397"/>
    <n v="220"/>
    <n v="404"/>
    <n v="130"/>
    <n v="500"/>
    <n v="0"/>
    <n v="1630746"/>
    <n v="732680"/>
    <x v="101"/>
    <x v="0"/>
    <n v="452"/>
    <n v="2547472"/>
    <n v="1637563.0252100842"/>
    <n v="280"/>
    <n v="642"/>
    <n v="280"/>
    <m/>
    <n v="500"/>
    <n v="0"/>
    <n v="3618312"/>
    <n v="1130220"/>
    <x v="0"/>
    <n v="0"/>
    <n v="452"/>
    <n v="2547472"/>
    <n v="3527058.823529412"/>
    <n v="300"/>
    <n v="628"/>
    <n v="176"/>
    <m/>
    <n v="500"/>
    <n v="0"/>
    <n v="3539408"/>
    <n v="710424"/>
    <n v="0"/>
    <n v="0"/>
    <n v="628"/>
    <n v="2547472"/>
    <n v="2217008.4033613447"/>
    <n v="150"/>
    <n v="452"/>
    <n v="0"/>
    <n v="650"/>
    <n v="650"/>
    <n v="0"/>
    <n v="2547472"/>
    <n v="0"/>
    <n v="2536267.5"/>
    <n v="0"/>
    <n v="452"/>
    <n v="2547472"/>
    <n v="0"/>
    <n v="200"/>
    <n v="711"/>
    <n v="267"/>
    <n v="0"/>
    <n v="0"/>
    <n v="0"/>
    <n v="4007196"/>
    <n v="1077745.5"/>
    <n v="0"/>
    <n v="0"/>
    <n v="711"/>
    <n v="4007196"/>
    <n v="3363302.5210084035"/>
    <n v="150"/>
    <n v="664"/>
    <n v="231"/>
    <n v="0"/>
    <n v="0"/>
    <n v="0"/>
    <n v="2680236"/>
    <n v="932431.5"/>
    <n v="0"/>
    <n v="0"/>
    <n v="452"/>
    <n v="2547472"/>
    <n v="2909823.5294117648"/>
    <n v="250"/>
    <n v="433"/>
    <n v="250"/>
    <n v="0"/>
    <n v="0"/>
    <n v="0"/>
    <m/>
    <n v="1747804.5"/>
    <n v="1009125"/>
    <n v="0"/>
    <n v="0"/>
    <n v="433"/>
    <n v="1747804.5"/>
    <n v="2728991.5966386558"/>
    <n v="200"/>
    <n v="183"/>
    <n v="183"/>
    <m/>
    <n v="0"/>
    <n v="0"/>
    <n v="738679.5"/>
    <n v="738679.5"/>
    <n v="0"/>
    <n v="0"/>
    <n v="183"/>
    <n v="738679.5"/>
    <n v="1997621.848739496"/>
    <n v="200"/>
    <n v="0"/>
    <n v="200"/>
    <n v="300"/>
    <n v="300"/>
    <n v="0"/>
    <n v="807300"/>
    <n v="1210950"/>
    <n v="1210950"/>
    <n v="300"/>
    <n v="1210950"/>
    <n v="2519327.7310924372"/>
    <n v="120"/>
    <n v="100"/>
    <n v="120"/>
    <n v="0"/>
    <m/>
    <n v="403650"/>
    <n v="676320"/>
    <n v="0"/>
    <n v="100"/>
    <n v="403650"/>
    <n v="1511596.6386554623"/>
  </r>
  <r>
    <m/>
    <x v="6"/>
    <x v="30"/>
    <x v="73"/>
    <n v="68540051413139"/>
    <x v="717"/>
    <x v="552"/>
    <x v="0"/>
    <x v="1"/>
    <n v="1"/>
    <x v="31"/>
    <n v="116"/>
    <m/>
    <n v="0"/>
    <n v="6038"/>
    <n v="700408"/>
    <n v="3.9000000000000004"/>
    <n v="4260.75"/>
    <n v="12596.638655462186"/>
    <n v="10915.966386554623"/>
    <s v="Ningbo"/>
    <x v="2"/>
    <n v="30"/>
    <m/>
    <n v="100"/>
    <n v="88"/>
    <n v="0.69366610952732233"/>
    <n v="125"/>
    <n v="0.66532212011286185"/>
    <n v="126"/>
    <n v="0.64841747379445114"/>
    <n v="80"/>
    <n v="0.64180377847601366"/>
    <n v="154"/>
    <n v="0.6269529636996698"/>
    <n v="215"/>
    <n v="0.61765255470523239"/>
    <n v="172"/>
    <n v="0.60282638308243741"/>
    <n v="166"/>
    <n v="0.60960166449295006"/>
    <n v="126"/>
    <n v="0.609219962252738"/>
    <n v="229"/>
    <n v="0.54266507091765348"/>
    <n v="122"/>
    <n v="0.55652124244664747"/>
    <n v="88"/>
    <n v="0.51770946824994979"/>
    <n v="140"/>
    <n v="0.34248495515820437"/>
    <n v="149"/>
    <n v="0.35747180454468408"/>
    <n v="174"/>
    <n v="0.41568789653384353"/>
    <n v="79"/>
    <n v="0.46187701695032207"/>
    <n v="0.87777777777777777"/>
    <n v="174"/>
    <n v="0.51668760351766285"/>
    <n v="1.1599999999999999"/>
    <n v="189"/>
    <n v="0.38570452309912462"/>
    <n v="0.9"/>
    <n v="0"/>
    <s v=""/>
    <n v="0"/>
    <n v="191"/>
    <n v="0.30374878052908116"/>
    <n v="1.2733333333333334"/>
    <n v="168"/>
    <n v="0.26633944338479565"/>
    <n v="1.4"/>
    <m/>
    <m/>
    <m/>
    <m/>
    <m/>
    <m/>
    <m/>
    <m/>
    <m/>
    <n v="90"/>
    <n v="344"/>
    <n v="140"/>
    <n v="0"/>
    <n v="0"/>
    <n v="0"/>
    <n v="3245425"/>
    <n v="1388556"/>
    <n v="845320"/>
    <n v="0"/>
    <n v="116"/>
    <n v="700408"/>
    <n v="1481957.4888779044"/>
    <n v="120"/>
    <n v="437"/>
    <n v="223.5"/>
    <n v="300"/>
    <n v="300"/>
    <n v="0"/>
    <n v="2877107"/>
    <n v="1763950.5"/>
    <n v="1349493"/>
    <n v="0"/>
    <n v="116"/>
    <n v="700408"/>
    <n v="2365839.2768872259"/>
    <n v="225"/>
    <n v="344"/>
    <n v="174"/>
    <n v="0"/>
    <n v="0"/>
    <n v="2133089"/>
    <n v="2077072"/>
    <n v="1050612"/>
    <n v="0"/>
    <n v="116"/>
    <n v="700408"/>
    <n v="2191815.1260504201"/>
    <n v="90"/>
    <n v="178"/>
    <n v="79"/>
    <n v="450"/>
    <n v="0"/>
    <n v="718497"/>
    <n v="477002"/>
    <x v="102"/>
    <x v="0"/>
    <n v="116"/>
    <n v="700408"/>
    <n v="995134.45378151268"/>
    <n v="150"/>
    <n v="290"/>
    <n v="150"/>
    <m/>
    <n v="450"/>
    <n v="0"/>
    <n v="1751020"/>
    <n v="605475"/>
    <x v="0"/>
    <n v="0"/>
    <n v="116"/>
    <n v="700408"/>
    <n v="1889495.7983193279"/>
    <n v="210"/>
    <n v="305"/>
    <n v="189"/>
    <m/>
    <n v="452"/>
    <n v="0"/>
    <n v="1841590"/>
    <n v="762898.5"/>
    <n v="0"/>
    <n v="0"/>
    <n v="305"/>
    <n v="700408"/>
    <n v="2380764.7058823532"/>
    <n v="130"/>
    <n v="116"/>
    <n v="0"/>
    <n v="450"/>
    <n v="450"/>
    <n v="0"/>
    <n v="700408"/>
    <n v="0"/>
    <n v="1755877.5000000002"/>
    <n v="0"/>
    <n v="116"/>
    <n v="700408"/>
    <n v="0"/>
    <n v="150"/>
    <n v="307"/>
    <n v="197"/>
    <n v="0"/>
    <n v="0"/>
    <n v="0"/>
    <n v="1853666"/>
    <n v="795190.5"/>
    <n v="0"/>
    <n v="0"/>
    <n v="307"/>
    <n v="1853666"/>
    <n v="2481537.8151260507"/>
    <n v="120"/>
    <n v="284"/>
    <n v="199.5"/>
    <n v="0"/>
    <n v="0"/>
    <n v="0"/>
    <n v="1146366"/>
    <n v="805281.75"/>
    <n v="0"/>
    <n v="0"/>
    <n v="116"/>
    <n v="700408"/>
    <n v="2513029.411764706"/>
    <n v="90"/>
    <n v="84.5"/>
    <n v="84.5"/>
    <n v="0"/>
    <n v="0"/>
    <n v="0"/>
    <m/>
    <n v="341084.25"/>
    <n v="341084.25"/>
    <n v="0"/>
    <n v="0"/>
    <n v="84.5"/>
    <n v="341084.25"/>
    <n v="922399.15966386558"/>
    <n v="100"/>
    <n v="0"/>
    <n v="0"/>
    <m/>
    <n v="0"/>
    <n v="0"/>
    <n v="0"/>
    <n v="0"/>
    <n v="0"/>
    <n v="0"/>
    <n v="0"/>
    <n v="0"/>
    <n v="0"/>
    <n v="100"/>
    <n v="0"/>
    <n v="100"/>
    <n v="300"/>
    <n v="300"/>
    <n v="0"/>
    <n v="403650"/>
    <n v="1210950"/>
    <n v="1210950"/>
    <n v="300"/>
    <n v="1210950"/>
    <n v="1259663.8655462186"/>
    <n v="60"/>
    <n v="200"/>
    <n v="60"/>
    <n v="0"/>
    <m/>
    <n v="807300"/>
    <n v="362280"/>
    <n v="0"/>
    <n v="200"/>
    <n v="807300"/>
    <n v="755798.31932773115"/>
  </r>
  <r>
    <m/>
    <x v="6"/>
    <x v="30"/>
    <x v="73"/>
    <s v="SIMSECBIL"/>
    <x v="718"/>
    <x v="553"/>
    <x v="0"/>
    <x v="3"/>
    <n v="1"/>
    <x v="417"/>
    <n v="148"/>
    <m/>
    <n v="0"/>
    <n v="5578"/>
    <n v="825544"/>
    <n v="5.2"/>
    <n v="5025.5"/>
    <n v="14277.310924369749"/>
    <n v="10915.966386554623"/>
    <s v="Ningbo"/>
    <x v="2"/>
    <n v="30"/>
    <m/>
    <n v="300"/>
    <n v="0"/>
    <s v=""/>
    <n v="0"/>
    <s v=""/>
    <n v="0"/>
    <s v=""/>
    <n v="0"/>
    <s v=""/>
    <n v="0"/>
    <s v=""/>
    <n v="0"/>
    <s v=""/>
    <n v="0"/>
    <s v=""/>
    <n v="0"/>
    <s v=""/>
    <n v="5"/>
    <n v="0.67307134871009155"/>
    <n v="26"/>
    <n v="0.59784524763472746"/>
    <n v="57"/>
    <n v="0.59603767658536189"/>
    <n v="36"/>
    <n v="0.61016554420499369"/>
    <n v="31"/>
    <n v="0.55121196808539696"/>
    <n v="56"/>
    <n v="0.56736239013431344"/>
    <n v="89"/>
    <n v="0.51897762670400083"/>
    <n v="93"/>
    <n v="0.56255843323052312"/>
    <n v="1.55"/>
    <n v="54"/>
    <n v="0.60707626289335936"/>
    <n v="0.98181818181818181"/>
    <n v="105"/>
    <n v="0.44991061026119472"/>
    <n v="0.875"/>
    <n v="97"/>
    <n v="0.58079962131710727"/>
    <n v="0.97"/>
    <n v="76"/>
    <n v="0.37087655395106084"/>
    <n v="1.1692307692307693"/>
    <n v="26"/>
    <n v="0.33127944546607513"/>
    <n v="0.52"/>
    <m/>
    <m/>
    <m/>
    <m/>
    <m/>
    <m/>
    <m/>
    <m/>
    <m/>
    <n v="60"/>
    <n v="348"/>
    <n v="50"/>
    <n v="0"/>
    <n v="0"/>
    <n v="0"/>
    <n v="1243894"/>
    <n v="1872936"/>
    <n v="278900"/>
    <n v="0"/>
    <n v="148"/>
    <n v="825544"/>
    <n v="599887.01362898108"/>
    <n v="50"/>
    <n v="418"/>
    <n v="84"/>
    <n v="250"/>
    <n v="250"/>
    <n v="0"/>
    <n v="1483748"/>
    <n v="2249676"/>
    <n v="468552"/>
    <n v="0"/>
    <n v="148"/>
    <n v="825544"/>
    <n v="1007810.1828966882"/>
    <n v="120"/>
    <n v="355"/>
    <n v="89"/>
    <n v="0"/>
    <n v="0"/>
    <n v="1311206"/>
    <n v="1980190"/>
    <n v="496442"/>
    <n v="0"/>
    <n v="148"/>
    <n v="825544"/>
    <n v="1270680.6722689078"/>
    <n v="60"/>
    <n v="229"/>
    <n v="93"/>
    <n v="0"/>
    <n v="0"/>
    <n v="1232478"/>
    <n v="518754"/>
    <x v="0"/>
    <x v="0"/>
    <n v="148"/>
    <n v="825544"/>
    <n v="1327789.9159663867"/>
    <n v="55"/>
    <n v="202"/>
    <n v="55"/>
    <m/>
    <n v="0"/>
    <n v="0"/>
    <n v="1126756"/>
    <n v="296010"/>
    <x v="0"/>
    <n v="0"/>
    <n v="148"/>
    <n v="825544"/>
    <n v="785252.10084033618"/>
    <n v="120"/>
    <n v="253"/>
    <n v="105"/>
    <m/>
    <n v="146"/>
    <n v="0"/>
    <n v="1411234"/>
    <n v="565110"/>
    <n v="0"/>
    <n v="0"/>
    <n v="253"/>
    <n v="825544"/>
    <n v="1499117.6470588236"/>
    <n v="100"/>
    <n v="245"/>
    <n v="97"/>
    <n v="200"/>
    <n v="200"/>
    <n v="0"/>
    <n v="1366610"/>
    <n v="522054"/>
    <n v="1040519.9999999999"/>
    <n v="0"/>
    <n v="245"/>
    <n v="825544"/>
    <n v="1384899.1596638656"/>
    <n v="65"/>
    <n v="224"/>
    <n v="78"/>
    <n v="0"/>
    <n v="0"/>
    <n v="0"/>
    <n v="1249472"/>
    <n v="419796"/>
    <n v="0"/>
    <n v="0"/>
    <n v="224"/>
    <n v="1249472"/>
    <n v="1113630.2521008404"/>
    <n v="50"/>
    <n v="174"/>
    <n v="30"/>
    <n v="0"/>
    <n v="0"/>
    <n v="0"/>
    <n v="936468"/>
    <n v="161460"/>
    <n v="0"/>
    <n v="0"/>
    <n v="148"/>
    <n v="825544"/>
    <n v="428319.32773109246"/>
    <n v="100"/>
    <n v="144"/>
    <n v="100"/>
    <n v="0"/>
    <n v="0"/>
    <n v="0"/>
    <m/>
    <n v="775008"/>
    <n v="538200"/>
    <n v="0"/>
    <n v="0"/>
    <n v="144"/>
    <n v="775008"/>
    <n v="1091596.6386554623"/>
    <n v="80"/>
    <n v="44"/>
    <n v="44"/>
    <m/>
    <n v="0"/>
    <n v="0"/>
    <n v="236808"/>
    <n v="236808"/>
    <n v="0"/>
    <n v="0"/>
    <n v="44"/>
    <n v="236808"/>
    <n v="480302.52100840339"/>
    <n v="80"/>
    <n v="0"/>
    <n v="80"/>
    <n v="300"/>
    <n v="300"/>
    <n v="0"/>
    <n v="430560"/>
    <n v="1614600"/>
    <n v="1614600"/>
    <n v="300"/>
    <n v="1614600"/>
    <n v="1142184.8739495799"/>
    <n v="48"/>
    <n v="220"/>
    <n v="48"/>
    <n v="0"/>
    <m/>
    <n v="1184040"/>
    <n v="267744"/>
    <n v="0"/>
    <n v="220"/>
    <n v="1184040"/>
    <n v="685310.92436974798"/>
  </r>
  <r>
    <m/>
    <x v="6"/>
    <x v="30"/>
    <x v="73"/>
    <s v="SIMSECBIL"/>
    <x v="719"/>
    <x v="553"/>
    <x v="0"/>
    <x v="3"/>
    <n v="1"/>
    <x v="418"/>
    <n v="181"/>
    <m/>
    <n v="0"/>
    <n v="5887"/>
    <n v="1065547"/>
    <n v="5.2"/>
    <n v="5025.5"/>
    <n v="14277.310924369749"/>
    <n v="10915.966386554623"/>
    <s v="Ningbo"/>
    <x v="2"/>
    <n v="30"/>
    <m/>
    <n v="300"/>
    <n v="0"/>
    <s v=""/>
    <n v="0"/>
    <s v=""/>
    <n v="0"/>
    <s v=""/>
    <n v="0"/>
    <s v=""/>
    <n v="0"/>
    <s v=""/>
    <n v="0"/>
    <s v=""/>
    <n v="0"/>
    <s v=""/>
    <n v="0"/>
    <s v=""/>
    <n v="4"/>
    <n v="0.66580242340864593"/>
    <n v="30"/>
    <n v="0.59070841900205739"/>
    <n v="21"/>
    <n v="0.60189044281847837"/>
    <n v="36"/>
    <n v="0.60576967647628388"/>
    <n v="34"/>
    <n v="0.50084065768518271"/>
    <n v="59"/>
    <n v="0.44742768948325373"/>
    <n v="68"/>
    <n v="0.41487410270253033"/>
    <n v="46"/>
    <n v="0.50585111987246378"/>
    <n v="0.92"/>
    <n v="106"/>
    <n v="0.49651484111437583"/>
    <n v="2.12"/>
    <n v="75"/>
    <n v="0.35726945008870103"/>
    <n v="0.75"/>
    <n v="56"/>
    <n v="0.56170513093787122"/>
    <n v="0.62222222222222223"/>
    <n v="76"/>
    <n v="0.35175834906740527"/>
    <n v="1.0857142857142856"/>
    <n v="35"/>
    <n v="0.32259564020477172"/>
    <n v="0.7"/>
    <m/>
    <m/>
    <m/>
    <m/>
    <m/>
    <m/>
    <m/>
    <m/>
    <m/>
    <n v="50"/>
    <n v="501"/>
    <n v="50"/>
    <n v="0"/>
    <n v="0"/>
    <n v="0"/>
    <n v="1215665.5"/>
    <n v="2696382"/>
    <n v="294350"/>
    <n v="0"/>
    <n v="181"/>
    <n v="1065547"/>
    <n v="599887.01362898108"/>
    <n v="40"/>
    <n v="614"/>
    <n v="88.5"/>
    <n v="250"/>
    <n v="250"/>
    <n v="0"/>
    <n v="1192117.5"/>
    <n v="3304548"/>
    <n v="520999.5"/>
    <n v="0"/>
    <n v="181"/>
    <n v="1065547"/>
    <n v="1061800.0141232966"/>
    <n v="90"/>
    <n v="551"/>
    <n v="68"/>
    <n v="0"/>
    <n v="0"/>
    <n v="940218"/>
    <n v="3243737"/>
    <n v="400316"/>
    <n v="0"/>
    <n v="181"/>
    <n v="1065547"/>
    <n v="970857.14285714296"/>
    <n v="50"/>
    <n v="480"/>
    <n v="46"/>
    <n v="0"/>
    <n v="0"/>
    <n v="2583360"/>
    <n v="270802"/>
    <x v="0"/>
    <x v="0"/>
    <n v="181"/>
    <n v="1065547"/>
    <n v="656756.30252100842"/>
    <n v="50"/>
    <n v="287"/>
    <n v="50"/>
    <m/>
    <n v="0"/>
    <n v="0"/>
    <n v="1689569"/>
    <n v="269100"/>
    <x v="0"/>
    <n v="0"/>
    <n v="181"/>
    <n v="1065547"/>
    <n v="713865.54621848743"/>
    <n v="100"/>
    <n v="256"/>
    <n v="75"/>
    <m/>
    <n v="0"/>
    <n v="0"/>
    <n v="1507072"/>
    <n v="403650"/>
    <n v="0"/>
    <n v="0"/>
    <n v="256"/>
    <n v="1065547"/>
    <n v="1070798.3193277312"/>
    <n v="90"/>
    <n v="237"/>
    <n v="56"/>
    <n v="0"/>
    <n v="98"/>
    <n v="0"/>
    <n v="1395219"/>
    <n v="301392"/>
    <n v="0"/>
    <n v="0"/>
    <n v="237"/>
    <n v="1065547"/>
    <n v="799529.4117647059"/>
    <n v="70"/>
    <n v="257"/>
    <n v="78"/>
    <n v="0"/>
    <n v="0"/>
    <n v="0"/>
    <n v="1512959"/>
    <n v="419796"/>
    <n v="0"/>
    <n v="0"/>
    <n v="257"/>
    <n v="1512959"/>
    <n v="1113630.2521008404"/>
    <n v="50"/>
    <n v="216"/>
    <n v="33"/>
    <n v="0"/>
    <n v="0"/>
    <n v="0"/>
    <n v="1162512"/>
    <n v="177606"/>
    <n v="0"/>
    <n v="0"/>
    <n v="181"/>
    <n v="1065547"/>
    <n v="471151.26050420169"/>
    <n v="100"/>
    <n v="183"/>
    <n v="100"/>
    <n v="0"/>
    <n v="0"/>
    <n v="0"/>
    <m/>
    <n v="984906"/>
    <n v="538200"/>
    <n v="0"/>
    <n v="0"/>
    <n v="183"/>
    <n v="984906"/>
    <n v="1091596.6386554623"/>
    <n v="60"/>
    <n v="83"/>
    <n v="60"/>
    <m/>
    <n v="0"/>
    <n v="0"/>
    <n v="446706"/>
    <n v="322920"/>
    <n v="0"/>
    <n v="0"/>
    <n v="83"/>
    <n v="446706"/>
    <n v="654957.98319327738"/>
    <n v="70"/>
    <n v="23"/>
    <n v="70"/>
    <n v="200"/>
    <n v="200"/>
    <n v="123786"/>
    <n v="376740"/>
    <n v="1076400"/>
    <n v="1076400"/>
    <n v="223"/>
    <n v="1200186"/>
    <n v="999411.76470588241"/>
    <n v="36"/>
    <n v="153"/>
    <n v="36"/>
    <n v="0"/>
    <m/>
    <n v="823446"/>
    <n v="211932"/>
    <n v="0"/>
    <n v="153"/>
    <n v="823446"/>
    <n v="513983.19327731099"/>
  </r>
  <r>
    <m/>
    <x v="6"/>
    <x v="30"/>
    <x v="73"/>
    <s v="SIMSECVAL"/>
    <x v="720"/>
    <x v="554"/>
    <x v="0"/>
    <x v="1"/>
    <n v="1.3"/>
    <x v="419"/>
    <n v="52"/>
    <m/>
    <n v="0"/>
    <n v="7912"/>
    <n v="411424"/>
    <n v="6.6"/>
    <n v="7210.4999999999991"/>
    <n v="21000"/>
    <n v="19319.327731092439"/>
    <s v="Ningbo"/>
    <x v="2"/>
    <n v="30"/>
    <m/>
    <n v="300"/>
    <n v="0"/>
    <s v=""/>
    <n v="0"/>
    <s v=""/>
    <n v="0"/>
    <s v=""/>
    <n v="0"/>
    <s v=""/>
    <n v="0"/>
    <s v=""/>
    <n v="0"/>
    <s v=""/>
    <n v="0"/>
    <s v=""/>
    <n v="0"/>
    <s v=""/>
    <n v="19"/>
    <n v="0.552145225697384"/>
    <n v="120"/>
    <n v="0.55448900686830715"/>
    <n v="145"/>
    <n v="0.54276809624518929"/>
    <n v="30"/>
    <n v="0.57109605695530818"/>
    <n v="99"/>
    <n v="0.33062828132832262"/>
    <n v="137"/>
    <n v="0.2919588991476717"/>
    <n v="155"/>
    <n v="0.36701124532876361"/>
    <n v="117"/>
    <n v="0.40824742309279699"/>
    <n v="0.78"/>
    <n v="178"/>
    <n v="0.59013817311382244"/>
    <n v="1.4833333333333334"/>
    <n v="333"/>
    <n v="0.39668871572621328"/>
    <n v="1.665"/>
    <n v="192"/>
    <n v="0.5785054768701533"/>
    <n v="1.28"/>
    <n v="202"/>
    <n v="0.36297594019899893"/>
    <n v="1.2625"/>
    <n v="156"/>
    <n v="0.40904699849711335"/>
    <n v="1.3"/>
    <m/>
    <m/>
    <m/>
    <m/>
    <m/>
    <m/>
    <m/>
    <m/>
    <m/>
    <n v="150"/>
    <n v="471"/>
    <n v="120"/>
    <n v="0"/>
    <n v="0"/>
    <n v="0"/>
    <n v="3801716"/>
    <n v="3217400.9999999995"/>
    <n v="949440"/>
    <n v="0"/>
    <n v="52"/>
    <n v="411424"/>
    <n v="2117647.0588235296"/>
    <n v="150"/>
    <n v="404"/>
    <n v="205.5"/>
    <n v="350"/>
    <n v="350"/>
    <n v="0"/>
    <n v="3777980"/>
    <n v="2759723.9999999995"/>
    <n v="1625916"/>
    <n v="0"/>
    <n v="52"/>
    <n v="411424"/>
    <n v="3626470.5882352944"/>
    <n v="200"/>
    <n v="411"/>
    <n v="155"/>
    <n v="0"/>
    <n v="0"/>
    <n v="3217700"/>
    <n v="3251832"/>
    <n v="1226360"/>
    <n v="0"/>
    <n v="52"/>
    <n v="411424"/>
    <n v="3255000"/>
    <n v="150"/>
    <n v="405"/>
    <n v="117"/>
    <n v="450"/>
    <n v="0"/>
    <n v="2766554.9999999995"/>
    <n v="925704"/>
    <x v="103"/>
    <x v="0"/>
    <n v="52"/>
    <n v="411424"/>
    <n v="2457000"/>
    <n v="120"/>
    <n v="230"/>
    <n v="156"/>
    <m/>
    <n v="450"/>
    <n v="0"/>
    <n v="1819760"/>
    <n v="1065635.9999999998"/>
    <x v="0"/>
    <n v="0"/>
    <n v="52"/>
    <n v="411424"/>
    <n v="3276000"/>
    <n v="200"/>
    <n v="385"/>
    <n v="333"/>
    <m/>
    <n v="452"/>
    <n v="0"/>
    <n v="3046120"/>
    <n v="2274722.9999999995"/>
    <n v="0"/>
    <n v="0"/>
    <n v="385"/>
    <n v="411424"/>
    <n v="6993000"/>
    <n v="150"/>
    <n v="244"/>
    <n v="192"/>
    <n v="350"/>
    <n v="350"/>
    <n v="0"/>
    <n v="1930528"/>
    <n v="1311551.9999999998"/>
    <n v="2311154.9999999995"/>
    <n v="0"/>
    <n v="244"/>
    <n v="411424"/>
    <n v="4032000"/>
    <n v="160"/>
    <n v="254"/>
    <n v="208"/>
    <n v="0"/>
    <n v="0"/>
    <n v="0"/>
    <n v="2009648"/>
    <n v="1420847.9999999998"/>
    <n v="0"/>
    <n v="0"/>
    <n v="254"/>
    <n v="2009648"/>
    <n v="4368000"/>
    <n v="120"/>
    <n v="208"/>
    <n v="190.5"/>
    <n v="0"/>
    <n v="0"/>
    <n v="0"/>
    <n v="1420847.9999999998"/>
    <n v="1301305.4999999998"/>
    <n v="0"/>
    <n v="0"/>
    <n v="52"/>
    <n v="411424"/>
    <n v="4000500"/>
    <n v="300"/>
    <n v="17.5"/>
    <n v="17.5"/>
    <n v="400"/>
    <n v="400"/>
    <n v="0"/>
    <n v="0"/>
    <n v="119542.49999999999"/>
    <n v="119542.49999999999"/>
    <n v="2732399.9999999995"/>
    <n v="0"/>
    <n v="17.5"/>
    <n v="119542.49999999999"/>
    <n v="338088.23529411765"/>
    <n v="150"/>
    <n v="0"/>
    <n v="0"/>
    <m/>
    <n v="0"/>
    <n v="0"/>
    <n v="0"/>
    <n v="0"/>
    <n v="0"/>
    <n v="0"/>
    <n v="0"/>
    <n v="0"/>
    <n v="0"/>
    <n v="150"/>
    <n v="0"/>
    <n v="0"/>
    <n v="0"/>
    <n v="0"/>
    <n v="0"/>
    <n v="0"/>
    <n v="0"/>
    <n v="0"/>
    <n v="0"/>
    <n v="0"/>
    <n v="0"/>
    <n v="90"/>
    <n v="0"/>
    <n v="117"/>
    <n v="0"/>
    <m/>
    <n v="0"/>
    <n v="925704"/>
    <n v="0"/>
    <n v="0"/>
    <n v="0"/>
    <n v="2457000"/>
  </r>
  <r>
    <m/>
    <x v="6"/>
    <x v="30"/>
    <x v="73"/>
    <s v="SIMSECVAL"/>
    <x v="721"/>
    <x v="554"/>
    <x v="0"/>
    <x v="1"/>
    <n v="1"/>
    <x v="420"/>
    <n v="319"/>
    <m/>
    <n v="0"/>
    <n v="8175"/>
    <n v="2607825"/>
    <n v="6.6"/>
    <n v="7210.4999999999991"/>
    <n v="21000"/>
    <n v="19319.327731092439"/>
    <s v="Ningbo"/>
    <x v="2"/>
    <n v="30"/>
    <m/>
    <n v="300"/>
    <n v="0"/>
    <s v=""/>
    <n v="0"/>
    <s v=""/>
    <n v="0"/>
    <s v=""/>
    <n v="0"/>
    <s v=""/>
    <n v="0"/>
    <s v=""/>
    <n v="0"/>
    <s v=""/>
    <n v="0"/>
    <s v=""/>
    <n v="0"/>
    <s v=""/>
    <n v="15"/>
    <n v="0.56620325982742092"/>
    <n v="60"/>
    <n v="0.56672597412530989"/>
    <n v="108"/>
    <n v="0.53674761546076266"/>
    <n v="13"/>
    <n v="0.57393880822395171"/>
    <n v="31"/>
    <n v="0.33563010431831602"/>
    <n v="66"/>
    <n v="0.30955887125862286"/>
    <n v="78"/>
    <n v="0.38536735364272734"/>
    <n v="57"/>
    <n v="0.384921662876066"/>
    <n v="0.56999999999999995"/>
    <n v="91"/>
    <n v="0.58496875161738149"/>
    <n v="1.0111111111111111"/>
    <n v="151"/>
    <n v="0.41245148497865913"/>
    <n v="1.1185185185185185"/>
    <n v="82"/>
    <n v="0.56619774868452044"/>
    <n v="0.82"/>
    <n v="133"/>
    <n v="0.32111278881200961"/>
    <n v="1.33"/>
    <n v="80"/>
    <n v="0.35094869110573207"/>
    <n v="1.1428571428571428"/>
    <m/>
    <m/>
    <m/>
    <m/>
    <m/>
    <m/>
    <m/>
    <m/>
    <m/>
    <n v="100"/>
    <n v="306"/>
    <n v="50"/>
    <n v="0"/>
    <n v="0"/>
    <n v="0"/>
    <n v="1855725"/>
    <n v="2090285.9999999998"/>
    <n v="408750"/>
    <n v="0"/>
    <n v="319"/>
    <n v="2607825"/>
    <n v="882352.9411764706"/>
    <n v="100"/>
    <n v="266"/>
    <n v="99"/>
    <n v="250"/>
    <n v="250"/>
    <n v="0"/>
    <n v="1912950"/>
    <n v="1817045.9999999998"/>
    <n v="809325"/>
    <n v="0"/>
    <n v="319"/>
    <n v="2607825"/>
    <n v="1747058.8235294118"/>
    <n v="120"/>
    <n v="370"/>
    <n v="78"/>
    <n v="0"/>
    <n v="0"/>
    <n v="1718415"/>
    <n v="3024750"/>
    <n v="637650"/>
    <n v="0"/>
    <n v="319"/>
    <n v="2607825"/>
    <n v="1638000"/>
    <n v="100"/>
    <n v="336"/>
    <n v="57"/>
    <n v="300"/>
    <n v="0"/>
    <n v="2295215.9999999995"/>
    <n v="465975"/>
    <x v="104"/>
    <x v="0"/>
    <n v="319"/>
    <n v="2607825"/>
    <n v="1197000"/>
    <n v="90"/>
    <n v="410"/>
    <n v="90"/>
    <m/>
    <n v="300"/>
    <n v="0"/>
    <n v="3351750"/>
    <n v="614789.99999999988"/>
    <x v="0"/>
    <n v="0"/>
    <n v="319"/>
    <n v="2607825"/>
    <n v="1890000"/>
    <n v="135"/>
    <n v="470"/>
    <n v="151"/>
    <m/>
    <n v="300"/>
    <n v="0"/>
    <n v="3842250"/>
    <n v="1031480.9999999999"/>
    <n v="0"/>
    <n v="0"/>
    <n v="470"/>
    <n v="2607825"/>
    <n v="3171000"/>
    <n v="100"/>
    <n v="401"/>
    <n v="82"/>
    <n v="250"/>
    <n v="250"/>
    <n v="0"/>
    <n v="3278175"/>
    <n v="560141.99999999988"/>
    <n v="1650824.9999999998"/>
    <n v="0"/>
    <n v="401"/>
    <n v="2607825"/>
    <n v="1722000"/>
    <n v="100"/>
    <n v="452"/>
    <n v="137"/>
    <n v="0"/>
    <n v="0"/>
    <n v="0"/>
    <n v="3695100"/>
    <n v="935846.99999999988"/>
    <n v="0"/>
    <n v="0"/>
    <n v="452"/>
    <n v="3695100"/>
    <n v="2877000"/>
    <n v="70"/>
    <n v="399"/>
    <n v="100.5"/>
    <n v="0"/>
    <n v="0"/>
    <n v="0"/>
    <n v="2725568.9999999995"/>
    <n v="686515.49999999988"/>
    <n v="0"/>
    <n v="0"/>
    <n v="319"/>
    <n v="2607825"/>
    <n v="2110500"/>
    <n v="120"/>
    <n v="298.5"/>
    <n v="120"/>
    <n v="0"/>
    <n v="0"/>
    <n v="0"/>
    <m/>
    <n v="2039053.4999999998"/>
    <n v="819719.99999999988"/>
    <n v="0"/>
    <n v="0"/>
    <n v="298.5"/>
    <n v="2039053.4999999998"/>
    <n v="2318319.3277310925"/>
    <n v="80"/>
    <n v="178.5"/>
    <n v="80"/>
    <m/>
    <n v="0"/>
    <n v="0"/>
    <n v="1219333.4999999998"/>
    <n v="546479.99999999988"/>
    <n v="0"/>
    <n v="0"/>
    <n v="178.5"/>
    <n v="1219333.4999999998"/>
    <n v="1545546.218487395"/>
    <n v="80"/>
    <n v="98.5"/>
    <n v="80"/>
    <n v="0"/>
    <n v="0"/>
    <n v="672853.49999999988"/>
    <n v="546479.99999999988"/>
    <n v="0"/>
    <n v="0"/>
    <n v="98.5"/>
    <n v="672853.49999999988"/>
    <n v="1680000"/>
    <n v="48"/>
    <n v="18.5"/>
    <n v="48"/>
    <n v="0"/>
    <m/>
    <n v="126373.49999999999"/>
    <n v="392400"/>
    <n v="0"/>
    <n v="18.5"/>
    <n v="126373.49999999999"/>
    <n v="1008000"/>
  </r>
  <r>
    <m/>
    <x v="6"/>
    <x v="31"/>
    <x v="74"/>
    <s v="SIMALCVID"/>
    <x v="722"/>
    <x v="555"/>
    <x v="0"/>
    <x v="4"/>
    <n v="1"/>
    <x v="31"/>
    <n v="0"/>
    <m/>
    <n v="0"/>
    <n v="3109.6"/>
    <n v="0"/>
    <n v="3.38"/>
    <n v="3109.6"/>
    <n v="7839.3277310924368"/>
    <n v="6663.4285714285716"/>
    <s v="Shenzhen"/>
    <x v="0"/>
    <n v="45"/>
    <m/>
    <n v="3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0"/>
    <n v="0"/>
    <n v="0"/>
    <n v="0"/>
    <n v="0"/>
    <n v="0"/>
    <n v="0"/>
    <n v="0"/>
    <n v="0"/>
    <n v="0"/>
    <n v="0"/>
    <n v="0"/>
    <n v="0"/>
    <n v="40"/>
    <n v="0"/>
    <n v="0"/>
    <m/>
    <n v="0"/>
    <n v="0"/>
    <n v="0"/>
    <n v="0"/>
    <n v="0"/>
    <n v="0"/>
    <n v="0"/>
    <n v="0"/>
    <n v="0"/>
    <n v="60"/>
    <n v="0"/>
    <n v="0"/>
    <n v="0"/>
    <n v="0"/>
    <n v="0"/>
    <n v="0"/>
    <n v="0"/>
    <n v="0"/>
    <n v="0"/>
    <n v="0"/>
    <n v="0"/>
    <n v="24"/>
    <n v="0"/>
    <n v="24"/>
    <n v="300"/>
    <m/>
    <n v="0"/>
    <n v="74630.399999999994"/>
    <n v="0"/>
    <n v="0"/>
    <n v="0"/>
    <n v="188143.86554621847"/>
  </r>
  <r>
    <m/>
    <x v="6"/>
    <x v="31"/>
    <x v="75"/>
    <n v="1659989549286"/>
    <x v="723"/>
    <x v="556"/>
    <x v="0"/>
    <x v="3"/>
    <n v="1"/>
    <x v="31"/>
    <n v="134"/>
    <m/>
    <n v="0"/>
    <n v="3664"/>
    <n v="490976"/>
    <n v="3.75"/>
    <n v="4096.875"/>
    <n v="10915.966386554623"/>
    <n v="8394.957983193277"/>
    <s v="Shenzhen"/>
    <x v="0"/>
    <n v="30"/>
    <m/>
    <n v="100"/>
    <n v="77"/>
    <n v="0.59105832252005375"/>
    <n v="43"/>
    <n v="0.62015481442344123"/>
    <n v="77"/>
    <n v="0.596814001220764"/>
    <n v="55"/>
    <n v="0.60020559727733391"/>
    <n v="94"/>
    <n v="0.61027232342380966"/>
    <n v="102"/>
    <n v="0.55926157227813278"/>
    <n v="44"/>
    <n v="0.57661174861124254"/>
    <n v="18"/>
    <n v="0.66129202443615609"/>
    <n v="97"/>
    <n v="0.64828652390819896"/>
    <n v="136"/>
    <n v="0.58610040631596261"/>
    <n v="28"/>
    <n v="0.673717200027518"/>
    <n v="3"/>
    <n v="0.63411506046170762"/>
    <n v="43"/>
    <n v="0.51164447709451544"/>
    <n v="45"/>
    <n v="0.53269937938690026"/>
    <n v="71"/>
    <n v="0.51602469140262153"/>
    <n v="68"/>
    <n v="0.48692506373365352"/>
    <n v="1.0461538461538462"/>
    <n v="74"/>
    <n v="0.52502977248656879"/>
    <n v="0.82222222222222219"/>
    <n v="120"/>
    <n v="0.49574728979478905"/>
    <n v="1.2"/>
    <n v="0"/>
    <s v=""/>
    <n v="0"/>
    <n v="63"/>
    <n v="0.42183085612554055"/>
    <n v="0.96923076923076923"/>
    <n v="29"/>
    <n v="0.45415681392338902"/>
    <n v="0.453125"/>
    <m/>
    <m/>
    <m/>
    <m/>
    <m/>
    <m/>
    <m/>
    <m/>
    <m/>
    <n v="90"/>
    <n v="80"/>
    <n v="90"/>
    <n v="250"/>
    <n v="250"/>
    <n v="0"/>
    <n v="837224"/>
    <n v="310499.99999999994"/>
    <n v="329760"/>
    <n v="0"/>
    <n v="134"/>
    <n v="490976"/>
    <n v="825577.28973942529"/>
    <n v="65"/>
    <n v="303"/>
    <n v="67.5"/>
    <n v="100"/>
    <n v="0"/>
    <n v="0"/>
    <n v="756616"/>
    <n v="1176018.7499999998"/>
    <n v="247320"/>
    <n v="0"/>
    <n v="134"/>
    <n v="490976"/>
    <n v="619182.96730456897"/>
    <n v="90"/>
    <n v="210"/>
    <n v="71"/>
    <n v="0"/>
    <n v="0"/>
    <n v="858608.5"/>
    <n v="769440"/>
    <n v="260144"/>
    <n v="0"/>
    <n v="134"/>
    <n v="490976"/>
    <n v="775033.61344537826"/>
    <n v="65"/>
    <n v="305"/>
    <n v="68"/>
    <n v="150"/>
    <n v="0"/>
    <n v="1183781.2499999998"/>
    <n v="249152"/>
    <x v="105"/>
    <x v="0"/>
    <n v="134"/>
    <n v="490976"/>
    <n v="742285.71428571432"/>
    <n v="90"/>
    <n v="208"/>
    <n v="90"/>
    <m/>
    <n v="0"/>
    <n v="0"/>
    <n v="762112"/>
    <n v="349312.49999999994"/>
    <x v="0"/>
    <n v="0"/>
    <n v="134"/>
    <n v="490976"/>
    <n v="982436.97478991607"/>
    <n v="100"/>
    <n v="254"/>
    <n v="120"/>
    <m/>
    <n v="0"/>
    <n v="0"/>
    <n v="930656"/>
    <n v="465749.99999999994"/>
    <n v="0"/>
    <n v="0"/>
    <n v="254"/>
    <n v="490976"/>
    <n v="1309915.9663865548"/>
    <n v="80"/>
    <n v="134"/>
    <n v="0"/>
    <n v="250"/>
    <n v="250"/>
    <n v="0"/>
    <n v="490976"/>
    <n v="0"/>
    <n v="937968.74999999988"/>
    <n v="0"/>
    <n v="134"/>
    <n v="490976"/>
    <n v="0"/>
    <n v="65"/>
    <n v="197"/>
    <n v="65"/>
    <n v="150"/>
    <n v="150"/>
    <n v="0"/>
    <n v="721808"/>
    <n v="252281.24999999997"/>
    <n v="582187.49999999988"/>
    <n v="0"/>
    <n v="197"/>
    <n v="721808"/>
    <n v="709537.8151260505"/>
    <n v="64"/>
    <n v="163"/>
    <n v="34.5"/>
    <n v="0"/>
    <n v="0"/>
    <n v="0"/>
    <n v="632643.74999999988"/>
    <n v="133903.12499999997"/>
    <n v="0"/>
    <n v="0"/>
    <n v="134"/>
    <n v="490976"/>
    <n v="376600.84033613448"/>
    <n v="150"/>
    <n v="128.5"/>
    <n v="128.5"/>
    <n v="0"/>
    <n v="0"/>
    <n v="0"/>
    <m/>
    <n v="498740.62499999994"/>
    <n v="498740.62499999994"/>
    <n v="0"/>
    <n v="0"/>
    <n v="128.5"/>
    <n v="498740.62499999994"/>
    <n v="1078752.1008403362"/>
    <n v="0"/>
    <n v="0"/>
    <n v="0"/>
    <m/>
    <n v="0"/>
    <n v="0"/>
    <n v="0"/>
    <n v="0"/>
    <n v="0"/>
    <n v="0"/>
    <n v="0"/>
    <n v="0"/>
    <n v="0"/>
    <n v="180"/>
    <n v="0"/>
    <n v="180"/>
    <n v="200"/>
    <n v="200"/>
    <n v="0"/>
    <n v="698624.99999999988"/>
    <n v="776249.99999999988"/>
    <n v="776249.99999999988"/>
    <n v="200"/>
    <n v="776249.99999999988"/>
    <n v="1964873.9495798321"/>
    <n v="0"/>
    <n v="20"/>
    <n v="0"/>
    <n v="0"/>
    <m/>
    <n v="77624.999999999985"/>
    <n v="0"/>
    <n v="0"/>
    <n v="20"/>
    <n v="77624.999999999985"/>
    <n v="0"/>
  </r>
  <r>
    <m/>
    <x v="6"/>
    <x v="31"/>
    <x v="76"/>
    <s v="SMAZUCVID"/>
    <x v="724"/>
    <x v="557"/>
    <x v="0"/>
    <x v="4"/>
    <n v="1"/>
    <x v="31"/>
    <n v="0"/>
    <m/>
    <n v="0"/>
    <n v="2732.4"/>
    <n v="0"/>
    <n v="2.97"/>
    <n v="2732.4"/>
    <n v="6888.403361344539"/>
    <n v="5855.1428571428578"/>
    <s v="Shenzhen"/>
    <x v="0"/>
    <n v="45"/>
    <m/>
    <n v="3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0"/>
    <n v="0"/>
    <n v="0"/>
    <n v="0"/>
    <n v="0"/>
    <n v="0"/>
    <n v="0"/>
    <n v="0"/>
    <n v="0"/>
    <n v="0"/>
    <n v="0"/>
    <n v="0"/>
    <n v="0"/>
    <n v="40"/>
    <n v="0"/>
    <n v="0"/>
    <m/>
    <n v="0"/>
    <n v="0"/>
    <n v="0"/>
    <n v="0"/>
    <n v="0"/>
    <n v="0"/>
    <n v="0"/>
    <n v="0"/>
    <n v="0"/>
    <n v="60"/>
    <n v="0"/>
    <n v="0"/>
    <n v="0"/>
    <n v="0"/>
    <n v="0"/>
    <n v="0"/>
    <n v="0"/>
    <n v="0"/>
    <n v="0"/>
    <n v="0"/>
    <n v="0"/>
    <n v="24"/>
    <n v="0"/>
    <n v="24"/>
    <n v="300"/>
    <m/>
    <n v="0"/>
    <n v="65577.600000000006"/>
    <n v="0"/>
    <n v="0"/>
    <n v="0"/>
    <n v="165321.68067226894"/>
  </r>
  <r>
    <m/>
    <x v="6"/>
    <x v="31"/>
    <x v="77"/>
    <n v="1659991481176"/>
    <x v="725"/>
    <x v="558"/>
    <x v="0"/>
    <x v="2"/>
    <n v="1"/>
    <x v="31"/>
    <n v="8"/>
    <m/>
    <n v="0"/>
    <n v="4000"/>
    <n v="32000"/>
    <n v="3.2"/>
    <n v="3495.9999999999995"/>
    <n v="8394.957983193277"/>
    <n v="8394.957983193277"/>
    <s v="Shenzhen"/>
    <x v="0"/>
    <n v="30"/>
    <m/>
    <n v="100"/>
    <n v="72"/>
    <n v="0.5168578163772598"/>
    <n v="12"/>
    <n v="0.56020383482123226"/>
    <n v="18"/>
    <n v="0.56134552040718999"/>
    <n v="39"/>
    <n v="0.55012831211062063"/>
    <n v="28"/>
    <n v="0.52023134088372558"/>
    <n v="48"/>
    <n v="0.47492202662692351"/>
    <n v="32"/>
    <n v="0.46976931855736603"/>
    <n v="57"/>
    <n v="0.38857065957800291"/>
    <n v="31"/>
    <n v="0.37911303350713033"/>
    <n v="78"/>
    <n v="0.42591964078573902"/>
    <n v="53"/>
    <n v="0.45117619266891307"/>
    <n v="60"/>
    <n v="0.51944956784323426"/>
    <n v="23"/>
    <n v="0.33993577188274765"/>
    <n v="13"/>
    <n v="0.36832577508633518"/>
    <n v="1"/>
    <n v="0.38687921228551025"/>
    <n v="1"/>
    <n v="0.3868572900566718"/>
    <n v="0"/>
    <n v="4"/>
    <n v="0.5235285285285286"/>
    <n v="0"/>
    <n v="4"/>
    <n v="0.99999666666666653"/>
    <n v="0"/>
    <n v="0"/>
    <s v=""/>
    <n v="0"/>
    <n v="0"/>
    <s v=""/>
    <n v="0"/>
    <n v="0"/>
    <s v=""/>
    <n v="0"/>
    <m/>
    <m/>
    <m/>
    <m/>
    <m/>
    <m/>
    <m/>
    <m/>
    <m/>
    <n v="0"/>
    <n v="42"/>
    <n v="25"/>
    <n v="0"/>
    <n v="0"/>
    <n v="0"/>
    <n v="182000"/>
    <n v="139103.99999999997"/>
    <n v="100000"/>
    <n v="0"/>
    <n v="8"/>
    <n v="32000"/>
    <n v="176364.6635124638"/>
    <n v="17"/>
    <n v="20"/>
    <n v="19.5"/>
    <n v="0"/>
    <n v="0"/>
    <n v="0"/>
    <n v="86000"/>
    <n v="66239.999999999985"/>
    <n v="78000"/>
    <n v="0"/>
    <n v="8"/>
    <n v="32000"/>
    <n v="137564.43753972178"/>
    <n v="0"/>
    <n v="6"/>
    <n v="1"/>
    <n v="0"/>
    <n v="0"/>
    <n v="8000"/>
    <n v="24000"/>
    <n v="4000"/>
    <n v="0"/>
    <n v="8"/>
    <n v="32000"/>
    <n v="8394.957983193277"/>
    <n v="0"/>
    <n v="6"/>
    <n v="1"/>
    <n v="0"/>
    <n v="0"/>
    <n v="19871.999999999996"/>
    <n v="4000"/>
    <x v="0"/>
    <x v="0"/>
    <n v="8"/>
    <n v="32000"/>
    <n v="8394.957983193277"/>
    <n v="0"/>
    <n v="12"/>
    <n v="0"/>
    <m/>
    <n v="0"/>
    <n v="0"/>
    <n v="48000"/>
    <n v="0"/>
    <x v="0"/>
    <n v="0"/>
    <n v="8"/>
    <n v="32000"/>
    <n v="0"/>
    <n v="0"/>
    <n v="12"/>
    <n v="4"/>
    <m/>
    <n v="0"/>
    <n v="0"/>
    <n v="48000"/>
    <n v="13247.999999999998"/>
    <n v="0"/>
    <n v="0"/>
    <n v="12"/>
    <n v="32000"/>
    <n v="33579.831932773108"/>
    <n v="0"/>
    <n v="8"/>
    <n v="0"/>
    <n v="0"/>
    <n v="0"/>
    <n v="0"/>
    <n v="32000"/>
    <n v="0"/>
    <n v="0"/>
    <n v="0"/>
    <n v="8"/>
    <n v="32000"/>
    <n v="0"/>
    <n v="0"/>
    <n v="8"/>
    <n v="0"/>
    <n v="0"/>
    <n v="0"/>
    <n v="0"/>
    <n v="32000"/>
    <n v="0"/>
    <n v="0"/>
    <n v="0"/>
    <n v="8"/>
    <n v="32000"/>
    <n v="0"/>
    <n v="0"/>
    <n v="8"/>
    <n v="0"/>
    <n v="0"/>
    <n v="0"/>
    <n v="0"/>
    <n v="26495.999999999996"/>
    <n v="0"/>
    <n v="0"/>
    <n v="0"/>
    <n v="8"/>
    <n v="32000"/>
    <n v="0"/>
    <n v="0"/>
    <n v="8"/>
    <n v="0"/>
    <n v="0"/>
    <n v="0"/>
    <n v="0"/>
    <m/>
    <n v="26495.999999999996"/>
    <n v="0"/>
    <n v="0"/>
    <n v="0"/>
    <n v="8"/>
    <n v="26495.999999999996"/>
    <n v="0"/>
    <n v="0"/>
    <n v="8"/>
    <n v="0"/>
    <m/>
    <n v="0"/>
    <n v="0"/>
    <n v="26495.999999999996"/>
    <n v="0"/>
    <n v="0"/>
    <n v="0"/>
    <n v="8"/>
    <n v="26495.999999999996"/>
    <n v="0"/>
    <n v="0"/>
    <n v="8"/>
    <n v="0"/>
    <n v="0"/>
    <n v="0"/>
    <n v="26495.999999999996"/>
    <n v="0"/>
    <n v="0"/>
    <n v="0"/>
    <n v="8"/>
    <n v="26495.999999999996"/>
    <n v="0"/>
    <n v="0"/>
    <n v="8"/>
    <n v="0"/>
    <n v="0"/>
    <m/>
    <n v="26495.999999999996"/>
    <n v="0"/>
    <n v="0"/>
    <n v="8"/>
    <n v="26495.999999999996"/>
    <n v="0"/>
  </r>
  <r>
    <m/>
    <x v="6"/>
    <x v="31"/>
    <x v="77"/>
    <n v="1661872956577"/>
    <x v="726"/>
    <x v="559"/>
    <x v="0"/>
    <x v="3"/>
    <n v="1"/>
    <x v="31"/>
    <n v="337"/>
    <m/>
    <n v="0"/>
    <n v="10670"/>
    <n v="3595790"/>
    <n v="11.55"/>
    <n v="12618.374999999998"/>
    <n v="25201.680672268907"/>
    <n v="22680.672268907565"/>
    <s v="Shenzhen"/>
    <x v="0"/>
    <n v="45"/>
    <m/>
    <n v="200"/>
    <n v="54"/>
    <n v="0.56323199852661643"/>
    <n v="41"/>
    <n v="0.55872340817231314"/>
    <n v="77"/>
    <n v="0.53601584906787736"/>
    <n v="56"/>
    <n v="0.5604263287562089"/>
    <n v="77"/>
    <n v="0.59383350891897557"/>
    <n v="170"/>
    <n v="0.50641023217344072"/>
    <n v="115"/>
    <n v="0.51688259092894451"/>
    <n v="63"/>
    <n v="0.54292813156897135"/>
    <n v="12"/>
    <n v="0.56382664573940811"/>
    <n v="56"/>
    <n v="0.50260950654075509"/>
    <n v="66"/>
    <n v="0.48737868715544996"/>
    <n v="82"/>
    <n v="0.49536949844220868"/>
    <n v="18"/>
    <n v="0.43378994188742237"/>
    <n v="50"/>
    <n v="0.4618245619199805"/>
    <n v="76"/>
    <n v="0.41317723623051539"/>
    <n v="67"/>
    <n v="0.44109233342895771"/>
    <n v="1.1166666666666667"/>
    <n v="77"/>
    <n v="0.52767656746009128"/>
    <n v="0.96250000000000002"/>
    <n v="73"/>
    <n v="0.44229502855863151"/>
    <n v="0.42941176470588233"/>
    <n v="0"/>
    <s v=""/>
    <n v="0"/>
    <n v="6"/>
    <n v="0.38727095100031445"/>
    <n v="0.35294117647058826"/>
    <n v="43"/>
    <n v="0.33551061486542733"/>
    <n v="0.71666666666666667"/>
    <m/>
    <m/>
    <m/>
    <m/>
    <m/>
    <m/>
    <m/>
    <m/>
    <m/>
    <n v="50"/>
    <n v="14"/>
    <n v="25"/>
    <n v="200"/>
    <n v="200"/>
    <n v="0"/>
    <n v="1877920"/>
    <n v="167359.49999999997"/>
    <n v="266750"/>
    <n v="0"/>
    <n v="337"/>
    <n v="3595790"/>
    <n v="529447.07294682588"/>
    <n v="50"/>
    <n v="193"/>
    <n v="75"/>
    <n v="0"/>
    <n v="0"/>
    <n v="0"/>
    <n v="2326060"/>
    <n v="2307170.2499999995"/>
    <n v="800250"/>
    <n v="0"/>
    <n v="337"/>
    <n v="3595790"/>
    <n v="1588341.2188404775"/>
    <n v="70"/>
    <n v="109"/>
    <n v="76"/>
    <n v="0"/>
    <n v="0"/>
    <n v="2482150"/>
    <n v="1163030"/>
    <n v="810920"/>
    <n v="0"/>
    <n v="337"/>
    <n v="3595790"/>
    <n v="1915327.7310924369"/>
    <n v="60"/>
    <n v="250"/>
    <n v="67"/>
    <n v="0"/>
    <n v="0"/>
    <n v="2988562.4999999995"/>
    <n v="714890"/>
    <x v="0"/>
    <x v="0"/>
    <n v="337"/>
    <n v="3595790"/>
    <n v="1688512.6050420168"/>
    <n v="80"/>
    <n v="414"/>
    <n v="80"/>
    <m/>
    <n v="0"/>
    <n v="0"/>
    <n v="4417380"/>
    <n v="956339.99999999988"/>
    <x v="0"/>
    <n v="0"/>
    <n v="337"/>
    <n v="3595790"/>
    <n v="2016134.4537815126"/>
    <n v="170"/>
    <n v="410"/>
    <n v="73"/>
    <m/>
    <n v="0"/>
    <n v="0"/>
    <n v="4374700"/>
    <n v="872660.24999999988"/>
    <n v="0"/>
    <n v="0"/>
    <n v="410"/>
    <n v="3595790"/>
    <n v="1839722.6890756302"/>
    <n v="100"/>
    <n v="337"/>
    <n v="0"/>
    <n v="200"/>
    <n v="200"/>
    <n v="0"/>
    <n v="3595790"/>
    <n v="0"/>
    <n v="2311155"/>
    <n v="0"/>
    <n v="337"/>
    <n v="3595790"/>
    <n v="0"/>
    <n v="17"/>
    <n v="343"/>
    <n v="6"/>
    <n v="200"/>
    <n v="200"/>
    <n v="0"/>
    <n v="3659810"/>
    <n v="71725.499999999985"/>
    <n v="2390849.9999999995"/>
    <n v="0"/>
    <n v="343"/>
    <n v="3659810"/>
    <n v="151210.08403361344"/>
    <n v="60"/>
    <n v="380"/>
    <n v="46.5"/>
    <n v="0"/>
    <n v="0"/>
    <n v="0"/>
    <n v="4542614.9999999991"/>
    <n v="555872.62499999988"/>
    <n v="0"/>
    <n v="0"/>
    <n v="337"/>
    <n v="3595790"/>
    <n v="1171878.1512605043"/>
    <n v="100"/>
    <n v="333.5"/>
    <n v="100"/>
    <n v="0"/>
    <n v="0"/>
    <n v="0"/>
    <m/>
    <n v="3986742.3749999995"/>
    <n v="1195424.9999999998"/>
    <n v="0"/>
    <n v="0"/>
    <n v="333.5"/>
    <n v="3986742.3749999995"/>
    <n v="2268067.2268907563"/>
    <n v="70"/>
    <n v="233.5"/>
    <n v="70"/>
    <m/>
    <n v="0"/>
    <n v="0"/>
    <n v="2791317.3749999995"/>
    <n v="836797.49999999988"/>
    <n v="0"/>
    <n v="0"/>
    <n v="233.5"/>
    <n v="2791317.3749999995"/>
    <n v="1587647.0588235296"/>
    <n v="90"/>
    <n v="163.5"/>
    <n v="90"/>
    <n v="0"/>
    <n v="0"/>
    <n v="1954519.8749999998"/>
    <n v="1075882.4999999998"/>
    <n v="0"/>
    <n v="0"/>
    <n v="163.5"/>
    <n v="1954519.8749999998"/>
    <n v="2268151.2605042015"/>
    <n v="42"/>
    <n v="73.5"/>
    <n v="42"/>
    <n v="0"/>
    <m/>
    <n v="878637.37499999988"/>
    <n v="448140"/>
    <n v="0"/>
    <n v="73.5"/>
    <n v="878637.37499999988"/>
    <n v="1058470.588235294"/>
  </r>
  <r>
    <m/>
    <x v="6"/>
    <x v="31"/>
    <x v="78"/>
    <s v="SIMJULZAMA-16"/>
    <x v="727"/>
    <x v="560"/>
    <x v="0"/>
    <x v="2"/>
    <n v="1"/>
    <x v="421"/>
    <n v="3"/>
    <m/>
    <n v="0"/>
    <n v="13680"/>
    <n v="41040"/>
    <n v="12.4"/>
    <n v="13546.999999999998"/>
    <n v="33605.042016806721"/>
    <n v="33605.042016806721"/>
    <s v="Shenzhen"/>
    <x v="0"/>
    <n v="60"/>
    <m/>
    <n v="500"/>
    <n v="136"/>
    <n v="0.57796125367137319"/>
    <n v="45"/>
    <n v="0.63707195349517776"/>
    <n v="52"/>
    <n v="0.62396273929989665"/>
    <n v="104"/>
    <n v="0.59015232630937731"/>
    <n v="73"/>
    <n v="0.6071629012015104"/>
    <n v="179"/>
    <n v="0.50953772031215794"/>
    <n v="105"/>
    <n v="0.56451532493855561"/>
    <n v="51"/>
    <n v="0.64629356536809657"/>
    <n v="24"/>
    <n v="0.60610207805822325"/>
    <n v="76"/>
    <n v="0.50250752154285494"/>
    <n v="62"/>
    <n v="0.51700176104234064"/>
    <n v="158"/>
    <n v="0.51083216846666601"/>
    <n v="16"/>
    <n v="0.40455966923765552"/>
    <n v="3"/>
    <n v="0.4520343324141245"/>
    <n v="6"/>
    <n v="0.34806831357625306"/>
    <n v="2"/>
    <s v=""/>
    <n v="0"/>
    <n v="0"/>
    <s v=""/>
    <n v="0"/>
    <n v="0"/>
    <s v=""/>
    <n v="0"/>
    <n v="12"/>
    <n v="0.59207773007467301"/>
    <n v="0"/>
    <n v="0"/>
    <s v=""/>
    <n v="0"/>
    <n v="-1"/>
    <n v="0.58248653500897662"/>
    <n v="0"/>
    <m/>
    <m/>
    <m/>
    <m/>
    <m/>
    <m/>
    <m/>
    <m/>
    <m/>
    <n v="0"/>
    <n v="35"/>
    <n v="16"/>
    <n v="0"/>
    <n v="0"/>
    <n v="0"/>
    <n v="362520"/>
    <n v="449189.99999999994"/>
    <n v="218880"/>
    <n v="0"/>
    <n v="3"/>
    <n v="41040"/>
    <n v="451832.49770496436"/>
    <n v="19"/>
    <n v="21"/>
    <n v="4.5"/>
    <n v="0"/>
    <n v="0"/>
    <n v="0"/>
    <n v="171000"/>
    <n v="269513.99999999994"/>
    <n v="61560"/>
    <n v="0"/>
    <n v="3"/>
    <n v="41040"/>
    <n v="127077.88997952122"/>
    <n v="0"/>
    <n v="18"/>
    <n v="6"/>
    <n v="0"/>
    <n v="0"/>
    <n v="122274"/>
    <n v="246240"/>
    <n v="82080"/>
    <n v="0"/>
    <n v="3"/>
    <n v="41040"/>
    <n v="201630.25210084033"/>
    <n v="0"/>
    <n v="16"/>
    <n v="2"/>
    <n v="0"/>
    <n v="0"/>
    <n v="205343.99999999997"/>
    <n v="27360"/>
    <x v="0"/>
    <x v="0"/>
    <n v="3"/>
    <n v="41040"/>
    <n v="67210.084033613442"/>
    <n v="1"/>
    <n v="3"/>
    <n v="1"/>
    <m/>
    <n v="0"/>
    <n v="0"/>
    <n v="41040"/>
    <n v="12833.999999999998"/>
    <x v="0"/>
    <n v="0"/>
    <n v="3"/>
    <n v="41040"/>
    <n v="33605.042016806721"/>
    <n v="11"/>
    <n v="3"/>
    <n v="0"/>
    <m/>
    <n v="0"/>
    <n v="0"/>
    <n v="41040"/>
    <n v="0"/>
    <n v="0"/>
    <n v="0"/>
    <n v="3"/>
    <n v="41040"/>
    <n v="0"/>
    <n v="0"/>
    <n v="15"/>
    <n v="12"/>
    <n v="0"/>
    <n v="0"/>
    <n v="0"/>
    <n v="205200"/>
    <n v="154007.99999999997"/>
    <n v="0"/>
    <n v="0"/>
    <n v="15"/>
    <n v="41040"/>
    <n v="403260.50420168065"/>
    <n v="0"/>
    <n v="3"/>
    <n v="0"/>
    <n v="0"/>
    <n v="0"/>
    <n v="0"/>
    <n v="41040"/>
    <n v="0"/>
    <n v="0"/>
    <n v="0"/>
    <n v="3"/>
    <n v="41040"/>
    <n v="0"/>
    <n v="0"/>
    <n v="2"/>
    <n v="0"/>
    <n v="0"/>
    <n v="0"/>
    <n v="0"/>
    <n v="25667.999999999996"/>
    <n v="0"/>
    <n v="0"/>
    <n v="0"/>
    <n v="3"/>
    <n v="41040"/>
    <n v="0"/>
    <n v="0"/>
    <n v="2"/>
    <n v="0"/>
    <n v="0"/>
    <n v="0"/>
    <n v="0"/>
    <m/>
    <n v="25667.999999999996"/>
    <n v="0"/>
    <n v="0"/>
    <n v="0"/>
    <n v="2"/>
    <n v="25667.999999999996"/>
    <n v="0"/>
    <n v="0"/>
    <n v="2"/>
    <n v="0"/>
    <m/>
    <n v="0"/>
    <n v="0"/>
    <n v="25667.999999999996"/>
    <n v="0"/>
    <n v="0"/>
    <n v="0"/>
    <n v="2"/>
    <n v="25667.999999999996"/>
    <n v="0"/>
    <n v="0"/>
    <n v="2"/>
    <n v="0"/>
    <n v="0"/>
    <n v="0"/>
    <n v="25667.999999999996"/>
    <n v="0"/>
    <n v="0"/>
    <n v="0"/>
    <n v="2"/>
    <n v="25667.999999999996"/>
    <n v="0"/>
    <n v="0"/>
    <n v="2"/>
    <n v="0"/>
    <n v="0"/>
    <n v="0"/>
    <n v="25667.999999999996"/>
    <n v="0"/>
    <n v="0"/>
    <n v="2"/>
    <n v="25667.999999999996"/>
    <n v="0"/>
  </r>
  <r>
    <m/>
    <x v="6"/>
    <x v="31"/>
    <x v="78"/>
    <s v="SIMJULZAMA-24"/>
    <x v="728"/>
    <x v="561"/>
    <x v="0"/>
    <x v="1"/>
    <n v="1"/>
    <x v="422"/>
    <n v="336"/>
    <n v="250"/>
    <n v="3016250"/>
    <n v="15932"/>
    <n v="5353152"/>
    <n v="12.7"/>
    <n v="13874.749999999998"/>
    <n v="33605.042016806721"/>
    <n v="29403.361344537818"/>
    <s v="Shenzhen"/>
    <x v="0"/>
    <n v="60"/>
    <m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1"/>
    <n v="0.41295087150200921"/>
    <n v="52"/>
    <n v="0.39955597070961563"/>
    <n v="70"/>
    <n v="0.39964518205807048"/>
    <n v="0.875"/>
    <n v="128"/>
    <n v="0.52442110208891257"/>
    <n v="1.9692307692307693"/>
    <n v="133"/>
    <n v="0.27108256243455248"/>
    <n v="1.1083333333333334"/>
    <n v="63"/>
    <n v="0.58404913384936907"/>
    <n v="0.63"/>
    <n v="102"/>
    <n v="0.31727796281622844"/>
    <n v="1.5692307692307692"/>
    <n v="101"/>
    <n v="0.32974649473916545"/>
    <n v="1.6833333333333333"/>
    <m/>
    <m/>
    <m/>
    <m/>
    <m/>
    <m/>
    <m/>
    <m/>
    <m/>
    <n v="0"/>
    <n v="0"/>
    <n v="0"/>
    <n v="500"/>
    <n v="0"/>
    <n v="0"/>
    <n v="852362"/>
    <n v="0"/>
    <n v="0"/>
    <n v="0"/>
    <n v="336"/>
    <n v="5353152"/>
    <n v="0"/>
    <n v="10"/>
    <n v="0"/>
    <n v="1.5"/>
    <n v="0"/>
    <n v="200"/>
    <n v="0"/>
    <n v="1967602"/>
    <n v="0"/>
    <n v="23898"/>
    <n v="0"/>
    <n v="336"/>
    <n v="5353152"/>
    <n v="42359.296659840409"/>
    <n v="150"/>
    <n v="0"/>
    <n v="52"/>
    <n v="0"/>
    <n v="0"/>
    <n v="2798096.5"/>
    <n v="0"/>
    <n v="828464"/>
    <n v="0"/>
    <n v="336"/>
    <n v="5353152"/>
    <n v="1747462.1848739495"/>
    <n v="80"/>
    <n v="446"/>
    <n v="70"/>
    <n v="0"/>
    <n v="0"/>
    <n v="5862446.9999999991"/>
    <n v="1115240"/>
    <x v="0"/>
    <x v="0"/>
    <n v="336"/>
    <n v="5353152"/>
    <n v="2352352.9411764704"/>
    <n v="65"/>
    <n v="464"/>
    <n v="65"/>
    <m/>
    <n v="0"/>
    <n v="0"/>
    <n v="7392448"/>
    <n v="854392.49999999988"/>
    <x v="0"/>
    <n v="0"/>
    <n v="336"/>
    <n v="5353152"/>
    <n v="2184327.7310924367"/>
    <n v="120"/>
    <n v="469"/>
    <n v="133"/>
    <m/>
    <n v="0"/>
    <n v="0"/>
    <n v="7472108"/>
    <n v="1748218.4999999998"/>
    <n v="0"/>
    <n v="0"/>
    <n v="469"/>
    <n v="5353152"/>
    <n v="4469470.5882352935"/>
    <n v="100"/>
    <n v="399"/>
    <n v="63"/>
    <n v="0"/>
    <n v="250"/>
    <n v="0"/>
    <n v="6356868"/>
    <n v="828103.49999999988"/>
    <n v="0"/>
    <n v="0"/>
    <n v="399"/>
    <n v="5353152"/>
    <n v="2117117.6470588236"/>
    <n v="65"/>
    <n v="438"/>
    <n v="105"/>
    <n v="0"/>
    <n v="0"/>
    <n v="0"/>
    <n v="6978216"/>
    <n v="1380172.4999999998"/>
    <n v="0"/>
    <n v="0"/>
    <n v="438"/>
    <n v="6978216"/>
    <n v="3528529.4117647056"/>
    <n v="60"/>
    <n v="437"/>
    <n v="129"/>
    <n v="0"/>
    <n v="250"/>
    <n v="0"/>
    <n v="5744146.4999999991"/>
    <n v="1695640.4999999998"/>
    <n v="0"/>
    <n v="0"/>
    <n v="336"/>
    <n v="5353152"/>
    <n v="4335050.4201680673"/>
    <n v="100"/>
    <n v="308"/>
    <n v="100"/>
    <n v="0"/>
    <n v="0"/>
    <n v="0"/>
    <n v="250"/>
    <n v="4048505.9999999995"/>
    <n v="1314449.9999999998"/>
    <n v="0"/>
    <n v="0"/>
    <n v="308"/>
    <n v="4048505.9999999995"/>
    <n v="2940336.1344537819"/>
    <n v="60"/>
    <n v="208"/>
    <n v="60"/>
    <m/>
    <n v="0"/>
    <n v="0"/>
    <n v="2734055.9999999995"/>
    <n v="788669.99999999988"/>
    <n v="0"/>
    <n v="0"/>
    <n v="208"/>
    <n v="2734055.9999999995"/>
    <n v="1764201.6806722691"/>
    <n v="100"/>
    <n v="148"/>
    <n v="100"/>
    <n v="0"/>
    <n v="0"/>
    <n v="1945385.9999999998"/>
    <n v="1314449.9999999998"/>
    <n v="0"/>
    <n v="0"/>
    <n v="148"/>
    <n v="1945385.9999999998"/>
    <n v="3360504.2016806724"/>
    <n v="100"/>
    <n v="48"/>
    <n v="100"/>
    <n v="0"/>
    <n v="0"/>
    <n v="630935.99999999988"/>
    <n v="1593200"/>
    <n v="0"/>
    <n v="48"/>
    <n v="630935.99999999988"/>
    <n v="3360504.2016806724"/>
  </r>
  <r>
    <m/>
    <x v="6"/>
    <x v="31"/>
    <x v="78"/>
    <s v="SIMJULZBRU-30"/>
    <x v="729"/>
    <x v="562"/>
    <x v="0"/>
    <x v="1"/>
    <n v="1"/>
    <x v="423"/>
    <n v="54"/>
    <m/>
    <n v="0"/>
    <n v="25755"/>
    <n v="1390770"/>
    <n v="20.47"/>
    <n v="20702.875"/>
    <n v="52932.773109243702"/>
    <n v="46210.08403361345"/>
    <s v="Shenzhen"/>
    <x v="0"/>
    <n v="60"/>
    <m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90"/>
    <n v="0.57329861252600633"/>
    <n v="144"/>
    <n v="0.57013957051011677"/>
    <n v="222"/>
    <n v="0.57669648454939937"/>
    <n v="26"/>
    <n v="0.4987993197379238"/>
    <n v="8"/>
    <n v="0.3933489359370988"/>
    <n v="152"/>
    <n v="0.4241494379294512"/>
    <n v="252"/>
    <n v="0.44348096465072911"/>
    <n v="1.008"/>
    <n v="187"/>
    <n v="0.54315979642257051"/>
    <n v="0.93500000000000005"/>
    <n v="442"/>
    <n v="0.36209163299058933"/>
    <n v="1.4733333333333334"/>
    <n v="319"/>
    <n v="0.51961697495543269"/>
    <n v="1.276"/>
    <n v="149"/>
    <n v="0.26444301635488726"/>
    <n v="0.745"/>
    <n v="98"/>
    <n v="0.2904671358019778"/>
    <n v="0.65333333333333332"/>
    <m/>
    <m/>
    <m/>
    <m/>
    <m/>
    <m/>
    <m/>
    <m/>
    <m/>
    <n v="18"/>
    <n v="39"/>
    <n v="39"/>
    <n v="600"/>
    <n v="500"/>
    <n v="0"/>
    <n v="5228265"/>
    <n v="826271.54999999993"/>
    <n v="1004445"/>
    <n v="0"/>
    <n v="54"/>
    <n v="1390770"/>
    <n v="1734771.5556810962"/>
    <n v="10"/>
    <n v="19"/>
    <n v="12"/>
    <n v="600"/>
    <n v="500"/>
    <n v="0"/>
    <n v="10714080"/>
    <n v="402542.54999999993"/>
    <n v="309060"/>
    <n v="0"/>
    <n v="54"/>
    <n v="1390770"/>
    <n v="533775.86328649113"/>
    <n v="250"/>
    <n v="499"/>
    <n v="152"/>
    <n v="0"/>
    <n v="0"/>
    <n v="14642310"/>
    <n v="12851745"/>
    <n v="3914760"/>
    <n v="0"/>
    <n v="54"/>
    <n v="1390770"/>
    <n v="8045781.5126050431"/>
    <n v="250"/>
    <n v="910"/>
    <n v="252"/>
    <n v="600"/>
    <n v="0"/>
    <n v="19279669.499999996"/>
    <n v="6490260"/>
    <x v="106"/>
    <x v="0"/>
    <n v="54"/>
    <n v="1390770"/>
    <n v="13339058.823529413"/>
    <n v="200"/>
    <n v="241"/>
    <n v="200"/>
    <m/>
    <n v="0"/>
    <n v="0"/>
    <n v="6206955"/>
    <n v="4237289.9999999991"/>
    <x v="0"/>
    <n v="0"/>
    <n v="54"/>
    <n v="1390770"/>
    <n v="10586554.62184874"/>
    <n v="300"/>
    <n v="496"/>
    <n v="442"/>
    <m/>
    <n v="300"/>
    <n v="0"/>
    <n v="12774480"/>
    <n v="9364410.8999999985"/>
    <n v="0"/>
    <n v="0"/>
    <n v="496"/>
    <n v="1390770"/>
    <n v="23396285.714285716"/>
    <n v="250"/>
    <n v="373"/>
    <n v="319"/>
    <n v="0"/>
    <n v="0"/>
    <n v="0"/>
    <n v="9606615"/>
    <n v="6758477.5499999989"/>
    <n v="0"/>
    <n v="0"/>
    <n v="373"/>
    <n v="1390770"/>
    <n v="16885554.62184874"/>
    <n v="200"/>
    <n v="203"/>
    <n v="153"/>
    <n v="0"/>
    <n v="300"/>
    <n v="0"/>
    <n v="5228265"/>
    <n v="3241526.8499999996"/>
    <n v="0"/>
    <n v="0"/>
    <n v="203"/>
    <n v="5228265"/>
    <n v="8098714.2857142864"/>
    <n v="150"/>
    <n v="152"/>
    <n v="142.5"/>
    <n v="600"/>
    <n v="300"/>
    <n v="0"/>
    <n v="3220340.3999999994"/>
    <n v="3019069.1249999995"/>
    <n v="12711869.999999998"/>
    <n v="0"/>
    <n v="54"/>
    <n v="1390770"/>
    <n v="7542920.168067228"/>
    <n v="350"/>
    <n v="9.5"/>
    <n v="9.5"/>
    <n v="600"/>
    <n v="300"/>
    <n v="0"/>
    <n v="300"/>
    <n v="201271.27499999997"/>
    <n v="201271.27499999997"/>
    <n v="12711869.999999998"/>
    <n v="0"/>
    <n v="9.5"/>
    <n v="201271.27499999997"/>
    <n v="438995.79831932776"/>
    <n v="300"/>
    <n v="0"/>
    <n v="300"/>
    <m/>
    <n v="900"/>
    <n v="300"/>
    <n v="0"/>
    <n v="6355934.9999999991"/>
    <n v="0"/>
    <n v="6355934.9999999991"/>
    <n v="300"/>
    <n v="6355934.9999999991"/>
    <n v="13863025.210084034"/>
    <n v="350"/>
    <n v="0"/>
    <n v="0"/>
    <n v="1000"/>
    <n v="0"/>
    <n v="0"/>
    <n v="0"/>
    <n v="21186449.999999996"/>
    <n v="0"/>
    <n v="0"/>
    <n v="0"/>
    <n v="0"/>
    <n v="250"/>
    <n v="0"/>
    <n v="250"/>
    <n v="0"/>
    <n v="1000"/>
    <n v="0"/>
    <n v="6438750"/>
    <n v="21186449.999999996"/>
    <n v="1000"/>
    <n v="21186449.999999996"/>
    <n v="13233193.277310926"/>
  </r>
  <r>
    <m/>
    <x v="6"/>
    <x v="31"/>
    <x v="78"/>
    <s v="SIMJULZOPO-30"/>
    <x v="730"/>
    <x v="563"/>
    <x v="0"/>
    <x v="1"/>
    <n v="1"/>
    <x v="424"/>
    <n v="373"/>
    <m/>
    <n v="0"/>
    <n v="24945"/>
    <n v="9304485"/>
    <n v="19.600000000000001"/>
    <n v="20429.75"/>
    <n v="50411.764705882357"/>
    <n v="46210.08403361345"/>
    <s v="Shenzhen"/>
    <x v="0"/>
    <n v="60"/>
    <m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0"/>
    <s v=""/>
    <n v="0"/>
    <s v=""/>
    <n v="0"/>
    <n v="24"/>
    <n v="0.43142516468702025"/>
    <n v="1.2"/>
    <n v="126"/>
    <n v="0.37187410899448115"/>
    <n v="0.84"/>
    <n v="89"/>
    <n v="0.50401405805879074"/>
    <n v="0.7416666666666667"/>
    <n v="75"/>
    <n v="0.28257982533208487"/>
    <n v="0.5"/>
    <n v="83"/>
    <n v="0.30896741819213286"/>
    <n v="0.55333333333333334"/>
    <m/>
    <m/>
    <m/>
    <m/>
    <m/>
    <m/>
    <m/>
    <m/>
    <m/>
    <n v="0"/>
    <n v="0"/>
    <n v="0"/>
    <n v="0"/>
    <n v="0"/>
    <n v="0"/>
    <n v="0"/>
    <n v="0"/>
    <n v="0"/>
    <n v="0"/>
    <n v="373"/>
    <n v="9304485"/>
    <n v="0"/>
    <n v="0"/>
    <n v="0"/>
    <n v="0"/>
    <n v="0"/>
    <n v="0"/>
    <n v="0"/>
    <n v="0"/>
    <n v="0"/>
    <n v="0"/>
    <n v="0"/>
    <n v="373"/>
    <n v="9304485"/>
    <n v="0"/>
    <n v="0"/>
    <n v="0"/>
    <n v="0"/>
    <n v="0"/>
    <n v="0"/>
    <n v="405720"/>
    <n v="0"/>
    <n v="0"/>
    <n v="0"/>
    <n v="373"/>
    <n v="9304485"/>
    <n v="0"/>
    <n v="0"/>
    <n v="0"/>
    <n v="0"/>
    <n v="0"/>
    <n v="0"/>
    <n v="0"/>
    <n v="0"/>
    <x v="0"/>
    <x v="0"/>
    <n v="373"/>
    <n v="9304485"/>
    <n v="0"/>
    <n v="20"/>
    <n v="397"/>
    <n v="20"/>
    <m/>
    <n v="0"/>
    <n v="0"/>
    <n v="9903165"/>
    <n v="405720"/>
    <x v="0"/>
    <n v="0"/>
    <n v="373"/>
    <n v="9304485"/>
    <n v="1008235.2941176471"/>
    <n v="150"/>
    <n v="499"/>
    <n v="126"/>
    <m/>
    <n v="500"/>
    <n v="0"/>
    <n v="12447555"/>
    <n v="2556036"/>
    <n v="0"/>
    <n v="0"/>
    <n v="499"/>
    <n v="9304485"/>
    <n v="6351882.3529411769"/>
    <n v="120"/>
    <n v="462"/>
    <n v="89"/>
    <n v="0"/>
    <n v="0"/>
    <n v="0"/>
    <n v="11524590"/>
    <n v="1805454"/>
    <n v="0"/>
    <n v="0"/>
    <n v="462"/>
    <n v="9304485"/>
    <n v="4486647.0588235296"/>
    <n v="150"/>
    <n v="448"/>
    <n v="77"/>
    <n v="600"/>
    <n v="300"/>
    <n v="0"/>
    <n v="11175360"/>
    <n v="1562022"/>
    <n v="12171600"/>
    <n v="0"/>
    <n v="448"/>
    <n v="11175360"/>
    <n v="3881705.8823529417"/>
    <n v="150"/>
    <n v="456"/>
    <n v="108"/>
    <n v="700"/>
    <n v="700"/>
    <n v="0"/>
    <n v="9250416"/>
    <n v="2190888"/>
    <n v="14200200"/>
    <n v="0"/>
    <n v="373"/>
    <n v="9304485"/>
    <n v="5444470.5882352944"/>
    <n v="300"/>
    <n v="348"/>
    <n v="300"/>
    <n v="0"/>
    <m/>
    <n v="0"/>
    <n v="700"/>
    <n v="7059528"/>
    <n v="6085800"/>
    <n v="0"/>
    <n v="0"/>
    <n v="348"/>
    <n v="7059528"/>
    <n v="13863025.210084034"/>
    <n v="200"/>
    <n v="48"/>
    <n v="200"/>
    <m/>
    <n v="300"/>
    <n v="700"/>
    <n v="973728"/>
    <n v="4057200"/>
    <n v="0"/>
    <n v="14200200"/>
    <n v="748"/>
    <n v="15173928"/>
    <n v="9242016.8067226894"/>
    <n v="250"/>
    <n v="548"/>
    <n v="250"/>
    <n v="600"/>
    <n v="0"/>
    <n v="11116728"/>
    <n v="5071500"/>
    <n v="12171600"/>
    <n v="0"/>
    <n v="548"/>
    <n v="11116728"/>
    <n v="12602941.176470589"/>
    <n v="200"/>
    <n v="298"/>
    <n v="200"/>
    <n v="0"/>
    <n v="600"/>
    <n v="6045228"/>
    <n v="4989000"/>
    <n v="12171600"/>
    <n v="898"/>
    <n v="18216828"/>
    <n v="10082352.941176472"/>
  </r>
  <r>
    <m/>
    <x v="6"/>
    <x v="31"/>
    <x v="78"/>
    <s v="SIMJULZSAN-30"/>
    <x v="731"/>
    <x v="564"/>
    <x v="0"/>
    <x v="4"/>
    <n v="1"/>
    <x v="31"/>
    <n v="0"/>
    <m/>
    <n v="0"/>
    <n v="16278.249999999998"/>
    <n v="0"/>
    <n v="15.8"/>
    <n v="16278.249999999998"/>
    <n v="41037.605042016803"/>
    <n v="34881.964285714283"/>
    <s v="Shenzhen"/>
    <x v="0"/>
    <n v="60"/>
    <m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n v="0"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0"/>
    <n v="8176499.9999999991"/>
    <n v="0"/>
    <n v="0"/>
    <n v="0"/>
    <n v="0"/>
    <n v="80"/>
    <n v="0"/>
    <n v="0"/>
    <n v="0"/>
    <n v="0"/>
    <n v="0"/>
    <n v="0"/>
    <n v="0"/>
    <n v="0"/>
    <n v="0"/>
    <n v="0"/>
    <n v="0"/>
    <n v="0"/>
    <n v="0"/>
    <n v="80"/>
    <n v="0"/>
    <n v="0"/>
    <m/>
    <n v="0"/>
    <n v="0"/>
    <n v="0"/>
    <n v="0"/>
    <n v="0"/>
    <n v="0"/>
    <n v="0"/>
    <n v="0"/>
    <n v="0"/>
    <n v="150"/>
    <n v="0"/>
    <n v="0"/>
    <n v="600"/>
    <m/>
    <n v="0"/>
    <n v="0"/>
    <n v="9811799.9999999981"/>
    <n v="0"/>
    <n v="0"/>
    <n v="0"/>
    <n v="0"/>
    <n v="200"/>
    <n v="0"/>
    <n v="200"/>
    <n v="0"/>
    <m/>
    <n v="0"/>
    <n v="3255649.9999999995"/>
    <n v="0"/>
    <n v="0"/>
    <n v="0"/>
    <n v="8207521.0084033608"/>
  </r>
  <r>
    <m/>
    <x v="6"/>
    <x v="31"/>
    <x v="78"/>
    <s v="SIMJULZSIE-30"/>
    <x v="732"/>
    <x v="565"/>
    <x v="0"/>
    <x v="1"/>
    <n v="1"/>
    <x v="425"/>
    <n v="1420"/>
    <n v="300"/>
    <n v="4816500"/>
    <n v="21778"/>
    <n v="30924760"/>
    <n v="16.899999999999999"/>
    <n v="16278.249999999998"/>
    <n v="44529.411764705881"/>
    <n v="39487.394957983197"/>
    <s v="Shenzhen"/>
    <x v="0"/>
    <n v="60"/>
    <m/>
    <n v="500"/>
    <n v="15"/>
    <n v="0.73044989982303365"/>
    <n v="0"/>
    <s v=""/>
    <n v="124"/>
    <n v="0.58991418451062416"/>
    <n v="287"/>
    <n v="0.58215222475455841"/>
    <n v="194"/>
    <n v="0.58574111714251365"/>
    <n v="587"/>
    <n v="0.54099238652012749"/>
    <n v="43"/>
    <n v="0.65986455043968417"/>
    <n v="4"/>
    <n v="-6.5003685740092132E-2"/>
    <n v="68"/>
    <n v="0.63356286279155893"/>
    <n v="519"/>
    <n v="0.55723484236460297"/>
    <n v="284"/>
    <n v="0.62292412800384112"/>
    <n v="104"/>
    <n v="0.58514881787754847"/>
    <n v="172"/>
    <n v="0.46444238068209892"/>
    <n v="273"/>
    <n v="0.50705719910203995"/>
    <n v="589"/>
    <n v="0.46582247116143527"/>
    <n v="414"/>
    <n v="0.46305937273934811"/>
    <n v="1.0349999999999999"/>
    <n v="313"/>
    <n v="0.56202046257957039"/>
    <n v="1.0433333333333332"/>
    <n v="666"/>
    <n v="0.39568787357052754"/>
    <n v="1.48"/>
    <n v="270"/>
    <n v="0.50365499446600825"/>
    <n v="0.77142857142857146"/>
    <n v="352"/>
    <n v="0.29232686805791341"/>
    <n v="1.0057142857142858"/>
    <n v="263"/>
    <n v="0.26060553930495245"/>
    <n v="0.87666666666666671"/>
    <m/>
    <m/>
    <m/>
    <m/>
    <m/>
    <m/>
    <m/>
    <m/>
    <m/>
    <n v="300"/>
    <n v="1180"/>
    <n v="150"/>
    <n v="600"/>
    <n v="1500"/>
    <n v="0"/>
    <n v="25012033"/>
    <n v="20639969.999999996"/>
    <n v="3266700"/>
    <n v="0"/>
    <n v="1420"/>
    <n v="30924760"/>
    <n v="5612951.0627780529"/>
    <n v="250"/>
    <n v="1302"/>
    <n v="409.5"/>
    <n v="0"/>
    <n v="0"/>
    <n v="0"/>
    <n v="30761425"/>
    <n v="22773932.999999996"/>
    <n v="8918091"/>
    <n v="0"/>
    <n v="1420"/>
    <n v="30924760"/>
    <n v="15323356.401384084"/>
    <n v="500"/>
    <n v="1009"/>
    <n v="589"/>
    <n v="0"/>
    <n v="0"/>
    <n v="27090784"/>
    <n v="21974002"/>
    <n v="12827242"/>
    <n v="0"/>
    <n v="1420"/>
    <n v="30924760"/>
    <n v="26227823.529411763"/>
    <n v="400"/>
    <n v="965"/>
    <n v="414"/>
    <n v="500"/>
    <n v="0"/>
    <n v="16879297.499999996"/>
    <n v="9016092"/>
    <x v="107"/>
    <x v="0"/>
    <n v="1420"/>
    <n v="30924760"/>
    <n v="18435176.470588233"/>
    <n v="300"/>
    <n v="1733"/>
    <n v="300"/>
    <m/>
    <n v="0"/>
    <n v="0"/>
    <n v="37741274"/>
    <n v="5247449.9999999991"/>
    <x v="0"/>
    <n v="0"/>
    <n v="1420"/>
    <n v="30924760"/>
    <n v="13358823.529411765"/>
    <n v="450"/>
    <n v="2086"/>
    <n v="666"/>
    <m/>
    <n v="400"/>
    <n v="0"/>
    <n v="45428908"/>
    <n v="11649338.999999998"/>
    <n v="0"/>
    <n v="0"/>
    <n v="2086"/>
    <n v="30924760"/>
    <n v="29656588.235294119"/>
    <n v="350"/>
    <n v="1690"/>
    <n v="270"/>
    <n v="0"/>
    <n v="600"/>
    <n v="0"/>
    <n v="36804820"/>
    <n v="4722704.9999999991"/>
    <n v="0"/>
    <n v="0"/>
    <n v="1690"/>
    <n v="30924760"/>
    <n v="12022941.176470587"/>
    <n v="350"/>
    <n v="1772"/>
    <n v="363"/>
    <n v="600"/>
    <n v="500"/>
    <n v="0"/>
    <n v="38590616"/>
    <n v="6349414.4999999991"/>
    <n v="10494899.999999998"/>
    <n v="0"/>
    <n v="1772"/>
    <n v="38590616"/>
    <n v="16164176.470588235"/>
    <n v="300"/>
    <n v="1683"/>
    <n v="346.5"/>
    <n v="1500"/>
    <n v="1200"/>
    <n v="0"/>
    <n v="29438194.499999993"/>
    <n v="6060804.7499999991"/>
    <n v="26237249.999999996"/>
    <n v="0"/>
    <n v="1420"/>
    <n v="30924760"/>
    <n v="15429441.176470587"/>
    <n v="600"/>
    <n v="1336.5"/>
    <n v="600"/>
    <n v="0"/>
    <n v="0"/>
    <n v="0"/>
    <n v="1200"/>
    <n v="23377389.749999996"/>
    <n v="10494899.999999998"/>
    <n v="0"/>
    <n v="0"/>
    <n v="1336.5"/>
    <n v="23377389.749999996"/>
    <n v="23692436.974789917"/>
    <n v="350"/>
    <n v="736.5"/>
    <n v="350"/>
    <m/>
    <n v="893"/>
    <n v="893"/>
    <n v="12882489.749999998"/>
    <n v="6122024.9999999991"/>
    <n v="0"/>
    <n v="15619909.499999996"/>
    <n v="1629.5"/>
    <n v="28502399.249999993"/>
    <n v="13820588.235294119"/>
    <n v="500"/>
    <n v="1279.5"/>
    <n v="500"/>
    <n v="1000"/>
    <n v="0"/>
    <n v="22380374.249999996"/>
    <n v="8745749.9999999981"/>
    <n v="17491499.999999996"/>
    <n v="0"/>
    <n v="1279.5"/>
    <n v="22380374.249999996"/>
    <n v="22264705.882352941"/>
    <n v="350"/>
    <n v="779.5"/>
    <n v="350"/>
    <n v="600"/>
    <n v="1000"/>
    <n v="13634624.249999996"/>
    <n v="7622300"/>
    <n v="17491499.999999996"/>
    <n v="1779.5"/>
    <n v="31126124.249999993"/>
    <n v="15585294.117647059"/>
  </r>
  <r>
    <m/>
    <x v="6"/>
    <x v="31"/>
    <x v="78"/>
    <s v="SIMJULZTOS-12"/>
    <x v="733"/>
    <x v="566"/>
    <x v="0"/>
    <x v="2"/>
    <n v="1"/>
    <x v="31"/>
    <n v="3"/>
    <m/>
    <n v="0"/>
    <n v="11026"/>
    <n v="33078"/>
    <n v="9.8000000000000007"/>
    <n v="10706.5"/>
    <n v="29403.361344537818"/>
    <n v="29403.361344537818"/>
    <s v="Shenzhen"/>
    <x v="0"/>
    <n v="60"/>
    <m/>
    <n v="500"/>
    <n v="107"/>
    <n v="0.57331216405078089"/>
    <n v="53"/>
    <n v="0.63440732272192712"/>
    <n v="49"/>
    <n v="0.59139219042240776"/>
    <n v="49"/>
    <n v="0.55986699594970879"/>
    <n v="48"/>
    <n v="0.56406110629120554"/>
    <n v="86"/>
    <n v="0.48631614012627045"/>
    <n v="16"/>
    <n v="0.59303885035992765"/>
    <n v="17"/>
    <n v="0.59823151125401919"/>
    <n v="6"/>
    <s v=""/>
    <n v="5"/>
    <n v="0.42929587646802964"/>
    <n v="2"/>
    <s v=""/>
    <n v="0"/>
    <s v=""/>
    <n v="0"/>
    <s v=""/>
    <n v="6"/>
    <n v="0.40618773468385716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0"/>
    <n v="2"/>
    <n v="0"/>
    <n v="0"/>
    <n v="0"/>
    <n v="0"/>
    <n v="99234"/>
    <n v="20286"/>
    <n v="0"/>
    <n v="0"/>
    <n v="3"/>
    <n v="33078"/>
    <n v="0"/>
    <n v="0"/>
    <n v="7"/>
    <n v="9"/>
    <n v="0"/>
    <n v="0"/>
    <n v="0"/>
    <n v="99234"/>
    <n v="71001"/>
    <n v="99234"/>
    <n v="0"/>
    <n v="3"/>
    <n v="33078"/>
    <n v="222378.36310994989"/>
    <n v="0"/>
    <n v="7"/>
    <n v="0"/>
    <n v="0"/>
    <n v="0"/>
    <n v="0"/>
    <n v="77182"/>
    <n v="0"/>
    <n v="0"/>
    <n v="3"/>
    <n v="33078"/>
    <n v="0"/>
    <n v="0"/>
    <n v="2"/>
    <n v="0"/>
    <n v="0"/>
    <n v="0"/>
    <n v="20286"/>
    <n v="0"/>
    <x v="0"/>
    <x v="0"/>
    <n v="3"/>
    <n v="33078"/>
    <n v="0"/>
    <n v="0"/>
    <n v="3"/>
    <n v="0"/>
    <m/>
    <n v="0"/>
    <n v="0"/>
    <n v="33078"/>
    <n v="0"/>
    <x v="0"/>
    <n v="0"/>
    <n v="3"/>
    <n v="33078"/>
    <n v="0"/>
    <n v="0"/>
    <n v="3"/>
    <n v="0"/>
    <m/>
    <n v="0"/>
    <n v="0"/>
    <n v="33078"/>
    <n v="0"/>
    <n v="0"/>
    <n v="0"/>
    <n v="3"/>
    <n v="33078"/>
    <n v="0"/>
    <n v="0"/>
    <n v="3"/>
    <n v="0"/>
    <n v="0"/>
    <n v="0"/>
    <n v="0"/>
    <n v="33078"/>
    <n v="0"/>
    <n v="0"/>
    <n v="0"/>
    <n v="3"/>
    <n v="33078"/>
    <n v="0"/>
    <n v="0"/>
    <n v="3"/>
    <n v="0"/>
    <n v="0"/>
    <n v="0"/>
    <n v="0"/>
    <n v="33078"/>
    <n v="0"/>
    <n v="0"/>
    <n v="0"/>
    <n v="3"/>
    <n v="33078"/>
    <n v="0"/>
    <n v="0"/>
    <n v="3"/>
    <n v="0"/>
    <n v="0"/>
    <n v="0"/>
    <n v="0"/>
    <n v="30429"/>
    <n v="0"/>
    <n v="0"/>
    <n v="0"/>
    <n v="3"/>
    <n v="33078"/>
    <n v="0"/>
    <n v="0"/>
    <n v="3"/>
    <n v="0"/>
    <n v="0"/>
    <n v="0"/>
    <n v="0"/>
    <m/>
    <n v="30429"/>
    <n v="0"/>
    <n v="0"/>
    <n v="0"/>
    <n v="3"/>
    <n v="30429"/>
    <n v="0"/>
    <n v="0"/>
    <n v="3"/>
    <n v="0"/>
    <m/>
    <n v="0"/>
    <n v="0"/>
    <n v="30429"/>
    <n v="0"/>
    <n v="0"/>
    <n v="0"/>
    <n v="3"/>
    <n v="30429"/>
    <n v="0"/>
    <n v="0"/>
    <n v="3"/>
    <n v="0"/>
    <n v="0"/>
    <n v="0"/>
    <n v="30429"/>
    <n v="0"/>
    <n v="0"/>
    <n v="0"/>
    <n v="3"/>
    <n v="30429"/>
    <n v="0"/>
    <n v="0"/>
    <n v="3"/>
    <n v="0"/>
    <n v="0"/>
    <n v="0"/>
    <n v="30429"/>
    <n v="0"/>
    <n v="0"/>
    <n v="3"/>
    <n v="30429"/>
    <n v="0"/>
  </r>
  <r>
    <m/>
    <x v="6"/>
    <x v="31"/>
    <x v="79"/>
    <s v="SIMBOWAMA-4"/>
    <x v="734"/>
    <x v="567"/>
    <x v="0"/>
    <x v="0"/>
    <n v="1"/>
    <x v="426"/>
    <n v="138"/>
    <n v="100"/>
    <n v="245100"/>
    <n v="2433"/>
    <n v="335754"/>
    <n v="2.58"/>
    <n v="2818.6499999999996"/>
    <n v="8394.957983193277"/>
    <n v="7974.7899159663866"/>
    <s v="Shenzhen"/>
    <x v="0"/>
    <n v="60"/>
    <m/>
    <n v="100"/>
    <n v="9"/>
    <n v="0.75169492441489671"/>
    <n v="15"/>
    <n v="0.71831711533333753"/>
    <n v="13"/>
    <n v="0.69814230772248598"/>
    <n v="10"/>
    <n v="0.67619400891593962"/>
    <n v="11"/>
    <n v="0.69287483916839832"/>
    <n v="60"/>
    <n v="0.65498508281611312"/>
    <n v="14"/>
    <n v="0.64347420923345833"/>
    <n v="22"/>
    <n v="0.64793659320803199"/>
    <n v="20"/>
    <n v="0.66622288621580139"/>
    <n v="35"/>
    <n v="0.6042687878754851"/>
    <n v="26"/>
    <n v="0.63323481133958348"/>
    <n v="26"/>
    <n v="0.62843608785926719"/>
    <n v="14"/>
    <n v="0.58726084490160668"/>
    <n v="17"/>
    <n v="0.56054870734431139"/>
    <n v="15"/>
    <n v="0.56376703124593919"/>
    <n v="14"/>
    <n v="0.54936284517567824"/>
    <n v="0.93333333333333335"/>
    <n v="14"/>
    <n v="0.70273279589201243"/>
    <n v="0.93333333333333335"/>
    <n v="37"/>
    <n v="0.6059076076340677"/>
    <n v="0.6166666666666667"/>
    <n v="25"/>
    <n v="0.69576356969990982"/>
    <n v="1.25"/>
    <n v="18"/>
    <n v="0.50990109395494798"/>
    <n v="0.9"/>
    <n v="6"/>
    <n v="0.4945391615102081"/>
    <n v="0.3"/>
    <m/>
    <m/>
    <m/>
    <m/>
    <m/>
    <m/>
    <m/>
    <m/>
    <m/>
    <n v="20"/>
    <n v="42"/>
    <n v="15"/>
    <n v="100"/>
    <n v="100"/>
    <n v="0"/>
    <n v="135031.5"/>
    <n v="112152.59999999999"/>
    <n v="36495"/>
    <n v="0"/>
    <n v="138"/>
    <n v="335754"/>
    <n v="105818.79810747829"/>
    <n v="20"/>
    <n v="79"/>
    <n v="25.5"/>
    <n v="0"/>
    <n v="0"/>
    <n v="0"/>
    <n v="132598.5"/>
    <n v="210953.69999999998"/>
    <n v="62041.5"/>
    <n v="0"/>
    <n v="138"/>
    <n v="335754"/>
    <n v="179891.9567827131"/>
    <n v="25"/>
    <n v="150"/>
    <n v="15"/>
    <n v="0"/>
    <n v="0"/>
    <n v="110611.5"/>
    <n v="364950"/>
    <n v="36495"/>
    <n v="0"/>
    <n v="138"/>
    <n v="335754"/>
    <n v="125924.36974789915"/>
    <n v="15"/>
    <n v="138"/>
    <n v="14"/>
    <n v="0"/>
    <n v="0"/>
    <n v="368501.39999999997"/>
    <n v="34062"/>
    <x v="0"/>
    <x v="0"/>
    <n v="138"/>
    <n v="335754"/>
    <n v="117529.41176470587"/>
    <n v="15"/>
    <n v="152"/>
    <n v="15"/>
    <m/>
    <n v="0"/>
    <n v="0"/>
    <n v="369816"/>
    <n v="40054.499999999993"/>
    <x v="0"/>
    <n v="0"/>
    <n v="138"/>
    <n v="335754"/>
    <n v="125924.36974789915"/>
    <n v="60"/>
    <n v="175"/>
    <n v="37"/>
    <m/>
    <n v="0"/>
    <n v="0"/>
    <n v="425775"/>
    <n v="98801.099999999991"/>
    <n v="0"/>
    <n v="0"/>
    <n v="175"/>
    <n v="335754"/>
    <n v="310613.44537815126"/>
    <n v="20"/>
    <n v="163"/>
    <n v="25"/>
    <n v="100"/>
    <n v="100"/>
    <n v="0"/>
    <n v="396579"/>
    <n v="66757.5"/>
    <n v="258128.99999999994"/>
    <n v="0"/>
    <n v="163"/>
    <n v="335754"/>
    <n v="209873.94957983191"/>
    <n v="20"/>
    <n v="156"/>
    <n v="18"/>
    <n v="0"/>
    <n v="0"/>
    <n v="0"/>
    <n v="379548"/>
    <n v="48065.399999999994"/>
    <n v="0"/>
    <n v="0"/>
    <n v="156"/>
    <n v="379548"/>
    <n v="151109.24369747899"/>
    <n v="20"/>
    <n v="144"/>
    <n v="9"/>
    <n v="0"/>
    <n v="0"/>
    <n v="0"/>
    <n v="384523.19999999995"/>
    <n v="24032.699999999997"/>
    <n v="0"/>
    <n v="0"/>
    <n v="138"/>
    <n v="335754"/>
    <n v="75554.621848739494"/>
    <n v="35"/>
    <n v="135"/>
    <n v="35"/>
    <n v="0"/>
    <n v="0"/>
    <n v="0"/>
    <m/>
    <n v="360490.49999999994"/>
    <n v="93460.499999999985"/>
    <n v="0"/>
    <n v="0"/>
    <n v="135"/>
    <n v="360490.49999999994"/>
    <n v="279117.64705882355"/>
    <n v="30"/>
    <n v="100"/>
    <n v="30"/>
    <m/>
    <n v="0"/>
    <n v="102"/>
    <n v="267030"/>
    <n v="80108.999999999985"/>
    <n v="0"/>
    <n v="272370.59999999998"/>
    <n v="202"/>
    <n v="539400.6"/>
    <n v="239243.69747899158"/>
    <n v="35"/>
    <n v="172"/>
    <n v="35"/>
    <n v="0"/>
    <n v="0"/>
    <n v="459291.6"/>
    <n v="93460.499999999985"/>
    <n v="0"/>
    <n v="0"/>
    <n v="172"/>
    <n v="459291.6"/>
    <n v="293823.5294117647"/>
    <n v="18"/>
    <n v="137"/>
    <n v="18"/>
    <n v="0"/>
    <m/>
    <n v="365831.1"/>
    <n v="43794"/>
    <n v="0"/>
    <n v="137"/>
    <n v="365831.1"/>
    <n v="151109.24369747899"/>
  </r>
  <r>
    <m/>
    <x v="6"/>
    <x v="31"/>
    <x v="79"/>
    <s v="SIMBOWSIE-4"/>
    <x v="735"/>
    <x v="568"/>
    <x v="0"/>
    <x v="0"/>
    <n v="0.7"/>
    <x v="427"/>
    <n v="216"/>
    <n v="202"/>
    <n v="368448"/>
    <n v="3779"/>
    <n v="816264"/>
    <n v="1.92"/>
    <n v="2097.6"/>
    <n v="6714.2857142857147"/>
    <n v="6294.1176470588234"/>
    <s v="Shenzhen"/>
    <x v="0"/>
    <n v="60"/>
    <m/>
    <n v="100"/>
    <n v="25"/>
    <n v="0.74775203162789061"/>
    <n v="22"/>
    <n v="0.74414936323618708"/>
    <n v="24"/>
    <n v="0.69996117542583447"/>
    <n v="40"/>
    <n v="0.69425688653668272"/>
    <n v="32"/>
    <n v="0.7029794654406355"/>
    <n v="87"/>
    <n v="0.64057047701225345"/>
    <n v="31"/>
    <n v="0.66996973087938894"/>
    <n v="18"/>
    <n v="0.66277999690546985"/>
    <n v="0"/>
    <s v=""/>
    <n v="28"/>
    <n v="0.71663867794421576"/>
    <n v="35"/>
    <n v="0.70622851513254448"/>
    <n v="40"/>
    <n v="0.720595277833041"/>
    <n v="15"/>
    <n v="0.58322177563305921"/>
    <n v="51"/>
    <n v="0.49510921885818815"/>
    <n v="84"/>
    <n v="0.50301449107629137"/>
    <n v="33"/>
    <n v="0.40646665608569021"/>
    <n v="0.82499999999999996"/>
    <n v="2"/>
    <s v=""/>
    <n v="5.7142857142857141E-2"/>
    <n v="1"/>
    <n v="0.66598633225306469"/>
    <n v="1.1111111111111112E-2"/>
    <n v="27"/>
    <n v="0.5903301399324079"/>
    <n v="0.77142857142857146"/>
    <n v="33"/>
    <n v="0.45499174766955397"/>
    <n v="0.94285714285714284"/>
    <n v="11"/>
    <n v="0.43012089550927191"/>
    <n v="0.36666666666666664"/>
    <m/>
    <m/>
    <m/>
    <m/>
    <m/>
    <m/>
    <m/>
    <m/>
    <m/>
    <n v="30"/>
    <n v="41"/>
    <n v="20"/>
    <n v="100"/>
    <n v="100"/>
    <n v="0"/>
    <n v="682109.5"/>
    <n v="81475.199999999997"/>
    <n v="75580"/>
    <n v="0"/>
    <n v="216"/>
    <n v="816264"/>
    <n v="112845.13805522211"/>
    <n v="30"/>
    <n v="129"/>
    <n v="76.5"/>
    <n v="100"/>
    <n v="100"/>
    <n v="0"/>
    <n v="731236.5"/>
    <n v="256348.79999999999"/>
    <n v="289093.5"/>
    <n v="0"/>
    <n v="216"/>
    <n v="816264"/>
    <n v="431632.65306122456"/>
    <n v="35"/>
    <n v="116"/>
    <n v="84"/>
    <n v="0"/>
    <n v="0"/>
    <n v="490829.4"/>
    <n v="438364"/>
    <n v="317436"/>
    <n v="0"/>
    <n v="216"/>
    <n v="816264"/>
    <n v="564000"/>
    <n v="40"/>
    <n v="10"/>
    <n v="33"/>
    <n v="0"/>
    <n v="0"/>
    <n v="19872"/>
    <n v="124707"/>
    <x v="0"/>
    <x v="0"/>
    <n v="216"/>
    <n v="816264"/>
    <n v="221571.42857142858"/>
    <n v="35"/>
    <n v="218"/>
    <n v="24.5"/>
    <m/>
    <n v="0"/>
    <n v="0"/>
    <n v="823822"/>
    <n v="48686.399999999994"/>
    <x v="0"/>
    <n v="0"/>
    <n v="216"/>
    <n v="816264"/>
    <n v="164500"/>
    <n v="90"/>
    <n v="217"/>
    <n v="1"/>
    <m/>
    <n v="0"/>
    <n v="0"/>
    <n v="820043"/>
    <n v="1987.1999999999998"/>
    <n v="0"/>
    <n v="0"/>
    <n v="217"/>
    <n v="816264"/>
    <n v="6714.2857142857147"/>
    <n v="35"/>
    <n v="243"/>
    <n v="27"/>
    <n v="100"/>
    <n v="100"/>
    <n v="0"/>
    <n v="918297"/>
    <n v="53654.399999999994"/>
    <n v="192095.99999999997"/>
    <n v="0"/>
    <n v="243"/>
    <n v="816264"/>
    <n v="181285.71428571429"/>
    <n v="35"/>
    <n v="249"/>
    <n v="34"/>
    <n v="0"/>
    <n v="0"/>
    <n v="0"/>
    <n v="940971"/>
    <n v="67564.799999999988"/>
    <n v="0"/>
    <n v="0"/>
    <n v="249"/>
    <n v="940971"/>
    <n v="228285.71428571429"/>
    <n v="30"/>
    <n v="227"/>
    <n v="16.5"/>
    <n v="0"/>
    <n v="100"/>
    <n v="0"/>
    <n v="451094.39999999997"/>
    <n v="32788.799999999996"/>
    <n v="0"/>
    <n v="0"/>
    <n v="216"/>
    <n v="816264"/>
    <n v="110785.71428571429"/>
    <n v="35"/>
    <n v="210.5"/>
    <n v="24.5"/>
    <n v="0"/>
    <n v="0"/>
    <n v="0"/>
    <n v="100"/>
    <n v="418305.6"/>
    <n v="48686.399999999994"/>
    <n v="0"/>
    <n v="0"/>
    <n v="210.5"/>
    <n v="418305.6"/>
    <n v="154205.88235294117"/>
    <n v="35"/>
    <n v="186"/>
    <n v="24.5"/>
    <m/>
    <n v="0"/>
    <n v="0"/>
    <n v="369619.19999999995"/>
    <n v="48686.399999999994"/>
    <n v="0"/>
    <n v="0"/>
    <n v="186"/>
    <n v="369619.19999999995"/>
    <n v="154205.88235294117"/>
    <n v="40"/>
    <n v="161.5"/>
    <n v="28"/>
    <n v="0"/>
    <n v="0"/>
    <n v="320932.8"/>
    <n v="55641.599999999991"/>
    <n v="0"/>
    <n v="0"/>
    <n v="161.5"/>
    <n v="320932.8"/>
    <n v="188000"/>
    <n v="21"/>
    <n v="133.5"/>
    <n v="14.7"/>
    <n v="0"/>
    <m/>
    <n v="265291.19999999995"/>
    <n v="55551.299999999996"/>
    <n v="0"/>
    <n v="133.5"/>
    <n v="265291.19999999995"/>
    <n v="98700"/>
  </r>
  <r>
    <m/>
    <x v="6"/>
    <x v="31"/>
    <x v="79"/>
    <s v="SIMBOWTAZ-4"/>
    <x v="736"/>
    <x v="569"/>
    <x v="0"/>
    <x v="5"/>
    <n v="0.8"/>
    <x v="428"/>
    <n v="24"/>
    <n v="148"/>
    <n v="201058"/>
    <n v="1549"/>
    <n v="37176"/>
    <n v="1.43"/>
    <n v="1562.2749999999999"/>
    <n v="8394.957983193277"/>
    <n v="7974.7899159663866"/>
    <s v="Shenzhen"/>
    <x v="0"/>
    <n v="60"/>
    <m/>
    <n v="100"/>
    <n v="12"/>
    <n v="0.79776560997463697"/>
    <n v="17"/>
    <n v="0.80000388359679575"/>
    <n v="37"/>
    <n v="0.7344210360412774"/>
    <n v="2"/>
    <n v="0.74721413721413721"/>
    <n v="17"/>
    <n v="0.73941989697027533"/>
    <n v="99"/>
    <n v="0.70718516995313274"/>
    <n v="32"/>
    <n v="0.72889023447985024"/>
    <n v="12"/>
    <n v="0.73090263625666607"/>
    <n v="7"/>
    <n v="0.72257266217354676"/>
    <n v="0"/>
    <s v=""/>
    <n v="0"/>
    <s v=""/>
    <n v="0"/>
    <s v=""/>
    <n v="0"/>
    <s v=""/>
    <n v="9"/>
    <n v="0.77950722962157426"/>
    <n v="30"/>
    <n v="0.76149702616206338"/>
    <n v="13"/>
    <n v="0.41255736588437009"/>
    <n v="0.43333333333333335"/>
    <n v="18"/>
    <n v="0.78980176545531755"/>
    <n v="0.6"/>
    <n v="42"/>
    <n v="0.70477937333452467"/>
    <n v="0.7"/>
    <n v="16"/>
    <n v="0.79484817025694265"/>
    <n v="0.45714285714285713"/>
    <n v="23"/>
    <n v="0.61116210000235383"/>
    <n v="0.57499999999999996"/>
    <n v="136"/>
    <n v="0.53521762196455258"/>
    <n v="3.4"/>
    <m/>
    <m/>
    <m/>
    <m/>
    <m/>
    <m/>
    <m/>
    <m/>
    <m/>
    <n v="35"/>
    <n v="3"/>
    <n v="10"/>
    <n v="150"/>
    <n v="150"/>
    <n v="0"/>
    <n v="82871.5"/>
    <n v="4440.1499999999996"/>
    <n v="15490"/>
    <n v="0"/>
    <n v="24"/>
    <n v="37176"/>
    <n v="70545.865404985525"/>
    <n v="30"/>
    <n v="153"/>
    <n v="13.5"/>
    <n v="0"/>
    <n v="0"/>
    <n v="0"/>
    <n v="87518.5"/>
    <n v="226447.65"/>
    <n v="20911.5"/>
    <n v="0"/>
    <n v="24"/>
    <n v="37176"/>
    <n v="95236.918296730466"/>
    <n v="50"/>
    <n v="192"/>
    <n v="30"/>
    <n v="0"/>
    <n v="0"/>
    <n v="102128.2"/>
    <n v="297408"/>
    <n v="46470"/>
    <n v="0"/>
    <n v="24"/>
    <n v="37176"/>
    <n v="251848.73949579831"/>
    <n v="30"/>
    <n v="161"/>
    <n v="13"/>
    <n v="0"/>
    <n v="0"/>
    <n v="238288.05"/>
    <n v="20137"/>
    <x v="0"/>
    <x v="0"/>
    <n v="24"/>
    <n v="37176"/>
    <n v="109134.4537815126"/>
    <n v="30"/>
    <n v="42"/>
    <n v="24"/>
    <m/>
    <n v="0"/>
    <n v="0"/>
    <n v="65058"/>
    <n v="35521.199999999997"/>
    <x v="0"/>
    <n v="0"/>
    <n v="24"/>
    <n v="37176"/>
    <n v="201478.99159663863"/>
    <n v="60"/>
    <n v="66"/>
    <n v="42"/>
    <m/>
    <n v="0"/>
    <n v="0"/>
    <n v="102234"/>
    <n v="62162.1"/>
    <n v="0"/>
    <n v="0"/>
    <n v="66"/>
    <n v="37176"/>
    <n v="352588.23529411765"/>
    <n v="35"/>
    <n v="40"/>
    <n v="16"/>
    <n v="100"/>
    <n v="100"/>
    <n v="0"/>
    <n v="61960"/>
    <n v="23680.799999999999"/>
    <n v="143071.49999999997"/>
    <n v="0"/>
    <n v="40"/>
    <n v="37176"/>
    <n v="134319.32773109243"/>
    <n v="40"/>
    <n v="47"/>
    <n v="23"/>
    <n v="0"/>
    <n v="0"/>
    <n v="0"/>
    <n v="72803"/>
    <n v="34041.15"/>
    <n v="0"/>
    <n v="0"/>
    <n v="47"/>
    <n v="72803"/>
    <n v="193084.03361344538"/>
    <n v="40"/>
    <n v="160"/>
    <n v="205.5"/>
    <n v="0"/>
    <n v="0"/>
    <n v="0"/>
    <n v="236808"/>
    <n v="304150.27499999997"/>
    <n v="0"/>
    <n v="0"/>
    <n v="24"/>
    <n v="37176"/>
    <n v="1725163.8655462184"/>
    <n v="100"/>
    <n v="0"/>
    <n v="0"/>
    <n v="0"/>
    <n v="0"/>
    <n v="0"/>
    <m/>
    <n v="0"/>
    <n v="0"/>
    <n v="0"/>
    <n v="0"/>
    <n v="0"/>
    <n v="0"/>
    <n v="0"/>
    <n v="80"/>
    <n v="0"/>
    <n v="64"/>
    <m/>
    <n v="0"/>
    <n v="150"/>
    <n v="0"/>
    <n v="94723.199999999997"/>
    <n v="0"/>
    <n v="222007.5"/>
    <n v="150"/>
    <n v="222007.5"/>
    <n v="0"/>
    <n v="100"/>
    <n v="86"/>
    <n v="80"/>
    <n v="0"/>
    <n v="0"/>
    <n v="127284.3"/>
    <n v="118404"/>
    <n v="0"/>
    <n v="0"/>
    <n v="86"/>
    <n v="127284.3"/>
    <n v="671596.63865546219"/>
    <n v="48"/>
    <n v="6"/>
    <n v="38.400000000000006"/>
    <n v="0"/>
    <m/>
    <n v="8880.2999999999993"/>
    <n v="59481.600000000006"/>
    <n v="0"/>
    <n v="6"/>
    <n v="8880.2999999999993"/>
    <n v="322366.38655462186"/>
  </r>
  <r>
    <m/>
    <x v="6"/>
    <x v="31"/>
    <x v="79"/>
    <s v="SIMPLAMA-4"/>
    <x v="737"/>
    <x v="570"/>
    <x v="0"/>
    <x v="3"/>
    <n v="1.1499999999999999"/>
    <x v="429"/>
    <n v="33"/>
    <m/>
    <n v="0"/>
    <n v="3798"/>
    <n v="125334"/>
    <n v="3.45"/>
    <n v="3769.1249999999995"/>
    <n v="7554.6218487394963"/>
    <n v="7134.453781512605"/>
    <s v="Shenzhen"/>
    <x v="0"/>
    <n v="60"/>
    <m/>
    <n v="100"/>
    <n v="7"/>
    <n v="0.74525873934892761"/>
    <n v="14"/>
    <n v="0.73385269882087256"/>
    <n v="14"/>
    <n v="0.69233232053098115"/>
    <n v="15"/>
    <n v="0.7141699886565992"/>
    <n v="5"/>
    <n v="0.73171258972171693"/>
    <n v="34"/>
    <n v="0.64347614935192332"/>
    <n v="16"/>
    <n v="0.68993640305509907"/>
    <n v="13"/>
    <n v="0.68753848529936401"/>
    <n v="15"/>
    <n v="0.65929631154285773"/>
    <n v="7"/>
    <n v="0.63667648095279739"/>
    <n v="46"/>
    <n v="0.63113889956051628"/>
    <n v="34"/>
    <n v="0.6527685233445758"/>
    <n v="24"/>
    <n v="0.3839088916640408"/>
    <n v="18"/>
    <n v="0.26297458950669023"/>
    <n v="43"/>
    <n v="0.32888961288520929"/>
    <n v="41"/>
    <n v="0.23265459146445536"/>
    <n v="1.0249999999999999"/>
    <n v="33"/>
    <n v="0.48927326928640147"/>
    <n v="1.1000000000000001"/>
    <n v="63"/>
    <n v="0.38717867586920218"/>
    <n v="1.26"/>
    <n v="29"/>
    <n v="0.48575344024101297"/>
    <n v="0.96666666666666667"/>
    <n v="31"/>
    <n v="0.27985306146105787"/>
    <n v="1.0333333333333334"/>
    <n v="25"/>
    <n v="0.28871931333156214"/>
    <n v="0.83333333333333337"/>
    <m/>
    <m/>
    <m/>
    <m/>
    <m/>
    <m/>
    <m/>
    <m/>
    <m/>
    <n v="20"/>
    <n v="341"/>
    <n v="15"/>
    <n v="0"/>
    <n v="0"/>
    <n v="0"/>
    <n v="322830"/>
    <n v="1217625.7499999998"/>
    <n v="56970"/>
    <n v="0"/>
    <n v="33"/>
    <n v="125334"/>
    <n v="95226.325824447442"/>
    <n v="20"/>
    <n v="313"/>
    <n v="27"/>
    <n v="0"/>
    <n v="0"/>
    <n v="0"/>
    <n v="421578"/>
    <n v="1117644.7499999998"/>
    <n v="102546"/>
    <n v="0"/>
    <n v="33"/>
    <n v="125334"/>
    <n v="171407.3864840054"/>
    <n v="25"/>
    <n v="256"/>
    <n v="43"/>
    <n v="0"/>
    <n v="0"/>
    <n v="442222.875"/>
    <n v="972288"/>
    <n v="163314"/>
    <n v="0"/>
    <n v="33"/>
    <n v="125334"/>
    <n v="324848.73949579836"/>
    <n v="40"/>
    <n v="212"/>
    <n v="41"/>
    <n v="0"/>
    <n v="0"/>
    <n v="756998.99999999988"/>
    <n v="155718"/>
    <x v="0"/>
    <x v="0"/>
    <n v="33"/>
    <n v="125334"/>
    <n v="309739.49579831935"/>
    <n v="30"/>
    <n v="66"/>
    <n v="34.5"/>
    <m/>
    <n v="0"/>
    <n v="0"/>
    <n v="250668"/>
    <n v="123190.87499999999"/>
    <x v="0"/>
    <n v="0"/>
    <n v="33"/>
    <n v="125334"/>
    <n v="260634.45378151262"/>
    <n v="50"/>
    <n v="96"/>
    <n v="63"/>
    <m/>
    <n v="0"/>
    <n v="0"/>
    <n v="364608"/>
    <n v="224957.24999999997"/>
    <n v="0"/>
    <n v="0"/>
    <n v="96"/>
    <n v="125334"/>
    <n v="475941.17647058825"/>
    <n v="30"/>
    <n v="62"/>
    <n v="29"/>
    <n v="0"/>
    <n v="0"/>
    <n v="0"/>
    <n v="235476"/>
    <n v="103551.74999999999"/>
    <n v="0"/>
    <n v="0"/>
    <n v="62"/>
    <n v="125334"/>
    <n v="219084.03361344538"/>
    <n v="30"/>
    <n v="64"/>
    <n v="32"/>
    <n v="0"/>
    <n v="0"/>
    <n v="0"/>
    <n v="243072"/>
    <n v="114263.99999999999"/>
    <n v="0"/>
    <n v="0"/>
    <n v="64"/>
    <n v="243072"/>
    <n v="241747.89915966388"/>
    <n v="30"/>
    <n v="58"/>
    <n v="37.5"/>
    <n v="0"/>
    <n v="0"/>
    <n v="0"/>
    <n v="207103.49999999997"/>
    <n v="133903.12499999997"/>
    <n v="0"/>
    <n v="0"/>
    <n v="33"/>
    <n v="125334"/>
    <n v="283298.31932773109"/>
    <n v="50"/>
    <n v="20.5"/>
    <n v="20.5"/>
    <n v="0"/>
    <n v="0"/>
    <n v="0"/>
    <m/>
    <n v="73200.374999999985"/>
    <n v="73200.374999999985"/>
    <n v="0"/>
    <n v="0"/>
    <n v="20.5"/>
    <n v="73200.374999999985"/>
    <n v="146256.30252100842"/>
    <n v="50"/>
    <n v="0"/>
    <n v="0"/>
    <m/>
    <n v="0"/>
    <n v="0"/>
    <n v="0"/>
    <n v="0"/>
    <n v="0"/>
    <n v="0"/>
    <n v="0"/>
    <n v="0"/>
    <n v="0"/>
    <n v="50"/>
    <n v="0"/>
    <n v="0"/>
    <n v="0"/>
    <n v="0"/>
    <n v="0"/>
    <n v="0"/>
    <n v="0"/>
    <n v="0"/>
    <n v="0"/>
    <n v="0"/>
    <n v="0"/>
    <n v="30"/>
    <n v="0"/>
    <n v="34.5"/>
    <n v="0"/>
    <m/>
    <n v="0"/>
    <n v="131031"/>
    <n v="0"/>
    <n v="0"/>
    <n v="0"/>
    <n v="260634.45378151262"/>
  </r>
  <r>
    <m/>
    <x v="6"/>
    <x v="31"/>
    <x v="79"/>
    <s v="SIMPLSIE-4"/>
    <x v="738"/>
    <x v="571"/>
    <x v="0"/>
    <x v="3"/>
    <n v="1"/>
    <x v="430"/>
    <n v="14"/>
    <m/>
    <n v="0"/>
    <n v="3540"/>
    <n v="49560"/>
    <n v="3.45"/>
    <n v="3769.1249999999995"/>
    <n v="7554.6218487394963"/>
    <n v="7134.453781512605"/>
    <s v="Shenzhen"/>
    <x v="0"/>
    <n v="60"/>
    <m/>
    <n v="100"/>
    <n v="7"/>
    <n v="0.69007151820851154"/>
    <n v="13"/>
    <n v="0.74302862390083313"/>
    <n v="15"/>
    <n v="0.69077344620972059"/>
    <n v="14"/>
    <n v="0.6688282517155032"/>
    <n v="8"/>
    <n v="0.71080783036999851"/>
    <n v="48"/>
    <n v="0.64640198356236356"/>
    <n v="15"/>
    <n v="0.67287894460656983"/>
    <n v="28"/>
    <n v="0.68776899810027836"/>
    <n v="15"/>
    <n v="0.71162845551402965"/>
    <n v="38"/>
    <n v="0.65841022361224355"/>
    <n v="27"/>
    <n v="0.64031136386433429"/>
    <n v="86"/>
    <n v="0.61399611661279774"/>
    <n v="17"/>
    <n v="0.46836301153635418"/>
    <n v="43"/>
    <n v="0.37545414673598398"/>
    <n v="87"/>
    <n v="0.37223144788774765"/>
    <n v="61"/>
    <n v="0.35315440719078894"/>
    <n v="1.5249999999999999"/>
    <n v="45"/>
    <n v="0.52307413357210575"/>
    <n v="1.5"/>
    <n v="48"/>
    <n v="0.31253848564094688"/>
    <n v="0.96"/>
    <n v="42"/>
    <n v="0.52502195008042696"/>
    <n v="1.2"/>
    <n v="10"/>
    <n v="0.31590229812582515"/>
    <n v="0.2857142857142857"/>
    <n v="-3"/>
    <n v="0.40150608824619949"/>
    <n v="-0.1"/>
    <m/>
    <m/>
    <m/>
    <m/>
    <m/>
    <m/>
    <m/>
    <m/>
    <m/>
    <n v="35"/>
    <n v="376"/>
    <n v="35"/>
    <n v="0"/>
    <n v="0"/>
    <n v="0"/>
    <n v="660210"/>
    <n v="1342601.9999999998"/>
    <n v="123900"/>
    <n v="0"/>
    <n v="14"/>
    <n v="49560"/>
    <n v="222194.76025704402"/>
    <n v="30"/>
    <n v="352"/>
    <n v="64.5"/>
    <n v="0"/>
    <n v="0"/>
    <n v="0"/>
    <n v="752250"/>
    <n v="1256903.9999999998"/>
    <n v="228330"/>
    <n v="0"/>
    <n v="14"/>
    <n v="49560"/>
    <n v="409473.20104512398"/>
    <n v="35"/>
    <n v="290"/>
    <n v="87"/>
    <n v="0"/>
    <n v="0"/>
    <n v="631042.5"/>
    <n v="1026600"/>
    <n v="307980"/>
    <n v="0"/>
    <n v="14"/>
    <n v="49560"/>
    <n v="657252.10084033618"/>
    <n v="40"/>
    <n v="198"/>
    <n v="61"/>
    <n v="0"/>
    <n v="0"/>
    <n v="707008.49999999988"/>
    <n v="215940"/>
    <x v="0"/>
    <x v="0"/>
    <n v="14"/>
    <n v="49560"/>
    <n v="460831.93277310929"/>
    <n v="30"/>
    <n v="59"/>
    <n v="30"/>
    <m/>
    <n v="0"/>
    <n v="0"/>
    <n v="208860"/>
    <n v="107122.49999999999"/>
    <x v="0"/>
    <n v="0"/>
    <n v="14"/>
    <n v="49560"/>
    <n v="226638.65546218489"/>
    <n v="50"/>
    <n v="62"/>
    <n v="48"/>
    <m/>
    <n v="0"/>
    <n v="0"/>
    <n v="219480"/>
    <n v="171395.99999999997"/>
    <n v="0"/>
    <n v="0"/>
    <n v="62"/>
    <n v="49560"/>
    <n v="362621.84873949585"/>
    <n v="35"/>
    <n v="56"/>
    <n v="42"/>
    <n v="0"/>
    <n v="0"/>
    <n v="0"/>
    <n v="198240"/>
    <n v="149971.49999999997"/>
    <n v="0"/>
    <n v="0"/>
    <n v="56"/>
    <n v="49560"/>
    <n v="317294.11764705885"/>
    <n v="35"/>
    <n v="24"/>
    <n v="10"/>
    <n v="0"/>
    <n v="0"/>
    <n v="0"/>
    <n v="84960"/>
    <n v="35707.499999999993"/>
    <n v="0"/>
    <n v="0"/>
    <n v="24"/>
    <n v="84960"/>
    <n v="75546.218487394959"/>
    <n v="30"/>
    <n v="11"/>
    <n v="0"/>
    <n v="200"/>
    <n v="200"/>
    <n v="0"/>
    <n v="39278.249999999993"/>
    <n v="0"/>
    <n v="714149.99999999988"/>
    <n v="0"/>
    <n v="14"/>
    <n v="49560"/>
    <n v="0"/>
    <n v="50"/>
    <n v="11"/>
    <n v="11"/>
    <n v="0"/>
    <n v="0"/>
    <n v="0"/>
    <n v="200"/>
    <n v="39278.249999999993"/>
    <n v="39278.249999999993"/>
    <n v="0"/>
    <n v="0"/>
    <n v="11"/>
    <n v="39278.249999999993"/>
    <n v="78478.991596638662"/>
    <n v="40"/>
    <n v="0"/>
    <n v="40"/>
    <m/>
    <n v="0"/>
    <n v="204"/>
    <n v="0"/>
    <n v="142829.99999999997"/>
    <n v="0"/>
    <n v="728432.99999999988"/>
    <n v="204"/>
    <n v="728432.99999999988"/>
    <n v="0"/>
    <n v="80"/>
    <n v="164"/>
    <n v="80"/>
    <n v="0"/>
    <n v="0"/>
    <n v="585602.99999999988"/>
    <n v="285659.99999999994"/>
    <n v="0"/>
    <n v="0"/>
    <n v="164"/>
    <n v="585602.99999999988"/>
    <n v="604369.74789915967"/>
    <n v="24"/>
    <n v="84"/>
    <n v="24"/>
    <n v="0"/>
    <m/>
    <n v="299942.99999999994"/>
    <n v="84960"/>
    <n v="0"/>
    <n v="84"/>
    <n v="299942.99999999994"/>
    <n v="181310.92436974793"/>
  </r>
  <r>
    <m/>
    <x v="6"/>
    <x v="31"/>
    <x v="79"/>
    <s v="SIMTAZPAL-2"/>
    <x v="739"/>
    <x v="572"/>
    <x v="0"/>
    <x v="2"/>
    <n v="1.5"/>
    <x v="431"/>
    <n v="15"/>
    <m/>
    <n v="0"/>
    <n v="1430"/>
    <n v="21450"/>
    <n v="0.86"/>
    <n v="939.55"/>
    <n v="4193.2773109243699"/>
    <n v="3773.1092436974791"/>
    <s v="Shenzhen"/>
    <x v="0"/>
    <n v="60"/>
    <m/>
    <n v="100"/>
    <n v="0"/>
    <s v=""/>
    <n v="5"/>
    <n v="0.76642764725910784"/>
    <n v="15"/>
    <n v="0.7569283335373802"/>
    <n v="7"/>
    <n v="0.72568054794520553"/>
    <n v="3"/>
    <n v="0.7443010368251699"/>
    <n v="66"/>
    <n v="0.73180022563157099"/>
    <n v="31"/>
    <n v="0.65541607061848206"/>
    <n v="72"/>
    <n v="0.6284688200266807"/>
    <n v="50"/>
    <n v="0.64315868270422227"/>
    <n v="54"/>
    <n v="0.54518918918918913"/>
    <n v="28"/>
    <n v="0.64210976045763324"/>
    <n v="46"/>
    <n v="0.63130471483422745"/>
    <n v="16"/>
    <n v="0.71595988501901087"/>
    <n v="12"/>
    <n v="0.57368579268818276"/>
    <n v="32"/>
    <n v="0.48553941732950479"/>
    <n v="27"/>
    <n v="0.32251032381940647"/>
    <n v="1.35"/>
    <n v="3"/>
    <n v="0.65891182364729461"/>
    <n v="0.2"/>
    <n v="0"/>
    <s v=""/>
    <n v="0"/>
    <n v="0"/>
    <s v=""/>
    <n v="0"/>
    <n v="0"/>
    <s v=""/>
    <n v="0"/>
    <n v="1"/>
    <n v="0.68864934114202037"/>
    <n v="0"/>
    <m/>
    <m/>
    <m/>
    <m/>
    <m/>
    <m/>
    <m/>
    <m/>
    <m/>
    <n v="15"/>
    <n v="106"/>
    <n v="15"/>
    <n v="0"/>
    <n v="0"/>
    <n v="0"/>
    <n v="92950"/>
    <n v="94350.599999999991"/>
    <n v="21450"/>
    <n v="0"/>
    <n v="15"/>
    <n v="21450"/>
    <n v="52856.436692323994"/>
    <n v="15"/>
    <n v="94"/>
    <n v="18"/>
    <n v="0"/>
    <n v="0"/>
    <n v="0"/>
    <n v="110110"/>
    <n v="83669.399999999994"/>
    <n v="25740"/>
    <n v="0"/>
    <n v="15"/>
    <n v="21450"/>
    <n v="63427.724030788799"/>
    <n v="20"/>
    <n v="79"/>
    <n v="32"/>
    <n v="0"/>
    <n v="0"/>
    <n v="104397.25"/>
    <n v="112970"/>
    <n v="45760"/>
    <n v="0"/>
    <n v="15"/>
    <n v="21450"/>
    <n v="134184.87394957984"/>
    <n v="20"/>
    <n v="39"/>
    <n v="27"/>
    <n v="0"/>
    <n v="0"/>
    <n v="34713.899999999994"/>
    <n v="38610"/>
    <x v="0"/>
    <x v="0"/>
    <n v="15"/>
    <n v="21450"/>
    <n v="113218.48739495799"/>
    <n v="15"/>
    <n v="18"/>
    <n v="22.5"/>
    <m/>
    <n v="0"/>
    <n v="0"/>
    <n v="25740"/>
    <n v="20027.249999999996"/>
    <x v="0"/>
    <n v="0"/>
    <n v="15"/>
    <n v="21450"/>
    <n v="94348.73949579832"/>
    <n v="59"/>
    <n v="15"/>
    <n v="0"/>
    <m/>
    <n v="0"/>
    <n v="0"/>
    <n v="21450"/>
    <n v="0"/>
    <n v="0"/>
    <n v="0"/>
    <n v="15"/>
    <n v="21450"/>
    <n v="0"/>
    <n v="28"/>
    <n v="15"/>
    <n v="0"/>
    <n v="0"/>
    <n v="0"/>
    <n v="0"/>
    <n v="21450"/>
    <n v="0"/>
    <n v="0"/>
    <n v="0"/>
    <n v="15"/>
    <n v="21450"/>
    <n v="0"/>
    <n v="72"/>
    <n v="15"/>
    <n v="0"/>
    <n v="0"/>
    <n v="0"/>
    <n v="0"/>
    <n v="21450"/>
    <n v="0"/>
    <n v="0"/>
    <n v="0"/>
    <n v="15"/>
    <n v="21450"/>
    <n v="0"/>
    <n v="0"/>
    <n v="16"/>
    <n v="0"/>
    <n v="0"/>
    <n v="0"/>
    <n v="0"/>
    <n v="14241.599999999999"/>
    <n v="0"/>
    <n v="0"/>
    <n v="0"/>
    <n v="15"/>
    <n v="21450"/>
    <n v="0"/>
    <n v="0"/>
    <n v="16"/>
    <n v="0"/>
    <n v="0"/>
    <n v="0"/>
    <n v="0"/>
    <m/>
    <n v="14241.599999999999"/>
    <n v="0"/>
    <n v="0"/>
    <n v="0"/>
    <n v="16"/>
    <n v="14241.599999999999"/>
    <n v="0"/>
    <n v="0"/>
    <n v="16"/>
    <n v="0"/>
    <m/>
    <n v="0"/>
    <n v="0"/>
    <n v="14241.599999999999"/>
    <n v="0"/>
    <n v="0"/>
    <n v="0"/>
    <n v="16"/>
    <n v="14241.599999999999"/>
    <n v="0"/>
    <n v="0"/>
    <n v="16"/>
    <n v="0"/>
    <n v="0"/>
    <n v="0"/>
    <n v="14241.599999999999"/>
    <n v="0"/>
    <n v="0"/>
    <n v="0"/>
    <n v="16"/>
    <n v="14241.599999999999"/>
    <n v="0"/>
    <n v="0"/>
    <n v="16"/>
    <n v="0"/>
    <n v="0"/>
    <m/>
    <n v="14241.599999999999"/>
    <n v="0"/>
    <n v="0"/>
    <n v="16"/>
    <n v="14241.599999999999"/>
    <n v="0"/>
  </r>
  <r>
    <m/>
    <x v="6"/>
    <x v="31"/>
    <x v="79"/>
    <s v="SIMTAZSIE-4"/>
    <x v="740"/>
    <x v="573"/>
    <x v="0"/>
    <x v="5"/>
    <n v="0.9"/>
    <x v="432"/>
    <n v="182"/>
    <n v="192"/>
    <n v="182400"/>
    <n v="2858"/>
    <n v="520156"/>
    <n v="1"/>
    <n v="1092.5"/>
    <n v="8394.957983193277"/>
    <n v="7974.7899159663866"/>
    <s v="Shenzhen"/>
    <x v="0"/>
    <n v="60"/>
    <m/>
    <n v="100"/>
    <n v="44"/>
    <n v="0.79964550855562211"/>
    <n v="25"/>
    <n v="0.76660214069906585"/>
    <n v="68"/>
    <n v="0.70101092509868712"/>
    <n v="72"/>
    <n v="0.73827490074963453"/>
    <n v="62"/>
    <n v="0.74858329577583205"/>
    <n v="26"/>
    <n v="0.61439958557384133"/>
    <n v="1"/>
    <n v="0.80739153153153143"/>
    <n v="0"/>
    <s v=""/>
    <n v="1"/>
    <n v="0.72491323579448796"/>
    <n v="87"/>
    <n v="0.64851523788124255"/>
    <n v="111"/>
    <n v="0.76199775533108904"/>
    <n v="98"/>
    <n v="0.64705128342284579"/>
    <n v="2"/>
    <n v="0.73826099001644485"/>
    <n v="25"/>
    <n v="0.64993868541962108"/>
    <n v="62"/>
    <n v="0.65831857674030847"/>
    <n v="41"/>
    <n v="0.6624950938964913"/>
    <n v="1.1714285714285715"/>
    <n v="46"/>
    <n v="0.8128953181375882"/>
    <n v="1.0222222222222221"/>
    <n v="25"/>
    <n v="0.58212921412955931"/>
    <n v="0.38461538461538464"/>
    <n v="9"/>
    <s v=""/>
    <n v="1.2857142857142858"/>
    <n v="15"/>
    <n v="0.512911634246485"/>
    <n v="0.375"/>
    <n v="90"/>
    <n v="0.49272820891640356"/>
    <n v="2.5714285714285716"/>
    <m/>
    <m/>
    <m/>
    <m/>
    <m/>
    <m/>
    <m/>
    <m/>
    <m/>
    <n v="60"/>
    <n v="5"/>
    <n v="15"/>
    <n v="100"/>
    <n v="100"/>
    <n v="0"/>
    <n v="327241"/>
    <n v="5175"/>
    <n v="42870"/>
    <n v="0"/>
    <n v="182"/>
    <n v="520156"/>
    <n v="105818.79810747829"/>
    <n v="50"/>
    <n v="100"/>
    <n v="37.5"/>
    <n v="0"/>
    <n v="0"/>
    <n v="0"/>
    <n v="401549"/>
    <n v="103500"/>
    <n v="107175"/>
    <n v="0"/>
    <n v="182"/>
    <n v="520156"/>
    <n v="264546.9952686957"/>
    <n v="70"/>
    <n v="171"/>
    <n v="62"/>
    <n v="0"/>
    <n v="0"/>
    <n v="336291.5"/>
    <n v="488718"/>
    <n v="177196"/>
    <n v="0"/>
    <n v="182"/>
    <n v="520156"/>
    <n v="520487.39495798317"/>
    <n v="35"/>
    <n v="101"/>
    <n v="41"/>
    <n v="200"/>
    <n v="0"/>
    <n v="104535"/>
    <n v="117178"/>
    <x v="108"/>
    <x v="0"/>
    <n v="182"/>
    <n v="520156"/>
    <n v="344193.27731092437"/>
    <n v="45"/>
    <n v="228"/>
    <n v="40.5"/>
    <m/>
    <n v="0"/>
    <n v="0"/>
    <n v="651624"/>
    <n v="41917.5"/>
    <x v="0"/>
    <n v="0"/>
    <n v="182"/>
    <n v="520156"/>
    <n v="339995.7983193277"/>
    <n v="65"/>
    <n v="207"/>
    <n v="25"/>
    <m/>
    <n v="0"/>
    <n v="0"/>
    <n v="591606"/>
    <n v="25875"/>
    <n v="0"/>
    <n v="0"/>
    <n v="207"/>
    <n v="520156"/>
    <n v="209873.94957983191"/>
    <n v="7"/>
    <n v="191"/>
    <n v="9"/>
    <n v="0"/>
    <n v="0"/>
    <n v="0"/>
    <n v="545878"/>
    <n v="9315"/>
    <n v="0"/>
    <n v="0"/>
    <n v="191"/>
    <n v="520156"/>
    <n v="75554.621848739494"/>
    <n v="40"/>
    <n v="197"/>
    <n v="15"/>
    <n v="0"/>
    <n v="0"/>
    <n v="0"/>
    <n v="563026"/>
    <n v="15525"/>
    <n v="0"/>
    <n v="0"/>
    <n v="197"/>
    <n v="563026"/>
    <n v="125924.36974789915"/>
    <n v="35"/>
    <n v="272"/>
    <n v="129"/>
    <n v="0"/>
    <n v="192"/>
    <n v="0"/>
    <n v="281520"/>
    <n v="133515"/>
    <n v="0"/>
    <n v="0"/>
    <n v="182"/>
    <n v="520156"/>
    <n v="1082949.5798319327"/>
    <n v="120"/>
    <n v="143"/>
    <n v="108"/>
    <n v="0"/>
    <n v="0"/>
    <n v="0"/>
    <n v="192"/>
    <n v="148005"/>
    <n v="111780"/>
    <n v="0"/>
    <n v="0"/>
    <n v="143"/>
    <n v="148005"/>
    <n v="861277.31092436973"/>
    <n v="115"/>
    <n v="35"/>
    <n v="35"/>
    <m/>
    <n v="0"/>
    <n v="0"/>
    <n v="36225"/>
    <n v="36225"/>
    <n v="0"/>
    <n v="0"/>
    <n v="35"/>
    <n v="36225"/>
    <n v="279117.64705882355"/>
    <n v="150"/>
    <n v="0"/>
    <n v="0"/>
    <n v="0"/>
    <n v="0"/>
    <n v="0"/>
    <n v="0"/>
    <n v="0"/>
    <n v="0"/>
    <n v="0"/>
    <n v="0"/>
    <n v="0"/>
    <n v="69"/>
    <n v="0"/>
    <n v="62.1"/>
    <n v="0"/>
    <m/>
    <n v="0"/>
    <n v="177481.80000000002"/>
    <n v="0"/>
    <n v="0"/>
    <n v="0"/>
    <n v="521326.89075630251"/>
  </r>
  <r>
    <m/>
    <x v="7"/>
    <x v="32"/>
    <x v="80"/>
    <s v="TCAFSKIFL"/>
    <x v="741"/>
    <x v="574"/>
    <x v="0"/>
    <x v="4"/>
    <n v="1"/>
    <x v="31"/>
    <n v="0"/>
    <m/>
    <n v="0"/>
    <n v="13680"/>
    <n v="0"/>
    <n v="12"/>
    <n v="13680"/>
    <n v="34487.394957983197"/>
    <n v="29314.285714285717"/>
    <s v="Shenzhen"/>
    <x v="0"/>
    <n v="30"/>
    <m/>
    <n v="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x v="0"/>
    <x v="0"/>
    <n v="0"/>
    <n v="0"/>
    <n v="0"/>
    <n v="0"/>
    <n v="0"/>
    <m/>
    <m/>
    <m/>
    <n v="0"/>
    <n v="0"/>
    <n v="0"/>
    <x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35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0"/>
    <n v="0"/>
    <n v="0"/>
    <n v="0"/>
    <n v="0"/>
    <n v="0"/>
    <n v="0"/>
    <n v="0"/>
    <n v="0"/>
    <n v="0"/>
    <n v="0"/>
    <n v="0"/>
    <n v="0"/>
    <n v="80"/>
    <n v="0"/>
    <n v="0"/>
    <m/>
    <n v="0"/>
    <n v="0"/>
    <n v="0"/>
    <n v="0"/>
    <n v="0"/>
    <n v="0"/>
    <n v="0"/>
    <n v="0"/>
    <n v="0"/>
    <n v="150"/>
    <n v="0"/>
    <n v="150"/>
    <n v="200"/>
    <n v="200"/>
    <n v="0"/>
    <n v="1862999.9999999998"/>
    <n v="2483999.9999999995"/>
    <n v="2483999.9999999995"/>
    <n v="200"/>
    <n v="2483999.9999999995"/>
    <n v="5173109.2436974794"/>
    <n v="48"/>
    <n v="50"/>
    <m/>
    <n v="0"/>
    <m/>
    <n v="620999.99999999988"/>
    <n v="0"/>
    <n v="0"/>
    <n v="50"/>
    <n v="620999.99999999988"/>
    <n v="0"/>
  </r>
  <r>
    <m/>
    <x v="7"/>
    <x v="32"/>
    <x v="80"/>
    <s v="TCRANEBL"/>
    <x v="742"/>
    <x v="575"/>
    <x v="0"/>
    <x v="3"/>
    <n v="1"/>
    <x v="433"/>
    <n v="213"/>
    <m/>
    <n v="0"/>
    <n v="8724"/>
    <n v="1858212"/>
    <n v="10.5"/>
    <n v="11471.25"/>
    <n v="25201.680672268907"/>
    <n v="25201.680672268907"/>
    <s v="Shenzhen"/>
    <x v="0"/>
    <n v="30"/>
    <m/>
    <n v="300"/>
    <n v="0"/>
    <s v=""/>
    <n v="0"/>
    <s v=""/>
    <n v="0"/>
    <s v=""/>
    <n v="0"/>
    <s v=""/>
    <n v="0"/>
    <s v=""/>
    <n v="0"/>
    <s v=""/>
    <n v="0"/>
    <s v=""/>
    <n v="0"/>
    <s v=""/>
    <n v="4"/>
    <n v="0.46485883281609869"/>
    <n v="11"/>
    <n v="0.46008059408191759"/>
    <n v="40"/>
    <n v="0.46319163846353101"/>
    <n v="77"/>
    <n v="0.49330463665677032"/>
    <n v="53"/>
    <n v="0.45802619445295972"/>
    <n v="60"/>
    <n v="0.47502930834407014"/>
    <n v="35"/>
    <n v="0.54114036862880255"/>
    <n v="26"/>
    <n v="0.59884167075392025"/>
    <n v="0.43333333333333335"/>
    <n v="36"/>
    <n v="0.73002170111043851"/>
    <n v="0.72"/>
    <n v="64"/>
    <n v="0.51730937149106471"/>
    <n v="0.8"/>
    <n v="66"/>
    <n v="0.68904214586217161"/>
    <n v="1.32"/>
    <n v="93"/>
    <n v="0.47789697832460398"/>
    <n v="1.86"/>
    <n v="23"/>
    <n v="0.47959914827823108"/>
    <n v="0.46"/>
    <m/>
    <m/>
    <m/>
    <m/>
    <m/>
    <m/>
    <m/>
    <m/>
    <m/>
    <n v="30"/>
    <n v="120"/>
    <n v="55"/>
    <n v="0"/>
    <m/>
    <n v="0"/>
    <n v="1570320"/>
    <n v="1304100"/>
    <n v="479820"/>
    <n v="0"/>
    <n v="213"/>
    <n v="1858212"/>
    <n v="1164783.5604830168"/>
    <n v="40"/>
    <n v="91"/>
    <n v="90"/>
    <n v="150"/>
    <n v="150"/>
    <n v="0"/>
    <n v="1317324"/>
    <n v="988942.5"/>
    <n v="785160"/>
    <n v="0"/>
    <n v="213"/>
    <n v="1858212"/>
    <n v="1906009.462608573"/>
    <n v="50"/>
    <n v="20"/>
    <n v="35"/>
    <n v="0"/>
    <n v="0"/>
    <n v="1075539"/>
    <n v="174480"/>
    <n v="305340"/>
    <n v="0"/>
    <n v="213"/>
    <n v="1858212"/>
    <n v="882058.82352941181"/>
    <n v="60"/>
    <n v="158"/>
    <n v="26"/>
    <n v="0"/>
    <n v="0"/>
    <n v="1717065"/>
    <n v="226824"/>
    <x v="0"/>
    <x v="0"/>
    <n v="213"/>
    <n v="1858212"/>
    <n v="655243.69747899158"/>
    <n v="50"/>
    <n v="249"/>
    <n v="50"/>
    <m/>
    <n v="0"/>
    <n v="0"/>
    <n v="2172276"/>
    <n v="543375"/>
    <x v="0"/>
    <n v="0"/>
    <n v="213"/>
    <n v="1858212"/>
    <n v="1260084.0336134452"/>
    <n v="80"/>
    <n v="277"/>
    <n v="64"/>
    <m/>
    <n v="0"/>
    <n v="0"/>
    <n v="2416548"/>
    <n v="695520"/>
    <n v="0"/>
    <n v="0"/>
    <n v="277"/>
    <n v="1858212"/>
    <n v="1612907.5630252101"/>
    <n v="50"/>
    <n v="279"/>
    <n v="66"/>
    <n v="200"/>
    <n v="200"/>
    <n v="0"/>
    <n v="2433996"/>
    <n v="717255"/>
    <n v="2101050"/>
    <n v="0"/>
    <n v="279"/>
    <n v="1858212"/>
    <n v="1663310.9243697478"/>
    <n v="50"/>
    <n v="306"/>
    <n v="96"/>
    <n v="0"/>
    <n v="0"/>
    <n v="0"/>
    <n v="2669544"/>
    <n v="1043280"/>
    <n v="0"/>
    <n v="0"/>
    <n v="306"/>
    <n v="2669544"/>
    <n v="2419361.3445378151"/>
    <n v="50"/>
    <n v="236"/>
    <n v="28.5"/>
    <n v="200"/>
    <n v="200"/>
    <n v="0"/>
    <n v="2564730"/>
    <n v="309723.75"/>
    <n v="2173500"/>
    <n v="0"/>
    <n v="213"/>
    <n v="1858212"/>
    <n v="718247.89915966382"/>
    <n v="120"/>
    <n v="207.5"/>
    <n v="120"/>
    <n v="0"/>
    <n v="0"/>
    <n v="0"/>
    <n v="200"/>
    <n v="2255006.25"/>
    <n v="1304100"/>
    <n v="0"/>
    <n v="0"/>
    <n v="207.5"/>
    <n v="2255006.25"/>
    <n v="3024201.6806722688"/>
    <n v="80"/>
    <n v="87.5"/>
    <n v="80"/>
    <m/>
    <n v="0"/>
    <n v="0"/>
    <n v="950906.25"/>
    <n v="869400"/>
    <n v="0"/>
    <n v="0"/>
    <n v="87.5"/>
    <n v="950906.25"/>
    <n v="2016134.4537815126"/>
    <n v="150"/>
    <n v="7.5"/>
    <n v="150"/>
    <n v="300"/>
    <n v="300"/>
    <n v="81506.25"/>
    <n v="1630125"/>
    <n v="3260250"/>
    <n v="3260250"/>
    <n v="307.5"/>
    <n v="3341756.25"/>
    <n v="3780252.1008403362"/>
    <n v="48"/>
    <n v="157.5"/>
    <n v="48"/>
    <n v="0"/>
    <m/>
    <n v="1711631.25"/>
    <n v="418752"/>
    <n v="0"/>
    <n v="157.5"/>
    <n v="1711631.25"/>
    <n v="1209680.6722689075"/>
  </r>
  <r>
    <m/>
    <x v="7"/>
    <x v="32"/>
    <x v="81"/>
    <s v="TCALSCAEGL-PP"/>
    <x v="743"/>
    <x v="576"/>
    <x v="0"/>
    <x v="4"/>
    <n v="1"/>
    <x v="31"/>
    <n v="0"/>
    <m/>
    <n v="0"/>
    <n v="37050"/>
    <n v="0"/>
    <n v="32.5"/>
    <n v="37050"/>
    <n v="93403.361344537814"/>
    <n v="79392.857142857145"/>
    <s v="Shenzhen"/>
    <x v="0"/>
    <n v="30"/>
    <m/>
    <n v="1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x v="0"/>
    <x v="0"/>
    <n v="0"/>
    <n v="0"/>
    <n v="0"/>
    <n v="0"/>
    <n v="0"/>
    <m/>
    <m/>
    <m/>
    <n v="0"/>
    <n v="0"/>
    <n v="0"/>
    <x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5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0"/>
    <n v="0"/>
    <n v="500"/>
    <n v="500"/>
    <n v="0"/>
    <n v="0"/>
    <n v="0"/>
    <n v="0"/>
    <n v="16818750"/>
    <n v="0"/>
    <n v="0"/>
    <n v="0"/>
    <n v="0"/>
    <n v="100"/>
    <n v="0"/>
    <n v="0"/>
    <m/>
    <n v="0"/>
    <n v="0"/>
    <n v="0"/>
    <n v="0"/>
    <n v="0"/>
    <n v="0"/>
    <n v="0"/>
    <n v="0"/>
    <n v="0"/>
    <n v="200"/>
    <n v="0"/>
    <n v="0"/>
    <n v="0"/>
    <n v="0"/>
    <n v="0"/>
    <n v="0"/>
    <n v="0"/>
    <n v="0"/>
    <n v="0"/>
    <n v="0"/>
    <n v="0"/>
    <n v="60"/>
    <n v="0"/>
    <n v="60"/>
    <n v="0"/>
    <m/>
    <n v="0"/>
    <n v="2223000"/>
    <n v="0"/>
    <n v="0"/>
    <n v="0"/>
    <n v="5604201.6806722693"/>
  </r>
  <r>
    <m/>
    <x v="7"/>
    <x v="32"/>
    <x v="82"/>
    <s v="TCMULTSTY5N1"/>
    <x v="744"/>
    <x v="577"/>
    <x v="0"/>
    <x v="1"/>
    <n v="1"/>
    <x v="434"/>
    <n v="6"/>
    <m/>
    <n v="0"/>
    <n v="21659"/>
    <n v="129954"/>
    <n v="24"/>
    <n v="26219.999999999996"/>
    <n v="63016.806722689078"/>
    <n v="50411.764705882357"/>
    <s v="Shenzhen"/>
    <x v="0"/>
    <n v="55"/>
    <m/>
    <n v="10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04"/>
    <n v="0.54725919252887023"/>
    <n v="436"/>
    <n v="0.54894055160997324"/>
    <n v="5"/>
    <n v="0.49206035511725094"/>
    <n v="36"/>
    <n v="0.54445186697045422"/>
    <n v="193"/>
    <n v="0.52131760104334379"/>
    <n v="250"/>
    <n v="0.50649717213828216"/>
    <n v="1.25"/>
    <n v="297"/>
    <n v="0.58911677111122018"/>
    <n v="1.08"/>
    <n v="496"/>
    <n v="0.35420394189614318"/>
    <n v="1.24"/>
    <n v="197"/>
    <n v="0.58994151518308446"/>
    <n v="0.98499999999999999"/>
    <n v="11"/>
    <n v="0.53452759564229679"/>
    <n v="9.4827586206896547E-2"/>
    <n v="8"/>
    <n v="0.5103432131779535"/>
    <n v="4.4444444444444446E-2"/>
    <m/>
    <m/>
    <m/>
    <m/>
    <m/>
    <m/>
    <m/>
    <m/>
    <m/>
    <n v="0"/>
    <n v="2"/>
    <n v="0"/>
    <n v="0"/>
    <m/>
    <n v="0"/>
    <n v="5349773"/>
    <n v="49679.999999999993"/>
    <n v="0"/>
    <n v="0"/>
    <n v="6"/>
    <n v="129954"/>
    <n v="0"/>
    <n v="70"/>
    <n v="490"/>
    <n v="54"/>
    <n v="0"/>
    <n v="498"/>
    <n v="0"/>
    <n v="10764523"/>
    <n v="12171599.999999998"/>
    <n v="1169586"/>
    <n v="0"/>
    <n v="6"/>
    <n v="129954"/>
    <n v="2859586.1874161428"/>
    <n v="200"/>
    <n v="441"/>
    <n v="193"/>
    <n v="0"/>
    <n v="0"/>
    <n v="16425937"/>
    <n v="9551619"/>
    <n v="4180187"/>
    <n v="0"/>
    <n v="6"/>
    <n v="129954"/>
    <n v="12162243.697478993"/>
    <n v="200"/>
    <n v="1163"/>
    <n v="250"/>
    <n v="2000"/>
    <n v="0"/>
    <n v="28888919.999999996"/>
    <n v="5414750"/>
    <x v="109"/>
    <x v="0"/>
    <n v="6"/>
    <n v="129954"/>
    <n v="15754201.680672269"/>
    <n v="275"/>
    <n v="303"/>
    <n v="275"/>
    <m/>
    <n v="0"/>
    <n v="0"/>
    <n v="6562677"/>
    <n v="6830999.9999999991"/>
    <x v="0"/>
    <n v="0"/>
    <n v="6"/>
    <n v="129954"/>
    <n v="17329621.848739497"/>
    <n v="400"/>
    <n v="502"/>
    <n v="496"/>
    <m/>
    <n v="0"/>
    <n v="0"/>
    <n v="10872818"/>
    <n v="12320639.999999998"/>
    <n v="0"/>
    <n v="0"/>
    <n v="502"/>
    <n v="129954"/>
    <n v="31256336.134453781"/>
    <n v="200"/>
    <n v="203"/>
    <n v="197"/>
    <n v="0"/>
    <n v="0"/>
    <n v="0"/>
    <n v="4396777"/>
    <n v="4893479.9999999991"/>
    <n v="0"/>
    <n v="0"/>
    <n v="203"/>
    <n v="129954"/>
    <n v="12414310.924369749"/>
    <n v="116"/>
    <n v="17"/>
    <n v="11"/>
    <n v="0"/>
    <n v="0"/>
    <n v="0"/>
    <n v="368203"/>
    <n v="273239.99999999994"/>
    <n v="0"/>
    <n v="0"/>
    <n v="17"/>
    <n v="368203"/>
    <n v="693184.87394957989"/>
    <n v="180"/>
    <n v="14"/>
    <n v="12"/>
    <n v="2000"/>
    <n v="2000"/>
    <n v="0"/>
    <n v="347759.99999999994"/>
    <n v="298079.99999999994"/>
    <n v="49679999.999999993"/>
    <n v="0"/>
    <n v="6"/>
    <n v="129954"/>
    <n v="756201.68067226897"/>
    <n v="500"/>
    <n v="2"/>
    <n v="500"/>
    <n v="0"/>
    <n v="0"/>
    <n v="2004"/>
    <n v="2000"/>
    <n v="49679.999999999993"/>
    <n v="12419999.999999998"/>
    <n v="0"/>
    <n v="49779359.999999993"/>
    <n v="2006"/>
    <n v="49829039.999999993"/>
    <n v="25205882.352941178"/>
    <n v="250"/>
    <n v="1506"/>
    <n v="250"/>
    <m/>
    <n v="0"/>
    <n v="0"/>
    <n v="37409039.999999993"/>
    <n v="6209999.9999999991"/>
    <n v="0"/>
    <n v="0"/>
    <n v="1506"/>
    <n v="37409039.999999993"/>
    <n v="12602941.176470589"/>
    <n v="500"/>
    <n v="1256"/>
    <n v="500"/>
    <n v="0"/>
    <n v="0"/>
    <n v="31199039.999999996"/>
    <n v="12419999.999999998"/>
    <n v="0"/>
    <n v="0"/>
    <n v="1256"/>
    <n v="31199039.999999996"/>
    <n v="31508403.361344539"/>
    <n v="150"/>
    <n v="756"/>
    <n v="150"/>
    <n v="0"/>
    <m/>
    <n v="18779039.999999996"/>
    <n v="3248850"/>
    <n v="0"/>
    <n v="756"/>
    <n v="18779039.999999996"/>
    <n v="9452521.0084033608"/>
  </r>
  <r>
    <m/>
    <x v="7"/>
    <x v="32"/>
    <x v="82"/>
    <s v="TCMULTSTY5N1-BG"/>
    <x v="745"/>
    <x v="578"/>
    <x v="0"/>
    <x v="4"/>
    <n v="0.8"/>
    <x v="435"/>
    <n v="5"/>
    <m/>
    <n v="0"/>
    <n v="21706"/>
    <n v="108530"/>
    <n v="24"/>
    <n v="26219.999999999996"/>
    <n v="63016.806722689078"/>
    <n v="46210.08403361345"/>
    <s v="Shenzhen"/>
    <x v="0"/>
    <n v="55"/>
    <m/>
    <n v="10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n v="0"/>
    <n v="0"/>
    <n v="0"/>
    <n v="0"/>
    <n v="0"/>
    <n v="0"/>
    <n v="0"/>
    <n v="0"/>
    <s v=""/>
    <n v="3"/>
    <n v="0.45086265126254799"/>
    <n v="33"/>
    <n v="0.46569628817599601"/>
    <n v="0.66"/>
    <n v="111"/>
    <n v="0.58865606882304911"/>
    <n v="1.3875"/>
    <n v="222"/>
    <n v="0.37219606971856867"/>
    <n v="1.1100000000000001"/>
    <n v="391"/>
    <n v="0.56725467039041033"/>
    <n v="3.91"/>
    <n v="204"/>
    <n v="0.33098285623393203"/>
    <n v="1.1333333333333333"/>
    <n v="0"/>
    <n v="0.62663920878717605"/>
    <n v="0"/>
    <m/>
    <m/>
    <m/>
    <m/>
    <m/>
    <m/>
    <m/>
    <m/>
    <m/>
    <m/>
    <m/>
    <m/>
    <m/>
    <m/>
    <m/>
    <m/>
    <m/>
    <m/>
    <m/>
    <m/>
    <m/>
    <m/>
    <n v="0"/>
    <n v="0"/>
    <n v="0"/>
    <m/>
    <m/>
    <n v="0"/>
    <m/>
    <m/>
    <m/>
    <m/>
    <n v="5"/>
    <n v="108530"/>
    <m/>
    <n v="0"/>
    <n v="0"/>
    <n v="3"/>
    <m/>
    <n v="0"/>
    <m/>
    <n v="0"/>
    <m/>
    <n v="0"/>
    <n v="5"/>
    <n v="108530"/>
    <n v="189050.42016806724"/>
    <n v="50"/>
    <n v="961"/>
    <n v="33"/>
    <n v="0"/>
    <n v="0"/>
    <n v="23871239.999999996"/>
    <n v="716298"/>
    <x v="0"/>
    <x v="0"/>
    <n v="5"/>
    <n v="108530"/>
    <n v="2079554.6218487397"/>
    <n v="80"/>
    <n v="116"/>
    <n v="64"/>
    <m/>
    <n v="0"/>
    <n v="0"/>
    <n v="2517896"/>
    <n v="1589759.9999999998"/>
    <x v="0"/>
    <n v="0"/>
    <n v="5"/>
    <n v="108530"/>
    <n v="4033075.630252101"/>
    <n v="200"/>
    <n v="227"/>
    <n v="222"/>
    <m/>
    <n v="0"/>
    <n v="0"/>
    <n v="4927262"/>
    <n v="5514479.9999999991"/>
    <n v="0"/>
    <n v="0"/>
    <n v="227"/>
    <n v="108530"/>
    <n v="13989731.092436975"/>
    <n v="100"/>
    <n v="396"/>
    <n v="391"/>
    <n v="0"/>
    <n v="0"/>
    <n v="0"/>
    <n v="8595576"/>
    <n v="9712439.9999999981"/>
    <n v="0"/>
    <n v="0"/>
    <n v="396"/>
    <n v="108530"/>
    <n v="24639571.428571429"/>
    <n v="180"/>
    <n v="209"/>
    <n v="210"/>
    <n v="0"/>
    <n v="0"/>
    <n v="0"/>
    <n v="4536554"/>
    <n v="5216399.9999999991"/>
    <n v="0"/>
    <n v="0"/>
    <n v="209"/>
    <n v="4536554"/>
    <n v="13233529.411764706"/>
    <n v="100"/>
    <n v="5"/>
    <n v="0"/>
    <n v="1000"/>
    <n v="1000"/>
    <n v="0"/>
    <n v="124199.99999999999"/>
    <n v="0"/>
    <n v="24839999.999999996"/>
    <n v="0"/>
    <n v="5"/>
    <n v="108530"/>
    <n v="0"/>
    <n v="200"/>
    <n v="5"/>
    <n v="160"/>
    <n v="0"/>
    <n v="0"/>
    <n v="1002"/>
    <n v="1000"/>
    <n v="124199.99999999999"/>
    <n v="3974399.9999999995"/>
    <n v="0"/>
    <n v="24889679.999999996"/>
    <n v="1007"/>
    <n v="25013879.999999996"/>
    <n v="7393613.4453781517"/>
    <n v="200"/>
    <n v="847"/>
    <n v="160"/>
    <m/>
    <n v="0"/>
    <n v="0"/>
    <n v="21039479.999999996"/>
    <n v="3974399.9999999995"/>
    <n v="0"/>
    <n v="0"/>
    <n v="847"/>
    <n v="21039479.999999996"/>
    <n v="7393613.4453781517"/>
    <n v="300"/>
    <n v="687"/>
    <n v="240"/>
    <n v="0"/>
    <n v="0"/>
    <n v="17065079.999999996"/>
    <n v="5961599.9999999991"/>
    <n v="0"/>
    <n v="0"/>
    <n v="687"/>
    <n v="17065079.999999996"/>
    <n v="15124033.613445379"/>
    <n v="120"/>
    <n v="447"/>
    <n v="96"/>
    <n v="0"/>
    <m/>
    <n v="11103479.999999998"/>
    <n v="2083776"/>
    <n v="0"/>
    <n v="447"/>
    <n v="11103479.999999998"/>
    <n v="6049613.4453781517"/>
  </r>
  <r>
    <m/>
    <x v="8"/>
    <x v="19"/>
    <x v="83"/>
    <s v="MTBOBLOV420"/>
    <x v="746"/>
    <x v="579"/>
    <x v="0"/>
    <x v="4"/>
    <n v="0.5"/>
    <x v="31"/>
    <n v="317"/>
    <m/>
    <n v="0"/>
    <n v="1967"/>
    <n v="623539"/>
    <n v="1.96"/>
    <n v="2141.2999999999997"/>
    <n v="8394.957983193277"/>
    <n v="6714.2857142857147"/>
    <s v="Ningbo"/>
    <x v="0"/>
    <n v="30"/>
    <m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97"/>
    <n v="0.53234517718609509"/>
    <n v="18"/>
    <n v="0.44486955866325928"/>
    <n v="0.17560975609756097"/>
    <n v="11"/>
    <n v="0.70700000000000007"/>
    <n v="0.55000000000000004"/>
    <n v="15"/>
    <n v="0.30079499343304644"/>
    <n v="0.3"/>
    <n v="23"/>
    <n v="0.66304681729986847"/>
    <n v="0.92"/>
    <n v="14"/>
    <n v="0.42788589082808659"/>
    <n v="0.56000000000000005"/>
    <n v="3"/>
    <n v="0.45914468916666645"/>
    <n v="0.11249999999999986"/>
    <m/>
    <m/>
    <m/>
    <m/>
    <m/>
    <m/>
    <m/>
    <m/>
    <m/>
    <n v="0"/>
    <n v="0"/>
    <n v="0"/>
    <n v="0"/>
    <n v="0"/>
    <n v="0"/>
    <n v="190799"/>
    <n v="0"/>
    <n v="0"/>
    <n v="0"/>
    <n v="317"/>
    <n v="623539"/>
    <n v="0"/>
    <n v="0"/>
    <n v="0"/>
    <n v="0"/>
    <n v="500"/>
    <n v="500"/>
    <n v="0"/>
    <n v="226205"/>
    <n v="0"/>
    <n v="0"/>
    <n v="0"/>
    <n v="317"/>
    <n v="623539"/>
    <n v="0"/>
    <n v="110.5"/>
    <n v="414"/>
    <n v="97"/>
    <n v="0"/>
    <n v="0"/>
    <n v="246491"/>
    <n v="814338"/>
    <n v="190799"/>
    <n v="0"/>
    <n v="317"/>
    <n v="623539"/>
    <n v="814310.92436974787"/>
    <n v="102.5"/>
    <n v="404"/>
    <n v="18"/>
    <n v="0"/>
    <n v="0"/>
    <n v="819554.39999999991"/>
    <n v="35406"/>
    <x v="0"/>
    <x v="0"/>
    <n v="317"/>
    <n v="623539"/>
    <n v="151109.24369747899"/>
    <n v="20"/>
    <n v="328"/>
    <n v="10"/>
    <m/>
    <n v="0"/>
    <n v="0"/>
    <n v="645176"/>
    <n v="20286"/>
    <x v="0"/>
    <n v="0"/>
    <n v="317"/>
    <n v="623539"/>
    <n v="83949.579831932773"/>
    <n v="50"/>
    <n v="332"/>
    <n v="15"/>
    <m/>
    <n v="0"/>
    <n v="0"/>
    <n v="653044"/>
    <n v="30429"/>
    <n v="0"/>
    <n v="0"/>
    <n v="332"/>
    <n v="623539"/>
    <n v="125924.36974789915"/>
    <n v="25"/>
    <n v="340"/>
    <n v="23"/>
    <n v="0"/>
    <n v="0"/>
    <n v="0"/>
    <n v="668780"/>
    <n v="46657.799999999996"/>
    <n v="0"/>
    <n v="0"/>
    <n v="340"/>
    <n v="623539"/>
    <n v="193084.03361344538"/>
    <n v="25"/>
    <n v="331"/>
    <n v="14"/>
    <n v="0"/>
    <n v="0"/>
    <n v="0"/>
    <n v="651077"/>
    <n v="28400.399999999998"/>
    <n v="0"/>
    <n v="0"/>
    <n v="331"/>
    <n v="651077"/>
    <n v="117529.41176470587"/>
    <n v="26.6666666666667"/>
    <n v="320"/>
    <n v="3"/>
    <n v="0"/>
    <n v="0"/>
    <n v="0"/>
    <n v="649152"/>
    <n v="6085.7999999999993"/>
    <n v="0"/>
    <n v="0"/>
    <n v="317"/>
    <n v="623539"/>
    <n v="25184.873949579829"/>
    <n v="50"/>
    <n v="317"/>
    <n v="25"/>
    <n v="0"/>
    <n v="0"/>
    <n v="0"/>
    <m/>
    <n v="643066.19999999995"/>
    <n v="50715"/>
    <n v="0"/>
    <n v="0"/>
    <n v="317"/>
    <n v="643066.19999999995"/>
    <n v="167857.14285714287"/>
    <n v="60"/>
    <n v="292"/>
    <n v="30"/>
    <m/>
    <n v="0"/>
    <n v="0"/>
    <n v="592351.19999999995"/>
    <n v="60858"/>
    <n v="0"/>
    <n v="0"/>
    <n v="292"/>
    <n v="592351.19999999995"/>
    <n v="201428.57142857145"/>
    <n v="80"/>
    <n v="262"/>
    <n v="40"/>
    <n v="0"/>
    <n v="0"/>
    <n v="531493.19999999995"/>
    <n v="81144"/>
    <n v="0"/>
    <n v="0"/>
    <n v="262"/>
    <n v="531493.19999999995"/>
    <n v="335798.31932773109"/>
    <n v="36"/>
    <n v="222"/>
    <n v="18"/>
    <n v="0"/>
    <m/>
    <n v="450349.19999999995"/>
    <n v="35406"/>
    <n v="0"/>
    <n v="222"/>
    <n v="450349.19999999995"/>
    <n v="151109.24369747899"/>
  </r>
  <r>
    <m/>
    <x v="8"/>
    <x v="19"/>
    <x v="83"/>
    <s v="MTBOBPET420"/>
    <x v="747"/>
    <x v="580"/>
    <x v="0"/>
    <x v="4"/>
    <n v="0.5"/>
    <x v="31"/>
    <n v="369"/>
    <m/>
    <n v="0"/>
    <n v="1967"/>
    <n v="725823"/>
    <n v="1.96"/>
    <n v="2141.2999999999997"/>
    <n v="8394.957983193277"/>
    <n v="6714.2857142857147"/>
    <s v="Ningbo"/>
    <x v="0"/>
    <n v="30"/>
    <m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96"/>
    <n v="0.54663695158594516"/>
    <n v="4"/>
    <n v="0.43607313523542907"/>
    <n v="3.9024390243902439E-2"/>
    <n v="2"/>
    <n v="0.11116005316119232"/>
    <n v="0.16666666666666666"/>
    <n v="9"/>
    <n v="0.49545528809497874"/>
    <n v="0.36"/>
    <n v="9"/>
    <n v="0.65973784525924728"/>
    <n v="0.45"/>
    <n v="6"/>
    <n v="0.43358826325770816"/>
    <n v="0.3"/>
    <n v="6"/>
    <n v="0.49698748435544432"/>
    <n v="0.21428571428571427"/>
    <m/>
    <m/>
    <m/>
    <m/>
    <m/>
    <m/>
    <m/>
    <m/>
    <m/>
    <n v="0"/>
    <n v="0"/>
    <n v="0"/>
    <n v="0"/>
    <n v="0"/>
    <n v="0"/>
    <n v="188832"/>
    <n v="0"/>
    <n v="0"/>
    <n v="0"/>
    <n v="369"/>
    <n v="725823"/>
    <n v="0"/>
    <n v="0"/>
    <n v="0"/>
    <n v="0"/>
    <n v="500"/>
    <n v="500"/>
    <n v="0"/>
    <n v="196700"/>
    <n v="0"/>
    <n v="0"/>
    <n v="0"/>
    <n v="369"/>
    <n v="725823"/>
    <n v="0"/>
    <n v="110.5"/>
    <n v="465"/>
    <n v="96"/>
    <n v="0"/>
    <n v="0"/>
    <n v="208871.6"/>
    <n v="914655"/>
    <n v="188832"/>
    <n v="0"/>
    <n v="369"/>
    <n v="725823"/>
    <n v="805915.96638655453"/>
    <n v="102.5"/>
    <n v="404"/>
    <n v="4"/>
    <n v="0"/>
    <n v="0"/>
    <n v="819554.39999999991"/>
    <n v="7868"/>
    <x v="0"/>
    <x v="0"/>
    <n v="369"/>
    <n v="725823"/>
    <n v="33579.831932773108"/>
    <n v="12"/>
    <n v="371"/>
    <n v="6"/>
    <m/>
    <n v="0"/>
    <n v="0"/>
    <n v="729757"/>
    <n v="12171.599999999999"/>
    <x v="0"/>
    <n v="0"/>
    <n v="369"/>
    <n v="725823"/>
    <n v="50369.747899159658"/>
    <n v="25"/>
    <n v="378"/>
    <n v="9"/>
    <m/>
    <n v="0"/>
    <n v="0"/>
    <n v="743526"/>
    <n v="18257.399999999998"/>
    <n v="0"/>
    <n v="0"/>
    <n v="378"/>
    <n v="725823"/>
    <n v="75554.621848739494"/>
    <n v="20"/>
    <n v="378"/>
    <n v="9"/>
    <n v="0"/>
    <n v="0"/>
    <n v="0"/>
    <n v="743526"/>
    <n v="18257.399999999998"/>
    <n v="0"/>
    <n v="0"/>
    <n v="378"/>
    <n v="725823"/>
    <n v="75554.621848739494"/>
    <n v="20"/>
    <n v="375"/>
    <n v="6"/>
    <n v="0"/>
    <n v="0"/>
    <n v="0"/>
    <n v="737625"/>
    <n v="12171.599999999999"/>
    <n v="0"/>
    <n v="0"/>
    <n v="375"/>
    <n v="737625"/>
    <n v="50369.747899159658"/>
    <n v="28"/>
    <n v="375"/>
    <n v="6"/>
    <n v="0"/>
    <n v="0"/>
    <n v="0"/>
    <n v="760725"/>
    <n v="12171.599999999999"/>
    <n v="0"/>
    <n v="0"/>
    <n v="369"/>
    <n v="725823"/>
    <n v="50369.747899159658"/>
    <n v="50"/>
    <n v="369"/>
    <n v="25"/>
    <n v="0"/>
    <n v="0"/>
    <n v="0"/>
    <m/>
    <n v="748553.4"/>
    <n v="50715"/>
    <n v="0"/>
    <n v="0"/>
    <n v="369"/>
    <n v="748553.4"/>
    <n v="167857.14285714287"/>
    <n v="40"/>
    <n v="344"/>
    <n v="20"/>
    <m/>
    <n v="0"/>
    <n v="0"/>
    <n v="697838.4"/>
    <n v="40572"/>
    <n v="0"/>
    <n v="0"/>
    <n v="344"/>
    <n v="697838.4"/>
    <n v="134285.71428571429"/>
    <n v="76"/>
    <n v="324"/>
    <n v="38"/>
    <n v="0"/>
    <n v="0"/>
    <n v="657266.4"/>
    <n v="77086.8"/>
    <n v="0"/>
    <n v="0"/>
    <n v="324"/>
    <n v="657266.4"/>
    <n v="319008.40336134454"/>
    <n v="24"/>
    <n v="286"/>
    <n v="12"/>
    <n v="0"/>
    <m/>
    <n v="580179.6"/>
    <n v="23604"/>
    <n v="0"/>
    <n v="286"/>
    <n v="580179.6"/>
    <n v="100739.49579831932"/>
  </r>
  <r>
    <m/>
    <x v="8"/>
    <x v="19"/>
    <x v="83"/>
    <s v="MTBOHWMON420"/>
    <x v="748"/>
    <x v="581"/>
    <x v="0"/>
    <x v="4"/>
    <n v="0.5"/>
    <x v="31"/>
    <n v="258"/>
    <m/>
    <n v="0"/>
    <n v="1967"/>
    <n v="507486"/>
    <n v="1.96"/>
    <n v="2141.2999999999997"/>
    <n v="8394.957983193277"/>
    <n v="6714.2857142857147"/>
    <s v="Ningbo"/>
    <x v="0"/>
    <n v="30"/>
    <m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06"/>
    <n v="0.53314474580924764"/>
    <n v="27"/>
    <n v="0.41385709185765923"/>
    <n v="0.26341463414634148"/>
    <n v="28"/>
    <n v="0.70077457877029681"/>
    <n v="1.4"/>
    <n v="28"/>
    <n v="0.42070153879295569"/>
    <n v="0.56000000000000005"/>
    <n v="20"/>
    <n v="0.66514020028612297"/>
    <n v="0.8"/>
    <n v="22"/>
    <n v="0.44309676111174873"/>
    <n v="0.88"/>
    <n v="13"/>
    <n v="0.46442139695186091"/>
    <n v="0.48749999999999938"/>
    <m/>
    <m/>
    <m/>
    <m/>
    <m/>
    <m/>
    <m/>
    <m/>
    <m/>
    <n v="0"/>
    <n v="0"/>
    <n v="0"/>
    <n v="0"/>
    <n v="0"/>
    <n v="0"/>
    <n v="208502"/>
    <n v="0"/>
    <n v="0"/>
    <n v="0"/>
    <n v="258"/>
    <n v="507486"/>
    <n v="0"/>
    <n v="0"/>
    <n v="0"/>
    <n v="0"/>
    <n v="500"/>
    <n v="500"/>
    <n v="0"/>
    <n v="261611"/>
    <n v="0"/>
    <n v="0"/>
    <n v="0"/>
    <n v="258"/>
    <n v="507486"/>
    <n v="0"/>
    <n v="110.5"/>
    <n v="364"/>
    <n v="106"/>
    <n v="0"/>
    <n v="0"/>
    <n v="281897"/>
    <n v="715988"/>
    <n v="208502"/>
    <n v="0"/>
    <n v="258"/>
    <n v="507486"/>
    <n v="889865.54621848732"/>
    <n v="102.5"/>
    <n v="395"/>
    <n v="27"/>
    <n v="0"/>
    <n v="0"/>
    <n v="801297"/>
    <n v="53109"/>
    <x v="0"/>
    <x v="0"/>
    <n v="258"/>
    <n v="507486"/>
    <n v="226663.86554621847"/>
    <n v="20"/>
    <n v="286"/>
    <n v="10"/>
    <m/>
    <n v="0"/>
    <n v="0"/>
    <n v="562562"/>
    <n v="20286"/>
    <x v="0"/>
    <n v="0"/>
    <n v="258"/>
    <n v="507486"/>
    <n v="83949.579831932773"/>
    <n v="50"/>
    <n v="286"/>
    <n v="28"/>
    <m/>
    <n v="0"/>
    <n v="0"/>
    <n v="562562"/>
    <n v="56800.799999999996"/>
    <n v="0"/>
    <n v="0"/>
    <n v="286"/>
    <n v="507486"/>
    <n v="235058.82352941175"/>
    <n v="25"/>
    <n v="278"/>
    <n v="20"/>
    <n v="0"/>
    <n v="0"/>
    <n v="0"/>
    <n v="546826"/>
    <n v="40572"/>
    <n v="0"/>
    <n v="0"/>
    <n v="278"/>
    <n v="507486"/>
    <n v="167899.15966386555"/>
    <n v="25"/>
    <n v="280"/>
    <n v="22"/>
    <n v="0"/>
    <n v="0"/>
    <n v="0"/>
    <n v="550760"/>
    <n v="44629.2"/>
    <n v="0"/>
    <n v="0"/>
    <n v="280"/>
    <n v="550760"/>
    <n v="184689.0756302521"/>
    <n v="26.6666666666667"/>
    <n v="271"/>
    <n v="7.5"/>
    <n v="0"/>
    <n v="0"/>
    <n v="0"/>
    <n v="549750.6"/>
    <n v="15214.5"/>
    <n v="0"/>
    <n v="0"/>
    <n v="258"/>
    <n v="507486"/>
    <n v="62962.184873949576"/>
    <n v="50"/>
    <n v="263.5"/>
    <n v="25"/>
    <n v="0"/>
    <n v="0"/>
    <n v="0"/>
    <m/>
    <n v="534536.1"/>
    <n v="50715"/>
    <n v="0"/>
    <n v="0"/>
    <n v="263.5"/>
    <n v="534536.1"/>
    <n v="167857.14285714287"/>
    <n v="60"/>
    <n v="238.5"/>
    <n v="30"/>
    <m/>
    <n v="0"/>
    <n v="0"/>
    <n v="483821.1"/>
    <n v="60858"/>
    <n v="0"/>
    <n v="0"/>
    <n v="238.5"/>
    <n v="483821.1"/>
    <n v="201428.57142857145"/>
    <n v="80"/>
    <n v="208.5"/>
    <n v="40"/>
    <n v="0"/>
    <n v="0"/>
    <n v="422963.1"/>
    <n v="81144"/>
    <n v="0"/>
    <n v="0"/>
    <n v="208.5"/>
    <n v="422963.1"/>
    <n v="335798.31932773109"/>
    <n v="36"/>
    <n v="168.5"/>
    <n v="18"/>
    <n v="0"/>
    <m/>
    <n v="341819.1"/>
    <n v="35406"/>
    <n v="0"/>
    <n v="168.5"/>
    <n v="341819.1"/>
    <n v="151109.24369747899"/>
  </r>
  <r>
    <m/>
    <x v="8"/>
    <x v="19"/>
    <x v="83"/>
    <s v="MTBOHWRAC420"/>
    <x v="749"/>
    <x v="582"/>
    <x v="0"/>
    <x v="4"/>
    <n v="0.6"/>
    <x v="31"/>
    <n v="291"/>
    <m/>
    <n v="0"/>
    <n v="1967"/>
    <n v="572397"/>
    <n v="1.96"/>
    <n v="2141.2999999999997"/>
    <n v="8394.957983193277"/>
    <n v="6714.2857142857147"/>
    <s v="Ningbo"/>
    <x v="0"/>
    <n v="30"/>
    <m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05"/>
    <n v="0.52366150591102401"/>
    <n v="14"/>
    <n v="0.44605104284636077"/>
    <n v="0.13658536585365855"/>
    <n v="11"/>
    <n v="0.70701353965183755"/>
    <n v="0.55000000000000004"/>
    <n v="27"/>
    <n v="0.21697262606830867"/>
    <n v="0.6"/>
    <n v="18"/>
    <n v="0.65973784525924728"/>
    <n v="0.72"/>
    <n v="14"/>
    <n v="0.45986671804211365"/>
    <n v="0.56000000000000005"/>
    <n v="15"/>
    <n v="0.43481603393130297"/>
    <n v="0.56249999999999933"/>
    <m/>
    <m/>
    <m/>
    <m/>
    <m/>
    <m/>
    <m/>
    <m/>
    <m/>
    <n v="0"/>
    <n v="0"/>
    <n v="0"/>
    <n v="0"/>
    <n v="0"/>
    <n v="0"/>
    <n v="206535"/>
    <n v="0"/>
    <n v="0"/>
    <n v="0"/>
    <n v="291"/>
    <n v="572397"/>
    <n v="0"/>
    <n v="0"/>
    <n v="0"/>
    <n v="0"/>
    <n v="0"/>
    <n v="0"/>
    <n v="0"/>
    <n v="234073"/>
    <n v="0"/>
    <n v="0"/>
    <n v="0"/>
    <n v="291"/>
    <n v="572397"/>
    <n v="0"/>
    <n v="110.5"/>
    <n v="396"/>
    <n v="105"/>
    <n v="0"/>
    <n v="0"/>
    <n v="258416.2"/>
    <n v="778932"/>
    <n v="206535"/>
    <n v="0"/>
    <n v="291"/>
    <n v="572397"/>
    <n v="881470.5882352941"/>
    <n v="102.5"/>
    <n v="395"/>
    <n v="14"/>
    <n v="0"/>
    <n v="0"/>
    <n v="801297"/>
    <n v="27538"/>
    <x v="0"/>
    <x v="0"/>
    <n v="291"/>
    <n v="572397"/>
    <n v="117529.41176470587"/>
    <n v="20"/>
    <n v="302"/>
    <n v="12"/>
    <m/>
    <n v="0"/>
    <n v="0"/>
    <n v="594034"/>
    <n v="24343.199999999997"/>
    <x v="0"/>
    <n v="0"/>
    <n v="291"/>
    <n v="572397"/>
    <n v="100739.49579831932"/>
    <n v="45"/>
    <n v="318"/>
    <n v="27"/>
    <m/>
    <n v="0"/>
    <n v="0"/>
    <n v="625506"/>
    <n v="54772.2"/>
    <n v="0"/>
    <n v="0"/>
    <n v="318"/>
    <n v="572397"/>
    <n v="226663.86554621847"/>
    <n v="25"/>
    <n v="309"/>
    <n v="18"/>
    <n v="0"/>
    <n v="0"/>
    <n v="0"/>
    <n v="607803"/>
    <n v="36514.799999999996"/>
    <n v="0"/>
    <n v="0"/>
    <n v="309"/>
    <n v="572397"/>
    <n v="151109.24369747899"/>
    <n v="25"/>
    <n v="305"/>
    <n v="14"/>
    <n v="0"/>
    <n v="0"/>
    <n v="0"/>
    <n v="599935"/>
    <n v="28400.399999999998"/>
    <n v="0"/>
    <n v="0"/>
    <n v="305"/>
    <n v="599935"/>
    <n v="117529.41176470587"/>
    <n v="26.6666666666667"/>
    <n v="306"/>
    <n v="18"/>
    <n v="0"/>
    <n v="0"/>
    <n v="0"/>
    <n v="620751.6"/>
    <n v="36514.799999999996"/>
    <n v="0"/>
    <n v="0"/>
    <n v="291"/>
    <n v="572397"/>
    <n v="151109.24369747899"/>
    <n v="50"/>
    <n v="288"/>
    <n v="30"/>
    <n v="0"/>
    <n v="0"/>
    <n v="0"/>
    <m/>
    <n v="584236.79999999993"/>
    <n v="60858"/>
    <n v="0"/>
    <n v="0"/>
    <n v="288"/>
    <n v="584236.79999999993"/>
    <n v="201428.57142857145"/>
    <n v="60"/>
    <n v="258"/>
    <n v="36"/>
    <m/>
    <n v="0"/>
    <n v="0"/>
    <n v="523378.8"/>
    <n v="73029.599999999991"/>
    <n v="0"/>
    <n v="0"/>
    <n v="258"/>
    <n v="523378.8"/>
    <n v="241714.28571428574"/>
    <n v="80"/>
    <n v="222"/>
    <n v="48"/>
    <n v="0"/>
    <n v="0"/>
    <n v="450349.19999999995"/>
    <n v="97372.799999999988"/>
    <n v="0"/>
    <n v="0"/>
    <n v="222"/>
    <n v="450349.19999999995"/>
    <n v="402957.98319327726"/>
    <n v="36"/>
    <n v="174"/>
    <n v="21.599999999999998"/>
    <n v="0"/>
    <m/>
    <n v="352976.39999999997"/>
    <n v="42487.199999999997"/>
    <n v="0"/>
    <n v="174"/>
    <n v="352976.39999999997"/>
    <n v="181331.09243697475"/>
  </r>
  <r>
    <m/>
    <x v="8"/>
    <x v="19"/>
    <x v="83"/>
    <s v="MTBOTBARDEP"/>
    <x v="750"/>
    <x v="583"/>
    <x v="0"/>
    <x v="4"/>
    <n v="1"/>
    <x v="31"/>
    <n v="0"/>
    <m/>
    <n v="0"/>
    <n v="4305.5999999999995"/>
    <n v="0"/>
    <n v="4.68"/>
    <n v="4305.5999999999995"/>
    <n v="10854.453781512604"/>
    <n v="9226.2857142857138"/>
    <s v="Ningbo"/>
    <x v="1"/>
    <n v="45"/>
    <m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8"/>
    <x v="19"/>
    <x v="83"/>
    <s v="MTBOTBARDEP"/>
    <x v="751"/>
    <x v="584"/>
    <x v="0"/>
    <x v="4"/>
    <n v="1"/>
    <x v="31"/>
    <n v="0"/>
    <m/>
    <n v="0"/>
    <n v="4305.5999999999995"/>
    <n v="0"/>
    <n v="4.68"/>
    <n v="4305.5999999999995"/>
    <n v="10854.453781512604"/>
    <n v="9226.2857142857138"/>
    <s v="Ningbo"/>
    <x v="1"/>
    <n v="45"/>
    <m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8"/>
    <x v="19"/>
    <x v="83"/>
    <s v="MTBOTBARDEP"/>
    <x v="752"/>
    <x v="585"/>
    <x v="0"/>
    <x v="4"/>
    <n v="1"/>
    <x v="31"/>
    <n v="0"/>
    <m/>
    <n v="0"/>
    <n v="4305.5999999999995"/>
    <n v="0"/>
    <n v="4.68"/>
    <n v="4305.5999999999995"/>
    <n v="10854.453781512604"/>
    <n v="9226.2857142857138"/>
    <s v="Ningbo"/>
    <x v="1"/>
    <n v="45"/>
    <m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8"/>
    <x v="19"/>
    <x v="83"/>
    <s v="MTBOTBARDEP"/>
    <x v="753"/>
    <x v="586"/>
    <x v="0"/>
    <x v="4"/>
    <n v="1"/>
    <x v="31"/>
    <n v="0"/>
    <m/>
    <n v="0"/>
    <n v="4305.5999999999995"/>
    <n v="0"/>
    <n v="4.68"/>
    <n v="4305.5999999999995"/>
    <n v="10854.453781512604"/>
    <n v="9226.2857142857138"/>
    <s v="Ningbo"/>
    <x v="1"/>
    <n v="45"/>
    <m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8"/>
    <x v="19"/>
    <x v="83"/>
    <s v="MTBOTBARED2"/>
    <x v="754"/>
    <x v="587"/>
    <x v="0"/>
    <x v="4"/>
    <n v="1"/>
    <x v="31"/>
    <n v="0"/>
    <m/>
    <n v="0"/>
    <n v="4038.7999999999997"/>
    <n v="0"/>
    <n v="4.3899999999999997"/>
    <n v="4038.7999999999997"/>
    <n v="10181.848739495799"/>
    <n v="8654.5714285714294"/>
    <s v="Ningbo"/>
    <x v="1"/>
    <n v="45"/>
    <m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8"/>
    <x v="19"/>
    <x v="83"/>
    <s v="MTBOTBARED2"/>
    <x v="755"/>
    <x v="588"/>
    <x v="0"/>
    <x v="4"/>
    <n v="1"/>
    <x v="31"/>
    <n v="0"/>
    <m/>
    <n v="0"/>
    <n v="4038.7999999999997"/>
    <n v="0"/>
    <n v="4.3899999999999997"/>
    <n v="4038.7999999999997"/>
    <n v="10181.848739495799"/>
    <n v="8654.5714285714294"/>
    <s v="Ningbo"/>
    <x v="1"/>
    <n v="45"/>
    <m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8"/>
    <x v="19"/>
    <x v="83"/>
    <s v="MTBOTBARED2"/>
    <x v="756"/>
    <x v="589"/>
    <x v="0"/>
    <x v="4"/>
    <n v="1"/>
    <x v="31"/>
    <n v="0"/>
    <m/>
    <n v="0"/>
    <n v="4038.7999999999997"/>
    <n v="0"/>
    <n v="4.3899999999999997"/>
    <n v="4038.7999999999997"/>
    <n v="10181.848739495799"/>
    <n v="8654.5714285714294"/>
    <s v="Ningbo"/>
    <x v="1"/>
    <n v="45"/>
    <m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8"/>
    <x v="19"/>
    <x v="83"/>
    <s v="MTBOTBARSUM"/>
    <x v="757"/>
    <x v="590"/>
    <x v="0"/>
    <x v="4"/>
    <n v="1"/>
    <x v="31"/>
    <n v="0"/>
    <m/>
    <n v="0"/>
    <n v="4103.2"/>
    <n v="0"/>
    <n v="4.46"/>
    <n v="4103.2"/>
    <n v="10344.201680672268"/>
    <n v="8792.5714285714275"/>
    <s v="Ningbo"/>
    <x v="1"/>
    <n v="45"/>
    <m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8"/>
    <x v="19"/>
    <x v="83"/>
    <s v="MTBOTBARSUM"/>
    <x v="758"/>
    <x v="591"/>
    <x v="0"/>
    <x v="4"/>
    <n v="1"/>
    <x v="31"/>
    <n v="0"/>
    <m/>
    <n v="0"/>
    <n v="4103.2"/>
    <n v="0"/>
    <n v="4.46"/>
    <n v="4103.2"/>
    <n v="10344.201680672268"/>
    <n v="8792.5714285714275"/>
    <s v="Ningbo"/>
    <x v="1"/>
    <n v="45"/>
    <m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8"/>
    <x v="19"/>
    <x v="83"/>
    <s v="MTBOTBARSUM"/>
    <x v="759"/>
    <x v="592"/>
    <x v="0"/>
    <x v="4"/>
    <n v="1"/>
    <x v="31"/>
    <n v="0"/>
    <m/>
    <n v="0"/>
    <n v="4103.2"/>
    <n v="0"/>
    <n v="4.46"/>
    <n v="4103.2"/>
    <n v="10344.201680672268"/>
    <n v="8792.5714285714275"/>
    <s v="Ningbo"/>
    <x v="1"/>
    <n v="45"/>
    <m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8"/>
    <x v="19"/>
    <x v="83"/>
    <s v="MTBOTBARTUM"/>
    <x v="760"/>
    <x v="593"/>
    <x v="0"/>
    <x v="4"/>
    <n v="1"/>
    <x v="31"/>
    <n v="0"/>
    <m/>
    <n v="0"/>
    <n v="3275.2000000000003"/>
    <n v="0"/>
    <n v="3.56"/>
    <n v="3275.2000000000003"/>
    <n v="8256.8067226890762"/>
    <n v="7018.2857142857147"/>
    <s v="Ningbo"/>
    <x v="1"/>
    <n v="45"/>
    <m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8"/>
    <x v="19"/>
    <x v="83"/>
    <s v="MTBOTBARTUM"/>
    <x v="761"/>
    <x v="594"/>
    <x v="0"/>
    <x v="4"/>
    <n v="1"/>
    <x v="31"/>
    <n v="0"/>
    <m/>
    <n v="0"/>
    <n v="3275.2000000000003"/>
    <n v="0"/>
    <n v="3.56"/>
    <n v="3275.2000000000003"/>
    <n v="8256.8067226890762"/>
    <n v="7018.2857142857147"/>
    <s v="Ningbo"/>
    <x v="1"/>
    <n v="45"/>
    <m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8"/>
    <x v="19"/>
    <x v="83"/>
    <s v="MTBOTBARTUM"/>
    <x v="762"/>
    <x v="595"/>
    <x v="0"/>
    <x v="4"/>
    <n v="1"/>
    <x v="31"/>
    <n v="0"/>
    <m/>
    <n v="0"/>
    <n v="3275.2000000000003"/>
    <n v="0"/>
    <n v="3.56"/>
    <n v="3275.2000000000003"/>
    <n v="8256.8067226890762"/>
    <n v="7018.2857142857147"/>
    <s v="Ningbo"/>
    <x v="1"/>
    <n v="45"/>
    <m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8"/>
    <x v="19"/>
    <x v="83"/>
    <s v="MTHWLGBT590"/>
    <x v="763"/>
    <x v="596"/>
    <x v="0"/>
    <x v="4"/>
    <n v="1"/>
    <x v="31"/>
    <n v="60"/>
    <m/>
    <n v="0"/>
    <n v="4544"/>
    <n v="272640"/>
    <n v="4.3499999999999996"/>
    <n v="4001.9999999999995"/>
    <n v="10089.0756302521"/>
    <n v="8575.7142857142844"/>
    <s v="Ningbo"/>
    <x v="1"/>
    <n v="45"/>
    <m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1200"/>
    <s v=""/>
    <n v="1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60"/>
    <n v="0"/>
    <m/>
    <n v="0"/>
    <n v="0"/>
    <n v="272640"/>
    <n v="0"/>
    <n v="0"/>
    <n v="0"/>
    <n v="60"/>
    <n v="272640"/>
    <n v="0"/>
    <n v="0"/>
    <n v="60"/>
    <n v="0"/>
    <n v="0"/>
    <n v="0"/>
    <n v="0"/>
    <n v="272640"/>
    <n v="0"/>
    <n v="0"/>
    <n v="0"/>
    <n v="60"/>
    <n v="272640"/>
    <n v="0"/>
    <n v="1200"/>
    <n v="60"/>
    <n v="0"/>
    <n v="0"/>
    <n v="0"/>
    <n v="0"/>
    <n v="272640"/>
    <n v="0"/>
    <n v="0"/>
    <n v="0"/>
    <n v="60"/>
    <n v="272640"/>
    <n v="0"/>
    <n v="8"/>
    <n v="1260"/>
    <n v="8"/>
    <n v="0"/>
    <n v="0"/>
    <n v="0"/>
    <n v="5672834.9999999991"/>
    <n v="36017.999999999993"/>
    <n v="0"/>
    <n v="0"/>
    <n v="60"/>
    <n v="272640"/>
    <n v="80712.605042016803"/>
    <n v="12"/>
    <n v="1252"/>
    <n v="12"/>
    <n v="0"/>
    <n v="0"/>
    <n v="0"/>
    <m/>
    <n v="5636816.9999999991"/>
    <n v="54026.999999999985"/>
    <n v="0"/>
    <n v="0"/>
    <n v="1252"/>
    <n v="5636816.9999999991"/>
    <n v="102908.57142857142"/>
    <n v="10"/>
    <n v="1240"/>
    <n v="10"/>
    <m/>
    <n v="0"/>
    <n v="0"/>
    <n v="5582789.9999999991"/>
    <n v="45022.499999999993"/>
    <n v="0"/>
    <n v="0"/>
    <n v="1240"/>
    <n v="5582789.9999999991"/>
    <n v="85757.142857142841"/>
    <n v="20"/>
    <n v="1230"/>
    <n v="20"/>
    <n v="0"/>
    <n v="0"/>
    <n v="5537767.4999999991"/>
    <n v="90044.999999999985"/>
    <n v="0"/>
    <n v="0"/>
    <n v="1230"/>
    <n v="5537767.4999999991"/>
    <n v="201781.51260504202"/>
    <n v="6"/>
    <n v="1210"/>
    <n v="6"/>
    <n v="0"/>
    <m/>
    <n v="5447722.4999999991"/>
    <n v="27264"/>
    <n v="0"/>
    <n v="1210"/>
    <n v="5447722.4999999991"/>
    <n v="60534.453781512602"/>
  </r>
  <r>
    <m/>
    <x v="8"/>
    <x v="19"/>
    <x v="83"/>
    <s v="MTHWLGBT590"/>
    <x v="764"/>
    <x v="597"/>
    <x v="0"/>
    <x v="4"/>
    <n v="1"/>
    <x v="31"/>
    <n v="109"/>
    <m/>
    <n v="0"/>
    <n v="4542"/>
    <n v="495078"/>
    <n v="4.3499999999999996"/>
    <n v="4001.9999999999995"/>
    <n v="10089.0756302521"/>
    <n v="8575.7142857142844"/>
    <s v="Ningbo"/>
    <x v="1"/>
    <n v="45"/>
    <m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1201"/>
    <s v=""/>
    <n v="80.0666666666666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109"/>
    <n v="0"/>
    <m/>
    <n v="0"/>
    <n v="0"/>
    <n v="495078"/>
    <n v="0"/>
    <n v="0"/>
    <n v="0"/>
    <n v="109"/>
    <n v="495078"/>
    <n v="0"/>
    <n v="0"/>
    <n v="109"/>
    <n v="0"/>
    <n v="0"/>
    <n v="0"/>
    <n v="0"/>
    <n v="495078"/>
    <n v="0"/>
    <n v="0"/>
    <n v="0"/>
    <n v="109"/>
    <n v="495078"/>
    <n v="0"/>
    <n v="1200"/>
    <n v="109"/>
    <n v="0"/>
    <n v="0"/>
    <n v="0"/>
    <n v="0"/>
    <n v="495078"/>
    <n v="0"/>
    <n v="0"/>
    <n v="0"/>
    <n v="109"/>
    <n v="495078"/>
    <n v="0"/>
    <n v="15"/>
    <n v="1310"/>
    <n v="15"/>
    <n v="0"/>
    <n v="0"/>
    <n v="0"/>
    <n v="5897947.4999999991"/>
    <n v="67533.749999999985"/>
    <n v="0"/>
    <n v="0"/>
    <n v="109"/>
    <n v="495078"/>
    <n v="151336.1344537815"/>
    <n v="25"/>
    <n v="1295"/>
    <n v="25"/>
    <n v="0"/>
    <n v="0"/>
    <n v="0"/>
    <m/>
    <n v="5830413.7499999991"/>
    <n v="112556.24999999997"/>
    <n v="0"/>
    <n v="0"/>
    <n v="1295"/>
    <n v="5830413.7499999991"/>
    <n v="214392.8571428571"/>
    <n v="20"/>
    <n v="1270"/>
    <n v="20"/>
    <m/>
    <n v="0"/>
    <n v="0"/>
    <n v="5717857.4999999991"/>
    <n v="90044.999999999985"/>
    <n v="0"/>
    <n v="0"/>
    <n v="1270"/>
    <n v="5717857.4999999991"/>
    <n v="171514.28571428568"/>
    <n v="40"/>
    <n v="1250"/>
    <n v="40"/>
    <n v="0"/>
    <n v="0"/>
    <n v="5627812.4999999991"/>
    <n v="180089.99999999997"/>
    <n v="0"/>
    <n v="0"/>
    <n v="1250"/>
    <n v="5627812.4999999991"/>
    <n v="403563.02521008404"/>
    <n v="12"/>
    <n v="1210"/>
    <n v="12"/>
    <n v="0"/>
    <m/>
    <n v="5447722.4999999991"/>
    <n v="54504"/>
    <n v="0"/>
    <n v="1210"/>
    <n v="5447722.4999999991"/>
    <n v="121068.9075630252"/>
  </r>
  <r>
    <m/>
    <x v="8"/>
    <x v="19"/>
    <x v="83"/>
    <s v="MTHWLGBT750"/>
    <x v="765"/>
    <x v="598"/>
    <x v="0"/>
    <x v="4"/>
    <n v="1"/>
    <x v="31"/>
    <n v="204"/>
    <m/>
    <n v="0"/>
    <n v="4609"/>
    <n v="940236"/>
    <n v="4.3899999999999997"/>
    <n v="4038.7999999999997"/>
    <n v="10181.848739495799"/>
    <n v="8654.5714285714294"/>
    <s v="Ningbo"/>
    <x v="1"/>
    <n v="45"/>
    <m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2001"/>
    <s v=""/>
    <n v="66.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204"/>
    <n v="0"/>
    <m/>
    <n v="0"/>
    <n v="0"/>
    <n v="940236"/>
    <n v="0"/>
    <n v="0"/>
    <n v="0"/>
    <n v="204"/>
    <n v="940236"/>
    <n v="0"/>
    <n v="0"/>
    <n v="204"/>
    <n v="0"/>
    <n v="0"/>
    <n v="0"/>
    <n v="0"/>
    <n v="940236"/>
    <n v="0"/>
    <n v="0"/>
    <n v="0"/>
    <n v="204"/>
    <n v="940236"/>
    <n v="0"/>
    <n v="2000"/>
    <n v="204"/>
    <n v="0"/>
    <n v="0"/>
    <n v="0"/>
    <n v="0"/>
    <n v="940236"/>
    <n v="0"/>
    <n v="0"/>
    <n v="0"/>
    <n v="204"/>
    <n v="940236"/>
    <n v="0"/>
    <n v="30"/>
    <n v="2205"/>
    <n v="30"/>
    <n v="0"/>
    <n v="0"/>
    <n v="0"/>
    <n v="10018748.249999996"/>
    <n v="136309.49999999997"/>
    <n v="0"/>
    <n v="0"/>
    <n v="204"/>
    <n v="940236"/>
    <n v="305455.46218487399"/>
    <n v="50"/>
    <n v="2175"/>
    <n v="50"/>
    <n v="0"/>
    <n v="0"/>
    <n v="0"/>
    <m/>
    <n v="9882438.7499999981"/>
    <n v="227182.49999999994"/>
    <n v="0"/>
    <n v="0"/>
    <n v="2175"/>
    <n v="9882438.7499999981"/>
    <n v="432728.57142857148"/>
    <n v="40"/>
    <n v="2125"/>
    <n v="40"/>
    <m/>
    <n v="0"/>
    <n v="0"/>
    <n v="9655256.2499999981"/>
    <n v="181745.99999999994"/>
    <n v="0"/>
    <n v="0"/>
    <n v="2125"/>
    <n v="9655256.2499999981"/>
    <n v="346182.85714285716"/>
    <n v="80"/>
    <n v="2085"/>
    <n v="80"/>
    <n v="0"/>
    <n v="0"/>
    <n v="9473510.2499999981"/>
    <n v="363491.99999999988"/>
    <n v="0"/>
    <n v="0"/>
    <n v="2085"/>
    <n v="9473510.2499999981"/>
    <n v="814547.89915966394"/>
    <n v="24"/>
    <n v="2005"/>
    <n v="24"/>
    <n v="0"/>
    <m/>
    <n v="9110018.2499999981"/>
    <n v="110616"/>
    <n v="0"/>
    <n v="2005"/>
    <n v="9110018.2499999981"/>
    <n v="244364.36974789918"/>
  </r>
  <r>
    <m/>
    <x v="8"/>
    <x v="19"/>
    <x v="83"/>
    <s v="MTHWLGBT750"/>
    <x v="766"/>
    <x v="599"/>
    <x v="0"/>
    <x v="4"/>
    <n v="1"/>
    <x v="31"/>
    <n v="52"/>
    <m/>
    <n v="0"/>
    <n v="4630"/>
    <n v="240760"/>
    <n v="4.3899999999999997"/>
    <n v="4038.7999999999997"/>
    <n v="10181.848739495799"/>
    <n v="8654.5714285714294"/>
    <s v="Ningbo"/>
    <x v="1"/>
    <n v="45"/>
    <m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1200"/>
    <s v=""/>
    <n v="1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52"/>
    <n v="0"/>
    <m/>
    <n v="0"/>
    <n v="0"/>
    <n v="240760"/>
    <n v="0"/>
    <n v="0"/>
    <n v="0"/>
    <n v="52"/>
    <n v="240760"/>
    <n v="0"/>
    <n v="0"/>
    <n v="52"/>
    <n v="0"/>
    <n v="0"/>
    <n v="0"/>
    <n v="0"/>
    <n v="240760"/>
    <n v="0"/>
    <n v="0"/>
    <n v="0"/>
    <n v="52"/>
    <n v="240760"/>
    <n v="0"/>
    <n v="1200"/>
    <n v="52"/>
    <n v="0"/>
    <n v="0"/>
    <n v="0"/>
    <n v="0"/>
    <n v="240760"/>
    <n v="0"/>
    <n v="0"/>
    <n v="0"/>
    <n v="52"/>
    <n v="240760"/>
    <n v="0"/>
    <n v="8"/>
    <n v="1252"/>
    <n v="8"/>
    <n v="0"/>
    <n v="0"/>
    <n v="0"/>
    <n v="5688649.799999998"/>
    <n v="36349.19999999999"/>
    <n v="0"/>
    <n v="0"/>
    <n v="52"/>
    <n v="240760"/>
    <n v="81454.789915966394"/>
    <n v="12"/>
    <n v="1244"/>
    <n v="12"/>
    <n v="0"/>
    <n v="0"/>
    <n v="0"/>
    <m/>
    <n v="5652300.5999999987"/>
    <n v="54523.799999999988"/>
    <n v="0"/>
    <n v="0"/>
    <n v="1244"/>
    <n v="5652300.5999999987"/>
    <n v="103854.85714285716"/>
    <n v="10"/>
    <n v="1232"/>
    <n v="10"/>
    <m/>
    <n v="0"/>
    <n v="0"/>
    <n v="5597776.7999999989"/>
    <n v="45436.499999999985"/>
    <n v="0"/>
    <n v="0"/>
    <n v="1232"/>
    <n v="5597776.7999999989"/>
    <n v="86545.71428571429"/>
    <n v="20"/>
    <n v="1222"/>
    <n v="20"/>
    <n v="0"/>
    <n v="0"/>
    <n v="5552340.2999999989"/>
    <n v="90872.999999999971"/>
    <n v="0"/>
    <n v="0"/>
    <n v="1222"/>
    <n v="5552340.2999999989"/>
    <n v="203636.97478991598"/>
    <n v="6"/>
    <n v="1202"/>
    <n v="6"/>
    <n v="0"/>
    <m/>
    <n v="5461467.2999999989"/>
    <n v="27780"/>
    <n v="0"/>
    <n v="1202"/>
    <n v="5461467.2999999989"/>
    <n v="61091.092436974795"/>
  </r>
  <r>
    <m/>
    <x v="8"/>
    <x v="19"/>
    <x v="83"/>
    <s v="MTHWLGBT750"/>
    <x v="767"/>
    <x v="600"/>
    <x v="0"/>
    <x v="4"/>
    <n v="1"/>
    <x v="31"/>
    <n v="51"/>
    <m/>
    <n v="0"/>
    <n v="4629"/>
    <n v="236079"/>
    <n v="4.3899999999999997"/>
    <n v="4038.7999999999997"/>
    <n v="10181.848739495799"/>
    <n v="8654.5714285714294"/>
    <s v="Ningbo"/>
    <x v="1"/>
    <n v="45"/>
    <m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1202"/>
    <s v=""/>
    <n v="150.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51"/>
    <n v="0"/>
    <m/>
    <n v="0"/>
    <n v="0"/>
    <n v="236079"/>
    <n v="0"/>
    <n v="0"/>
    <n v="0"/>
    <n v="51"/>
    <n v="236079"/>
    <n v="0"/>
    <n v="0"/>
    <n v="51"/>
    <n v="0"/>
    <n v="0"/>
    <n v="0"/>
    <n v="0"/>
    <n v="236079"/>
    <n v="0"/>
    <n v="0"/>
    <n v="0"/>
    <n v="51"/>
    <n v="236079"/>
    <n v="0"/>
    <n v="1200"/>
    <n v="51"/>
    <n v="0"/>
    <n v="0"/>
    <n v="0"/>
    <n v="0"/>
    <n v="236079"/>
    <n v="0"/>
    <n v="0"/>
    <n v="0"/>
    <n v="51"/>
    <n v="236079"/>
    <n v="0"/>
    <n v="8"/>
    <n v="1253"/>
    <n v="8"/>
    <n v="0"/>
    <n v="0"/>
    <n v="0"/>
    <n v="5693193.4499999983"/>
    <n v="36349.19999999999"/>
    <n v="0"/>
    <n v="0"/>
    <n v="51"/>
    <n v="236079"/>
    <n v="81454.789915966394"/>
    <n v="12"/>
    <n v="1245"/>
    <n v="12"/>
    <n v="0"/>
    <n v="0"/>
    <n v="0"/>
    <m/>
    <n v="5656844.2499999981"/>
    <n v="54523.799999999988"/>
    <n v="0"/>
    <n v="0"/>
    <n v="1245"/>
    <n v="5656844.2499999981"/>
    <n v="103854.85714285716"/>
    <n v="10"/>
    <n v="1233"/>
    <n v="10"/>
    <m/>
    <n v="0"/>
    <n v="0"/>
    <n v="5602320.4499999983"/>
    <n v="45436.499999999985"/>
    <n v="0"/>
    <n v="0"/>
    <n v="1233"/>
    <n v="5602320.4499999983"/>
    <n v="86545.71428571429"/>
    <n v="20"/>
    <n v="1223"/>
    <n v="20"/>
    <n v="0"/>
    <n v="0"/>
    <n v="5556883.9499999983"/>
    <n v="90872.999999999971"/>
    <n v="0"/>
    <n v="0"/>
    <n v="1223"/>
    <n v="5556883.9499999983"/>
    <n v="203636.97478991598"/>
    <n v="6"/>
    <n v="1203"/>
    <n v="6"/>
    <n v="0"/>
    <m/>
    <n v="5466010.9499999983"/>
    <n v="27774"/>
    <n v="0"/>
    <n v="1203"/>
    <n v="5466010.9499999983"/>
    <n v="61091.092436974795"/>
  </r>
  <r>
    <m/>
    <x v="8"/>
    <x v="19"/>
    <x v="83"/>
    <s v="MTHWLGVT590"/>
    <x v="768"/>
    <x v="601"/>
    <x v="0"/>
    <x v="4"/>
    <n v="1"/>
    <x v="31"/>
    <n v="59"/>
    <m/>
    <n v="0"/>
    <n v="4578"/>
    <n v="270102"/>
    <n v="4.3499999999999996"/>
    <n v="4001.9999999999995"/>
    <n v="10089.0756302521"/>
    <n v="8575.7142857142844"/>
    <s v="Ningbo"/>
    <x v="1"/>
    <n v="45"/>
    <m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1201"/>
    <s v=""/>
    <n v="150.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59"/>
    <n v="0"/>
    <m/>
    <n v="0"/>
    <n v="0"/>
    <n v="270102"/>
    <n v="0"/>
    <n v="0"/>
    <n v="0"/>
    <n v="59"/>
    <n v="270102"/>
    <n v="0"/>
    <n v="0"/>
    <n v="59"/>
    <n v="0"/>
    <n v="0"/>
    <n v="0"/>
    <n v="0"/>
    <n v="270102"/>
    <n v="0"/>
    <n v="0"/>
    <n v="0"/>
    <n v="59"/>
    <n v="270102"/>
    <n v="0"/>
    <n v="1200"/>
    <n v="59"/>
    <n v="0"/>
    <n v="0"/>
    <n v="0"/>
    <n v="0"/>
    <n v="270102"/>
    <n v="0"/>
    <n v="0"/>
    <n v="0"/>
    <n v="59"/>
    <n v="270102"/>
    <n v="0"/>
    <n v="8"/>
    <n v="1260"/>
    <n v="8"/>
    <n v="0"/>
    <n v="0"/>
    <n v="0"/>
    <n v="5672834.9999999991"/>
    <n v="36017.999999999993"/>
    <n v="0"/>
    <n v="0"/>
    <n v="59"/>
    <n v="270102"/>
    <n v="80712.605042016803"/>
    <n v="12"/>
    <n v="1252"/>
    <n v="12"/>
    <n v="0"/>
    <n v="0"/>
    <n v="0"/>
    <m/>
    <n v="5636816.9999999991"/>
    <n v="54026.999999999985"/>
    <n v="0"/>
    <n v="0"/>
    <n v="1252"/>
    <n v="5636816.9999999991"/>
    <n v="102908.57142857142"/>
    <n v="10"/>
    <n v="1240"/>
    <n v="10"/>
    <m/>
    <n v="0"/>
    <n v="0"/>
    <n v="5582789.9999999991"/>
    <n v="45022.499999999993"/>
    <n v="0"/>
    <n v="0"/>
    <n v="1240"/>
    <n v="5582789.9999999991"/>
    <n v="85757.142857142841"/>
    <n v="20"/>
    <n v="1230"/>
    <n v="20"/>
    <n v="0"/>
    <n v="0"/>
    <n v="5537767.4999999991"/>
    <n v="90044.999999999985"/>
    <n v="0"/>
    <n v="0"/>
    <n v="1230"/>
    <n v="5537767.4999999991"/>
    <n v="201781.51260504202"/>
    <n v="6"/>
    <n v="1210"/>
    <n v="6"/>
    <n v="0"/>
    <m/>
    <n v="5447722.4999999991"/>
    <n v="27468"/>
    <n v="0"/>
    <n v="1210"/>
    <n v="5447722.4999999991"/>
    <n v="60534.453781512602"/>
  </r>
  <r>
    <m/>
    <x v="8"/>
    <x v="19"/>
    <x v="83"/>
    <s v="MTHWLGVT590"/>
    <x v="769"/>
    <x v="602"/>
    <x v="0"/>
    <x v="4"/>
    <n v="1"/>
    <x v="31"/>
    <n v="110"/>
    <m/>
    <n v="0"/>
    <n v="4576"/>
    <n v="503360"/>
    <n v="4.3499999999999996"/>
    <n v="4001.9999999999995"/>
    <n v="10089.0756302521"/>
    <n v="8575.7142857142844"/>
    <s v="Ningbo"/>
    <x v="1"/>
    <n v="45"/>
    <m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1200"/>
    <s v=""/>
    <n v="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110"/>
    <n v="0"/>
    <m/>
    <n v="0"/>
    <n v="0"/>
    <n v="503360"/>
    <n v="0"/>
    <n v="0"/>
    <n v="0"/>
    <n v="110"/>
    <n v="503360"/>
    <n v="0"/>
    <n v="0"/>
    <n v="110"/>
    <n v="0"/>
    <n v="0"/>
    <n v="0"/>
    <n v="0"/>
    <n v="503360"/>
    <n v="0"/>
    <n v="0"/>
    <n v="0"/>
    <n v="110"/>
    <n v="503360"/>
    <n v="0"/>
    <n v="1200"/>
    <n v="110"/>
    <n v="0"/>
    <n v="0"/>
    <n v="0"/>
    <n v="0"/>
    <n v="503360"/>
    <n v="0"/>
    <n v="0"/>
    <n v="0"/>
    <n v="110"/>
    <n v="503360"/>
    <n v="0"/>
    <n v="15"/>
    <n v="1310"/>
    <n v="15"/>
    <n v="0"/>
    <n v="0"/>
    <n v="0"/>
    <n v="5897947.4999999991"/>
    <n v="67533.749999999985"/>
    <n v="0"/>
    <n v="0"/>
    <n v="110"/>
    <n v="503360"/>
    <n v="151336.1344537815"/>
    <n v="25"/>
    <n v="1295"/>
    <n v="25"/>
    <n v="0"/>
    <n v="0"/>
    <n v="0"/>
    <m/>
    <n v="5830413.7499999991"/>
    <n v="112556.24999999997"/>
    <n v="0"/>
    <n v="0"/>
    <n v="1295"/>
    <n v="5830413.7499999991"/>
    <n v="214392.8571428571"/>
    <n v="20"/>
    <n v="1270"/>
    <n v="20"/>
    <m/>
    <n v="0"/>
    <n v="0"/>
    <n v="5717857.4999999991"/>
    <n v="90044.999999999985"/>
    <n v="0"/>
    <n v="0"/>
    <n v="1270"/>
    <n v="5717857.4999999991"/>
    <n v="171514.28571428568"/>
    <n v="40"/>
    <n v="1250"/>
    <n v="40"/>
    <n v="0"/>
    <n v="0"/>
    <n v="5627812.4999999991"/>
    <n v="180089.99999999997"/>
    <n v="0"/>
    <n v="0"/>
    <n v="1250"/>
    <n v="5627812.4999999991"/>
    <n v="403563.02521008404"/>
    <n v="12"/>
    <n v="1210"/>
    <n v="12"/>
    <n v="0"/>
    <m/>
    <n v="5447722.4999999991"/>
    <n v="54912"/>
    <n v="0"/>
    <n v="1210"/>
    <n v="5447722.4999999991"/>
    <n v="121068.9075630252"/>
  </r>
  <r>
    <m/>
    <x v="8"/>
    <x v="19"/>
    <x v="83"/>
    <s v="MTHWLGVT590"/>
    <x v="770"/>
    <x v="603"/>
    <x v="0"/>
    <x v="4"/>
    <n v="1"/>
    <x v="31"/>
    <n v="60"/>
    <m/>
    <n v="0"/>
    <n v="4578"/>
    <n v="274680"/>
    <n v="4.3499999999999996"/>
    <n v="4001.9999999999995"/>
    <n v="10089.0756302521"/>
    <n v="8575.7142857142844"/>
    <s v="Ningbo"/>
    <x v="1"/>
    <n v="45"/>
    <m/>
    <n v="5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1200"/>
    <s v=""/>
    <n v="1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n v="60"/>
    <n v="0"/>
    <m/>
    <n v="0"/>
    <n v="0"/>
    <n v="274680"/>
    <n v="0"/>
    <n v="0"/>
    <n v="0"/>
    <n v="60"/>
    <n v="274680"/>
    <n v="0"/>
    <n v="0"/>
    <n v="60"/>
    <n v="0"/>
    <n v="0"/>
    <n v="0"/>
    <n v="0"/>
    <n v="274680"/>
    <n v="0"/>
    <n v="0"/>
    <n v="0"/>
    <n v="60"/>
    <n v="274680"/>
    <n v="0"/>
    <n v="1200"/>
    <n v="60"/>
    <n v="0"/>
    <n v="0"/>
    <n v="0"/>
    <n v="0"/>
    <n v="274680"/>
    <n v="0"/>
    <n v="0"/>
    <n v="0"/>
    <n v="60"/>
    <n v="274680"/>
    <n v="0"/>
    <n v="8"/>
    <n v="1260"/>
    <n v="8"/>
    <n v="0"/>
    <n v="0"/>
    <n v="0"/>
    <n v="5672834.9999999991"/>
    <n v="36017.999999999993"/>
    <n v="0"/>
    <n v="0"/>
    <n v="60"/>
    <n v="274680"/>
    <n v="80712.605042016803"/>
    <n v="12"/>
    <n v="1252"/>
    <n v="12"/>
    <n v="0"/>
    <n v="0"/>
    <n v="0"/>
    <m/>
    <n v="5636816.9999999991"/>
    <n v="54026.999999999985"/>
    <n v="0"/>
    <n v="0"/>
    <n v="1252"/>
    <n v="5636816.9999999991"/>
    <n v="102908.57142857142"/>
    <n v="10"/>
    <n v="1240"/>
    <n v="10"/>
    <m/>
    <n v="0"/>
    <n v="0"/>
    <n v="5582789.9999999991"/>
    <n v="45022.499999999993"/>
    <n v="0"/>
    <n v="0"/>
    <n v="1240"/>
    <n v="5582789.9999999991"/>
    <n v="85757.142857142841"/>
    <n v="20"/>
    <n v="1230"/>
    <n v="20"/>
    <n v="0"/>
    <n v="0"/>
    <n v="5537767.4999999991"/>
    <n v="90044.999999999985"/>
    <n v="0"/>
    <n v="0"/>
    <n v="1230"/>
    <n v="5537767.4999999991"/>
    <n v="201781.51260504202"/>
    <n v="6"/>
    <n v="1210"/>
    <n v="6"/>
    <n v="0"/>
    <m/>
    <n v="5447722.4999999991"/>
    <n v="27468"/>
    <n v="0"/>
    <n v="1210"/>
    <n v="5447722.4999999991"/>
    <n v="60534.453781512602"/>
  </r>
  <r>
    <m/>
    <x v="8"/>
    <x v="19"/>
    <x v="44"/>
    <s v="MTBOBBA450"/>
    <x v="771"/>
    <x v="604"/>
    <x v="0"/>
    <x v="4"/>
    <n v="0.7"/>
    <x v="31"/>
    <n v="818"/>
    <m/>
    <n v="0"/>
    <n v="3389"/>
    <n v="2772202"/>
    <n v="3.53"/>
    <n v="3856.5249999999996"/>
    <n v="14277.310924369749"/>
    <n v="10075.63025210084"/>
    <s v="Ningbo"/>
    <x v="0"/>
    <n v="30"/>
    <m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065"/>
    <n v="0.54083432087893335"/>
    <n v="11"/>
    <n v="0.59208629190085016"/>
    <n v="0.10476190476190476"/>
    <n v="13"/>
    <n v="0.67215023168848054"/>
    <n v="0.8666666666666667"/>
    <n v="19"/>
    <n v="0.33889090336913996"/>
    <n v="0.76"/>
    <n v="16"/>
    <n v="0.65652594706245604"/>
    <n v="0.8"/>
    <n v="11"/>
    <n v="0.45164224311963957"/>
    <n v="0.55000000000000004"/>
    <n v="5"/>
    <n v="0.52924788298691294"/>
    <n v="0.17857142857142858"/>
    <m/>
    <m/>
    <m/>
    <m/>
    <m/>
    <m/>
    <m/>
    <m/>
    <m/>
    <n v="0"/>
    <n v="0"/>
    <n v="0"/>
    <n v="0"/>
    <n v="0"/>
    <n v="0"/>
    <n v="3609285"/>
    <n v="0"/>
    <n v="0"/>
    <n v="0"/>
    <n v="818"/>
    <n v="2772202"/>
    <n v="0"/>
    <n v="0"/>
    <n v="0"/>
    <n v="0"/>
    <n v="1880"/>
    <n v="1880"/>
    <n v="0"/>
    <n v="3646564"/>
    <n v="0"/>
    <n v="0"/>
    <n v="0"/>
    <n v="818"/>
    <n v="2772202"/>
    <n v="0"/>
    <n v="1481"/>
    <n v="1883"/>
    <n v="1065"/>
    <n v="0"/>
    <n v="0"/>
    <n v="3684926.2749999999"/>
    <n v="6381487"/>
    <n v="3609285"/>
    <n v="0"/>
    <n v="818"/>
    <n v="2772202"/>
    <n v="15205336.134453783"/>
    <n v="105"/>
    <n v="816"/>
    <n v="11"/>
    <n v="0"/>
    <n v="0"/>
    <n v="2981296.8"/>
    <n v="37279"/>
    <x v="0"/>
    <x v="0"/>
    <n v="818"/>
    <n v="2772202"/>
    <n v="157050.42016806724"/>
    <n v="15"/>
    <n v="831"/>
    <n v="10.5"/>
    <m/>
    <n v="0"/>
    <n v="0"/>
    <n v="2816259"/>
    <n v="38362.274999999994"/>
    <x v="0"/>
    <n v="0"/>
    <n v="818"/>
    <n v="2772202"/>
    <n v="149911.76470588238"/>
    <n v="25"/>
    <n v="837"/>
    <n v="19"/>
    <m/>
    <n v="0"/>
    <n v="0"/>
    <n v="2836593"/>
    <n v="69417.45"/>
    <n v="0"/>
    <n v="0"/>
    <n v="837"/>
    <n v="2772202"/>
    <n v="271268.90756302525"/>
    <n v="20"/>
    <n v="834"/>
    <n v="16"/>
    <n v="0"/>
    <n v="0"/>
    <n v="0"/>
    <n v="2826426"/>
    <n v="58456.799999999996"/>
    <n v="0"/>
    <n v="0"/>
    <n v="834"/>
    <n v="2772202"/>
    <n v="228436.97478991598"/>
    <n v="20"/>
    <n v="829"/>
    <n v="11"/>
    <n v="0"/>
    <n v="0"/>
    <n v="0"/>
    <n v="2809481"/>
    <n v="40189.049999999996"/>
    <n v="0"/>
    <n v="0"/>
    <n v="829"/>
    <n v="2809481"/>
    <n v="157050.42016806724"/>
    <n v="28"/>
    <n v="823"/>
    <n v="3"/>
    <n v="0"/>
    <n v="0"/>
    <n v="0"/>
    <n v="3006871.65"/>
    <n v="10960.65"/>
    <n v="0"/>
    <n v="0"/>
    <n v="818"/>
    <n v="2772202"/>
    <n v="42831.932773109249"/>
    <n v="50"/>
    <n v="820"/>
    <n v="35"/>
    <n v="0"/>
    <n v="0"/>
    <n v="0"/>
    <m/>
    <n v="2995911"/>
    <n v="127874.24999999999"/>
    <n v="0"/>
    <n v="0"/>
    <n v="820"/>
    <n v="2995911"/>
    <n v="352647.0588235294"/>
    <n v="40"/>
    <n v="785"/>
    <n v="28"/>
    <m/>
    <n v="0"/>
    <n v="0"/>
    <n v="2868036.75"/>
    <n v="102299.4"/>
    <n v="0"/>
    <n v="0"/>
    <n v="785"/>
    <n v="2868036.75"/>
    <n v="282117.6470588235"/>
    <n v="84"/>
    <n v="757"/>
    <n v="58.8"/>
    <n v="0"/>
    <n v="0"/>
    <n v="2765737.3499999996"/>
    <n v="214828.73999999996"/>
    <n v="0"/>
    <n v="0"/>
    <n v="757"/>
    <n v="2765737.3499999996"/>
    <n v="839505.8823529412"/>
    <n v="24"/>
    <n v="698.2"/>
    <n v="16.799999999999997"/>
    <n v="0"/>
    <m/>
    <n v="2550908.61"/>
    <n v="56935.19999999999"/>
    <n v="0"/>
    <n v="698.2"/>
    <n v="2550908.61"/>
    <n v="239858.82352941175"/>
  </r>
  <r>
    <m/>
    <x v="8"/>
    <x v="19"/>
    <x v="44"/>
    <s v="MTBOBIC450"/>
    <x v="772"/>
    <x v="605"/>
    <x v="0"/>
    <x v="4"/>
    <n v="0.6"/>
    <x v="31"/>
    <n v="841"/>
    <m/>
    <n v="0"/>
    <n v="3389"/>
    <n v="2850149"/>
    <n v="3.53"/>
    <n v="3856.5249999999996"/>
    <n v="14277.310924369749"/>
    <n v="10075.63025210084"/>
    <s v="Ningbo"/>
    <x v="0"/>
    <n v="30"/>
    <m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071"/>
    <n v="0.53997708032625746"/>
    <n v="6"/>
    <n v="0.50947664795667791"/>
    <n v="5.7142857142857141E-2"/>
    <n v="5"/>
    <n v="0.68954041570438795"/>
    <n v="0.33333333333333331"/>
    <n v="12"/>
    <n v="0.50000140307800234"/>
    <n v="0.48"/>
    <n v="7"/>
    <n v="0.65379065888240206"/>
    <n v="0.35"/>
    <n v="11"/>
    <n v="0.38747415469999913"/>
    <n v="0.55000000000000004"/>
    <n v="4"/>
    <n v="0.39867906466512704"/>
    <n v="0.14285714285714285"/>
    <m/>
    <m/>
    <m/>
    <m/>
    <m/>
    <m/>
    <m/>
    <m/>
    <m/>
    <n v="0"/>
    <n v="0"/>
    <n v="0"/>
    <n v="0"/>
    <n v="0"/>
    <n v="0"/>
    <n v="3629619"/>
    <n v="0"/>
    <n v="0"/>
    <n v="0"/>
    <n v="841"/>
    <n v="2850149"/>
    <n v="0"/>
    <n v="0"/>
    <n v="0"/>
    <n v="0"/>
    <n v="1880"/>
    <n v="1880"/>
    <n v="0"/>
    <n v="3649953"/>
    <n v="0"/>
    <n v="0"/>
    <n v="0"/>
    <n v="841"/>
    <n v="2850149"/>
    <n v="0"/>
    <n v="1481"/>
    <n v="1912"/>
    <n v="1071"/>
    <n v="0"/>
    <n v="0"/>
    <n v="3682834.95"/>
    <n v="6479768"/>
    <n v="3629619"/>
    <n v="0"/>
    <n v="841"/>
    <n v="2850149"/>
    <n v="15291000.000000002"/>
    <n v="105"/>
    <n v="809"/>
    <n v="6"/>
    <n v="0"/>
    <n v="0"/>
    <n v="2955721.9499999997"/>
    <n v="20334"/>
    <x v="0"/>
    <x v="0"/>
    <n v="841"/>
    <n v="2850149"/>
    <n v="85663.865546218498"/>
    <n v="15"/>
    <n v="846"/>
    <n v="9"/>
    <m/>
    <n v="0"/>
    <n v="0"/>
    <n v="2867094"/>
    <n v="32881.949999999997"/>
    <x v="0"/>
    <n v="0"/>
    <n v="841"/>
    <n v="2850149"/>
    <n v="128495.79831932775"/>
    <n v="25"/>
    <n v="853"/>
    <n v="12"/>
    <m/>
    <n v="0"/>
    <n v="0"/>
    <n v="2890817"/>
    <n v="43842.6"/>
    <n v="0"/>
    <n v="0"/>
    <n v="853"/>
    <n v="2850149"/>
    <n v="171327.731092437"/>
    <n v="20"/>
    <n v="848"/>
    <n v="7"/>
    <n v="0"/>
    <n v="0"/>
    <n v="0"/>
    <n v="2873872"/>
    <n v="25574.85"/>
    <n v="0"/>
    <n v="0"/>
    <n v="848"/>
    <n v="2850149"/>
    <n v="99941.176470588238"/>
    <n v="20"/>
    <n v="852"/>
    <n v="11"/>
    <n v="0"/>
    <n v="0"/>
    <n v="0"/>
    <n v="2887428"/>
    <n v="40189.049999999996"/>
    <n v="0"/>
    <n v="0"/>
    <n v="852"/>
    <n v="2887428"/>
    <n v="157050.42016806724"/>
    <n v="28"/>
    <n v="845"/>
    <n v="4.5"/>
    <n v="0"/>
    <n v="0"/>
    <n v="0"/>
    <n v="3087249.75"/>
    <n v="16440.974999999999"/>
    <n v="0"/>
    <n v="0"/>
    <n v="841"/>
    <n v="2850149"/>
    <n v="64247.899159663873"/>
    <n v="50"/>
    <n v="840.5"/>
    <n v="30"/>
    <n v="0"/>
    <n v="0"/>
    <n v="0"/>
    <m/>
    <n v="3070808.7749999999"/>
    <n v="109606.49999999999"/>
    <n v="0"/>
    <n v="0"/>
    <n v="840.5"/>
    <n v="3070808.7749999999"/>
    <n v="302268.90756302519"/>
    <n v="40"/>
    <n v="810.5"/>
    <n v="24"/>
    <m/>
    <n v="0"/>
    <n v="0"/>
    <n v="2961202.2749999999"/>
    <n v="87685.2"/>
    <n v="0"/>
    <n v="0"/>
    <n v="810.5"/>
    <n v="2961202.2749999999"/>
    <n v="241815.12605042016"/>
    <n v="84"/>
    <n v="786.5"/>
    <n v="50.4"/>
    <n v="0"/>
    <n v="0"/>
    <n v="2873517.0749999997"/>
    <n v="184138.91999999998"/>
    <n v="0"/>
    <n v="0"/>
    <n v="786.5"/>
    <n v="2873517.0749999997"/>
    <n v="719576.4705882353"/>
    <n v="24"/>
    <n v="736.1"/>
    <n v="14.399999999999999"/>
    <n v="0"/>
    <m/>
    <n v="2689378.1549999998"/>
    <n v="48801.599999999999"/>
    <n v="0"/>
    <n v="736.1"/>
    <n v="2689378.1549999998"/>
    <n v="205593.27731092437"/>
  </r>
  <r>
    <m/>
    <x v="8"/>
    <x v="19"/>
    <x v="44"/>
    <s v="MTBOBINS590"/>
    <x v="773"/>
    <x v="606"/>
    <x v="0"/>
    <x v="4"/>
    <n v="0.6"/>
    <x v="31"/>
    <n v="644"/>
    <m/>
    <n v="0"/>
    <n v="4029"/>
    <n v="2594676"/>
    <n v="4.1900000000000004"/>
    <n v="4577.5749999999998"/>
    <n v="16798.319327731093"/>
    <n v="12596.638655462186"/>
    <s v="Ningbo"/>
    <x v="0"/>
    <n v="30"/>
    <m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892"/>
    <n v="0.54840635484796418"/>
    <n v="8"/>
    <n v="0.50232905601782352"/>
    <n v="8.4210526315789472E-2"/>
    <n v="13"/>
    <n v="0.68048801492751532"/>
    <n v="0.65"/>
    <n v="22"/>
    <n v="0.48607334151549764"/>
    <n v="0.48888888888888887"/>
    <n v="17"/>
    <n v="0.64841987663374023"/>
    <n v="0.68"/>
    <n v="26"/>
    <n v="0.50693999342560614"/>
    <n v="1.04"/>
    <n v="13"/>
    <n v="0.41469675845440118"/>
    <n v="0.48749999999999938"/>
    <m/>
    <m/>
    <m/>
    <m/>
    <m/>
    <m/>
    <m/>
    <m/>
    <m/>
    <n v="0"/>
    <n v="0"/>
    <n v="0"/>
    <n v="0"/>
    <n v="0"/>
    <n v="0"/>
    <n v="3593868"/>
    <n v="0"/>
    <n v="0"/>
    <n v="0"/>
    <n v="644"/>
    <n v="2594676"/>
    <n v="0"/>
    <n v="0"/>
    <n v="0"/>
    <n v="0"/>
    <n v="1580"/>
    <n v="1580"/>
    <n v="0"/>
    <n v="3626100"/>
    <n v="0"/>
    <n v="0"/>
    <n v="0"/>
    <n v="644"/>
    <n v="2594676"/>
    <n v="0"/>
    <n v="1219"/>
    <n v="1536"/>
    <n v="892"/>
    <n v="0"/>
    <n v="0"/>
    <n v="3678139.8"/>
    <n v="6188544"/>
    <n v="3593868"/>
    <n v="0"/>
    <n v="644"/>
    <n v="2594676"/>
    <n v="14984100.840336135"/>
    <n v="95"/>
    <n v="687"/>
    <n v="8"/>
    <n v="0"/>
    <n v="0"/>
    <n v="2979278.5500000003"/>
    <n v="32232"/>
    <x v="0"/>
    <x v="0"/>
    <n v="644"/>
    <n v="2594676"/>
    <n v="134386.55462184874"/>
    <n v="20"/>
    <n v="657"/>
    <n v="12"/>
    <m/>
    <n v="0"/>
    <n v="0"/>
    <n v="2647053"/>
    <n v="52039.8"/>
    <x v="0"/>
    <n v="0"/>
    <n v="644"/>
    <n v="2594676"/>
    <n v="201579.83193277312"/>
    <n v="45"/>
    <n v="666"/>
    <n v="22"/>
    <m/>
    <n v="0"/>
    <n v="0"/>
    <n v="2683314"/>
    <n v="95406.300000000017"/>
    <n v="0"/>
    <n v="0"/>
    <n v="666"/>
    <n v="2594676"/>
    <n v="369563.02521008404"/>
    <n v="25"/>
    <n v="661"/>
    <n v="17"/>
    <n v="0"/>
    <n v="0"/>
    <n v="0"/>
    <n v="2663169"/>
    <n v="73723.05"/>
    <n v="0"/>
    <n v="0"/>
    <n v="661"/>
    <n v="2594676"/>
    <n v="285571.42857142858"/>
    <n v="25"/>
    <n v="670"/>
    <n v="26"/>
    <n v="0"/>
    <n v="0"/>
    <n v="0"/>
    <n v="2699430"/>
    <n v="112752.90000000001"/>
    <n v="0"/>
    <n v="0"/>
    <n v="670"/>
    <n v="2699430"/>
    <n v="436756.30252100842"/>
    <n v="26.6666666666667"/>
    <n v="657"/>
    <n v="15"/>
    <n v="0"/>
    <n v="0"/>
    <n v="0"/>
    <n v="2849179.0500000003"/>
    <n v="65049.750000000007"/>
    <n v="0"/>
    <n v="0"/>
    <n v="644"/>
    <n v="2594676"/>
    <n v="251974.78991596639"/>
    <n v="50"/>
    <n v="642"/>
    <n v="30"/>
    <n v="0"/>
    <n v="0"/>
    <n v="0"/>
    <m/>
    <n v="2784129.3000000003"/>
    <n v="130099.50000000001"/>
    <n v="0"/>
    <n v="0"/>
    <n v="642"/>
    <n v="2784129.3000000003"/>
    <n v="377899.15966386558"/>
    <n v="60"/>
    <n v="612"/>
    <n v="36"/>
    <m/>
    <n v="0"/>
    <n v="0"/>
    <n v="2654029.8000000003"/>
    <n v="156119.40000000002"/>
    <n v="0"/>
    <n v="0"/>
    <n v="612"/>
    <n v="2654029.8000000003"/>
    <n v="453478.99159663869"/>
    <n v="80"/>
    <n v="576"/>
    <n v="48"/>
    <n v="0"/>
    <n v="0"/>
    <n v="2497910.4000000004"/>
    <n v="208159.2"/>
    <n v="0"/>
    <n v="0"/>
    <n v="576"/>
    <n v="2497910.4000000004"/>
    <n v="806319.32773109246"/>
    <n v="36"/>
    <n v="528"/>
    <n v="21.599999999999998"/>
    <n v="0"/>
    <m/>
    <n v="2289751.2000000002"/>
    <n v="87026.4"/>
    <n v="0"/>
    <n v="528"/>
    <n v="2289751.2000000002"/>
    <n v="362843.69747899158"/>
  </r>
  <r>
    <m/>
    <x v="8"/>
    <x v="19"/>
    <x v="44"/>
    <s v="MTBOBMA450"/>
    <x v="774"/>
    <x v="607"/>
    <x v="0"/>
    <x v="4"/>
    <n v="0.6"/>
    <x v="31"/>
    <n v="889"/>
    <m/>
    <n v="0"/>
    <n v="3389"/>
    <n v="3012821"/>
    <n v="3.53"/>
    <n v="3856.5249999999996"/>
    <n v="14277.310924369749"/>
    <n v="10075.63025210084"/>
    <s v="Ningbo"/>
    <x v="0"/>
    <n v="30"/>
    <m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058"/>
    <n v="0.54115273643868123"/>
    <n v="4"/>
    <n v="0.58055079900381412"/>
    <n v="3.8095238095238099E-2"/>
    <n v="5"/>
    <n v="0.63987498437304668"/>
    <n v="0.33333333333333331"/>
    <n v="6"/>
    <n v="0.5109942387381845"/>
    <n v="0.24"/>
    <n v="5"/>
    <n v="0.6636805671392827"/>
    <n v="0.25"/>
    <n v="5"/>
    <n v="0.45674326320461645"/>
    <n v="0.25"/>
    <n v="3"/>
    <n v="0.43388309409994297"/>
    <n v="0.10714285714285714"/>
    <m/>
    <m/>
    <m/>
    <m/>
    <m/>
    <m/>
    <m/>
    <m/>
    <m/>
    <n v="0"/>
    <n v="0"/>
    <n v="0"/>
    <n v="0"/>
    <n v="0"/>
    <n v="0"/>
    <n v="3585562"/>
    <n v="0"/>
    <n v="0"/>
    <n v="0"/>
    <n v="889"/>
    <n v="3012821"/>
    <n v="0"/>
    <n v="0"/>
    <n v="0"/>
    <n v="0"/>
    <n v="1880"/>
    <n v="1880"/>
    <n v="0"/>
    <n v="3599118"/>
    <n v="0"/>
    <n v="0"/>
    <n v="0"/>
    <n v="889"/>
    <n v="3012821"/>
    <n v="0"/>
    <n v="1481"/>
    <n v="1947"/>
    <n v="1058"/>
    <n v="0"/>
    <n v="0"/>
    <n v="3631999.95"/>
    <n v="6598383"/>
    <n v="3585562"/>
    <n v="0"/>
    <n v="889"/>
    <n v="3012821"/>
    <n v="15105394.957983194"/>
    <n v="105"/>
    <n v="822"/>
    <n v="4"/>
    <n v="0"/>
    <n v="0"/>
    <n v="3003218.0999999996"/>
    <n v="13556"/>
    <x v="0"/>
    <x v="0"/>
    <n v="889"/>
    <n v="3012821"/>
    <n v="57109.243697478996"/>
    <n v="15"/>
    <n v="894"/>
    <n v="9"/>
    <m/>
    <n v="0"/>
    <n v="0"/>
    <n v="3029766"/>
    <n v="32881.949999999997"/>
    <x v="0"/>
    <n v="0"/>
    <n v="889"/>
    <n v="3012821"/>
    <n v="128495.79831932775"/>
    <n v="25"/>
    <n v="895"/>
    <n v="6"/>
    <m/>
    <n v="0"/>
    <n v="0"/>
    <n v="3033155"/>
    <n v="21921.3"/>
    <n v="0"/>
    <n v="0"/>
    <n v="895"/>
    <n v="3012821"/>
    <n v="85663.865546218498"/>
    <n v="20"/>
    <n v="894"/>
    <n v="5"/>
    <n v="0"/>
    <n v="0"/>
    <n v="0"/>
    <n v="3029766"/>
    <n v="18267.75"/>
    <n v="0"/>
    <n v="0"/>
    <n v="894"/>
    <n v="3012821"/>
    <n v="71386.554621848743"/>
    <n v="20"/>
    <n v="894"/>
    <n v="5"/>
    <n v="0"/>
    <n v="0"/>
    <n v="0"/>
    <n v="3029766"/>
    <n v="18267.75"/>
    <n v="0"/>
    <n v="0"/>
    <n v="894"/>
    <n v="3029766"/>
    <n v="71386.554621848743"/>
    <n v="28"/>
    <n v="892"/>
    <n v="4.5"/>
    <n v="0"/>
    <n v="0"/>
    <n v="0"/>
    <n v="3258966.5999999996"/>
    <n v="16440.974999999999"/>
    <n v="0"/>
    <n v="0"/>
    <n v="889"/>
    <n v="3012821"/>
    <n v="64247.899159663873"/>
    <n v="50"/>
    <n v="887.5"/>
    <n v="30"/>
    <n v="0"/>
    <n v="0"/>
    <n v="0"/>
    <m/>
    <n v="3242525.6249999995"/>
    <n v="109606.49999999999"/>
    <n v="0"/>
    <n v="0"/>
    <n v="887.5"/>
    <n v="3242525.6249999995"/>
    <n v="302268.90756302519"/>
    <n v="40"/>
    <n v="857.5"/>
    <n v="24"/>
    <m/>
    <n v="0"/>
    <n v="0"/>
    <n v="3132919.1249999995"/>
    <n v="87685.2"/>
    <n v="0"/>
    <n v="0"/>
    <n v="857.5"/>
    <n v="3132919.1249999995"/>
    <n v="241815.12605042016"/>
    <n v="84"/>
    <n v="833.5"/>
    <n v="50.4"/>
    <n v="0"/>
    <n v="0"/>
    <n v="3045233.9249999998"/>
    <n v="184138.91999999998"/>
    <n v="0"/>
    <n v="0"/>
    <n v="833.5"/>
    <n v="3045233.9249999998"/>
    <n v="719576.4705882353"/>
    <n v="24"/>
    <n v="783.1"/>
    <n v="14.399999999999999"/>
    <n v="0"/>
    <m/>
    <n v="2861095.0049999999"/>
    <n v="48801.599999999999"/>
    <n v="0"/>
    <n v="783.1"/>
    <n v="2861095.0049999999"/>
    <n v="205593.27731092437"/>
  </r>
  <r>
    <m/>
    <x v="8"/>
    <x v="19"/>
    <x v="44"/>
    <s v="MTBOBSHI590"/>
    <x v="775"/>
    <x v="608"/>
    <x v="0"/>
    <x v="4"/>
    <n v="0.5"/>
    <x v="31"/>
    <n v="754"/>
    <m/>
    <n v="0"/>
    <n v="4029"/>
    <n v="3037866"/>
    <n v="4.1900000000000004"/>
    <n v="4577.5749999999998"/>
    <n v="16798.319327731093"/>
    <n v="12596.638655462186"/>
    <s v="Ningbo"/>
    <x v="0"/>
    <n v="30"/>
    <m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878"/>
    <n v="0.54829850209755326"/>
    <n v="1"/>
    <n v="0.50165754996080814"/>
    <n v="1.0526315789473684E-2"/>
    <n v="3"/>
    <n v="0.7001575984990619"/>
    <n v="0.25"/>
    <n v="5"/>
    <n v="0.55345950376275976"/>
    <n v="0.2"/>
    <n v="3"/>
    <n v="0.6309107005388761"/>
    <n v="0.15"/>
    <n v="2"/>
    <n v="0.5126834259329921"/>
    <n v="0.1"/>
    <n v="1"/>
    <n v="0.46016811207471642"/>
    <n v="3.5714285714285712E-2"/>
    <m/>
    <m/>
    <m/>
    <m/>
    <m/>
    <m/>
    <m/>
    <m/>
    <m/>
    <n v="0"/>
    <n v="0"/>
    <n v="0"/>
    <n v="0"/>
    <n v="0"/>
    <n v="0"/>
    <n v="3537462"/>
    <n v="0"/>
    <n v="0"/>
    <n v="0"/>
    <n v="754"/>
    <n v="3037866"/>
    <n v="0"/>
    <n v="0"/>
    <n v="0"/>
    <n v="0"/>
    <n v="1580"/>
    <n v="1580"/>
    <n v="0"/>
    <n v="3541491"/>
    <n v="0"/>
    <n v="0"/>
    <n v="0"/>
    <n v="754"/>
    <n v="3037866"/>
    <n v="0"/>
    <n v="1219"/>
    <n v="1632"/>
    <n v="878"/>
    <n v="0"/>
    <n v="0"/>
    <n v="3567510.9"/>
    <n v="6575328"/>
    <n v="3537462"/>
    <n v="0"/>
    <n v="754"/>
    <n v="3037866"/>
    <n v="14748924.369747899"/>
    <n v="95"/>
    <n v="702"/>
    <n v="1"/>
    <n v="0"/>
    <n v="0"/>
    <n v="3044328.3000000003"/>
    <n v="4029"/>
    <x v="0"/>
    <x v="0"/>
    <n v="754"/>
    <n v="3037866"/>
    <n v="16798.319327731093"/>
    <n v="12"/>
    <n v="757"/>
    <n v="6"/>
    <m/>
    <n v="0"/>
    <n v="0"/>
    <n v="3049953"/>
    <n v="26019.9"/>
    <x v="0"/>
    <n v="0"/>
    <n v="754"/>
    <n v="3037866"/>
    <n v="100789.91596638656"/>
    <n v="25"/>
    <n v="759"/>
    <n v="5"/>
    <m/>
    <n v="0"/>
    <n v="0"/>
    <n v="3058011"/>
    <n v="21683.250000000004"/>
    <n v="0"/>
    <n v="0"/>
    <n v="759"/>
    <n v="3037866"/>
    <n v="83991.596638655465"/>
    <n v="20"/>
    <n v="757"/>
    <n v="3"/>
    <n v="0"/>
    <n v="0"/>
    <n v="0"/>
    <n v="3049953"/>
    <n v="13009.95"/>
    <n v="0"/>
    <n v="0"/>
    <n v="757"/>
    <n v="3037866"/>
    <n v="50394.957983193279"/>
    <n v="20"/>
    <n v="756"/>
    <n v="2"/>
    <n v="0"/>
    <n v="0"/>
    <n v="0"/>
    <n v="3045924"/>
    <n v="8673.3000000000011"/>
    <n v="0"/>
    <n v="0"/>
    <n v="756"/>
    <n v="3045924"/>
    <n v="33596.638655462186"/>
    <n v="28"/>
    <n v="755"/>
    <n v="1.5"/>
    <n v="0"/>
    <n v="0"/>
    <n v="0"/>
    <n v="3274170.7500000005"/>
    <n v="6504.9750000000004"/>
    <n v="0"/>
    <n v="0"/>
    <n v="754"/>
    <n v="3037866"/>
    <n v="25197.478991596639"/>
    <n v="50"/>
    <n v="753.5"/>
    <n v="25"/>
    <n v="0"/>
    <n v="0"/>
    <n v="0"/>
    <m/>
    <n v="3267665.7750000004"/>
    <n v="108416.25000000001"/>
    <n v="0"/>
    <n v="0"/>
    <n v="753.5"/>
    <n v="3267665.7750000004"/>
    <n v="314915.96638655465"/>
    <n v="40"/>
    <n v="728.5"/>
    <n v="20"/>
    <m/>
    <n v="0"/>
    <n v="0"/>
    <n v="3159249.5250000004"/>
    <n v="86733.000000000015"/>
    <n v="0"/>
    <n v="0"/>
    <n v="728.5"/>
    <n v="3159249.5250000004"/>
    <n v="251932.77310924372"/>
    <n v="76"/>
    <n v="708.5"/>
    <n v="38"/>
    <n v="0"/>
    <n v="0"/>
    <n v="3072516.5250000004"/>
    <n v="164792.70000000001"/>
    <n v="0"/>
    <n v="0"/>
    <n v="708.5"/>
    <n v="3072516.5250000004"/>
    <n v="638336.13445378153"/>
    <n v="24"/>
    <n v="670.5"/>
    <n v="12"/>
    <n v="0"/>
    <m/>
    <n v="2907723.8250000002"/>
    <n v="48348"/>
    <n v="0"/>
    <n v="670.5"/>
    <n v="2907723.8250000002"/>
    <n v="201579.83193277312"/>
  </r>
  <r>
    <m/>
    <x v="8"/>
    <x v="19"/>
    <x v="44"/>
    <s v="MTBOHWCL450"/>
    <x v="776"/>
    <x v="609"/>
    <x v="0"/>
    <x v="4"/>
    <n v="0.5"/>
    <x v="31"/>
    <n v="385"/>
    <m/>
    <n v="0"/>
    <n v="3510"/>
    <n v="1351350"/>
    <n v="3.67"/>
    <n v="4009.4749999999999"/>
    <n v="14277.310924369749"/>
    <n v="10075.63025210084"/>
    <s v="Ningbo"/>
    <x v="0"/>
    <n v="30"/>
    <m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93"/>
    <n v="0.56719265283378495"/>
    <n v="5"/>
    <n v="0.51868304250284269"/>
    <n v="4.7619047619047616E-2"/>
    <n v="1"/>
    <n v="0.67845573518090829"/>
    <n v="8.3333333333333329E-2"/>
    <n v="9"/>
    <n v="0.49889104967197745"/>
    <n v="0.36"/>
    <n v="1"/>
    <n v="0.65167139282735609"/>
    <n v="0.05"/>
    <n v="1"/>
    <n v="0.37198665554628857"/>
    <n v="0.05"/>
    <n v="3"/>
    <n v="0.45048550166794965"/>
    <n v="0.10714285714285714"/>
    <m/>
    <m/>
    <m/>
    <m/>
    <m/>
    <m/>
    <m/>
    <m/>
    <m/>
    <n v="0"/>
    <n v="0"/>
    <n v="0"/>
    <n v="0"/>
    <n v="0"/>
    <n v="0"/>
    <n v="326430"/>
    <n v="0"/>
    <n v="0"/>
    <n v="0"/>
    <n v="385"/>
    <n v="1351350"/>
    <n v="0"/>
    <n v="0"/>
    <n v="0"/>
    <n v="0"/>
    <n v="500"/>
    <n v="500"/>
    <n v="0"/>
    <n v="343980"/>
    <n v="0"/>
    <n v="0"/>
    <n v="0"/>
    <n v="385"/>
    <n v="1351350"/>
    <n v="0"/>
    <n v="101"/>
    <n v="478"/>
    <n v="93"/>
    <n v="0"/>
    <n v="0"/>
    <n v="366770.7"/>
    <n v="1677780"/>
    <n v="326430"/>
    <n v="0"/>
    <n v="385"/>
    <n v="1351350"/>
    <n v="1327789.9159663867"/>
    <n v="105"/>
    <n v="408"/>
    <n v="5"/>
    <n v="0"/>
    <n v="0"/>
    <n v="1549767.5999999999"/>
    <n v="17550"/>
    <x v="0"/>
    <x v="0"/>
    <n v="385"/>
    <n v="1351350"/>
    <n v="71386.554621848743"/>
    <n v="12"/>
    <n v="386"/>
    <n v="6"/>
    <m/>
    <n v="0"/>
    <n v="0"/>
    <n v="1354860"/>
    <n v="22790.699999999997"/>
    <x v="0"/>
    <n v="0"/>
    <n v="385"/>
    <n v="1351350"/>
    <n v="85663.865546218498"/>
    <n v="25"/>
    <n v="394"/>
    <n v="9"/>
    <m/>
    <n v="0"/>
    <n v="0"/>
    <n v="1382940"/>
    <n v="34186.049999999996"/>
    <n v="0"/>
    <n v="0"/>
    <n v="394"/>
    <n v="1351350"/>
    <n v="128495.79831932775"/>
    <n v="20"/>
    <n v="386"/>
    <n v="1"/>
    <n v="0"/>
    <n v="0"/>
    <n v="0"/>
    <n v="1354860"/>
    <n v="3798.45"/>
    <n v="0"/>
    <n v="0"/>
    <n v="386"/>
    <n v="1351350"/>
    <n v="14277.310924369749"/>
    <n v="20"/>
    <n v="386"/>
    <n v="1"/>
    <n v="0"/>
    <n v="0"/>
    <n v="0"/>
    <n v="1354860"/>
    <n v="3798.45"/>
    <n v="0"/>
    <n v="0"/>
    <n v="386"/>
    <n v="1354860"/>
    <n v="14277.310924369749"/>
    <n v="28"/>
    <n v="388"/>
    <n v="4.5"/>
    <n v="0"/>
    <n v="0"/>
    <n v="0"/>
    <n v="1473798.5999999999"/>
    <n v="17093.024999999998"/>
    <n v="0"/>
    <n v="0"/>
    <n v="385"/>
    <n v="1351350"/>
    <n v="64247.899159663873"/>
    <n v="50"/>
    <n v="383.5"/>
    <n v="25"/>
    <n v="0"/>
    <n v="0"/>
    <n v="0"/>
    <m/>
    <n v="1456705.575"/>
    <n v="94961.25"/>
    <n v="0"/>
    <n v="0"/>
    <n v="383.5"/>
    <n v="1456705.575"/>
    <n v="251890.75630252101"/>
    <n v="40"/>
    <n v="358.5"/>
    <n v="20"/>
    <m/>
    <n v="0"/>
    <n v="0"/>
    <n v="1361744.325"/>
    <n v="75969"/>
    <n v="0"/>
    <n v="0"/>
    <n v="358.5"/>
    <n v="1361744.325"/>
    <n v="201512.6050420168"/>
    <n v="84"/>
    <n v="338.5"/>
    <n v="42"/>
    <n v="0"/>
    <n v="0"/>
    <n v="1285775.325"/>
    <n v="159534.9"/>
    <n v="0"/>
    <n v="0"/>
    <n v="338.5"/>
    <n v="1285775.325"/>
    <n v="599647.05882352951"/>
    <n v="24"/>
    <n v="296.5"/>
    <n v="12"/>
    <n v="0"/>
    <m/>
    <n v="1126240.425"/>
    <n v="42120"/>
    <n v="0"/>
    <n v="296.5"/>
    <n v="1126240.425"/>
    <n v="171327.731092437"/>
  </r>
  <r>
    <m/>
    <x v="8"/>
    <x v="19"/>
    <x v="44"/>
    <s v="MTBOHWCOM590"/>
    <x v="777"/>
    <x v="610"/>
    <x v="0"/>
    <x v="4"/>
    <n v="0.5"/>
    <x v="31"/>
    <n v="365"/>
    <m/>
    <n v="0"/>
    <n v="4166"/>
    <n v="1520590"/>
    <n v="4.3499999999999996"/>
    <n v="4752.375"/>
    <n v="16798.319327731093"/>
    <n v="12596.638655462186"/>
    <s v="Ningbo"/>
    <x v="0"/>
    <n v="30"/>
    <m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24"/>
    <n v="0.57444702595836039"/>
    <n v="3"/>
    <n v="0.57562408622476935"/>
    <n v="3.1578947368421054E-2"/>
    <n v="1"/>
    <n v="0.68996185115697306"/>
    <n v="8.3333333333333329E-2"/>
    <n v="9"/>
    <n v="0.45737103064066853"/>
    <n v="0.36"/>
    <n v="1"/>
    <n v="0.61836027713625863"/>
    <n v="0.05"/>
    <n v="1"/>
    <n v="0.41145897264843223"/>
    <n v="0.05"/>
    <n v="0"/>
    <s v=""/>
    <n v="0"/>
    <m/>
    <m/>
    <m/>
    <m/>
    <m/>
    <m/>
    <m/>
    <m/>
    <m/>
    <n v="0"/>
    <n v="0"/>
    <n v="0"/>
    <n v="0"/>
    <n v="0"/>
    <n v="0"/>
    <n v="516584"/>
    <n v="0"/>
    <n v="0"/>
    <n v="0"/>
    <n v="365"/>
    <n v="1520590"/>
    <n v="0"/>
    <n v="0"/>
    <n v="0"/>
    <n v="0"/>
    <n v="500"/>
    <n v="500"/>
    <n v="0"/>
    <n v="529082"/>
    <n v="0"/>
    <n v="0"/>
    <n v="0"/>
    <n v="365"/>
    <n v="1520590"/>
    <n v="0"/>
    <n v="139"/>
    <n v="489"/>
    <n v="124"/>
    <n v="0"/>
    <n v="0"/>
    <n v="556095.5"/>
    <n v="2037174"/>
    <n v="516584"/>
    <n v="0"/>
    <n v="365"/>
    <n v="1520590"/>
    <n v="2082991.5966386555"/>
    <n v="95"/>
    <n v="376"/>
    <n v="3"/>
    <n v="0"/>
    <n v="0"/>
    <n v="1692845.9999999998"/>
    <n v="12498"/>
    <x v="0"/>
    <x v="0"/>
    <n v="365"/>
    <n v="1520590"/>
    <n v="50394.957983193279"/>
    <n v="12"/>
    <n v="366"/>
    <n v="6"/>
    <m/>
    <n v="0"/>
    <n v="0"/>
    <n v="1524756"/>
    <n v="27013.499999999993"/>
    <x v="0"/>
    <n v="0"/>
    <n v="365"/>
    <n v="1520590"/>
    <n v="100789.91596638656"/>
    <n v="25"/>
    <n v="374"/>
    <n v="9"/>
    <m/>
    <n v="0"/>
    <n v="0"/>
    <n v="1558084"/>
    <n v="40520.249999999993"/>
    <n v="0"/>
    <n v="0"/>
    <n v="374"/>
    <n v="1520590"/>
    <n v="151184.87394957984"/>
    <n v="20"/>
    <n v="366"/>
    <n v="1"/>
    <n v="0"/>
    <n v="0"/>
    <n v="0"/>
    <n v="1524756"/>
    <n v="4502.2499999999991"/>
    <n v="0"/>
    <n v="0"/>
    <n v="366"/>
    <n v="1520590"/>
    <n v="16798.319327731093"/>
    <n v="20"/>
    <n v="366"/>
    <n v="1"/>
    <n v="0"/>
    <n v="0"/>
    <n v="0"/>
    <n v="1524756"/>
    <n v="4502.2499999999991"/>
    <n v="0"/>
    <n v="0"/>
    <n v="366"/>
    <n v="1524756"/>
    <n v="16798.319327731093"/>
    <n v="28"/>
    <n v="365"/>
    <n v="0"/>
    <n v="0"/>
    <n v="0"/>
    <n v="0"/>
    <n v="1643321.2499999998"/>
    <n v="0"/>
    <n v="0"/>
    <n v="0"/>
    <n v="365"/>
    <n v="1520590"/>
    <n v="0"/>
    <n v="50"/>
    <n v="365"/>
    <n v="25"/>
    <n v="0"/>
    <n v="0"/>
    <n v="0"/>
    <m/>
    <n v="1643321.2499999998"/>
    <n v="112556.24999999997"/>
    <n v="0"/>
    <n v="0"/>
    <n v="365"/>
    <n v="1643321.2499999998"/>
    <n v="314915.96638655465"/>
    <n v="40"/>
    <n v="340"/>
    <n v="20"/>
    <m/>
    <n v="0"/>
    <n v="0"/>
    <n v="1530764.9999999998"/>
    <n v="90044.999999999985"/>
    <n v="0"/>
    <n v="0"/>
    <n v="340"/>
    <n v="1530764.9999999998"/>
    <n v="251932.77310924372"/>
    <n v="76"/>
    <n v="320"/>
    <n v="38"/>
    <n v="0"/>
    <n v="0"/>
    <n v="1440719.9999999998"/>
    <n v="171085.49999999997"/>
    <n v="0"/>
    <n v="0"/>
    <n v="320"/>
    <n v="1440719.9999999998"/>
    <n v="638336.13445378153"/>
    <n v="24"/>
    <n v="282"/>
    <n v="12"/>
    <n v="0"/>
    <m/>
    <n v="1269634.4999999998"/>
    <n v="49992"/>
    <n v="0"/>
    <n v="282"/>
    <n v="1269634.4999999998"/>
    <n v="201579.83193277312"/>
  </r>
  <r>
    <m/>
    <x v="8"/>
    <x v="19"/>
    <x v="44"/>
    <s v="MTBOHWFA590"/>
    <x v="778"/>
    <x v="611"/>
    <x v="0"/>
    <x v="4"/>
    <n v="0.5"/>
    <x v="31"/>
    <n v="373"/>
    <m/>
    <n v="0"/>
    <n v="4166"/>
    <n v="1553918"/>
    <n v="4.3499999999999996"/>
    <n v="4752.375"/>
    <n v="16798.319327731093"/>
    <n v="12596.638655462186"/>
    <s v="Ningbo"/>
    <x v="0"/>
    <n v="30"/>
    <m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24"/>
    <n v="0.57169021272123688"/>
    <n v="0"/>
    <s v=""/>
    <n v="0"/>
    <n v="0"/>
    <s v=""/>
    <n v="0"/>
    <n v="1"/>
    <n v="0.42931506849315071"/>
    <n v="0.04"/>
    <n v="0"/>
    <s v=""/>
    <n v="0"/>
    <n v="1"/>
    <n v="0.44929219479653099"/>
    <n v="0.05"/>
    <n v="0"/>
    <s v=""/>
    <n v="0"/>
    <m/>
    <m/>
    <m/>
    <m/>
    <m/>
    <m/>
    <m/>
    <m/>
    <m/>
    <n v="0"/>
    <n v="0"/>
    <n v="0"/>
    <n v="0"/>
    <n v="0"/>
    <n v="0"/>
    <n v="516584"/>
    <n v="0"/>
    <n v="0"/>
    <n v="0"/>
    <n v="373"/>
    <n v="1553918"/>
    <n v="0"/>
    <n v="0"/>
    <n v="0"/>
    <n v="0"/>
    <n v="500"/>
    <n v="500"/>
    <n v="0"/>
    <n v="516584"/>
    <n v="0"/>
    <n v="0"/>
    <n v="0"/>
    <n v="373"/>
    <n v="1553918"/>
    <n v="0"/>
    <n v="139"/>
    <n v="497"/>
    <n v="124"/>
    <n v="0"/>
    <n v="0"/>
    <n v="543597.5"/>
    <n v="2070502"/>
    <n v="516584"/>
    <n v="0"/>
    <n v="373"/>
    <n v="1553918"/>
    <n v="2082991.5966386555"/>
    <n v="95"/>
    <n v="376"/>
    <n v="0"/>
    <n v="0"/>
    <n v="0"/>
    <n v="1692845.9999999998"/>
    <n v="0"/>
    <x v="0"/>
    <x v="0"/>
    <n v="373"/>
    <n v="1553918"/>
    <n v="0"/>
    <n v="12"/>
    <n v="373"/>
    <n v="6"/>
    <m/>
    <n v="0"/>
    <n v="0"/>
    <n v="1553918"/>
    <n v="27013.499999999993"/>
    <x v="0"/>
    <n v="0"/>
    <n v="373"/>
    <n v="1553918"/>
    <n v="100789.91596638656"/>
    <n v="25"/>
    <n v="374"/>
    <n v="1"/>
    <m/>
    <n v="0"/>
    <n v="0"/>
    <n v="1558084"/>
    <n v="4502.2499999999991"/>
    <n v="0"/>
    <n v="0"/>
    <n v="374"/>
    <n v="1553918"/>
    <n v="16798.319327731093"/>
    <n v="20"/>
    <n v="373"/>
    <n v="0"/>
    <n v="0"/>
    <n v="0"/>
    <n v="0"/>
    <n v="1553918"/>
    <n v="0"/>
    <n v="0"/>
    <n v="0"/>
    <n v="373"/>
    <n v="1553918"/>
    <n v="0"/>
    <n v="20"/>
    <n v="374"/>
    <n v="1"/>
    <n v="0"/>
    <n v="0"/>
    <n v="0"/>
    <n v="1558084"/>
    <n v="4502.2499999999991"/>
    <n v="0"/>
    <n v="0"/>
    <n v="374"/>
    <n v="1558084"/>
    <n v="16798.319327731093"/>
    <n v="28"/>
    <n v="373"/>
    <n v="0"/>
    <n v="0"/>
    <n v="0"/>
    <n v="0"/>
    <n v="1679339.2499999998"/>
    <n v="0"/>
    <n v="0"/>
    <n v="0"/>
    <n v="373"/>
    <n v="1553918"/>
    <n v="0"/>
    <n v="50"/>
    <n v="373"/>
    <n v="25"/>
    <n v="0"/>
    <n v="0"/>
    <n v="0"/>
    <m/>
    <n v="1679339.2499999998"/>
    <n v="112556.24999999997"/>
    <n v="0"/>
    <n v="0"/>
    <n v="373"/>
    <n v="1679339.2499999998"/>
    <n v="314915.96638655465"/>
    <n v="40"/>
    <n v="348"/>
    <n v="20"/>
    <m/>
    <n v="0"/>
    <n v="0"/>
    <n v="1566782.9999999998"/>
    <n v="90044.999999999985"/>
    <n v="0"/>
    <n v="0"/>
    <n v="348"/>
    <n v="1566782.9999999998"/>
    <n v="251932.77310924372"/>
    <n v="76"/>
    <n v="328"/>
    <n v="38"/>
    <n v="0"/>
    <n v="0"/>
    <n v="1476737.9999999998"/>
    <n v="171085.49999999997"/>
    <n v="0"/>
    <n v="0"/>
    <n v="328"/>
    <n v="1476737.9999999998"/>
    <n v="638336.13445378153"/>
    <n v="24"/>
    <n v="290"/>
    <n v="12"/>
    <n v="0"/>
    <m/>
    <n v="1305652.4999999998"/>
    <n v="49992"/>
    <n v="0"/>
    <n v="290"/>
    <n v="1305652.4999999998"/>
    <n v="201579.83193277312"/>
  </r>
  <r>
    <m/>
    <x v="8"/>
    <x v="19"/>
    <x v="44"/>
    <s v="MTBOHWRA450"/>
    <x v="779"/>
    <x v="612"/>
    <x v="0"/>
    <x v="4"/>
    <n v="0.7"/>
    <x v="31"/>
    <n v="337"/>
    <m/>
    <n v="0"/>
    <n v="3510"/>
    <n v="1182870"/>
    <n v="3.67"/>
    <n v="4009.4749999999999"/>
    <n v="14277.310924369749"/>
    <n v="10075.63025210084"/>
    <s v="Ningbo"/>
    <x v="0"/>
    <n v="30"/>
    <m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00"/>
    <n v="0.56680562905679766"/>
    <n v="9"/>
    <n v="0.51021311734076991"/>
    <n v="8.5714285714285715E-2"/>
    <n v="6"/>
    <n v="0.6784557351809084"/>
    <n v="0.5"/>
    <n v="27"/>
    <n v="0.4287674804456032"/>
    <n v="1.08"/>
    <n v="10"/>
    <n v="0.62676523681858798"/>
    <n v="0.5"/>
    <n v="4"/>
    <n v="0.43999315660444593"/>
    <n v="0.2"/>
    <n v="5"/>
    <n v="0.45028021555042325"/>
    <n v="0.17857142857142858"/>
    <m/>
    <m/>
    <m/>
    <m/>
    <m/>
    <m/>
    <m/>
    <m/>
    <m/>
    <n v="0"/>
    <n v="0"/>
    <n v="0"/>
    <n v="0"/>
    <n v="0"/>
    <n v="0"/>
    <n v="351000"/>
    <n v="0"/>
    <n v="0"/>
    <n v="0"/>
    <n v="337"/>
    <n v="1182870"/>
    <n v="0"/>
    <n v="0"/>
    <n v="0"/>
    <n v="0"/>
    <n v="500"/>
    <n v="500"/>
    <n v="0"/>
    <n v="382590"/>
    <n v="0"/>
    <n v="0"/>
    <n v="0"/>
    <n v="337"/>
    <n v="1182870"/>
    <n v="0"/>
    <n v="101"/>
    <n v="437"/>
    <n v="100"/>
    <n v="0"/>
    <n v="0"/>
    <n v="414496.98"/>
    <n v="1533870"/>
    <n v="351000"/>
    <n v="0"/>
    <n v="337"/>
    <n v="1182870"/>
    <n v="1427731.0924369749"/>
    <n v="105"/>
    <n v="400"/>
    <n v="9"/>
    <n v="0"/>
    <n v="0"/>
    <n v="1519380"/>
    <n v="31590"/>
    <x v="0"/>
    <x v="0"/>
    <n v="337"/>
    <n v="1182870"/>
    <n v="128495.79831932775"/>
    <n v="12"/>
    <n v="343"/>
    <n v="8.3999999999999986"/>
    <m/>
    <n v="0"/>
    <n v="0"/>
    <n v="1203930"/>
    <n v="31906.979999999992"/>
    <x v="0"/>
    <n v="0"/>
    <n v="337"/>
    <n v="1182870"/>
    <n v="119929.41176470587"/>
    <n v="25"/>
    <n v="364"/>
    <n v="27"/>
    <m/>
    <n v="0"/>
    <n v="0"/>
    <n v="1277640"/>
    <n v="102558.15"/>
    <n v="0"/>
    <n v="0"/>
    <n v="364"/>
    <n v="1182870"/>
    <n v="385487.39495798323"/>
    <n v="20"/>
    <n v="347"/>
    <n v="10"/>
    <n v="0"/>
    <n v="0"/>
    <n v="0"/>
    <n v="1217970"/>
    <n v="37984.5"/>
    <n v="0"/>
    <n v="0"/>
    <n v="347"/>
    <n v="1182870"/>
    <n v="142773.10924369749"/>
    <n v="20"/>
    <n v="341"/>
    <n v="4"/>
    <n v="0"/>
    <n v="0"/>
    <n v="0"/>
    <n v="1196910"/>
    <n v="15193.8"/>
    <n v="0"/>
    <n v="0"/>
    <n v="341"/>
    <n v="1196910"/>
    <n v="57109.243697478996"/>
    <n v="28"/>
    <n v="342"/>
    <n v="7.5"/>
    <n v="0"/>
    <n v="0"/>
    <n v="0"/>
    <n v="1299069.8999999999"/>
    <n v="28488.375"/>
    <n v="0"/>
    <n v="0"/>
    <n v="337"/>
    <n v="1182870"/>
    <n v="107079.83193277312"/>
    <n v="50"/>
    <n v="334.5"/>
    <n v="35"/>
    <n v="0"/>
    <n v="0"/>
    <n v="0"/>
    <m/>
    <n v="1270581.5249999999"/>
    <n v="132945.75"/>
    <n v="0"/>
    <n v="0"/>
    <n v="334.5"/>
    <n v="1270581.5249999999"/>
    <n v="352647.0588235294"/>
    <n v="40"/>
    <n v="299.5"/>
    <n v="28"/>
    <m/>
    <n v="0"/>
    <n v="0"/>
    <n v="1137635.7749999999"/>
    <n v="106356.59999999999"/>
    <n v="0"/>
    <n v="0"/>
    <n v="299.5"/>
    <n v="1137635.7749999999"/>
    <n v="282117.6470588235"/>
    <n v="84"/>
    <n v="271.5"/>
    <n v="58.8"/>
    <n v="0"/>
    <n v="0"/>
    <n v="1031279.1749999999"/>
    <n v="223348.86"/>
    <n v="0"/>
    <n v="0"/>
    <n v="271.5"/>
    <n v="1031279.1749999999"/>
    <n v="839505.8823529412"/>
    <n v="24"/>
    <n v="212.7"/>
    <n v="16.799999999999997"/>
    <n v="0"/>
    <m/>
    <n v="807930.31499999994"/>
    <n v="58967.999999999993"/>
    <n v="0"/>
    <n v="212.7"/>
    <n v="807930.31499999994"/>
    <n v="239858.82352941175"/>
  </r>
  <r>
    <m/>
    <x v="8"/>
    <x v="19"/>
    <x v="44"/>
    <s v="MTBOHWTR450"/>
    <x v="780"/>
    <x v="613"/>
    <x v="0"/>
    <x v="4"/>
    <n v="0.6"/>
    <x v="31"/>
    <n v="353"/>
    <m/>
    <n v="0"/>
    <n v="3510"/>
    <n v="1239030"/>
    <n v="3.67"/>
    <n v="4009.4749999999999"/>
    <n v="14277.310924369749"/>
    <n v="10075.63025210084"/>
    <s v="Ningbo"/>
    <x v="0"/>
    <n v="30"/>
    <m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95"/>
    <n v="0.56727352230153349"/>
    <n v="6"/>
    <n v="0.48347626518443931"/>
    <n v="5.7142857142857141E-2"/>
    <n v="6"/>
    <n v="0.6784557351809084"/>
    <n v="0.5"/>
    <n v="18"/>
    <n v="0.46431434858254017"/>
    <n v="0.72"/>
    <n v="12"/>
    <n v="0.64576857833505319"/>
    <n v="0.6"/>
    <n v="7"/>
    <n v="0.4959491184101506"/>
    <n v="0.35"/>
    <n v="3"/>
    <n v="0.35478470618424429"/>
    <n v="0.10714285714285714"/>
    <m/>
    <m/>
    <m/>
    <m/>
    <m/>
    <m/>
    <m/>
    <m/>
    <m/>
    <n v="0"/>
    <n v="0"/>
    <n v="0"/>
    <n v="0"/>
    <n v="0"/>
    <n v="0"/>
    <n v="333450"/>
    <n v="0"/>
    <n v="0"/>
    <n v="0"/>
    <n v="353"/>
    <n v="1239030"/>
    <n v="0"/>
    <n v="0"/>
    <n v="0"/>
    <n v="0"/>
    <n v="500"/>
    <n v="500"/>
    <n v="0"/>
    <n v="354510"/>
    <n v="0"/>
    <n v="0"/>
    <n v="0"/>
    <n v="353"/>
    <n v="1239030"/>
    <n v="0"/>
    <n v="101"/>
    <n v="448"/>
    <n v="95"/>
    <n v="0"/>
    <n v="0"/>
    <n v="381858.83999999997"/>
    <n v="1572480"/>
    <n v="333450"/>
    <n v="0"/>
    <n v="353"/>
    <n v="1239030"/>
    <n v="1356344.5378151261"/>
    <n v="105"/>
    <n v="406"/>
    <n v="6"/>
    <n v="0"/>
    <n v="0"/>
    <n v="1542170.7"/>
    <n v="21060"/>
    <x v="0"/>
    <x v="0"/>
    <n v="353"/>
    <n v="1239030"/>
    <n v="85663.865546218498"/>
    <n v="12"/>
    <n v="359"/>
    <n v="7.1999999999999993"/>
    <m/>
    <n v="0"/>
    <n v="0"/>
    <n v="1260090"/>
    <n v="27348.839999999997"/>
    <x v="0"/>
    <n v="0"/>
    <n v="353"/>
    <n v="1239030"/>
    <n v="102796.63865546219"/>
    <n v="25"/>
    <n v="371"/>
    <n v="18"/>
    <m/>
    <n v="0"/>
    <n v="0"/>
    <n v="1302210"/>
    <n v="68372.099999999991"/>
    <n v="0"/>
    <n v="0"/>
    <n v="371"/>
    <n v="1239030"/>
    <n v="256991.59663865549"/>
    <n v="20"/>
    <n v="365"/>
    <n v="12"/>
    <n v="0"/>
    <n v="0"/>
    <n v="0"/>
    <n v="1281150"/>
    <n v="45581.399999999994"/>
    <n v="0"/>
    <n v="0"/>
    <n v="365"/>
    <n v="1239030"/>
    <n v="171327.731092437"/>
    <n v="20"/>
    <n v="360"/>
    <n v="7"/>
    <n v="0"/>
    <n v="0"/>
    <n v="0"/>
    <n v="1263600"/>
    <n v="26589.149999999998"/>
    <n v="0"/>
    <n v="0"/>
    <n v="360"/>
    <n v="1263600"/>
    <n v="99941.176470588238"/>
    <n v="28"/>
    <n v="356"/>
    <n v="1.5"/>
    <n v="0"/>
    <n v="0"/>
    <n v="0"/>
    <n v="1352248.2"/>
    <n v="5697.6749999999993"/>
    <n v="0"/>
    <n v="0"/>
    <n v="353"/>
    <n v="1239030"/>
    <n v="21415.966386554624"/>
    <n v="50"/>
    <n v="354.5"/>
    <n v="30"/>
    <n v="0"/>
    <n v="0"/>
    <n v="0"/>
    <m/>
    <n v="1346550.5249999999"/>
    <n v="113953.5"/>
    <n v="0"/>
    <n v="0"/>
    <n v="354.5"/>
    <n v="1346550.5249999999"/>
    <n v="302268.90756302519"/>
    <n v="40"/>
    <n v="324.5"/>
    <n v="24"/>
    <m/>
    <n v="0"/>
    <n v="0"/>
    <n v="1232597.0249999999"/>
    <n v="91162.799999999988"/>
    <n v="0"/>
    <n v="0"/>
    <n v="324.5"/>
    <n v="1232597.0249999999"/>
    <n v="241815.12605042016"/>
    <n v="84"/>
    <n v="300.5"/>
    <n v="50.4"/>
    <n v="0"/>
    <n v="0"/>
    <n v="1141434.2249999999"/>
    <n v="191441.87999999998"/>
    <n v="0"/>
    <n v="0"/>
    <n v="300.5"/>
    <n v="1141434.2249999999"/>
    <n v="719576.4705882353"/>
    <n v="24"/>
    <n v="250.1"/>
    <n v="14.399999999999999"/>
    <n v="0"/>
    <m/>
    <n v="949992.34499999997"/>
    <n v="50543.999999999993"/>
    <n v="0"/>
    <n v="250.1"/>
    <n v="949992.34499999997"/>
    <n v="205593.27731092437"/>
  </r>
  <r>
    <m/>
    <x v="8"/>
    <x v="19"/>
    <x v="44"/>
    <s v="MTVTUMBDR590"/>
    <x v="781"/>
    <x v="614"/>
    <x v="0"/>
    <x v="4"/>
    <n v="0.5"/>
    <x v="31"/>
    <n v="391"/>
    <m/>
    <n v="0"/>
    <n v="4434"/>
    <n v="1733694"/>
    <n v="4.59"/>
    <n v="5014.5749999999998"/>
    <n v="18478.991596638658"/>
    <n v="14277.310924369749"/>
    <s v="Ningbo"/>
    <x v="0"/>
    <n v="30"/>
    <m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484"/>
    <n v="0.55401307462785421"/>
    <n v="12"/>
    <n v="0.55988723564827536"/>
    <n v="0.12"/>
    <n v="19"/>
    <n v="0.70499582121879156"/>
    <n v="0.95"/>
    <n v="21"/>
    <n v="0.47718708300757712"/>
    <n v="0.42"/>
    <n v="37"/>
    <n v="0.62966057773115214"/>
    <n v="1.48"/>
    <n v="33"/>
    <n v="0.41994878722388129"/>
    <n v="1.32"/>
    <n v="12"/>
    <n v="0.45617078276730461"/>
    <n v="0.44999999999999946"/>
    <m/>
    <m/>
    <m/>
    <m/>
    <m/>
    <m/>
    <m/>
    <m/>
    <m/>
    <n v="0"/>
    <n v="0"/>
    <n v="0"/>
    <n v="0"/>
    <n v="0"/>
    <n v="0"/>
    <n v="2146056"/>
    <n v="0"/>
    <n v="0"/>
    <n v="0"/>
    <n v="391"/>
    <n v="1733694"/>
    <n v="0"/>
    <n v="0"/>
    <n v="0"/>
    <n v="0"/>
    <n v="1000"/>
    <n v="1000"/>
    <n v="0"/>
    <n v="2199264"/>
    <n v="0"/>
    <n v="0"/>
    <n v="0"/>
    <n v="391"/>
    <n v="1733694"/>
    <n v="0"/>
    <n v="620"/>
    <n v="875"/>
    <n v="484"/>
    <n v="0"/>
    <n v="0"/>
    <n v="2246770.5"/>
    <n v="3879750"/>
    <n v="2146056"/>
    <n v="0"/>
    <n v="391"/>
    <n v="1733694"/>
    <n v="8943831.9327731095"/>
    <n v="100"/>
    <n v="516"/>
    <n v="12"/>
    <n v="0"/>
    <n v="0"/>
    <n v="2451335.4"/>
    <n v="53208"/>
    <x v="0"/>
    <x v="0"/>
    <n v="391"/>
    <n v="1733694"/>
    <n v="221747.89915966388"/>
    <n v="20"/>
    <n v="410"/>
    <n v="10"/>
    <m/>
    <n v="0"/>
    <n v="0"/>
    <n v="1817940"/>
    <n v="47506.5"/>
    <x v="0"/>
    <n v="0"/>
    <n v="391"/>
    <n v="1733694"/>
    <n v="184789.91596638659"/>
    <n v="50"/>
    <n v="412"/>
    <n v="21"/>
    <m/>
    <n v="0"/>
    <n v="0"/>
    <n v="1826808"/>
    <n v="99763.65"/>
    <n v="0"/>
    <n v="0"/>
    <n v="412"/>
    <n v="1733694"/>
    <n v="388058.82352941181"/>
    <n v="25"/>
    <n v="428"/>
    <n v="37"/>
    <n v="0"/>
    <n v="0"/>
    <n v="0"/>
    <n v="1897752"/>
    <n v="175774.05"/>
    <n v="0"/>
    <n v="0"/>
    <n v="428"/>
    <n v="1733694"/>
    <n v="683722.68907563039"/>
    <n v="25"/>
    <n v="424"/>
    <n v="34"/>
    <n v="0"/>
    <n v="0"/>
    <n v="0"/>
    <n v="1880016"/>
    <n v="161522.09999999998"/>
    <n v="0"/>
    <n v="0"/>
    <n v="424"/>
    <n v="1880016"/>
    <n v="628285.71428571432"/>
    <n v="26.6666666666667"/>
    <n v="403"/>
    <n v="16.5"/>
    <n v="0"/>
    <n v="0"/>
    <n v="0"/>
    <n v="1914511.95"/>
    <n v="78385.724999999991"/>
    <n v="0"/>
    <n v="0"/>
    <n v="391"/>
    <n v="1733694"/>
    <n v="304903.36134453787"/>
    <n v="50"/>
    <n v="386.5"/>
    <n v="25"/>
    <n v="0"/>
    <n v="0"/>
    <n v="0"/>
    <m/>
    <n v="1836126.2249999999"/>
    <n v="118766.24999999999"/>
    <n v="0"/>
    <n v="0"/>
    <n v="386.5"/>
    <n v="1836126.2249999999"/>
    <n v="356932.77310924372"/>
    <n v="60"/>
    <n v="361.5"/>
    <n v="30"/>
    <m/>
    <n v="0"/>
    <n v="0"/>
    <n v="1717359.9749999999"/>
    <n v="142519.5"/>
    <n v="0"/>
    <n v="0"/>
    <n v="361.5"/>
    <n v="1717359.9749999999"/>
    <n v="428319.32773109246"/>
    <n v="80"/>
    <n v="331.5"/>
    <n v="40"/>
    <n v="0"/>
    <n v="0"/>
    <n v="1574840.4749999999"/>
    <n v="190026"/>
    <n v="0"/>
    <n v="0"/>
    <n v="331.5"/>
    <n v="1574840.4749999999"/>
    <n v="739159.66386554635"/>
    <n v="36"/>
    <n v="291.5"/>
    <n v="18"/>
    <n v="0"/>
    <m/>
    <n v="1384814.4749999999"/>
    <n v="79812"/>
    <n v="0"/>
    <n v="291.5"/>
    <n v="1384814.4749999999"/>
    <n v="332621.84873949585"/>
  </r>
  <r>
    <m/>
    <x v="8"/>
    <x v="19"/>
    <x v="44"/>
    <s v="MTVTUMBLO590"/>
    <x v="782"/>
    <x v="615"/>
    <x v="0"/>
    <x v="4"/>
    <n v="0.6"/>
    <x v="31"/>
    <n v="401"/>
    <m/>
    <n v="0"/>
    <n v="4434"/>
    <n v="1778034"/>
    <n v="4.59"/>
    <n v="5014.5749999999998"/>
    <n v="18478.991596638658"/>
    <n v="14277.310924369749"/>
    <s v="Ningbo"/>
    <x v="0"/>
    <n v="30"/>
    <m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471"/>
    <n v="0.55576380600203834"/>
    <n v="14"/>
    <n v="0.5088677340493073"/>
    <n v="0.14000000000000001"/>
    <n v="27"/>
    <n v="0.69897789705012248"/>
    <n v="1.35"/>
    <n v="25"/>
    <n v="0.51932417593002878"/>
    <n v="0.55555555555555558"/>
    <n v="42"/>
    <n v="0.62477689955400229"/>
    <n v="1.68"/>
    <n v="29"/>
    <n v="0.43551357271409558"/>
    <n v="1.1599999999999999"/>
    <n v="17"/>
    <n v="0.45883161085344926"/>
    <n v="0.63749999999999918"/>
    <m/>
    <m/>
    <m/>
    <m/>
    <m/>
    <m/>
    <m/>
    <m/>
    <m/>
    <n v="0"/>
    <n v="0"/>
    <n v="0"/>
    <n v="0"/>
    <n v="0"/>
    <n v="0"/>
    <n v="2088414"/>
    <n v="0"/>
    <n v="0"/>
    <n v="0"/>
    <n v="401"/>
    <n v="1778034"/>
    <n v="0"/>
    <n v="0"/>
    <n v="0"/>
    <n v="0"/>
    <n v="1000"/>
    <n v="1000"/>
    <n v="0"/>
    <n v="2150490"/>
    <n v="0"/>
    <n v="0"/>
    <n v="0"/>
    <n v="401"/>
    <n v="1778034"/>
    <n v="0"/>
    <n v="620"/>
    <n v="872"/>
    <n v="471"/>
    <n v="0"/>
    <n v="0"/>
    <n v="2207497.7999999998"/>
    <n v="3866448"/>
    <n v="2088414"/>
    <n v="0"/>
    <n v="401"/>
    <n v="1778034"/>
    <n v="8703605.0420168079"/>
    <n v="100"/>
    <n v="530"/>
    <n v="14"/>
    <n v="0"/>
    <n v="0"/>
    <n v="2517844.5"/>
    <n v="62076"/>
    <x v="0"/>
    <x v="0"/>
    <n v="401"/>
    <n v="1778034"/>
    <n v="258705.8823529412"/>
    <n v="20"/>
    <n v="428"/>
    <n v="12"/>
    <m/>
    <n v="0"/>
    <n v="0"/>
    <n v="1897752"/>
    <n v="57007.799999999996"/>
    <x v="0"/>
    <n v="0"/>
    <n v="401"/>
    <n v="1778034"/>
    <n v="221747.89915966388"/>
    <n v="45"/>
    <n v="426"/>
    <n v="25"/>
    <m/>
    <n v="0"/>
    <n v="0"/>
    <n v="1888884"/>
    <n v="118766.24999999999"/>
    <n v="0"/>
    <n v="0"/>
    <n v="426"/>
    <n v="1778034"/>
    <n v="461974.78991596645"/>
    <n v="25"/>
    <n v="443"/>
    <n v="42"/>
    <n v="0"/>
    <n v="0"/>
    <n v="0"/>
    <n v="1964262"/>
    <n v="199527.3"/>
    <n v="0"/>
    <n v="0"/>
    <n v="443"/>
    <n v="1778034"/>
    <n v="776117.64705882361"/>
    <n v="25"/>
    <n v="430"/>
    <n v="29"/>
    <n v="0"/>
    <n v="0"/>
    <n v="0"/>
    <n v="1906620"/>
    <n v="137768.84999999998"/>
    <n v="0"/>
    <n v="0"/>
    <n v="430"/>
    <n v="1906620"/>
    <n v="535890.7563025211"/>
    <n v="26.6666666666667"/>
    <n v="418"/>
    <n v="16.5"/>
    <n v="0"/>
    <n v="0"/>
    <n v="0"/>
    <n v="1985771.7"/>
    <n v="78385.724999999991"/>
    <n v="0"/>
    <n v="0"/>
    <n v="401"/>
    <n v="1778034"/>
    <n v="304903.36134453787"/>
    <n v="50"/>
    <n v="401.5"/>
    <n v="30"/>
    <n v="0"/>
    <n v="0"/>
    <n v="0"/>
    <m/>
    <n v="1907385.9749999999"/>
    <n v="142519.5"/>
    <n v="0"/>
    <n v="0"/>
    <n v="401.5"/>
    <n v="1907385.9749999999"/>
    <n v="428319.32773109246"/>
    <n v="60"/>
    <n v="371.5"/>
    <n v="36"/>
    <m/>
    <n v="0"/>
    <n v="0"/>
    <n v="1764866.4749999999"/>
    <n v="171023.4"/>
    <n v="0"/>
    <n v="0"/>
    <n v="371.5"/>
    <n v="1764866.4749999999"/>
    <n v="513983.19327731099"/>
    <n v="80"/>
    <n v="335.5"/>
    <n v="48"/>
    <n v="0"/>
    <n v="0"/>
    <n v="1593843.075"/>
    <n v="228031.19999999998"/>
    <n v="0"/>
    <n v="0"/>
    <n v="335.5"/>
    <n v="1593843.075"/>
    <n v="886991.59663865552"/>
    <n v="36"/>
    <n v="287.5"/>
    <n v="21.599999999999998"/>
    <n v="0"/>
    <m/>
    <n v="1365811.875"/>
    <n v="95774.399999999994"/>
    <n v="0"/>
    <n v="287.5"/>
    <n v="1365811.875"/>
    <n v="399146.21848739497"/>
  </r>
  <r>
    <m/>
    <x v="8"/>
    <x v="19"/>
    <x v="44"/>
    <s v="MTVTUMBPR590"/>
    <x v="783"/>
    <x v="616"/>
    <x v="0"/>
    <x v="4"/>
    <n v="1"/>
    <x v="31"/>
    <n v="37"/>
    <m/>
    <n v="0"/>
    <n v="4434"/>
    <n v="164058"/>
    <n v="4.59"/>
    <n v="5014.5749999999998"/>
    <n v="18478.991596638658"/>
    <n v="14277.310924369749"/>
    <s v="Ningbo"/>
    <x v="0"/>
    <n v="30"/>
    <m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530"/>
    <n v="0.5655907711300493"/>
    <n v="81"/>
    <n v="0.55067402755684336"/>
    <n v="0.81"/>
    <n v="69"/>
    <n v="0.69808977973860542"/>
    <n v="0.98571428571428577"/>
    <n v="100"/>
    <n v="0.51774029832713087"/>
    <n v="1.25"/>
    <n v="94"/>
    <n v="0.63453922450002209"/>
    <n v="0.78333333333333333"/>
    <n v="88"/>
    <n v="0.43881735229545649"/>
    <n v="1.76"/>
    <n v="2"/>
    <n v="0.37381812831077094"/>
    <n v="3.3333333333333333E-2"/>
    <m/>
    <m/>
    <m/>
    <m/>
    <m/>
    <m/>
    <m/>
    <m/>
    <m/>
    <n v="0"/>
    <n v="0"/>
    <n v="0"/>
    <n v="0"/>
    <n v="0"/>
    <n v="0"/>
    <n v="2350020"/>
    <n v="0"/>
    <n v="0"/>
    <n v="0"/>
    <n v="37"/>
    <n v="164058"/>
    <n v="0"/>
    <n v="0"/>
    <n v="0"/>
    <n v="0"/>
    <n v="1000"/>
    <n v="1000"/>
    <n v="0"/>
    <n v="2709174"/>
    <n v="0"/>
    <n v="0"/>
    <n v="0"/>
    <n v="37"/>
    <n v="164058"/>
    <n v="0"/>
    <n v="620"/>
    <n v="567"/>
    <n v="530"/>
    <n v="0"/>
    <n v="0"/>
    <n v="3041719.5"/>
    <n v="2514078"/>
    <n v="2350020"/>
    <n v="0"/>
    <n v="37"/>
    <n v="164058"/>
    <n v="9793865.5462184884"/>
    <n v="100"/>
    <n v="453"/>
    <n v="81"/>
    <n v="0"/>
    <n v="0"/>
    <n v="2152044.4499999997"/>
    <n v="359154"/>
    <x v="0"/>
    <x v="0"/>
    <n v="37"/>
    <n v="164058"/>
    <n v="1496798.3193277314"/>
    <n v="70"/>
    <n v="106"/>
    <n v="70"/>
    <m/>
    <n v="0"/>
    <n v="0"/>
    <n v="470004"/>
    <n v="332545.5"/>
    <x v="0"/>
    <n v="0"/>
    <n v="37"/>
    <n v="164058"/>
    <n v="1293529.411764706"/>
    <n v="80"/>
    <n v="137"/>
    <n v="100"/>
    <m/>
    <n v="0"/>
    <n v="0"/>
    <n v="607458"/>
    <n v="475064.99999999994"/>
    <n v="0"/>
    <n v="0"/>
    <n v="137"/>
    <n v="164058"/>
    <n v="1847899.1596638658"/>
    <n v="120"/>
    <n v="131"/>
    <n v="94"/>
    <n v="0"/>
    <n v="0"/>
    <n v="0"/>
    <n v="580854"/>
    <n v="446561.1"/>
    <n v="0"/>
    <n v="0"/>
    <n v="131"/>
    <n v="164058"/>
    <n v="1737025.2100840339"/>
    <n v="50"/>
    <n v="125"/>
    <n v="90"/>
    <n v="0"/>
    <n v="0"/>
    <n v="0"/>
    <n v="554250"/>
    <n v="427558.49999999994"/>
    <n v="0"/>
    <n v="0"/>
    <n v="125"/>
    <n v="554250"/>
    <n v="1663109.2436974791"/>
    <n v="60"/>
    <n v="39"/>
    <n v="3"/>
    <n v="0"/>
    <n v="0"/>
    <n v="0"/>
    <n v="185275.34999999998"/>
    <n v="14251.949999999999"/>
    <n v="0"/>
    <n v="0"/>
    <n v="37"/>
    <n v="164058"/>
    <n v="55436.97478991597"/>
    <n v="150"/>
    <n v="36"/>
    <n v="36"/>
    <n v="0"/>
    <n v="0"/>
    <n v="0"/>
    <m/>
    <n v="171023.4"/>
    <n v="171023.4"/>
    <n v="0"/>
    <n v="0"/>
    <n v="36"/>
    <n v="171023.4"/>
    <n v="513983.19327731099"/>
    <n v="80"/>
    <n v="0"/>
    <n v="0"/>
    <m/>
    <n v="0"/>
    <n v="0"/>
    <n v="0"/>
    <n v="0"/>
    <n v="0"/>
    <n v="0"/>
    <n v="0"/>
    <n v="0"/>
    <n v="0"/>
    <n v="200"/>
    <n v="0"/>
    <n v="0"/>
    <n v="0"/>
    <n v="0"/>
    <n v="0"/>
    <n v="0"/>
    <n v="0"/>
    <n v="0"/>
    <n v="0"/>
    <n v="0"/>
    <n v="0"/>
    <n v="48"/>
    <n v="0"/>
    <n v="48"/>
    <n v="0"/>
    <m/>
    <n v="0"/>
    <n v="212832"/>
    <n v="0"/>
    <n v="0"/>
    <n v="0"/>
    <n v="886991.59663865552"/>
  </r>
  <r>
    <m/>
    <x v="8"/>
    <x v="19"/>
    <x v="44"/>
    <s v="MTVTUMBVI590"/>
    <x v="784"/>
    <x v="617"/>
    <x v="0"/>
    <x v="4"/>
    <n v="0.6"/>
    <x v="31"/>
    <n v="466"/>
    <m/>
    <n v="0"/>
    <n v="4434"/>
    <n v="2066244"/>
    <n v="4.59"/>
    <n v="5014.5749999999998"/>
    <n v="18478.991596638658"/>
    <n v="14277.310924369749"/>
    <s v="Ningbo"/>
    <x v="0"/>
    <n v="30"/>
    <m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461"/>
    <n v="0.55604514367020297"/>
    <n v="10"/>
    <n v="0.48383742975648819"/>
    <n v="0.1"/>
    <n v="7"/>
    <n v="0.68681556855761894"/>
    <n v="0.58333333333333337"/>
    <n v="17"/>
    <n v="0.53901862959060887"/>
    <n v="0.68"/>
    <n v="20"/>
    <n v="0.64083403675970052"/>
    <n v="1"/>
    <n v="17"/>
    <n v="0.45689674465260505"/>
    <n v="0.85"/>
    <n v="12"/>
    <n v="0.47287274128241125"/>
    <n v="0.42857142857142855"/>
    <m/>
    <m/>
    <m/>
    <m/>
    <m/>
    <m/>
    <m/>
    <m/>
    <m/>
    <n v="0"/>
    <n v="0"/>
    <n v="0"/>
    <n v="0"/>
    <n v="0"/>
    <n v="0"/>
    <n v="2044074"/>
    <n v="0"/>
    <n v="0"/>
    <n v="0"/>
    <n v="466"/>
    <n v="2066244"/>
    <n v="0"/>
    <n v="0"/>
    <n v="0"/>
    <n v="0"/>
    <n v="1000"/>
    <n v="1000"/>
    <n v="0"/>
    <n v="2088414"/>
    <n v="0"/>
    <n v="0"/>
    <n v="0"/>
    <n v="466"/>
    <n v="2066244"/>
    <n v="0"/>
    <n v="620"/>
    <n v="927"/>
    <n v="461"/>
    <n v="0"/>
    <n v="0"/>
    <n v="2122618.6800000002"/>
    <n v="4110318"/>
    <n v="2044074"/>
    <n v="0"/>
    <n v="466"/>
    <n v="2066244"/>
    <n v="8518815.126050422"/>
    <n v="100"/>
    <n v="530"/>
    <n v="10"/>
    <n v="0"/>
    <n v="0"/>
    <n v="2517844.5"/>
    <n v="44340"/>
    <x v="0"/>
    <x v="0"/>
    <n v="466"/>
    <n v="2066244"/>
    <n v="184789.91596638659"/>
    <n v="12"/>
    <n v="473"/>
    <n v="7.1999999999999993"/>
    <m/>
    <n v="0"/>
    <n v="0"/>
    <n v="2097282"/>
    <n v="34204.679999999993"/>
    <x v="0"/>
    <n v="0"/>
    <n v="466"/>
    <n v="2066244"/>
    <n v="133048.73949579833"/>
    <n v="25"/>
    <n v="483"/>
    <n v="17"/>
    <m/>
    <n v="0"/>
    <n v="0"/>
    <n v="2141622"/>
    <n v="80761.049999999988"/>
    <n v="0"/>
    <n v="0"/>
    <n v="483"/>
    <n v="2066244"/>
    <n v="314142.85714285716"/>
    <n v="20"/>
    <n v="486"/>
    <n v="20"/>
    <n v="0"/>
    <n v="0"/>
    <n v="0"/>
    <n v="2154924"/>
    <n v="95013"/>
    <n v="0"/>
    <n v="0"/>
    <n v="486"/>
    <n v="2066244"/>
    <n v="369579.83193277317"/>
    <n v="20"/>
    <n v="483"/>
    <n v="17"/>
    <n v="0"/>
    <n v="0"/>
    <n v="0"/>
    <n v="2141622"/>
    <n v="80761.049999999988"/>
    <n v="0"/>
    <n v="0"/>
    <n v="483"/>
    <n v="2141622"/>
    <n v="314142.85714285716"/>
    <n v="28"/>
    <n v="478"/>
    <n v="16.5"/>
    <n v="0"/>
    <n v="0"/>
    <n v="0"/>
    <n v="2270810.6999999997"/>
    <n v="78385.724999999991"/>
    <n v="0"/>
    <n v="0"/>
    <n v="466"/>
    <n v="2066244"/>
    <n v="304903.36134453787"/>
    <n v="50"/>
    <n v="461.5"/>
    <n v="30"/>
    <n v="0"/>
    <n v="0"/>
    <n v="0"/>
    <m/>
    <n v="2192424.9749999996"/>
    <n v="142519.5"/>
    <n v="0"/>
    <n v="0"/>
    <n v="461.5"/>
    <n v="2192424.9749999996"/>
    <n v="428319.32773109246"/>
    <n v="40"/>
    <n v="431.5"/>
    <n v="24"/>
    <m/>
    <n v="0"/>
    <n v="0"/>
    <n v="2049905.4749999999"/>
    <n v="114015.59999999999"/>
    <n v="0"/>
    <n v="0"/>
    <n v="431.5"/>
    <n v="2049905.4749999999"/>
    <n v="342655.46218487399"/>
    <n v="80"/>
    <n v="407.5"/>
    <n v="48"/>
    <n v="0"/>
    <n v="0"/>
    <n v="1935889.8749999998"/>
    <n v="228031.19999999998"/>
    <n v="0"/>
    <n v="0"/>
    <n v="407.5"/>
    <n v="1935889.8749999998"/>
    <n v="886991.59663865552"/>
    <n v="24"/>
    <n v="359.5"/>
    <n v="14.399999999999999"/>
    <n v="0"/>
    <m/>
    <n v="1707858.6749999998"/>
    <n v="63849.599999999991"/>
    <n v="0"/>
    <n v="359.5"/>
    <n v="1707858.6749999998"/>
    <n v="266097.47899159667"/>
  </r>
  <r>
    <m/>
    <x v="8"/>
    <x v="33"/>
    <x v="66"/>
    <s v="MTTCBFRI450"/>
    <x v="785"/>
    <x v="618"/>
    <x v="0"/>
    <x v="4"/>
    <n v="0.6"/>
    <x v="31"/>
    <n v="149"/>
    <m/>
    <n v="0"/>
    <n v="4417"/>
    <n v="658133"/>
    <n v="4.6500000000000004"/>
    <n v="5080.125"/>
    <n v="18478.991596638658"/>
    <n v="14277.310924369749"/>
    <s v="Ningbo"/>
    <x v="0"/>
    <n v="30"/>
    <m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214"/>
    <n v="0.58478279543382017"/>
    <n v="33"/>
    <n v="0.53283290085736423"/>
    <n v="0.41249999999999998"/>
    <n v="17"/>
    <n v="0.68437883701050517"/>
    <n v="0.68"/>
    <n v="18"/>
    <n v="0.52421400231296145"/>
    <n v="0.51428571428571423"/>
    <n v="19"/>
    <n v="0.64627133713289853"/>
    <n v="0.76"/>
    <n v="27"/>
    <n v="0.45047160346005577"/>
    <n v="1.08"/>
    <n v="12"/>
    <n v="0.4736717618664521"/>
    <n v="0.6"/>
    <m/>
    <m/>
    <m/>
    <m/>
    <m/>
    <m/>
    <m/>
    <m/>
    <m/>
    <n v="0"/>
    <n v="0"/>
    <n v="0"/>
    <n v="0"/>
    <n v="0"/>
    <n v="0"/>
    <n v="945238"/>
    <n v="0"/>
    <n v="0"/>
    <n v="0"/>
    <n v="149"/>
    <n v="658133"/>
    <n v="0"/>
    <n v="0"/>
    <n v="0"/>
    <n v="0"/>
    <n v="500"/>
    <n v="500"/>
    <n v="0"/>
    <n v="1090999"/>
    <n v="0"/>
    <n v="0"/>
    <n v="0"/>
    <n v="149"/>
    <n v="658133"/>
    <n v="0"/>
    <n v="196"/>
    <n v="363"/>
    <n v="214"/>
    <n v="0"/>
    <n v="0"/>
    <n v="1163190.25"/>
    <n v="1603371"/>
    <n v="945238"/>
    <n v="0"/>
    <n v="149"/>
    <n v="658133"/>
    <n v="3954504.2016806728"/>
    <n v="80"/>
    <n v="286"/>
    <n v="33"/>
    <n v="0"/>
    <n v="0"/>
    <n v="1376446.5"/>
    <n v="145761"/>
    <x v="0"/>
    <x v="0"/>
    <n v="149"/>
    <n v="658133"/>
    <n v="609806.72268907574"/>
    <n v="25"/>
    <n v="166"/>
    <n v="15"/>
    <m/>
    <n v="0"/>
    <n v="0"/>
    <n v="733222"/>
    <n v="72191.25"/>
    <x v="0"/>
    <n v="0"/>
    <n v="149"/>
    <n v="658133"/>
    <n v="277184.87394957989"/>
    <n v="35"/>
    <n v="167"/>
    <n v="18"/>
    <m/>
    <n v="0"/>
    <n v="0"/>
    <n v="737639"/>
    <n v="86629.5"/>
    <n v="0"/>
    <n v="0"/>
    <n v="167"/>
    <n v="658133"/>
    <n v="332621.84873949585"/>
    <n v="25"/>
    <n v="168"/>
    <n v="19"/>
    <n v="0"/>
    <n v="0"/>
    <n v="0"/>
    <n v="742056"/>
    <n v="91442.25"/>
    <n v="0"/>
    <n v="0"/>
    <n v="168"/>
    <n v="658133"/>
    <n v="351100.84033613448"/>
    <n v="25"/>
    <n v="176"/>
    <n v="27"/>
    <n v="0"/>
    <n v="0"/>
    <n v="0"/>
    <n v="777392"/>
    <n v="129944.25"/>
    <n v="0"/>
    <n v="0"/>
    <n v="176"/>
    <n v="777392"/>
    <n v="498932.77310924378"/>
    <n v="20"/>
    <n v="161"/>
    <n v="12"/>
    <n v="0"/>
    <n v="0"/>
    <n v="0"/>
    <n v="774852.75"/>
    <n v="57753"/>
    <n v="0"/>
    <n v="0"/>
    <n v="149"/>
    <n v="658133"/>
    <n v="221747.89915966388"/>
    <n v="25"/>
    <n v="149"/>
    <n v="15"/>
    <n v="0"/>
    <n v="0"/>
    <n v="0"/>
    <m/>
    <n v="717099.75"/>
    <n v="72191.25"/>
    <n v="0"/>
    <n v="0"/>
    <n v="149"/>
    <n v="717099.75"/>
    <n v="214159.66386554623"/>
    <n v="20"/>
    <n v="134"/>
    <n v="12"/>
    <m/>
    <n v="0"/>
    <n v="0"/>
    <n v="644908.5"/>
    <n v="57753"/>
    <n v="0"/>
    <n v="0"/>
    <n v="134"/>
    <n v="644908.5"/>
    <n v="171327.731092437"/>
    <n v="30"/>
    <n v="122"/>
    <n v="18"/>
    <n v="0"/>
    <n v="0"/>
    <n v="587155.5"/>
    <n v="86629.5"/>
    <n v="0"/>
    <n v="0"/>
    <n v="122"/>
    <n v="587155.5"/>
    <n v="332621.84873949585"/>
    <n v="12"/>
    <n v="104"/>
    <n v="7.1999999999999993"/>
    <n v="0"/>
    <m/>
    <n v="500526"/>
    <n v="31802.399999999998"/>
    <n v="0"/>
    <n v="104"/>
    <n v="500526"/>
    <n v="133048.73949579833"/>
  </r>
  <r>
    <m/>
    <x v="8"/>
    <x v="33"/>
    <x v="66"/>
    <s v="MTTCBFUN450"/>
    <x v="786"/>
    <x v="619"/>
    <x v="0"/>
    <x v="4"/>
    <n v="0.6"/>
    <x v="31"/>
    <n v="214"/>
    <m/>
    <n v="0"/>
    <n v="4417"/>
    <n v="945238"/>
    <n v="4.6500000000000004"/>
    <n v="5080.125"/>
    <n v="18478.991596638658"/>
    <n v="14277.310924369749"/>
    <s v="Ningbo"/>
    <x v="0"/>
    <n v="30"/>
    <m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97"/>
    <n v="0.57151150297536024"/>
    <n v="21"/>
    <n v="0.47800353721922678"/>
    <n v="0.26250000000000001"/>
    <n v="17"/>
    <n v="0.70784824902723731"/>
    <n v="0.85"/>
    <n v="16"/>
    <n v="0.34197980252609073"/>
    <n v="0.53333333333333333"/>
    <n v="14"/>
    <n v="0.64937958639092719"/>
    <n v="0.56000000000000005"/>
    <n v="17"/>
    <n v="0.46069264530460191"/>
    <n v="0.68"/>
    <n v="7"/>
    <n v="0.42221644280176684"/>
    <n v="0.35"/>
    <m/>
    <m/>
    <m/>
    <m/>
    <m/>
    <m/>
    <m/>
    <m/>
    <m/>
    <n v="0"/>
    <n v="0"/>
    <n v="0"/>
    <n v="0"/>
    <n v="0"/>
    <n v="0"/>
    <n v="870149"/>
    <n v="0"/>
    <n v="0"/>
    <n v="0"/>
    <n v="214"/>
    <n v="945238"/>
    <n v="0"/>
    <n v="0"/>
    <n v="0"/>
    <n v="0"/>
    <n v="500"/>
    <n v="500"/>
    <n v="0"/>
    <n v="962906"/>
    <n v="0"/>
    <n v="0"/>
    <n v="0"/>
    <n v="214"/>
    <n v="945238"/>
    <n v="0"/>
    <n v="196"/>
    <n v="411"/>
    <n v="197"/>
    <n v="0"/>
    <n v="0"/>
    <n v="1020659"/>
    <n v="1815387"/>
    <n v="870149"/>
    <n v="0"/>
    <n v="214"/>
    <n v="945238"/>
    <n v="3640361.3445378155"/>
    <n v="80"/>
    <n v="301"/>
    <n v="21"/>
    <n v="0"/>
    <n v="0"/>
    <n v="1448637.75"/>
    <n v="92757"/>
    <x v="0"/>
    <x v="0"/>
    <n v="214"/>
    <n v="945238"/>
    <n v="388058.82352941181"/>
    <n v="20"/>
    <n v="231"/>
    <n v="12"/>
    <m/>
    <n v="0"/>
    <n v="0"/>
    <n v="1020327"/>
    <n v="57753"/>
    <x v="0"/>
    <n v="0"/>
    <n v="214"/>
    <n v="945238"/>
    <n v="221747.89915966388"/>
    <n v="30"/>
    <n v="230"/>
    <n v="16"/>
    <m/>
    <n v="0"/>
    <n v="0"/>
    <n v="1015910"/>
    <n v="77004"/>
    <n v="0"/>
    <n v="0"/>
    <n v="230"/>
    <n v="945238"/>
    <n v="295663.86554621853"/>
    <n v="25"/>
    <n v="228"/>
    <n v="14"/>
    <n v="0"/>
    <n v="0"/>
    <n v="0"/>
    <n v="1007076"/>
    <n v="67378.5"/>
    <n v="0"/>
    <n v="0"/>
    <n v="228"/>
    <n v="945238"/>
    <n v="258705.8823529412"/>
    <n v="25"/>
    <n v="231"/>
    <n v="17"/>
    <n v="0"/>
    <n v="0"/>
    <n v="0"/>
    <n v="1020327"/>
    <n v="81816.75"/>
    <n v="0"/>
    <n v="0"/>
    <n v="231"/>
    <n v="1020327"/>
    <n v="314142.85714285716"/>
    <n v="20"/>
    <n v="221"/>
    <n v="6"/>
    <n v="0"/>
    <n v="0"/>
    <n v="0"/>
    <n v="1063617.75"/>
    <n v="28876.5"/>
    <n v="0"/>
    <n v="0"/>
    <n v="214"/>
    <n v="945238"/>
    <n v="110873.94957983194"/>
    <n v="25"/>
    <n v="215"/>
    <n v="15"/>
    <n v="0"/>
    <n v="0"/>
    <n v="0"/>
    <m/>
    <n v="1034741.25"/>
    <n v="72191.25"/>
    <n v="0"/>
    <n v="0"/>
    <n v="215"/>
    <n v="1034741.25"/>
    <n v="214159.66386554623"/>
    <n v="20"/>
    <n v="200"/>
    <n v="12"/>
    <m/>
    <n v="0"/>
    <n v="0"/>
    <n v="962550"/>
    <n v="57753"/>
    <n v="0"/>
    <n v="0"/>
    <n v="200"/>
    <n v="962550"/>
    <n v="171327.731092437"/>
    <n v="30"/>
    <n v="188"/>
    <n v="18"/>
    <n v="0"/>
    <n v="0"/>
    <n v="904797"/>
    <n v="86629.5"/>
    <n v="0"/>
    <n v="0"/>
    <n v="188"/>
    <n v="904797"/>
    <n v="332621.84873949585"/>
    <n v="12"/>
    <n v="170"/>
    <n v="7.1999999999999993"/>
    <n v="0"/>
    <m/>
    <n v="818167.5"/>
    <n v="31802.399999999998"/>
    <n v="0"/>
    <n v="170"/>
    <n v="818167.5"/>
    <n v="133048.73949579833"/>
  </r>
  <r>
    <m/>
    <x v="8"/>
    <x v="33"/>
    <x v="66"/>
    <s v="MTTCHWCLA330"/>
    <x v="787"/>
    <x v="620"/>
    <x v="0"/>
    <x v="4"/>
    <n v="0.6"/>
    <x v="31"/>
    <n v="222"/>
    <m/>
    <n v="0"/>
    <n v="3351"/>
    <n v="743922"/>
    <n v="3.56"/>
    <n v="3889.2999999999997"/>
    <n v="14277.310924369749"/>
    <n v="10075.63025210084"/>
    <s v="Ningbo"/>
    <x v="0"/>
    <n v="30"/>
    <m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92"/>
    <n v="0.57910325962821207"/>
    <n v="22"/>
    <n v="0.49541773809418693"/>
    <n v="0.27500000000000002"/>
    <n v="14"/>
    <n v="0.6980086226482457"/>
    <n v="0.7"/>
    <n v="16"/>
    <n v="0.34244465686735409"/>
    <n v="0.35555555555555557"/>
    <n v="13"/>
    <n v="0.65868731563421823"/>
    <n v="0.52"/>
    <n v="11"/>
    <n v="0.41493040686311333"/>
    <n v="0.44"/>
    <n v="9"/>
    <n v="0.43200294382547194"/>
    <n v="0.33749999999999958"/>
    <m/>
    <m/>
    <m/>
    <m/>
    <m/>
    <m/>
    <m/>
    <m/>
    <m/>
    <n v="0"/>
    <n v="0"/>
    <n v="0"/>
    <n v="0"/>
    <n v="0"/>
    <n v="0"/>
    <n v="643392"/>
    <n v="0"/>
    <n v="0"/>
    <n v="0"/>
    <n v="222"/>
    <n v="743922"/>
    <n v="0"/>
    <n v="0"/>
    <n v="0"/>
    <n v="0"/>
    <n v="500"/>
    <n v="500"/>
    <n v="0"/>
    <n v="717114"/>
    <n v="0"/>
    <n v="0"/>
    <n v="0"/>
    <n v="222"/>
    <n v="743922"/>
    <n v="0"/>
    <n v="196"/>
    <n v="414"/>
    <n v="192"/>
    <n v="0"/>
    <n v="0"/>
    <n v="761329.2"/>
    <n v="1387314"/>
    <n v="643392"/>
    <n v="0"/>
    <n v="222"/>
    <n v="743922"/>
    <n v="2741243.6974789919"/>
    <n v="80"/>
    <n v="308"/>
    <n v="22"/>
    <n v="0"/>
    <n v="0"/>
    <n v="1134856.8"/>
    <n v="73722"/>
    <x v="0"/>
    <x v="0"/>
    <n v="222"/>
    <n v="743922"/>
    <n v="314100.84033613448"/>
    <n v="20"/>
    <n v="236"/>
    <n v="12"/>
    <m/>
    <n v="0"/>
    <n v="0"/>
    <n v="790836"/>
    <n v="44215.199999999997"/>
    <x v="0"/>
    <n v="0"/>
    <n v="222"/>
    <n v="743922"/>
    <n v="171327.731092437"/>
    <n v="45"/>
    <n v="238"/>
    <n v="16"/>
    <m/>
    <n v="0"/>
    <n v="0"/>
    <n v="797538"/>
    <n v="58953.599999999999"/>
    <n v="0"/>
    <n v="0"/>
    <n v="238"/>
    <n v="743922"/>
    <n v="228436.97478991598"/>
    <n v="25"/>
    <n v="235"/>
    <n v="13"/>
    <n v="0"/>
    <n v="0"/>
    <n v="0"/>
    <n v="787485"/>
    <n v="47899.799999999996"/>
    <n v="0"/>
    <n v="0"/>
    <n v="235"/>
    <n v="743922"/>
    <n v="185605.04201680675"/>
    <n v="25"/>
    <n v="233"/>
    <n v="11"/>
    <n v="0"/>
    <n v="0"/>
    <n v="0"/>
    <n v="780783"/>
    <n v="40530.6"/>
    <n v="0"/>
    <n v="0"/>
    <n v="233"/>
    <n v="780783"/>
    <n v="157050.42016806724"/>
    <n v="26.6666666666667"/>
    <n v="231"/>
    <n v="10.5"/>
    <n v="0"/>
    <n v="0"/>
    <n v="0"/>
    <n v="851142.6"/>
    <n v="38688.299999999996"/>
    <n v="0"/>
    <n v="0"/>
    <n v="222"/>
    <n v="743922"/>
    <n v="149911.76470588238"/>
    <n v="50"/>
    <n v="220.5"/>
    <n v="30"/>
    <n v="0"/>
    <n v="0"/>
    <n v="0"/>
    <m/>
    <n v="812454.29999999993"/>
    <n v="110538"/>
    <n v="0"/>
    <n v="0"/>
    <n v="220.5"/>
    <n v="812454.29999999993"/>
    <n v="302268.90756302519"/>
    <n v="60"/>
    <n v="190.5"/>
    <n v="36"/>
    <m/>
    <n v="0"/>
    <n v="0"/>
    <n v="701916.29999999993"/>
    <n v="132645.6"/>
    <n v="0"/>
    <n v="0"/>
    <n v="190.5"/>
    <n v="701916.29999999993"/>
    <n v="362722.68907563027"/>
    <n v="80"/>
    <n v="154.5"/>
    <n v="48"/>
    <n v="0"/>
    <n v="0"/>
    <n v="569270.69999999995"/>
    <n v="176860.79999999999"/>
    <n v="0"/>
    <n v="0"/>
    <n v="154.5"/>
    <n v="569270.69999999995"/>
    <n v="685310.92436974798"/>
    <n v="36"/>
    <n v="106.5"/>
    <n v="21.599999999999998"/>
    <n v="0"/>
    <m/>
    <n v="392409.89999999997"/>
    <n v="72381.599999999991"/>
    <n v="0"/>
    <n v="106.5"/>
    <n v="392409.89999999997"/>
    <n v="308389.91596638656"/>
  </r>
  <r>
    <m/>
    <x v="8"/>
    <x v="33"/>
    <x v="66"/>
    <s v="MTTCHWTRU330"/>
    <x v="788"/>
    <x v="621"/>
    <x v="0"/>
    <x v="4"/>
    <n v="0.8"/>
    <x v="31"/>
    <n v="240"/>
    <m/>
    <n v="0"/>
    <n v="3351"/>
    <n v="804240"/>
    <n v="3.56"/>
    <n v="3889.2999999999997"/>
    <n v="14277.310924369749"/>
    <n v="10075.63025210084"/>
    <s v="Ningbo"/>
    <x v="0"/>
    <n v="30"/>
    <m/>
    <n v="500"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0"/>
    <s v=""/>
    <n v="192"/>
    <n v="0.59206654710026174"/>
    <n v="14"/>
    <n v="0.53725530680438138"/>
    <n v="0.17499999999999999"/>
    <n v="21"/>
    <n v="0.6963643615478331"/>
    <n v="1.75"/>
    <n v="11"/>
    <n v="0.23311758051135076"/>
    <n v="0.44"/>
    <n v="8"/>
    <n v="0.6444656212035087"/>
    <n v="0.4"/>
    <n v="5"/>
    <n v="0.42232444509475547"/>
    <n v="0.25"/>
    <n v="8"/>
    <n v="0.3825440129121096"/>
    <n v="0.2857142857142857"/>
    <m/>
    <m/>
    <m/>
    <m/>
    <m/>
    <m/>
    <m/>
    <m/>
    <m/>
    <n v="0"/>
    <n v="0"/>
    <n v="0"/>
    <n v="0"/>
    <n v="0"/>
    <n v="0"/>
    <n v="643392"/>
    <n v="0"/>
    <n v="0"/>
    <n v="0"/>
    <n v="240"/>
    <n v="804240"/>
    <n v="0"/>
    <n v="0"/>
    <n v="0"/>
    <n v="0"/>
    <n v="0"/>
    <n v="0"/>
    <n v="0"/>
    <n v="690306"/>
    <n v="0"/>
    <n v="0"/>
    <n v="0"/>
    <n v="240"/>
    <n v="804240"/>
    <n v="0"/>
    <n v="196"/>
    <n v="432"/>
    <n v="192"/>
    <n v="0"/>
    <n v="0"/>
    <n v="725678.16"/>
    <n v="1447632"/>
    <n v="643392"/>
    <n v="0"/>
    <n v="240"/>
    <n v="804240"/>
    <n v="2741243.6974789919"/>
    <n v="80"/>
    <n v="307"/>
    <n v="14"/>
    <n v="0"/>
    <n v="0"/>
    <n v="1131172.2"/>
    <n v="46914"/>
    <x v="0"/>
    <x v="0"/>
    <n v="240"/>
    <n v="804240"/>
    <n v="199882.35294117648"/>
    <n v="12"/>
    <n v="261"/>
    <n v="9.6000000000000014"/>
    <m/>
    <n v="0"/>
    <n v="0"/>
    <n v="874611"/>
    <n v="35372.160000000003"/>
    <x v="0"/>
    <n v="0"/>
    <n v="240"/>
    <n v="804240"/>
    <n v="137062.18487394962"/>
    <n v="25"/>
    <n v="251"/>
    <n v="11"/>
    <m/>
    <n v="0"/>
    <n v="0"/>
    <n v="841101"/>
    <n v="40530.6"/>
    <n v="0"/>
    <n v="0"/>
    <n v="251"/>
    <n v="804240"/>
    <n v="157050.42016806724"/>
    <n v="20"/>
    <n v="248"/>
    <n v="8"/>
    <n v="0"/>
    <n v="0"/>
    <n v="0"/>
    <n v="831048"/>
    <n v="29476.799999999999"/>
    <n v="0"/>
    <n v="0"/>
    <n v="248"/>
    <n v="804240"/>
    <n v="114218.48739495799"/>
    <n v="20"/>
    <n v="245"/>
    <n v="5"/>
    <n v="0"/>
    <n v="0"/>
    <n v="0"/>
    <n v="820995"/>
    <n v="18423"/>
    <n v="0"/>
    <n v="0"/>
    <n v="245"/>
    <n v="820995"/>
    <n v="71386.554621848743"/>
    <n v="28"/>
    <n v="248"/>
    <n v="6"/>
    <n v="0"/>
    <n v="0"/>
    <n v="0"/>
    <n v="913780.79999999993"/>
    <n v="22107.599999999999"/>
    <n v="0"/>
    <n v="0"/>
    <n v="240"/>
    <n v="804240"/>
    <n v="85663.865546218498"/>
    <n v="50"/>
    <n v="242"/>
    <n v="40"/>
    <n v="0"/>
    <n v="0"/>
    <n v="0"/>
    <m/>
    <n v="891673.2"/>
    <n v="147384"/>
    <n v="0"/>
    <n v="0"/>
    <n v="242"/>
    <n v="891673.2"/>
    <n v="403025.21008403361"/>
    <n v="40"/>
    <n v="202"/>
    <n v="32"/>
    <m/>
    <n v="0"/>
    <n v="0"/>
    <n v="744289.2"/>
    <n v="117907.2"/>
    <n v="0"/>
    <n v="0"/>
    <n v="202"/>
    <n v="744289.2"/>
    <n v="322420.16806722688"/>
    <n v="76"/>
    <n v="170"/>
    <n v="60.800000000000004"/>
    <n v="0"/>
    <n v="0"/>
    <n v="626382"/>
    <n v="224023.68000000002"/>
    <n v="0"/>
    <n v="0"/>
    <n v="170"/>
    <n v="626382"/>
    <n v="868060.50420168077"/>
    <n v="24"/>
    <n v="109.19999999999999"/>
    <n v="19.200000000000003"/>
    <n v="0"/>
    <m/>
    <n v="402358.31999999995"/>
    <n v="64339.200000000012"/>
    <n v="0"/>
    <n v="109.19999999999999"/>
    <n v="402358.31999999995"/>
    <n v="274124.36974789924"/>
  </r>
  <r>
    <m/>
    <x v="9"/>
    <x v="34"/>
    <x v="84"/>
    <n v="1656603353038"/>
    <x v="789"/>
    <x v="622"/>
    <x v="0"/>
    <x v="0"/>
    <n v="1"/>
    <x v="31"/>
    <n v="2"/>
    <m/>
    <n v="0"/>
    <n v="9119"/>
    <n v="18238"/>
    <n v="8.8000000000000007"/>
    <n v="9614"/>
    <n v="18478.991596638658"/>
    <n v="16798.319327731093"/>
    <s v="Shenzhen"/>
    <x v="0"/>
    <n v="30"/>
    <m/>
    <n v="200"/>
    <n v="43"/>
    <n v="0.54558961757607538"/>
    <n v="35"/>
    <n v="0.56137932949615643"/>
    <n v="31"/>
    <n v="0.54526310396497402"/>
    <n v="35"/>
    <n v="0.55055832955789885"/>
    <n v="23"/>
    <n v="0.52841342618874909"/>
    <n v="67"/>
    <n v="0.51126334083937686"/>
    <n v="21"/>
    <n v="0.56092411930875596"/>
    <n v="24"/>
    <n v="0.52162694151126165"/>
    <n v="24"/>
    <n v="0.54453668700829139"/>
    <n v="51"/>
    <n v="0.43118438677374271"/>
    <n v="22"/>
    <n v="0.46530235252736724"/>
    <n v="49"/>
    <n v="0.44761804072295397"/>
    <n v="46"/>
    <n v="0.37616727432470221"/>
    <n v="46"/>
    <n v="0.34418963254034718"/>
    <n v="25"/>
    <n v="0.28912101886261998"/>
    <n v="24"/>
    <n v="0.31064603269146951"/>
    <n v="1.2"/>
    <n v="17"/>
    <n v="0.49245071360373321"/>
    <n v="0.56666666666666665"/>
    <n v="3"/>
    <n v="0.21980985593539548"/>
    <n v="0.1"/>
    <n v="0"/>
    <s v=""/>
    <n v="0"/>
    <n v="0"/>
    <s v=""/>
    <n v="0"/>
    <n v="0"/>
    <s v=""/>
    <n v="0"/>
    <m/>
    <m/>
    <m/>
    <m/>
    <m/>
    <m/>
    <m/>
    <m/>
    <m/>
    <n v="30"/>
    <n v="173"/>
    <n v="30"/>
    <n v="0"/>
    <m/>
    <n v="0"/>
    <n v="1130756"/>
    <n v="1575684"/>
    <n v="273570"/>
    <n v="0"/>
    <n v="2"/>
    <n v="18238"/>
    <n v="465856.93100769731"/>
    <n v="25"/>
    <n v="120"/>
    <n v="69"/>
    <n v="0"/>
    <m/>
    <n v="0"/>
    <n v="1076042"/>
    <n v="1092960"/>
    <n v="629211"/>
    <n v="0"/>
    <n v="2"/>
    <n v="18238"/>
    <n v="1071470.9413177038"/>
    <n v="25"/>
    <n v="83"/>
    <n v="25"/>
    <n v="0"/>
    <n v="0"/>
    <n v="720071"/>
    <n v="756877"/>
    <n v="227975"/>
    <n v="0"/>
    <n v="2"/>
    <n v="18238"/>
    <n v="461974.78991596645"/>
    <n v="20"/>
    <n v="57"/>
    <n v="24"/>
    <n v="0"/>
    <n v="0"/>
    <n v="519156"/>
    <n v="218856"/>
    <x v="0"/>
    <x v="0"/>
    <n v="2"/>
    <n v="18238"/>
    <n v="443495.79831932776"/>
    <n v="30"/>
    <n v="19"/>
    <n v="30"/>
    <m/>
    <n v="0"/>
    <n v="0"/>
    <n v="173261"/>
    <n v="273240"/>
    <x v="0"/>
    <n v="0"/>
    <n v="2"/>
    <n v="18238"/>
    <n v="554369.74789915979"/>
    <n v="30"/>
    <n v="5"/>
    <n v="3"/>
    <m/>
    <n v="0"/>
    <n v="0"/>
    <n v="45595"/>
    <n v="27324"/>
    <n v="0"/>
    <n v="0"/>
    <n v="5"/>
    <n v="18238"/>
    <n v="55436.97478991597"/>
    <n v="30"/>
    <n v="2"/>
    <n v="0"/>
    <n v="0"/>
    <n v="0"/>
    <n v="0"/>
    <n v="18238"/>
    <n v="0"/>
    <n v="0"/>
    <n v="0"/>
    <n v="2"/>
    <n v="18238"/>
    <n v="0"/>
    <n v="30"/>
    <n v="2"/>
    <n v="0"/>
    <n v="0"/>
    <n v="0"/>
    <n v="0"/>
    <n v="18238"/>
    <n v="0"/>
    <n v="0"/>
    <n v="0"/>
    <n v="2"/>
    <n v="18238"/>
    <n v="0"/>
    <n v="30"/>
    <n v="2"/>
    <n v="0"/>
    <n v="200"/>
    <n v="200"/>
    <n v="0"/>
    <n v="18216"/>
    <n v="0"/>
    <n v="1821600"/>
    <n v="0"/>
    <n v="2"/>
    <n v="18238"/>
    <n v="0"/>
    <n v="50"/>
    <n v="2"/>
    <n v="2"/>
    <n v="0"/>
    <n v="0"/>
    <n v="0"/>
    <n v="0"/>
    <n v="18216"/>
    <n v="18216"/>
    <n v="0"/>
    <n v="0"/>
    <n v="2"/>
    <n v="18216"/>
    <n v="33596.638655462186"/>
    <n v="40"/>
    <n v="0"/>
    <n v="0"/>
    <m/>
    <n v="0"/>
    <n v="0"/>
    <n v="0"/>
    <n v="0"/>
    <n v="0"/>
    <n v="0"/>
    <n v="0"/>
    <n v="0"/>
    <n v="0"/>
    <n v="30"/>
    <n v="0"/>
    <n v="0"/>
    <n v="0"/>
    <n v="0"/>
    <n v="0"/>
    <n v="0"/>
    <n v="0"/>
    <n v="0"/>
    <n v="0"/>
    <n v="0"/>
    <n v="0"/>
    <n v="24"/>
    <n v="0"/>
    <n v="24"/>
    <n v="0"/>
    <m/>
    <n v="0"/>
    <n v="218856"/>
    <n v="0"/>
    <n v="0"/>
    <n v="0"/>
    <n v="443495.79831932776"/>
  </r>
  <r>
    <m/>
    <x v="9"/>
    <x v="34"/>
    <x v="84"/>
    <s v="67898258445967"/>
    <x v="790"/>
    <x v="623"/>
    <x v="0"/>
    <x v="5"/>
    <n v="1"/>
    <x v="31"/>
    <n v="84"/>
    <m/>
    <n v="0"/>
    <n v="4656"/>
    <n v="391104"/>
    <n v="8.8000000000000007"/>
    <n v="4657"/>
    <n v="24990"/>
    <n v="24990"/>
    <s v="Shenzhen"/>
    <x v="0"/>
    <n v="30"/>
    <m/>
    <n v="100"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2"/>
    <n v="0.34394542776575893"/>
    <n v="0"/>
    <n v="0"/>
    <s v=""/>
    <n v="0"/>
    <n v="4"/>
    <n v="0.49795090562440414"/>
    <n v="0"/>
    <n v="0"/>
    <s v=""/>
    <n v="0"/>
    <n v="3"/>
    <n v="0.29648384329425226"/>
    <n v="0"/>
    <n v="9"/>
    <n v="0.30401020105069487"/>
    <n v="1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22"/>
    <x v="1"/>
    <m/>
    <m/>
    <m/>
    <m/>
    <m/>
    <m/>
    <m/>
    <m/>
    <m/>
    <m/>
    <m/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n v="93"/>
    <n v="7.5"/>
    <n v="0"/>
    <n v="0"/>
    <n v="0"/>
    <n v="847044"/>
    <n v="68310"/>
    <n v="0"/>
    <n v="0"/>
    <n v="84"/>
    <n v="391104"/>
    <n v="187425"/>
    <n v="5"/>
    <n v="85.5"/>
    <n v="5"/>
    <n v="0"/>
    <n v="0"/>
    <n v="0"/>
    <n v="0"/>
    <n v="778734"/>
    <n v="45540"/>
    <n v="0"/>
    <n v="0"/>
    <n v="85.5"/>
    <n v="778734"/>
    <n v="124950"/>
    <n v="5"/>
    <n v="80.5"/>
    <n v="5"/>
    <m/>
    <n v="0"/>
    <n v="0"/>
    <n v="733194"/>
    <n v="45540"/>
    <n v="0"/>
    <n v="0"/>
    <n v="80.5"/>
    <n v="733194"/>
    <n v="124950"/>
    <n v="5"/>
    <n v="75.5"/>
    <n v="5"/>
    <n v="0"/>
    <n v="0"/>
    <n v="687654"/>
    <n v="45540"/>
    <n v="0"/>
    <n v="0"/>
    <n v="75.5"/>
    <n v="687654"/>
    <n v="124950"/>
    <n v="5"/>
    <n v="70.5"/>
    <n v="5"/>
    <n v="0"/>
    <m/>
    <n v="642114"/>
    <n v="23280"/>
    <n v="0"/>
    <n v="70.5"/>
    <n v="642114"/>
    <n v="124950"/>
  </r>
  <r>
    <m/>
    <x v="9"/>
    <x v="34"/>
    <x v="84"/>
    <n v="1660859424566"/>
    <x v="791"/>
    <x v="624"/>
    <x v="0"/>
    <x v="3"/>
    <n v="1"/>
    <x v="31"/>
    <n v="663"/>
    <m/>
    <n v="0"/>
    <n v="5853"/>
    <n v="3880539"/>
    <n v="4.5999999999999996"/>
    <n v="5025.5"/>
    <n v="16798.319327731093"/>
    <n v="15957.983193277312"/>
    <s v="Shenzhen"/>
    <x v="0"/>
    <n v="30"/>
    <m/>
    <n v="50"/>
    <n v="73"/>
    <n v="0.7060935127262874"/>
    <n v="105"/>
    <n v="0.69184364992135161"/>
    <n v="128"/>
    <n v="0.70591432311379987"/>
    <n v="87"/>
    <n v="0.70582471897168864"/>
    <n v="89"/>
    <n v="0.73231097963534286"/>
    <n v="315"/>
    <n v="0.69611040897013832"/>
    <n v="53"/>
    <n v="0.72335209661873034"/>
    <n v="45"/>
    <n v="0.71729139962523847"/>
    <n v="41"/>
    <n v="0.71238893978120366"/>
    <n v="257"/>
    <n v="0.67530210007290681"/>
    <n v="290"/>
    <n v="0.6906688260438979"/>
    <n v="11"/>
    <n v="0.69002009821738275"/>
    <n v="29"/>
    <n v="0.4464346920366481"/>
    <n v="127"/>
    <n v="0.4509123665283804"/>
    <n v="205"/>
    <n v="0.42332830961138596"/>
    <n v="281"/>
    <n v="0.3768685941747415"/>
    <n v="1.405"/>
    <n v="250"/>
    <n v="0.70928696425881421"/>
    <n v="1"/>
    <n v="12"/>
    <n v="0.31579905472588504"/>
    <n v="0.04"/>
    <n v="0"/>
    <s v=""/>
    <n v="0"/>
    <n v="44"/>
    <n v="0.44841196717463494"/>
    <n v="0.14666666666666667"/>
    <n v="13"/>
    <n v="0.36983632411809114"/>
    <n v="4.3333333333333335E-2"/>
    <m/>
    <m/>
    <m/>
    <m/>
    <m/>
    <m/>
    <m/>
    <m/>
    <m/>
    <n v="150"/>
    <n v="29"/>
    <n v="150"/>
    <n v="200"/>
    <n v="200"/>
    <n v="0"/>
    <n v="3192811.5"/>
    <n v="138069"/>
    <n v="877950"/>
    <n v="0"/>
    <n v="663"/>
    <n v="3880539"/>
    <n v="2117435.209377869"/>
    <n v="150"/>
    <n v="201"/>
    <n v="190.5"/>
    <n v="165"/>
    <n v="165"/>
    <n v="0"/>
    <n v="3959554.5"/>
    <n v="956961"/>
    <n v="1114996.5"/>
    <n v="0"/>
    <n v="663"/>
    <n v="3880539"/>
    <n v="2689142.7159098936"/>
    <n v="150"/>
    <n v="172"/>
    <n v="205"/>
    <n v="0"/>
    <n v="0"/>
    <n v="4034808"/>
    <n v="1006716"/>
    <n v="1199865"/>
    <n v="0"/>
    <n v="663"/>
    <n v="3880539"/>
    <n v="3443655.4621848739"/>
    <n v="200"/>
    <n v="498"/>
    <n v="281"/>
    <n v="500"/>
    <n v="0"/>
    <n v="2370978"/>
    <n v="1644693"/>
    <x v="110"/>
    <x v="0"/>
    <n v="663"/>
    <n v="3880539"/>
    <n v="4720327.7310924372"/>
    <n v="250"/>
    <n v="913"/>
    <n v="250"/>
    <m/>
    <n v="0"/>
    <n v="0"/>
    <n v="5343789"/>
    <n v="1190250"/>
    <x v="0"/>
    <n v="0"/>
    <n v="663"/>
    <n v="3880539"/>
    <n v="4199579.8319327729"/>
    <n v="300"/>
    <n v="675"/>
    <n v="12"/>
    <m/>
    <n v="0"/>
    <n v="0"/>
    <n v="3950775"/>
    <n v="57132"/>
    <n v="0"/>
    <n v="0"/>
    <n v="675"/>
    <n v="3880539"/>
    <n v="201579.83193277312"/>
    <n v="300"/>
    <n v="663"/>
    <n v="0"/>
    <n v="300"/>
    <n v="300"/>
    <n v="0"/>
    <n v="3880539"/>
    <n v="0"/>
    <n v="1380689.9999999998"/>
    <n v="0"/>
    <n v="663"/>
    <n v="3880539"/>
    <n v="0"/>
    <n v="300"/>
    <n v="707"/>
    <n v="45"/>
    <n v="200"/>
    <n v="200"/>
    <n v="0"/>
    <n v="4138071"/>
    <n v="214245"/>
    <n v="952200"/>
    <n v="0"/>
    <n v="707"/>
    <n v="4138071"/>
    <n v="755924.36974789924"/>
    <n v="300"/>
    <n v="676"/>
    <n v="7.5"/>
    <n v="450"/>
    <n v="450"/>
    <n v="0"/>
    <n v="3218436"/>
    <n v="35707.5"/>
    <n v="2142450"/>
    <n v="0"/>
    <n v="663"/>
    <n v="3880539"/>
    <n v="125987.3949579832"/>
    <n v="300"/>
    <n v="668.5"/>
    <n v="300"/>
    <n v="0"/>
    <n v="0"/>
    <n v="0"/>
    <n v="450"/>
    <n v="3182728.5"/>
    <n v="1428300"/>
    <n v="0"/>
    <n v="0"/>
    <n v="668.5"/>
    <n v="3182728.5"/>
    <n v="4787394.9579831939"/>
    <n v="300"/>
    <n v="368.5"/>
    <n v="300"/>
    <n v="0"/>
    <n v="0"/>
    <n v="0"/>
    <n v="1754428.5"/>
    <n v="1428300"/>
    <n v="0"/>
    <n v="0"/>
    <n v="368.5"/>
    <n v="1754428.5"/>
    <n v="4787394.9579831939"/>
    <n v="300"/>
    <n v="68.5"/>
    <n v="300"/>
    <n v="500"/>
    <n v="500"/>
    <n v="326128.5"/>
    <n v="1428300"/>
    <n v="2380500"/>
    <n v="2380500"/>
    <n v="568.5"/>
    <n v="2706628.5"/>
    <n v="5039495.7983193276"/>
    <n v="180"/>
    <n v="268.5"/>
    <n v="180"/>
    <n v="500"/>
    <m/>
    <n v="1278328.5"/>
    <n v="1053540"/>
    <n v="0"/>
    <n v="268.5"/>
    <n v="1278328.5"/>
    <n v="3023697.478991597"/>
  </r>
  <r>
    <m/>
    <x v="9"/>
    <x v="34"/>
    <x v="84"/>
    <s v="XRCOBMOT-BS"/>
    <x v="792"/>
    <x v="625"/>
    <x v="0"/>
    <x v="4"/>
    <n v="1"/>
    <x v="436"/>
    <n v="303"/>
    <m/>
    <n v="0"/>
    <n v="4980"/>
    <n v="1508940"/>
    <n v="4.5999999999999996"/>
    <n v="5025.5"/>
    <n v="12669.327731092437"/>
    <n v="10768.928571428571"/>
    <s v="Shenzhen"/>
    <x v="0"/>
    <n v="30"/>
    <m/>
    <n v="50"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n v="0"/>
    <s v=""/>
    <n v="0"/>
    <n v="0"/>
    <s v=""/>
    <n v="0"/>
    <n v="5"/>
    <n v="0.5910320305025204"/>
    <n v="0"/>
    <n v="3"/>
    <n v="0.39455565652962887"/>
    <n v="0.6"/>
    <n v="4"/>
    <n v="0.41708366048759626"/>
    <n v="0.4"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303"/>
    <n v="1508940"/>
    <n v="0"/>
    <n v="0"/>
    <n v="0"/>
    <n v="0"/>
    <n v="0"/>
    <n v="0"/>
    <n v="0"/>
    <n v="0"/>
    <n v="0"/>
    <n v="0"/>
    <n v="303"/>
    <n v="1508940"/>
    <n v="0"/>
    <n v="0"/>
    <n v="0"/>
    <n v="0"/>
    <n v="0"/>
    <n v="0"/>
    <n v="0"/>
    <n v="0"/>
    <x v="0"/>
    <x v="0"/>
    <n v="303"/>
    <n v="1508940"/>
    <n v="0"/>
    <n v="0"/>
    <n v="303"/>
    <n v="0"/>
    <m/>
    <n v="0"/>
    <n v="0"/>
    <n v="1508940"/>
    <n v="0"/>
    <x v="0"/>
    <n v="0"/>
    <n v="303"/>
    <n v="1508940"/>
    <n v="0"/>
    <n v="0"/>
    <n v="303"/>
    <n v="0"/>
    <m/>
    <n v="0"/>
    <n v="0"/>
    <n v="1508940"/>
    <n v="0"/>
    <n v="0"/>
    <n v="0"/>
    <n v="303"/>
    <n v="1508940"/>
    <n v="0"/>
    <n v="0"/>
    <n v="308"/>
    <n v="5"/>
    <n v="150"/>
    <n v="150"/>
    <n v="0"/>
    <n v="1533840"/>
    <n v="23805"/>
    <n v="690344.99999999988"/>
    <n v="0"/>
    <n v="308"/>
    <n v="1508940"/>
    <n v="63346.638655462186"/>
    <n v="5"/>
    <n v="306"/>
    <n v="3"/>
    <n v="0"/>
    <n v="0"/>
    <n v="0"/>
    <n v="1523880"/>
    <n v="14283"/>
    <n v="0"/>
    <n v="0"/>
    <n v="306"/>
    <n v="1523880"/>
    <n v="38007.983193277309"/>
    <n v="10"/>
    <n v="307"/>
    <n v="1.5"/>
    <n v="120"/>
    <n v="120"/>
    <n v="0"/>
    <n v="1461627"/>
    <n v="7141.5"/>
    <n v="571320"/>
    <n v="0"/>
    <n v="303"/>
    <n v="1508940"/>
    <n v="19003.991596638654"/>
    <n v="20"/>
    <n v="305.5"/>
    <n v="20"/>
    <n v="0"/>
    <n v="0"/>
    <n v="0"/>
    <n v="0"/>
    <n v="1454485.5"/>
    <n v="95220"/>
    <n v="0"/>
    <n v="0"/>
    <n v="305.5"/>
    <n v="1454485.5"/>
    <n v="215378.57142857142"/>
    <n v="20"/>
    <n v="285.5"/>
    <n v="20"/>
    <n v="0"/>
    <n v="0"/>
    <n v="0"/>
    <n v="1359265.5"/>
    <n v="95220"/>
    <n v="0"/>
    <n v="0"/>
    <n v="285.5"/>
    <n v="1359265.5"/>
    <n v="215378.57142857142"/>
    <n v="20"/>
    <n v="265.5"/>
    <n v="20"/>
    <n v="0"/>
    <n v="0"/>
    <n v="1264045.5"/>
    <n v="95220"/>
    <n v="0"/>
    <n v="0"/>
    <n v="265.5"/>
    <n v="1264045.5"/>
    <n v="253386.55462184874"/>
    <n v="12"/>
    <n v="245.5"/>
    <n v="12"/>
    <n v="0"/>
    <m/>
    <n v="1168825.5"/>
    <n v="59760"/>
    <n v="0"/>
    <n v="245.5"/>
    <n v="1168825.5"/>
    <n v="152031.93277310923"/>
  </r>
  <r>
    <m/>
    <x v="9"/>
    <x v="34"/>
    <x v="84"/>
    <s v="XRCOBSUV-BS"/>
    <x v="793"/>
    <x v="626"/>
    <x v="0"/>
    <x v="4"/>
    <n v="1"/>
    <x v="437"/>
    <n v="219"/>
    <m/>
    <n v="0"/>
    <n v="7064"/>
    <n v="1547016"/>
    <n v="4.5999999999999996"/>
    <n v="5025.5"/>
    <n v="12669.327731092437"/>
    <n v="10768.928571428571"/>
    <s v="Shenzhen"/>
    <x v="0"/>
    <n v="30"/>
    <m/>
    <n v="50"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n v="0"/>
    <s v=""/>
    <n v="0"/>
    <n v="0"/>
    <s v=""/>
    <n v="0"/>
    <n v="31"/>
    <n v="0.69312185586014985"/>
    <n v="3.1"/>
    <n v="35"/>
    <n v="0.37219552184305293"/>
    <n v="1.1666666666666667"/>
    <n v="61"/>
    <n v="0.40838249107116853"/>
    <n v="1.5249999999999999"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219"/>
    <n v="1547016"/>
    <n v="0"/>
    <n v="0"/>
    <n v="0"/>
    <n v="0"/>
    <n v="0"/>
    <n v="0"/>
    <n v="0"/>
    <n v="0"/>
    <n v="0"/>
    <n v="0"/>
    <n v="219"/>
    <n v="1547016"/>
    <n v="0"/>
    <n v="0"/>
    <n v="0"/>
    <n v="0"/>
    <n v="0"/>
    <n v="0"/>
    <n v="0"/>
    <n v="0"/>
    <x v="0"/>
    <x v="0"/>
    <n v="219"/>
    <n v="1547016"/>
    <n v="0"/>
    <n v="0"/>
    <n v="219"/>
    <n v="0"/>
    <m/>
    <n v="0"/>
    <n v="0"/>
    <n v="1547016"/>
    <n v="0"/>
    <x v="0"/>
    <n v="0"/>
    <n v="219"/>
    <n v="1547016"/>
    <n v="0"/>
    <n v="0"/>
    <n v="219"/>
    <n v="0"/>
    <m/>
    <n v="0"/>
    <n v="0"/>
    <n v="1547016"/>
    <n v="0"/>
    <n v="0"/>
    <n v="0"/>
    <n v="219"/>
    <n v="1547016"/>
    <n v="0"/>
    <n v="10"/>
    <n v="250"/>
    <n v="31"/>
    <n v="150"/>
    <n v="150"/>
    <n v="0"/>
    <n v="1766000"/>
    <n v="147591"/>
    <n v="690344.99999999988"/>
    <n v="0"/>
    <n v="250"/>
    <n v="1547016"/>
    <n v="392749.15966386552"/>
    <n v="30"/>
    <n v="254"/>
    <n v="36"/>
    <n v="0"/>
    <n v="0"/>
    <n v="0"/>
    <n v="1794256"/>
    <n v="171396"/>
    <n v="0"/>
    <n v="0"/>
    <n v="254"/>
    <n v="1794256"/>
    <n v="456095.7983193277"/>
    <n v="40"/>
    <n v="280"/>
    <n v="70.5"/>
    <n v="150"/>
    <n v="150"/>
    <n v="0"/>
    <n v="1333080"/>
    <n v="335650.5"/>
    <n v="714150"/>
    <n v="0"/>
    <n v="219"/>
    <n v="1547016"/>
    <n v="893187.60504201683"/>
    <n v="60"/>
    <n v="209.5"/>
    <n v="60"/>
    <n v="0"/>
    <n v="0"/>
    <n v="0"/>
    <n v="150"/>
    <n v="997429.5"/>
    <n v="285660"/>
    <n v="0"/>
    <n v="0"/>
    <n v="209.5"/>
    <n v="997429.5"/>
    <n v="646135.7142857142"/>
    <n v="80"/>
    <n v="149.5"/>
    <n v="80"/>
    <m/>
    <n v="0"/>
    <n v="0"/>
    <n v="711769.5"/>
    <n v="380880"/>
    <n v="0"/>
    <n v="0"/>
    <n v="149.5"/>
    <n v="711769.5"/>
    <n v="861514.28571428568"/>
    <n v="80"/>
    <n v="69.5"/>
    <n v="80"/>
    <n v="75"/>
    <n v="75"/>
    <n v="330889.5"/>
    <n v="380880"/>
    <n v="357075"/>
    <n v="357075"/>
    <n v="144.5"/>
    <n v="687964.5"/>
    <n v="1013546.218487395"/>
    <n v="48"/>
    <n v="64.5"/>
    <n v="48"/>
    <n v="0"/>
    <m/>
    <n v="307084.5"/>
    <n v="339072"/>
    <n v="0"/>
    <n v="64.5"/>
    <n v="307084.5"/>
    <n v="608127.73109243694"/>
  </r>
  <r>
    <m/>
    <x v="9"/>
    <x v="34"/>
    <x v="84"/>
    <s v="XRFUNCASUN-BK"/>
    <x v="794"/>
    <x v="627"/>
    <x v="0"/>
    <x v="4"/>
    <n v="1"/>
    <x v="438"/>
    <n v="124"/>
    <m/>
    <n v="0"/>
    <n v="25773"/>
    <n v="3195852"/>
    <n v="20"/>
    <n v="21850"/>
    <n v="50411.764705882357"/>
    <n v="50411.764705882357"/>
    <s v="Ningbo"/>
    <x v="0"/>
    <n v="30"/>
    <m/>
    <n v="1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0"/>
    <n v="0.23865038479680287"/>
    <n v="2"/>
    <n v="12"/>
    <n v="0.5897632518931275"/>
    <n v="0.6"/>
    <n v="11"/>
    <n v="0.36957698213550055"/>
    <n v="0.27500000000000002"/>
    <n v="4"/>
    <n v="0.47786106564829967"/>
    <n v="0.26666666666666666"/>
    <n v="14"/>
    <n v="0.32305180214526713"/>
    <n v="1.4"/>
    <n v="15"/>
    <n v="0.32869994991815593"/>
    <n v="1.5"/>
    <m/>
    <m/>
    <m/>
    <m/>
    <m/>
    <m/>
    <m/>
    <m/>
    <m/>
    <n v="0"/>
    <n v="0"/>
    <n v="0"/>
    <n v="0"/>
    <m/>
    <n v="0"/>
    <n v="0"/>
    <n v="0"/>
    <n v="0"/>
    <n v="0"/>
    <n v="124"/>
    <n v="3195852"/>
    <n v="0"/>
    <n v="5"/>
    <n v="0"/>
    <n v="0"/>
    <n v="100"/>
    <n v="100"/>
    <n v="0"/>
    <n v="257730"/>
    <n v="0"/>
    <n v="0"/>
    <n v="0"/>
    <n v="124"/>
    <n v="3195852"/>
    <n v="0"/>
    <n v="0"/>
    <n v="0"/>
    <n v="0"/>
    <n v="0"/>
    <n v="0"/>
    <n v="671730"/>
    <n v="0"/>
    <n v="0"/>
    <n v="0"/>
    <n v="124"/>
    <n v="3195852"/>
    <n v="0"/>
    <n v="5"/>
    <n v="100"/>
    <n v="10"/>
    <n v="0"/>
    <n v="0"/>
    <n v="2070000"/>
    <n v="257730"/>
    <x v="0"/>
    <x v="0"/>
    <n v="124"/>
    <n v="3195852"/>
    <n v="504117.64705882355"/>
    <n v="20"/>
    <n v="136"/>
    <n v="20"/>
    <m/>
    <n v="0"/>
    <n v="0"/>
    <n v="3505128"/>
    <n v="414000"/>
    <x v="0"/>
    <n v="0"/>
    <n v="124"/>
    <n v="3195852"/>
    <n v="1008235.2941176471"/>
    <n v="40"/>
    <n v="135"/>
    <n v="11"/>
    <m/>
    <n v="0"/>
    <n v="0"/>
    <n v="3479355"/>
    <n v="227700"/>
    <n v="0"/>
    <n v="0"/>
    <n v="135"/>
    <n v="3195852"/>
    <n v="554529.4117647059"/>
    <n v="15"/>
    <n v="128"/>
    <n v="4"/>
    <n v="100"/>
    <n v="0"/>
    <n v="0"/>
    <n v="3298944"/>
    <n v="82800"/>
    <n v="2001000"/>
    <n v="0"/>
    <n v="128"/>
    <n v="3195852"/>
    <n v="201647.05882352943"/>
    <n v="10"/>
    <n v="138"/>
    <n v="14"/>
    <n v="0"/>
    <n v="100"/>
    <n v="0"/>
    <n v="3556674"/>
    <n v="289800"/>
    <n v="0"/>
    <n v="0"/>
    <n v="138"/>
    <n v="3556674"/>
    <n v="705764.70588235301"/>
    <n v="10"/>
    <n v="139"/>
    <n v="22.5"/>
    <n v="0"/>
    <n v="0"/>
    <n v="0"/>
    <n v="2877300"/>
    <n v="465750"/>
    <n v="0"/>
    <n v="0"/>
    <n v="124"/>
    <n v="3195852"/>
    <n v="1134264.705882353"/>
    <n v="20"/>
    <n v="116.5"/>
    <n v="20"/>
    <n v="0"/>
    <n v="0"/>
    <n v="0"/>
    <m/>
    <n v="2411550"/>
    <n v="414000"/>
    <n v="0"/>
    <n v="0"/>
    <n v="116.5"/>
    <n v="2411550"/>
    <n v="1008235.2941176471"/>
    <n v="20"/>
    <n v="96.5"/>
    <n v="20"/>
    <m/>
    <n v="0"/>
    <n v="0"/>
    <n v="1997550"/>
    <n v="414000"/>
    <n v="0"/>
    <n v="0"/>
    <n v="96.5"/>
    <n v="1997550"/>
    <n v="1008235.2941176471"/>
    <n v="30"/>
    <n v="76.5"/>
    <n v="30"/>
    <n v="0"/>
    <n v="0"/>
    <n v="1583550"/>
    <n v="621000"/>
    <n v="0"/>
    <n v="0"/>
    <n v="76.5"/>
    <n v="1583550"/>
    <n v="1512352.9411764706"/>
    <n v="12"/>
    <n v="46.5"/>
    <n v="12"/>
    <n v="0"/>
    <m/>
    <n v="962550"/>
    <n v="309276"/>
    <n v="0"/>
    <n v="46.5"/>
    <n v="962550"/>
    <n v="604941.17647058831"/>
  </r>
  <r>
    <m/>
    <x v="9"/>
    <x v="34"/>
    <x v="84"/>
    <s v="XRPISUNIS3-BK"/>
    <x v="795"/>
    <x v="628"/>
    <x v="0"/>
    <x v="4"/>
    <n v="1"/>
    <x v="439"/>
    <n v="207"/>
    <m/>
    <n v="0"/>
    <n v="5040"/>
    <n v="1043280"/>
    <n v="3"/>
    <n v="3277.4999999999995"/>
    <n v="8262.6050420168049"/>
    <n v="10915.966386554623"/>
    <s v="Shenzhen"/>
    <x v="0"/>
    <n v="30"/>
    <m/>
    <n v="100"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1"/>
    <n v="0.2000720945020768"/>
    <n v="0"/>
    <s v=""/>
    <n v="0"/>
    <n v="2"/>
    <n v="0.51084244164505366"/>
    <n v="6.6666666666666666E-2"/>
    <n v="11"/>
    <n v="0.48417894462567163"/>
    <n v="0.27500000000000002"/>
    <n v="20"/>
    <n v="0.53322486700206484"/>
    <n v="1.6666666666666667"/>
    <n v="29"/>
    <n v="0.30263103599721924"/>
    <n v="1.45"/>
    <n v="15"/>
    <n v="0.30220826470210804"/>
    <n v="0.75"/>
    <m/>
    <m/>
    <m/>
    <m/>
    <m/>
    <m/>
    <m/>
    <m/>
    <m/>
    <n v="0"/>
    <n v="0"/>
    <n v="0"/>
    <n v="0"/>
    <m/>
    <n v="0"/>
    <n v="5040"/>
    <n v="0"/>
    <n v="0"/>
    <n v="0"/>
    <n v="207"/>
    <n v="1043280"/>
    <n v="0"/>
    <n v="5"/>
    <n v="0"/>
    <n v="0"/>
    <n v="100"/>
    <n v="100"/>
    <n v="0"/>
    <n v="5040"/>
    <n v="0"/>
    <n v="0"/>
    <n v="0"/>
    <n v="207"/>
    <n v="1043280"/>
    <n v="0"/>
    <n v="0"/>
    <n v="0"/>
    <n v="1"/>
    <n v="0"/>
    <n v="0"/>
    <n v="98189.999999999985"/>
    <n v="0"/>
    <n v="5040"/>
    <n v="0"/>
    <n v="207"/>
    <n v="1043280"/>
    <n v="8262.6050420168049"/>
    <n v="10"/>
    <n v="95"/>
    <n v="0"/>
    <n v="0"/>
    <n v="0"/>
    <n v="294974.99999999994"/>
    <n v="0"/>
    <x v="0"/>
    <x v="0"/>
    <n v="207"/>
    <n v="1043280"/>
    <n v="0"/>
    <n v="30"/>
    <n v="209"/>
    <n v="30"/>
    <m/>
    <n v="0"/>
    <n v="0"/>
    <n v="1053360"/>
    <n v="93149.999999999985"/>
    <x v="0"/>
    <n v="0"/>
    <n v="207"/>
    <n v="1043280"/>
    <n v="247878.15126050415"/>
    <n v="40"/>
    <n v="218"/>
    <n v="11"/>
    <m/>
    <n v="0"/>
    <n v="0"/>
    <n v="1098720"/>
    <n v="34154.999999999993"/>
    <n v="0"/>
    <n v="0"/>
    <n v="218"/>
    <n v="1043280"/>
    <n v="90888.655462184848"/>
    <n v="12"/>
    <n v="227"/>
    <n v="20"/>
    <n v="100"/>
    <n v="100"/>
    <n v="0"/>
    <n v="1144080"/>
    <n v="62099.999999999993"/>
    <n v="300149.99999999994"/>
    <n v="0"/>
    <n v="227"/>
    <n v="1043280"/>
    <n v="165252.10084033609"/>
    <n v="20"/>
    <n v="236"/>
    <n v="29"/>
    <n v="0"/>
    <n v="0"/>
    <n v="0"/>
    <n v="1189440"/>
    <n v="90044.999999999985"/>
    <n v="0"/>
    <n v="0"/>
    <n v="236"/>
    <n v="1189440"/>
    <n v="239615.54621848735"/>
    <n v="20"/>
    <n v="222"/>
    <n v="16.5"/>
    <n v="100"/>
    <n v="100"/>
    <n v="0"/>
    <n v="689309.99999999988"/>
    <n v="51232.499999999993"/>
    <n v="310499.99999999994"/>
    <n v="0"/>
    <n v="207"/>
    <n v="1043280"/>
    <n v="136332.98319327729"/>
    <n v="20"/>
    <n v="205.5"/>
    <n v="20"/>
    <n v="0"/>
    <n v="0"/>
    <n v="0"/>
    <n v="100"/>
    <n v="638077.49999999988"/>
    <n v="62099.999999999993"/>
    <n v="0"/>
    <n v="0"/>
    <n v="205.5"/>
    <n v="638077.49999999988"/>
    <n v="218319.32773109246"/>
    <n v="20"/>
    <n v="185.5"/>
    <n v="20"/>
    <m/>
    <n v="0"/>
    <n v="0"/>
    <n v="575977.49999999988"/>
    <n v="62099.999999999993"/>
    <n v="0"/>
    <n v="0"/>
    <n v="185.5"/>
    <n v="575977.49999999988"/>
    <n v="218319.32773109246"/>
    <n v="25"/>
    <n v="165.5"/>
    <n v="25"/>
    <n v="0"/>
    <n v="0"/>
    <n v="513877.49999999994"/>
    <n v="77624.999999999985"/>
    <n v="0"/>
    <n v="0"/>
    <n v="165.5"/>
    <n v="513877.49999999994"/>
    <n v="206565.12605042013"/>
    <n v="12"/>
    <n v="140.5"/>
    <n v="12"/>
    <n v="0"/>
    <m/>
    <n v="436252.49999999994"/>
    <n v="60480"/>
    <n v="0"/>
    <n v="140.5"/>
    <n v="436252.49999999994"/>
    <n v="99151.260504201666"/>
  </r>
  <r>
    <m/>
    <x v="9"/>
    <x v="34"/>
    <x v="84"/>
    <s v="XRPISUNIS-BK"/>
    <x v="796"/>
    <x v="629"/>
    <x v="0"/>
    <x v="5"/>
    <n v="1"/>
    <x v="440"/>
    <n v="117"/>
    <m/>
    <n v="0"/>
    <n v="3470"/>
    <n v="405990"/>
    <n v="3"/>
    <n v="3277.4999999999995"/>
    <n v="8394.957983193277"/>
    <n v="8394.957983193277"/>
    <s v="Shenzhen"/>
    <x v="0"/>
    <n v="30"/>
    <m/>
    <n v="100"/>
    <n v="0"/>
    <s v=""/>
    <n v="0"/>
    <s v=""/>
    <n v="0"/>
    <s v=""/>
    <n v="0"/>
    <s v=""/>
    <n v="0"/>
    <s v=""/>
    <n v="3"/>
    <n v="0.67536665872664781"/>
    <n v="8"/>
    <n v="0.61640457852285802"/>
    <n v="16"/>
    <n v="0.60386107737104688"/>
    <n v="24"/>
    <n v="0.61640433549668905"/>
    <n v="21"/>
    <n v="0.57728803948592555"/>
    <n v="14"/>
    <n v="0.54974304686551845"/>
    <n v="11"/>
    <n v="0.63768664040097478"/>
    <n v="0"/>
    <s v=""/>
    <n v="7"/>
    <n v="0.55262085367939828"/>
    <n v="17"/>
    <n v="0.40826501536227516"/>
    <n v="12"/>
    <n v="0.47858609554310971"/>
    <n v="0.34285714285714286"/>
    <n v="17"/>
    <n v="0.62557707339267588"/>
    <n v="0.42499999999999999"/>
    <n v="41"/>
    <n v="0.43597217868742288"/>
    <n v="0.82"/>
    <n v="15"/>
    <n v="0.55636875567274868"/>
    <n v="0.6"/>
    <n v="16"/>
    <n v="0.38048702999928719"/>
    <n v="0.8"/>
    <n v="18"/>
    <n v="0.20194105298106085"/>
    <n v="0.9"/>
    <m/>
    <m/>
    <m/>
    <m/>
    <m/>
    <m/>
    <m/>
    <m/>
    <m/>
    <n v="30"/>
    <n v="1"/>
    <n v="30"/>
    <n v="100"/>
    <n v="100"/>
    <n v="0"/>
    <n v="199525"/>
    <n v="3104.9999999999995"/>
    <n v="104100"/>
    <n v="0"/>
    <n v="117"/>
    <n v="405990"/>
    <n v="211637.59621495657"/>
    <n v="25"/>
    <n v="101"/>
    <n v="10.5"/>
    <n v="45"/>
    <n v="45"/>
    <n v="0"/>
    <n v="137065"/>
    <n v="313604.99999999994"/>
    <n v="36435"/>
    <n v="0"/>
    <n v="117"/>
    <n v="405990"/>
    <n v="74073.158675234794"/>
    <n v="30"/>
    <n v="140"/>
    <n v="17"/>
    <n v="0"/>
    <n v="0"/>
    <n v="224830"/>
    <n v="485800"/>
    <n v="58990"/>
    <n v="0"/>
    <n v="117"/>
    <n v="405990"/>
    <n v="142714.28571428571"/>
    <n v="35"/>
    <n v="168"/>
    <n v="12"/>
    <n v="50"/>
    <n v="0"/>
    <n v="521639.99999999994"/>
    <n v="41640"/>
    <x v="111"/>
    <x v="0"/>
    <n v="117"/>
    <n v="405990"/>
    <n v="100739.49579831932"/>
    <n v="40"/>
    <n v="134"/>
    <n v="40"/>
    <m/>
    <n v="0"/>
    <n v="0"/>
    <n v="464980"/>
    <n v="124199.99999999999"/>
    <x v="0"/>
    <n v="0"/>
    <n v="117"/>
    <n v="405990"/>
    <n v="335798.31932773109"/>
    <n v="50"/>
    <n v="158"/>
    <n v="41"/>
    <m/>
    <n v="0"/>
    <n v="0"/>
    <n v="548260"/>
    <n v="127304.99999999999"/>
    <n v="0"/>
    <n v="0"/>
    <n v="158"/>
    <n v="405990"/>
    <n v="344193.27731092437"/>
    <n v="25"/>
    <n v="132"/>
    <n v="15"/>
    <n v="100"/>
    <n v="100"/>
    <n v="0"/>
    <n v="458040"/>
    <n v="46574.999999999993"/>
    <n v="300149.99999999994"/>
    <n v="0"/>
    <n v="132"/>
    <n v="405990"/>
    <n v="125924.36974789915"/>
    <n v="20"/>
    <n v="133"/>
    <n v="16"/>
    <n v="0"/>
    <n v="0"/>
    <n v="0"/>
    <n v="461510"/>
    <n v="49679.999999999993"/>
    <n v="0"/>
    <n v="0"/>
    <n v="133"/>
    <n v="461510"/>
    <n v="134319.32773109243"/>
    <n v="20"/>
    <n v="135"/>
    <n v="22.5"/>
    <n v="0"/>
    <n v="0"/>
    <n v="0"/>
    <n v="419174.99999999994"/>
    <n v="69862.499999999985"/>
    <n v="0"/>
    <n v="0"/>
    <n v="117"/>
    <n v="405990"/>
    <n v="188886.55462184874"/>
    <n v="30"/>
    <n v="112.5"/>
    <n v="30"/>
    <n v="0"/>
    <n v="0"/>
    <n v="0"/>
    <m/>
    <n v="349312.49999999994"/>
    <n v="93149.999999999985"/>
    <n v="0"/>
    <n v="0"/>
    <n v="112.5"/>
    <n v="349312.49999999994"/>
    <n v="251848.73949579831"/>
    <n v="30"/>
    <n v="82.5"/>
    <n v="30"/>
    <m/>
    <n v="0"/>
    <n v="0"/>
    <n v="256162.49999999997"/>
    <n v="93149.999999999985"/>
    <n v="0"/>
    <n v="0"/>
    <n v="82.5"/>
    <n v="256162.49999999997"/>
    <n v="251848.73949579831"/>
    <n v="30"/>
    <n v="52.5"/>
    <n v="30"/>
    <n v="0"/>
    <n v="0"/>
    <n v="163012.49999999997"/>
    <n v="93149.999999999985"/>
    <n v="0"/>
    <n v="0"/>
    <n v="52.5"/>
    <n v="163012.49999999997"/>
    <n v="251848.73949579831"/>
    <n v="18"/>
    <n v="22.5"/>
    <n v="18"/>
    <n v="0"/>
    <m/>
    <n v="69862.499999999985"/>
    <n v="62460"/>
    <n v="0"/>
    <n v="22.5"/>
    <n v="69862.499999999985"/>
    <n v="151109.24369747899"/>
  </r>
  <r>
    <m/>
    <x v="9"/>
    <x v="34"/>
    <x v="85"/>
    <s v="XRCADCANRR"/>
    <x v="797"/>
    <x v="630"/>
    <x v="0"/>
    <x v="4"/>
    <n v="1"/>
    <x v="441"/>
    <n v="200"/>
    <m/>
    <n v="0"/>
    <n v="7565"/>
    <n v="1513000"/>
    <n v="7.15"/>
    <n v="8193.75"/>
    <n v="33605.042016806721"/>
    <n v="29403.361344537818"/>
    <s v="Shenzhen"/>
    <x v="0"/>
    <n v="30"/>
    <m/>
    <n v="100"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s v=""/>
    <n v="0"/>
    <s v=""/>
    <n v="80"/>
    <n v="0.59967672522543702"/>
    <n v="1.6"/>
    <n v="59"/>
    <n v="0.79676955645428038"/>
    <n v="0.65555555555555556"/>
    <n v="83"/>
    <n v="0.52332124248244549"/>
    <n v="0.69166666666666665"/>
    <n v="60"/>
    <n v="0.7525626983065572"/>
    <n v="1"/>
    <n v="22"/>
    <n v="0.52921177522910967"/>
    <n v="0.36666666666666664"/>
    <n v="44"/>
    <n v="0.60982795437143444"/>
    <n v="0.73333333333333328"/>
    <m/>
    <m/>
    <m/>
    <m/>
    <m/>
    <m/>
    <m/>
    <m/>
    <m/>
    <n v="0"/>
    <n v="0"/>
    <n v="0"/>
    <n v="0"/>
    <m/>
    <n v="0"/>
    <n v="0"/>
    <n v="0"/>
    <n v="0"/>
    <n v="0"/>
    <n v="200"/>
    <n v="1513000"/>
    <n v="0"/>
    <n v="5"/>
    <n v="0"/>
    <n v="0"/>
    <n v="300"/>
    <n v="300"/>
    <n v="0"/>
    <n v="605200"/>
    <n v="0"/>
    <n v="0"/>
    <n v="0"/>
    <n v="200"/>
    <n v="1513000"/>
    <n v="0"/>
    <n v="0"/>
    <n v="0"/>
    <n v="0"/>
    <n v="0"/>
    <n v="0"/>
    <n v="1271222.5"/>
    <n v="0"/>
    <n v="0"/>
    <n v="0"/>
    <n v="200"/>
    <n v="1513000"/>
    <n v="0"/>
    <n v="50"/>
    <n v="297"/>
    <n v="80"/>
    <n v="0"/>
    <n v="0"/>
    <n v="2197874.2499999995"/>
    <n v="605200"/>
    <x v="0"/>
    <x v="0"/>
    <n v="200"/>
    <n v="1513000"/>
    <n v="2688403.3613445377"/>
    <n v="90"/>
    <n v="259"/>
    <n v="90"/>
    <m/>
    <n v="0"/>
    <n v="0"/>
    <n v="1959335"/>
    <n v="666022.49999999988"/>
    <x v="0"/>
    <n v="0"/>
    <n v="200"/>
    <n v="1513000"/>
    <n v="3024453.781512605"/>
    <n v="120"/>
    <n v="283"/>
    <n v="83"/>
    <m/>
    <n v="0"/>
    <n v="0"/>
    <n v="2140895"/>
    <n v="614220.74999999988"/>
    <n v="0"/>
    <n v="0"/>
    <n v="283"/>
    <n v="1513000"/>
    <n v="2789218.4873949578"/>
    <n v="60"/>
    <n v="260"/>
    <n v="60"/>
    <n v="0"/>
    <n v="0"/>
    <n v="0"/>
    <n v="1966900"/>
    <n v="444014.99999999994"/>
    <n v="0"/>
    <n v="0"/>
    <n v="260"/>
    <n v="1513000"/>
    <n v="2016302.5210084033"/>
    <n v="60"/>
    <n v="222"/>
    <n v="22"/>
    <n v="300"/>
    <n v="300"/>
    <n v="0"/>
    <n v="1679430"/>
    <n v="162805.49999999997"/>
    <n v="2220074.9999999995"/>
    <n v="0"/>
    <n v="222"/>
    <n v="1679430"/>
    <n v="739310.92436974787"/>
    <n v="60"/>
    <n v="244"/>
    <n v="46.5"/>
    <n v="0"/>
    <n v="0"/>
    <n v="0"/>
    <n v="1805660.9999999998"/>
    <n v="344111.62499999994"/>
    <n v="0"/>
    <n v="0"/>
    <n v="200"/>
    <n v="1513000"/>
    <n v="1562634.4537815126"/>
    <n v="120"/>
    <n v="197.5"/>
    <n v="120"/>
    <n v="0"/>
    <n v="0"/>
    <n v="0"/>
    <m/>
    <n v="1461549.3749999998"/>
    <n v="888029.99999999988"/>
    <n v="0"/>
    <n v="0"/>
    <n v="197.5"/>
    <n v="1461549.3749999998"/>
    <n v="3528403.3613445382"/>
    <n v="100"/>
    <n v="77.5"/>
    <n v="77.5"/>
    <n v="0"/>
    <n v="0"/>
    <n v="0"/>
    <n v="573519.37499999988"/>
    <n v="573519.37499999988"/>
    <n v="0"/>
    <n v="0"/>
    <n v="77.5"/>
    <n v="573519.37499999988"/>
    <n v="2278760.5042016809"/>
    <n v="100"/>
    <n v="0"/>
    <n v="100"/>
    <n v="300"/>
    <n v="300"/>
    <n v="0"/>
    <n v="740024.99999999988"/>
    <n v="2220074.9999999995"/>
    <n v="2220074.9999999995"/>
    <n v="300"/>
    <n v="2220074.9999999995"/>
    <n v="3360504.2016806724"/>
    <n v="60"/>
    <n v="200"/>
    <n v="60"/>
    <n v="0"/>
    <m/>
    <n v="1480049.9999999998"/>
    <n v="453900"/>
    <n v="0"/>
    <n v="200"/>
    <n v="1480049.9999999998"/>
    <n v="2016302.5210084033"/>
  </r>
  <r>
    <m/>
    <x v="9"/>
    <x v="35"/>
    <x v="86"/>
    <n v="1650301031879"/>
    <x v="798"/>
    <x v="631"/>
    <x v="0"/>
    <x v="1"/>
    <n v="1"/>
    <x v="31"/>
    <n v="107"/>
    <m/>
    <n v="0"/>
    <n v="23648"/>
    <n v="2530336"/>
    <n v="20.7"/>
    <n v="22614.75"/>
    <n v="50411.764705882357"/>
    <n v="42008.403361344543"/>
    <s v="Shenzhen"/>
    <x v="0"/>
    <n v="30"/>
    <m/>
    <n v="50"/>
    <n v="144"/>
    <n v="0.6339830818051353"/>
    <n v="35"/>
    <n v="0.64080143655841926"/>
    <n v="30"/>
    <n v="0.64222926273971981"/>
    <n v="23"/>
    <n v="0.63303308667633362"/>
    <n v="20"/>
    <n v="0.59853152450475422"/>
    <n v="89"/>
    <n v="0.5444348762068717"/>
    <n v="74"/>
    <n v="0.57756292079351323"/>
    <n v="59"/>
    <n v="0.57400158133077406"/>
    <n v="37"/>
    <n v="0.64361250890000077"/>
    <n v="124"/>
    <n v="0.49921821942065175"/>
    <n v="84"/>
    <n v="0.52815940435598319"/>
    <n v="88"/>
    <n v="0.58749851013120746"/>
    <n v="190"/>
    <n v="0.49476729277259213"/>
    <n v="74"/>
    <n v="0.47418572625762967"/>
    <n v="70"/>
    <n v="0.43200630592459022"/>
    <n v="39"/>
    <n v="0.48867270966193349"/>
    <n v="0.8666666666666667"/>
    <n v="34"/>
    <n v="0.64544382153702395"/>
    <n v="0.75555555555555554"/>
    <n v="86"/>
    <n v="0.39989178139327713"/>
    <n v="1.2285714285714286"/>
    <n v="0"/>
    <s v=""/>
    <n v="0"/>
    <n v="43"/>
    <n v="0.33819637071180614"/>
    <n v="0.57333333333333336"/>
    <n v="42"/>
    <n v="0.29154727839756367"/>
    <n v="0.6"/>
    <m/>
    <m/>
    <m/>
    <m/>
    <m/>
    <m/>
    <m/>
    <m/>
    <m/>
    <n v="120"/>
    <n v="189"/>
    <n v="120"/>
    <n v="100"/>
    <n v="100"/>
    <n v="0"/>
    <n v="7118048"/>
    <n v="4049230.5"/>
    <n v="2837760"/>
    <n v="0"/>
    <n v="107"/>
    <n v="2530336"/>
    <n v="5083539.2980721705"/>
    <n v="75"/>
    <n v="98"/>
    <n v="111"/>
    <n v="143"/>
    <n v="143"/>
    <n v="0"/>
    <n v="5202560"/>
    <n v="2099601"/>
    <n v="2624928"/>
    <n v="0"/>
    <n v="107"/>
    <n v="2530336"/>
    <n v="4702273.8507167585"/>
    <n v="60"/>
    <n v="185"/>
    <n v="70"/>
    <n v="0"/>
    <n v="0"/>
    <n v="3541734.5"/>
    <n v="4374880"/>
    <n v="1655360"/>
    <n v="0"/>
    <n v="107"/>
    <n v="2530336"/>
    <n v="3528823.5294117648"/>
    <n v="45"/>
    <n v="141"/>
    <n v="39"/>
    <n v="15"/>
    <n v="0"/>
    <n v="3020854.5"/>
    <n v="922272"/>
    <x v="112"/>
    <x v="0"/>
    <n v="107"/>
    <n v="2530336"/>
    <n v="1966058.8235294118"/>
    <n v="45"/>
    <n v="141"/>
    <n v="45"/>
    <m/>
    <n v="0"/>
    <n v="0"/>
    <n v="3334368"/>
    <n v="964102.5"/>
    <x v="0"/>
    <n v="0"/>
    <n v="107"/>
    <n v="2530336"/>
    <n v="2268529.411764706"/>
    <n v="70"/>
    <n v="193"/>
    <n v="86"/>
    <m/>
    <n v="0"/>
    <n v="0"/>
    <n v="4564064"/>
    <n v="1842507"/>
    <n v="0"/>
    <n v="0"/>
    <n v="193"/>
    <n v="2530336"/>
    <n v="4335411.7647058824"/>
    <n v="65"/>
    <n v="107"/>
    <n v="0"/>
    <n v="100"/>
    <n v="100"/>
    <n v="0"/>
    <n v="2530336"/>
    <n v="0"/>
    <n v="2071034.9999999998"/>
    <n v="0"/>
    <n v="107"/>
    <n v="2530336"/>
    <n v="0"/>
    <n v="75"/>
    <n v="150"/>
    <n v="44"/>
    <n v="150"/>
    <n v="150"/>
    <n v="0"/>
    <n v="3547200"/>
    <n v="942678"/>
    <n v="3213675"/>
    <n v="0"/>
    <n v="150"/>
    <n v="3547200"/>
    <n v="2218117.6470588236"/>
    <n v="70"/>
    <n v="149"/>
    <n v="31.5"/>
    <n v="0"/>
    <n v="0"/>
    <n v="0"/>
    <n v="3192250.5"/>
    <n v="674871.75"/>
    <n v="0"/>
    <n v="0"/>
    <n v="107"/>
    <n v="2530336"/>
    <n v="1587970.5882352942"/>
    <n v="120"/>
    <n v="117.5"/>
    <n v="117.5"/>
    <n v="100"/>
    <n v="100"/>
    <n v="0"/>
    <n v="0"/>
    <n v="2517378.75"/>
    <n v="2517378.75"/>
    <n v="2142450"/>
    <n v="0"/>
    <n v="117.5"/>
    <n v="2517378.75"/>
    <n v="4935987.3949579839"/>
    <n v="100"/>
    <n v="0"/>
    <n v="100"/>
    <m/>
    <n v="0"/>
    <n v="100"/>
    <n v="0"/>
    <n v="2142450"/>
    <n v="0"/>
    <n v="2142450"/>
    <n v="100"/>
    <n v="2142450"/>
    <n v="0"/>
    <n v="100"/>
    <n v="0"/>
    <n v="100"/>
    <n v="150"/>
    <n v="150"/>
    <n v="0"/>
    <n v="2142450"/>
    <n v="3213675"/>
    <n v="3213675"/>
    <n v="150"/>
    <n v="3213675"/>
    <n v="5041176.4705882361"/>
    <n v="60"/>
    <n v="50"/>
    <n v="60"/>
    <n v="0"/>
    <m/>
    <n v="1071225"/>
    <n v="1418880"/>
    <n v="0"/>
    <n v="50"/>
    <n v="1071225"/>
    <n v="3024705.8823529412"/>
  </r>
  <r>
    <m/>
    <x v="9"/>
    <x v="35"/>
    <x v="86"/>
    <n v="1650302273911"/>
    <x v="799"/>
    <x v="632"/>
    <x v="0"/>
    <x v="3"/>
    <n v="0.75"/>
    <x v="31"/>
    <n v="129"/>
    <m/>
    <n v="0"/>
    <n v="40901"/>
    <n v="5276229"/>
    <n v="36.5"/>
    <n v="39876.25"/>
    <n v="75621.848739495807"/>
    <n v="71420.168067226899"/>
    <s v="Shenzhen"/>
    <x v="0"/>
    <n v="30"/>
    <m/>
    <n v="20"/>
    <n v="67"/>
    <n v="0.4703708414033077"/>
    <n v="29"/>
    <n v="0.48359909283743108"/>
    <n v="2"/>
    <n v="0.44339904982248635"/>
    <n v="4"/>
    <n v="0.52935922493318943"/>
    <n v="0"/>
    <n v="0.53524224933055642"/>
    <n v="5"/>
    <n v="0.46884118303653399"/>
    <n v="2"/>
    <n v="0.5192132867132867"/>
    <n v="4"/>
    <n v="0.53804160948002544"/>
    <n v="8"/>
    <n v="0.54490310042834833"/>
    <n v="11"/>
    <n v="0.46367733353118623"/>
    <n v="11"/>
    <n v="0.49244325114378629"/>
    <n v="28"/>
    <n v="0.47657124278601537"/>
    <n v="67"/>
    <n v="0.36753245285996972"/>
    <n v="23"/>
    <n v="0.34602292499685972"/>
    <n v="3"/>
    <n v="0.31546287608947315"/>
    <n v="0"/>
    <s v=""/>
    <n v="0"/>
    <n v="1"/>
    <n v="0.2849792531120332"/>
    <n v="0.1"/>
    <n v="5"/>
    <n v="0.25330436362612696"/>
    <n v="0.33333333333333331"/>
    <n v="0"/>
    <s v=""/>
    <n v="0"/>
    <n v="9"/>
    <n v="0.28399170161211773"/>
    <n v="1.8"/>
    <n v="20"/>
    <n v="0.15684688984917369"/>
    <n v="4"/>
    <m/>
    <m/>
    <m/>
    <m/>
    <m/>
    <m/>
    <m/>
    <m/>
    <m/>
    <n v="50"/>
    <n v="166"/>
    <n v="50"/>
    <n v="50"/>
    <n v="50"/>
    <n v="0"/>
    <n v="3578837.5"/>
    <n v="6271065"/>
    <n v="2045050"/>
    <n v="0"/>
    <n v="129"/>
    <n v="5276229"/>
    <n v="3177388.602499824"/>
    <n v="10"/>
    <n v="81"/>
    <n v="34.5"/>
    <n v="0"/>
    <n v="0"/>
    <n v="0"/>
    <n v="1533787.5"/>
    <n v="3059977.5"/>
    <n v="1411084.5"/>
    <n v="0"/>
    <n v="129"/>
    <n v="5276229"/>
    <n v="2192398.1357248784"/>
    <n v="20"/>
    <n v="71"/>
    <n v="3"/>
    <n v="0"/>
    <n v="0"/>
    <n v="406034.25"/>
    <n v="2903971"/>
    <n v="122703"/>
    <n v="0"/>
    <n v="129"/>
    <n v="5276229"/>
    <n v="226865.54621848743"/>
    <n v="4"/>
    <n v="71"/>
    <n v="0"/>
    <n v="0"/>
    <n v="0"/>
    <n v="2682202.5"/>
    <n v="0"/>
    <x v="0"/>
    <x v="0"/>
    <n v="129"/>
    <n v="5276229"/>
    <n v="0"/>
    <n v="10"/>
    <n v="130"/>
    <n v="7.5"/>
    <m/>
    <n v="0"/>
    <n v="0"/>
    <n v="5317130"/>
    <n v="283331.25"/>
    <x v="0"/>
    <n v="0"/>
    <n v="129"/>
    <n v="5276229"/>
    <n v="567163.86554621859"/>
    <n v="15"/>
    <n v="134"/>
    <n v="5"/>
    <m/>
    <n v="0"/>
    <n v="0"/>
    <n v="5480734"/>
    <n v="188887.5"/>
    <n v="0"/>
    <n v="0"/>
    <n v="134"/>
    <n v="5276229"/>
    <n v="378109.24369747902"/>
    <n v="10"/>
    <n v="129"/>
    <n v="0"/>
    <n v="100"/>
    <n v="100"/>
    <n v="0"/>
    <n v="5276229"/>
    <n v="0"/>
    <n v="3651825"/>
    <n v="0"/>
    <n v="129"/>
    <n v="5276229"/>
    <n v="0"/>
    <n v="5"/>
    <n v="138"/>
    <n v="9"/>
    <n v="0"/>
    <n v="0"/>
    <n v="0"/>
    <n v="5644338"/>
    <n v="339997.5"/>
    <n v="0"/>
    <n v="0"/>
    <n v="138"/>
    <n v="5644338"/>
    <n v="680596.6386554623"/>
    <n v="5"/>
    <n v="149"/>
    <n v="28.5"/>
    <n v="0"/>
    <n v="0"/>
    <n v="0"/>
    <n v="5628847.5"/>
    <n v="1076658.75"/>
    <n v="0"/>
    <n v="0"/>
    <n v="129"/>
    <n v="5276229"/>
    <n v="2155222.6890756306"/>
    <n v="5"/>
    <n v="120.5"/>
    <n v="3.75"/>
    <n v="0"/>
    <n v="0"/>
    <n v="0"/>
    <m/>
    <n v="4552188.75"/>
    <n v="141665.625"/>
    <n v="0"/>
    <n v="0"/>
    <n v="120.5"/>
    <n v="4552188.75"/>
    <n v="267825.63025210088"/>
    <n v="5"/>
    <n v="116.75"/>
    <n v="3.75"/>
    <m/>
    <n v="0"/>
    <n v="0"/>
    <n v="4410523.125"/>
    <n v="141665.625"/>
    <n v="0"/>
    <n v="0"/>
    <n v="116.75"/>
    <n v="4410523.125"/>
    <n v="267825.63025210088"/>
    <n v="10"/>
    <n v="113"/>
    <n v="7.5"/>
    <n v="0"/>
    <n v="0"/>
    <n v="4268857.5"/>
    <n v="283331.25"/>
    <n v="0"/>
    <n v="0"/>
    <n v="113"/>
    <n v="4268857.5"/>
    <n v="567163.86554621859"/>
    <n v="3"/>
    <n v="105.5"/>
    <n v="2.25"/>
    <n v="0"/>
    <m/>
    <n v="3985526.25"/>
    <n v="92027.25"/>
    <n v="0"/>
    <n v="105.5"/>
    <n v="3985526.25"/>
    <n v="170149.15966386558"/>
  </r>
  <r>
    <m/>
    <x v="9"/>
    <x v="35"/>
    <x v="86"/>
    <s v="XRBARRUNXC"/>
    <x v="800"/>
    <x v="633"/>
    <x v="0"/>
    <x v="4"/>
    <n v="1"/>
    <x v="31"/>
    <n v="100"/>
    <m/>
    <n v="0"/>
    <n v="22150"/>
    <n v="2215000"/>
    <n v="18.7"/>
    <n v="18709.349999999999"/>
    <n v="47166.428571428572"/>
    <n v="40091.464285714283"/>
    <s v="Shenzhen"/>
    <x v="5"/>
    <n v="30"/>
    <m/>
    <n v="100"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00"/>
    <n v="2215000"/>
    <n v="0"/>
    <n v="0"/>
    <n v="0"/>
    <n v="0"/>
    <n v="0"/>
    <n v="0"/>
    <n v="0"/>
    <n v="0"/>
    <n v="0"/>
    <n v="0"/>
    <n v="100"/>
    <n v="2215000"/>
    <n v="0"/>
    <n v="0"/>
    <n v="0"/>
    <n v="0"/>
    <n v="0"/>
    <n v="0"/>
    <n v="0"/>
    <n v="0"/>
    <x v="0"/>
    <x v="0"/>
    <n v="100"/>
    <n v="2215000"/>
    <n v="0"/>
    <n v="0"/>
    <n v="100"/>
    <n v="0"/>
    <m/>
    <n v="0"/>
    <n v="0"/>
    <n v="2215000"/>
    <n v="0"/>
    <x v="0"/>
    <n v="0"/>
    <n v="100"/>
    <n v="2215000"/>
    <n v="0"/>
    <n v="0"/>
    <n v="100"/>
    <n v="0"/>
    <m/>
    <n v="0"/>
    <n v="0"/>
    <n v="2215000"/>
    <n v="0"/>
    <n v="0"/>
    <n v="0"/>
    <n v="100"/>
    <n v="2215000"/>
    <n v="0"/>
    <n v="0"/>
    <n v="100"/>
    <n v="0"/>
    <n v="100"/>
    <n v="0"/>
    <n v="0"/>
    <n v="2215000"/>
    <n v="0"/>
    <n v="1870934.9999999998"/>
    <n v="0"/>
    <n v="100"/>
    <n v="2215000"/>
    <n v="0"/>
    <n v="10"/>
    <n v="100"/>
    <n v="0"/>
    <n v="0"/>
    <n v="100"/>
    <n v="0"/>
    <n v="2215000"/>
    <n v="0"/>
    <n v="0"/>
    <n v="0"/>
    <n v="100"/>
    <n v="2215000"/>
    <n v="0"/>
    <n v="20"/>
    <n v="100"/>
    <n v="0"/>
    <n v="0"/>
    <n v="0"/>
    <n v="0"/>
    <n v="1935450"/>
    <n v="0"/>
    <n v="0"/>
    <n v="0"/>
    <n v="100"/>
    <n v="2215000"/>
    <n v="0"/>
    <n v="35"/>
    <n v="100"/>
    <n v="35"/>
    <n v="0"/>
    <n v="0"/>
    <n v="0"/>
    <m/>
    <n v="1935450"/>
    <n v="677407.5"/>
    <n v="0"/>
    <n v="0"/>
    <n v="100"/>
    <n v="1935450"/>
    <n v="1403201.25"/>
    <n v="30"/>
    <n v="65"/>
    <n v="30"/>
    <m/>
    <n v="0"/>
    <n v="0"/>
    <n v="1258042.5"/>
    <n v="580635"/>
    <n v="0"/>
    <n v="0"/>
    <n v="65"/>
    <n v="1258042.5"/>
    <n v="1202743.9285714284"/>
    <n v="45"/>
    <n v="35"/>
    <n v="35"/>
    <n v="0"/>
    <n v="0"/>
    <n v="677407.5"/>
    <n v="677407.5"/>
    <n v="0"/>
    <n v="0"/>
    <n v="35"/>
    <n v="677407.5"/>
    <n v="1650825"/>
    <n v="18"/>
    <n v="0"/>
    <n v="18"/>
    <n v="0"/>
    <m/>
    <n v="0"/>
    <n v="398700"/>
    <n v="0"/>
    <n v="0"/>
    <n v="0"/>
    <n v="848995.71428571432"/>
  </r>
  <r>
    <m/>
    <x v="9"/>
    <x v="35"/>
    <x v="86"/>
    <s v="XRBARRUNXC"/>
    <x v="801"/>
    <x v="634"/>
    <x v="0"/>
    <x v="4"/>
    <n v="1"/>
    <x v="31"/>
    <n v="100"/>
    <m/>
    <n v="0"/>
    <n v="22999"/>
    <n v="2299900"/>
    <n v="19.45"/>
    <n v="19459.724999999999"/>
    <n v="49058.13025210084"/>
    <n v="41699.41071428571"/>
    <s v="Shenzhen"/>
    <x v="6"/>
    <n v="30"/>
    <m/>
    <n v="100"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00"/>
    <n v="2299900"/>
    <n v="0"/>
    <n v="0"/>
    <n v="0"/>
    <n v="0"/>
    <n v="0"/>
    <n v="0"/>
    <n v="0"/>
    <n v="0"/>
    <n v="0"/>
    <n v="0"/>
    <n v="100"/>
    <n v="2299900"/>
    <n v="0"/>
    <n v="0"/>
    <n v="0"/>
    <n v="0"/>
    <n v="0"/>
    <n v="0"/>
    <n v="0"/>
    <n v="0"/>
    <x v="0"/>
    <x v="0"/>
    <n v="100"/>
    <n v="2299900"/>
    <n v="0"/>
    <n v="0"/>
    <n v="100"/>
    <n v="0"/>
    <m/>
    <n v="0"/>
    <n v="0"/>
    <n v="2299900"/>
    <n v="0"/>
    <x v="0"/>
    <n v="0"/>
    <n v="100"/>
    <n v="2299900"/>
    <n v="0"/>
    <n v="0"/>
    <n v="100"/>
    <n v="0"/>
    <m/>
    <n v="0"/>
    <n v="0"/>
    <n v="2299900"/>
    <n v="0"/>
    <n v="0"/>
    <n v="0"/>
    <n v="100"/>
    <n v="2299900"/>
    <n v="0"/>
    <n v="0"/>
    <n v="100"/>
    <n v="0"/>
    <n v="100"/>
    <n v="0"/>
    <n v="0"/>
    <n v="2299900"/>
    <n v="0"/>
    <n v="1945972.4999999998"/>
    <n v="0"/>
    <n v="100"/>
    <n v="2299900"/>
    <n v="0"/>
    <n v="10"/>
    <n v="100"/>
    <n v="0"/>
    <n v="0"/>
    <n v="100"/>
    <n v="0"/>
    <n v="2299900"/>
    <n v="0"/>
    <n v="0"/>
    <n v="0"/>
    <n v="100"/>
    <n v="2299900"/>
    <n v="0"/>
    <n v="20"/>
    <n v="100"/>
    <n v="0"/>
    <n v="0"/>
    <n v="0"/>
    <n v="0"/>
    <n v="2013075"/>
    <n v="0"/>
    <n v="0"/>
    <n v="0"/>
    <n v="100"/>
    <n v="2299900"/>
    <n v="0"/>
    <n v="35"/>
    <n v="100"/>
    <n v="35"/>
    <n v="0"/>
    <n v="0"/>
    <n v="0"/>
    <m/>
    <n v="2013075"/>
    <n v="704576.25"/>
    <n v="0"/>
    <n v="0"/>
    <n v="100"/>
    <n v="2013075"/>
    <n v="1459479.3749999998"/>
    <n v="30"/>
    <n v="65"/>
    <n v="30"/>
    <m/>
    <n v="0"/>
    <n v="0"/>
    <n v="1308498.75"/>
    <n v="603922.5"/>
    <n v="0"/>
    <n v="0"/>
    <n v="65"/>
    <n v="1308498.75"/>
    <n v="1250982.3214285714"/>
    <n v="45"/>
    <n v="35"/>
    <n v="35"/>
    <n v="0"/>
    <n v="0"/>
    <n v="704576.25"/>
    <n v="704576.25"/>
    <n v="0"/>
    <n v="0"/>
    <n v="35"/>
    <n v="704576.25"/>
    <n v="1717034.5588235294"/>
    <n v="18"/>
    <n v="0"/>
    <n v="18"/>
    <n v="0"/>
    <m/>
    <n v="0"/>
    <n v="413982"/>
    <n v="0"/>
    <n v="0"/>
    <n v="0"/>
    <n v="883046.34453781508"/>
  </r>
  <r>
    <m/>
    <x v="9"/>
    <x v="35"/>
    <x v="86"/>
    <s v="XRBARRUNXC"/>
    <x v="802"/>
    <x v="635"/>
    <x v="0"/>
    <x v="4"/>
    <n v="1"/>
    <x v="31"/>
    <n v="100"/>
    <m/>
    <n v="0"/>
    <n v="23990"/>
    <n v="2399000"/>
    <n v="20.100000000000001"/>
    <n v="20110.05"/>
    <n v="50697.605042016803"/>
    <n v="43092.964285714283"/>
    <s v="Shenzhen"/>
    <x v="7"/>
    <n v="30"/>
    <m/>
    <n v="100"/>
    <m/>
    <m/>
    <m/>
    <m/>
    <m/>
    <m/>
    <m/>
    <m/>
    <m/>
    <m/>
    <m/>
    <m/>
    <m/>
    <m/>
    <m/>
    <m/>
    <m/>
    <m/>
    <m/>
    <m/>
    <m/>
    <m/>
    <m/>
    <m/>
    <m/>
    <m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00"/>
    <n v="2399000"/>
    <n v="0"/>
    <n v="0"/>
    <n v="0"/>
    <n v="0"/>
    <n v="0"/>
    <n v="0"/>
    <n v="0"/>
    <n v="0"/>
    <n v="0"/>
    <n v="0"/>
    <n v="100"/>
    <n v="2399000"/>
    <n v="0"/>
    <n v="0"/>
    <n v="0"/>
    <n v="0"/>
    <n v="0"/>
    <n v="0"/>
    <n v="0"/>
    <n v="0"/>
    <x v="0"/>
    <x v="0"/>
    <n v="100"/>
    <n v="2399000"/>
    <n v="0"/>
    <n v="0"/>
    <n v="100"/>
    <n v="0"/>
    <m/>
    <n v="0"/>
    <n v="0"/>
    <n v="2399000"/>
    <n v="0"/>
    <x v="0"/>
    <n v="0"/>
    <n v="100"/>
    <n v="2399000"/>
    <n v="0"/>
    <n v="0"/>
    <n v="100"/>
    <n v="0"/>
    <m/>
    <n v="0"/>
    <n v="0"/>
    <n v="2399000"/>
    <n v="0"/>
    <n v="0"/>
    <n v="0"/>
    <n v="100"/>
    <n v="2399000"/>
    <n v="0"/>
    <n v="0"/>
    <n v="100"/>
    <n v="0"/>
    <n v="100"/>
    <n v="0"/>
    <n v="0"/>
    <n v="2399000"/>
    <n v="0"/>
    <n v="2011005"/>
    <n v="0"/>
    <n v="100"/>
    <n v="2399000"/>
    <n v="0"/>
    <n v="10"/>
    <n v="100"/>
    <n v="0"/>
    <n v="0"/>
    <n v="100"/>
    <n v="0"/>
    <n v="2399000"/>
    <n v="0"/>
    <n v="0"/>
    <n v="0"/>
    <n v="100"/>
    <n v="2399000"/>
    <n v="0"/>
    <n v="20"/>
    <n v="100"/>
    <n v="0"/>
    <n v="0"/>
    <n v="0"/>
    <n v="0"/>
    <n v="2080350"/>
    <n v="0"/>
    <n v="0"/>
    <n v="0"/>
    <n v="100"/>
    <n v="2399000"/>
    <n v="0"/>
    <n v="35"/>
    <n v="100"/>
    <n v="35"/>
    <n v="0"/>
    <n v="0"/>
    <n v="0"/>
    <m/>
    <n v="2080350"/>
    <n v="728122.5"/>
    <n v="0"/>
    <n v="0"/>
    <n v="100"/>
    <n v="2080350"/>
    <n v="1508253.75"/>
    <n v="30"/>
    <n v="65"/>
    <n v="30"/>
    <m/>
    <n v="0"/>
    <n v="0"/>
    <n v="1352227.5"/>
    <n v="624105"/>
    <n v="0"/>
    <n v="0"/>
    <n v="65"/>
    <n v="1352227.5"/>
    <n v="1292788.9285714284"/>
    <n v="45"/>
    <n v="35"/>
    <n v="35"/>
    <n v="0"/>
    <n v="0"/>
    <n v="728122.5"/>
    <n v="728122.5"/>
    <n v="0"/>
    <n v="0"/>
    <n v="35"/>
    <n v="728122.5"/>
    <n v="1774416.1764705882"/>
    <n v="18"/>
    <n v="0"/>
    <n v="18"/>
    <n v="0"/>
    <m/>
    <n v="0"/>
    <n v="431820"/>
    <n v="0"/>
    <n v="0"/>
    <n v="0"/>
    <n v="912556.89075630251"/>
  </r>
  <r>
    <m/>
    <x v="9"/>
    <x v="35"/>
    <x v="86"/>
    <s v="XRBOLBL-410"/>
    <x v="803"/>
    <x v="636"/>
    <x v="0"/>
    <x v="4"/>
    <n v="1"/>
    <x v="31"/>
    <n v="0"/>
    <m/>
    <n v="0"/>
    <n v="28224"/>
    <n v="0"/>
    <n v="24.757894736842104"/>
    <n v="28224"/>
    <n v="71152.941176470587"/>
    <n v="60480"/>
    <s v="Shenzhen"/>
    <x v="0"/>
    <n v="30"/>
    <m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30"/>
    <n v="0"/>
    <n v="0"/>
    <m/>
    <n v="0"/>
    <n v="0"/>
    <n v="0"/>
    <n v="0"/>
    <n v="0"/>
    <n v="0"/>
    <n v="0"/>
    <n v="0"/>
    <n v="0"/>
    <n v="50"/>
    <n v="0"/>
    <n v="0"/>
    <n v="0"/>
    <n v="0"/>
    <n v="0"/>
    <n v="0"/>
    <n v="0"/>
    <n v="0"/>
    <n v="0"/>
    <n v="0"/>
    <n v="0"/>
    <n v="18"/>
    <n v="0"/>
    <n v="18"/>
    <n v="0"/>
    <m/>
    <n v="0"/>
    <n v="508032"/>
    <n v="0"/>
    <n v="0"/>
    <n v="0"/>
    <n v="1280752.9411764706"/>
  </r>
  <r>
    <m/>
    <x v="9"/>
    <x v="35"/>
    <x v="86"/>
    <s v="XRBOLBL-430"/>
    <x v="804"/>
    <x v="637"/>
    <x v="0"/>
    <x v="4"/>
    <n v="1"/>
    <x v="31"/>
    <n v="0"/>
    <m/>
    <n v="0"/>
    <n v="30576.000000000004"/>
    <n v="0"/>
    <n v="26.821052631578951"/>
    <n v="30576.000000000004"/>
    <n v="77082.35294117649"/>
    <n v="65520.000000000015"/>
    <s v="Shenzhen"/>
    <x v="0"/>
    <n v="30"/>
    <m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20"/>
    <n v="0"/>
    <n v="0"/>
    <n v="0"/>
    <n v="0"/>
    <n v="0"/>
    <n v="0"/>
    <n v="0"/>
    <n v="0"/>
    <n v="0"/>
    <n v="0"/>
    <n v="0"/>
    <n v="0"/>
    <n v="30"/>
    <n v="0"/>
    <n v="30"/>
    <n v="100"/>
    <n v="100"/>
    <n v="0"/>
    <n v="832793.68421052641"/>
    <n v="2775978.9473684216"/>
    <n v="2775978.9473684216"/>
    <n v="100"/>
    <n v="2775978.9473684216"/>
    <n v="2312470.5882352949"/>
    <n v="50"/>
    <n v="70"/>
    <n v="50"/>
    <n v="0"/>
    <m/>
    <n v="1943185.2631578948"/>
    <n v="1528800.0000000002"/>
    <n v="0"/>
    <n v="70"/>
    <n v="1943185.2631578948"/>
    <n v="3854117.6470588245"/>
  </r>
  <r>
    <m/>
    <x v="9"/>
    <x v="35"/>
    <x v="86"/>
    <s v="XRPARREQ-BK"/>
    <x v="805"/>
    <x v="638"/>
    <x v="0"/>
    <x v="3"/>
    <n v="0.75"/>
    <x v="442"/>
    <n v="124"/>
    <m/>
    <n v="0"/>
    <n v="42016"/>
    <n v="5209984"/>
    <n v="36.5"/>
    <n v="39876.25"/>
    <n v="73385.70378151261"/>
    <n v="67218.487394957992"/>
    <s v="Shenzhen"/>
    <x v="0"/>
    <n v="30"/>
    <m/>
    <n v="20"/>
    <m/>
    <m/>
    <m/>
    <m/>
    <m/>
    <m/>
    <m/>
    <m/>
    <m/>
    <m/>
    <m/>
    <m/>
    <m/>
    <m/>
    <m/>
    <m/>
    <m/>
    <m/>
    <n v="0"/>
    <n v="0"/>
    <n v="0"/>
    <n v="0"/>
    <n v="0"/>
    <n v="0"/>
    <n v="0"/>
    <s v=""/>
    <n v="3"/>
    <n v="0.41092383148168693"/>
    <n v="5"/>
    <n v="0.367966956386854"/>
    <n v="4"/>
    <n v="0.45531430856027094"/>
    <n v="0.66666666666666663"/>
    <n v="2"/>
    <n v="0.51931555370351068"/>
    <n v="0.13333333333333333"/>
    <n v="5"/>
    <n v="0.35765305646784618"/>
    <n v="0.33333333333333331"/>
    <n v="10"/>
    <n v="0.42171249530016286"/>
    <n v="1.25"/>
    <n v="25"/>
    <n v="0.15110285561335085"/>
    <n v="3.125"/>
    <n v="28"/>
    <n v="0.18108201691277279"/>
    <n v="2.8"/>
    <m/>
    <m/>
    <m/>
    <m/>
    <m/>
    <m/>
    <m/>
    <m/>
    <m/>
    <m/>
    <m/>
    <m/>
    <m/>
    <m/>
    <m/>
    <m/>
    <m/>
    <m/>
    <m/>
    <m/>
    <m/>
    <m/>
    <n v="10"/>
    <n v="127"/>
    <n v="4.5"/>
    <n v="0"/>
    <n v="0"/>
    <n v="0"/>
    <n v="567216"/>
    <n v="4797742.5"/>
    <n v="189072"/>
    <n v="0"/>
    <n v="124"/>
    <n v="5209984"/>
    <n v="277508.96387966955"/>
    <n v="10"/>
    <n v="63"/>
    <n v="5"/>
    <n v="0"/>
    <n v="0"/>
    <n v="803140.875"/>
    <n v="2647008"/>
    <n v="210080"/>
    <n v="0"/>
    <n v="124"/>
    <n v="5209984"/>
    <n v="366928.51890756306"/>
    <n v="6"/>
    <n v="58"/>
    <n v="4"/>
    <n v="0"/>
    <n v="0"/>
    <n v="2191095"/>
    <n v="168064"/>
    <x v="0"/>
    <x v="0"/>
    <n v="124"/>
    <n v="5209984"/>
    <n v="293542.81512605044"/>
    <n v="15"/>
    <n v="126"/>
    <n v="11.25"/>
    <m/>
    <n v="0"/>
    <n v="0"/>
    <n v="5294016"/>
    <n v="424996.875"/>
    <x v="0"/>
    <n v="0"/>
    <n v="124"/>
    <n v="5209984"/>
    <n v="825589.16754201683"/>
    <n v="15"/>
    <n v="129"/>
    <n v="5"/>
    <m/>
    <n v="0"/>
    <n v="0"/>
    <n v="5420064"/>
    <n v="188887.5"/>
    <n v="0"/>
    <n v="0"/>
    <n v="129"/>
    <n v="5209984"/>
    <n v="366928.51890756306"/>
    <n v="8"/>
    <n v="134"/>
    <n v="10"/>
    <n v="0"/>
    <n v="0"/>
    <n v="0"/>
    <n v="5630144"/>
    <n v="377775"/>
    <n v="0"/>
    <n v="0"/>
    <n v="134"/>
    <n v="5209984"/>
    <n v="733857.03781512612"/>
    <n v="8"/>
    <n v="149"/>
    <n v="25"/>
    <n v="50"/>
    <n v="50"/>
    <n v="0"/>
    <n v="6260384"/>
    <n v="944437.5"/>
    <n v="1888875"/>
    <n v="0"/>
    <n v="149"/>
    <n v="6260384"/>
    <n v="1834642.5945378153"/>
    <n v="10"/>
    <n v="152"/>
    <n v="31.5"/>
    <n v="0"/>
    <n v="0"/>
    <n v="0"/>
    <n v="5742180"/>
    <n v="1189991.25"/>
    <n v="0"/>
    <n v="0"/>
    <n v="124"/>
    <n v="5209984"/>
    <n v="2311649.6691176472"/>
    <n v="12"/>
    <n v="120.5"/>
    <n v="9"/>
    <n v="0"/>
    <n v="0"/>
    <n v="0"/>
    <m/>
    <n v="4552188.75"/>
    <n v="339997.5"/>
    <n v="0"/>
    <n v="0"/>
    <n v="120.5"/>
    <n v="4552188.75"/>
    <n v="604966.38655462197"/>
    <n v="12"/>
    <n v="111.5"/>
    <n v="9"/>
    <m/>
    <n v="0"/>
    <n v="0"/>
    <n v="4212191.25"/>
    <n v="339997.5"/>
    <n v="0"/>
    <n v="0"/>
    <n v="111.5"/>
    <n v="4212191.25"/>
    <n v="604966.38655462197"/>
    <n v="15"/>
    <n v="102.5"/>
    <n v="11.25"/>
    <n v="0"/>
    <n v="0"/>
    <n v="3872193.75"/>
    <n v="424996.875"/>
    <n v="0"/>
    <n v="0"/>
    <n v="102.5"/>
    <n v="3872193.75"/>
    <n v="825589.16754201683"/>
    <n v="7.1999999999999993"/>
    <n v="91.25"/>
    <n v="5.3999999999999995"/>
    <n v="0"/>
    <m/>
    <n v="3447196.875"/>
    <n v="226886.39999999997"/>
    <n v="0"/>
    <n v="91.25"/>
    <n v="3447196.875"/>
    <n v="396282.80042016803"/>
  </r>
  <r>
    <m/>
    <x v="9"/>
    <x v="35"/>
    <x v="87"/>
    <n v="69746014453052"/>
    <x v="806"/>
    <x v="639"/>
    <x v="0"/>
    <x v="6"/>
    <n v="1"/>
    <x v="31"/>
    <n v="1"/>
    <m/>
    <n v="0"/>
    <n v="7377"/>
    <n v="7377"/>
    <n v="5"/>
    <n v="5462.5"/>
    <n v="16798.319327731093"/>
    <n v="16798.319327731093"/>
    <s v="Shenzhen"/>
    <x v="0"/>
    <n v="30"/>
    <m/>
    <n v="500"/>
    <n v="400"/>
    <n v="0.49733772761215461"/>
    <n v="0"/>
    <s v=""/>
    <n v="3"/>
    <n v="0.30637701188527205"/>
    <n v="208"/>
    <n v="0.43788604104214196"/>
    <n v="135"/>
    <n v="0.44113852243779028"/>
    <n v="42"/>
    <n v="0.4025875905567981"/>
    <n v="166"/>
    <n v="0.42825645607171542"/>
    <n v="177"/>
    <n v="0.43928266240049196"/>
    <n v="55"/>
    <n v="0.44591414835947013"/>
    <n v="506"/>
    <n v="0.44697115772746743"/>
    <n v="5"/>
    <n v="0.50733166583291645"/>
    <n v="0"/>
    <s v=""/>
    <n v="500"/>
    <n v="0.48172932330827067"/>
    <n v="0"/>
    <s v=""/>
    <n v="0"/>
    <s v=""/>
    <n v="1000"/>
    <n v="0.46618097744360903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0"/>
    <n v="0"/>
    <n v="0"/>
    <n v="0"/>
    <m/>
    <n v="0"/>
    <n v="0"/>
    <n v="0"/>
    <n v="0"/>
    <n v="0"/>
    <n v="1"/>
    <n v="7377"/>
    <n v="0"/>
    <n v="0"/>
    <n v="0"/>
    <n v="0"/>
    <n v="0"/>
    <m/>
    <n v="0"/>
    <n v="7377000"/>
    <n v="0"/>
    <n v="0"/>
    <n v="0"/>
    <n v="1"/>
    <n v="7377"/>
    <n v="0"/>
    <n v="0"/>
    <n v="0"/>
    <n v="0"/>
    <n v="0"/>
    <n v="0"/>
    <n v="7377000"/>
    <n v="0"/>
    <n v="0"/>
    <n v="0"/>
    <n v="1"/>
    <n v="7377"/>
    <n v="0"/>
    <n v="0"/>
    <n v="1000"/>
    <n v="1000"/>
    <n v="0"/>
    <n v="0"/>
    <n v="5175000"/>
    <n v="7377000"/>
    <x v="0"/>
    <x v="0"/>
    <n v="1"/>
    <n v="7377"/>
    <n v="16798319.327731092"/>
    <n v="0"/>
    <n v="1"/>
    <n v="0"/>
    <m/>
    <n v="0"/>
    <n v="0"/>
    <n v="7377"/>
    <n v="0"/>
    <x v="0"/>
    <n v="0"/>
    <n v="1"/>
    <n v="7377"/>
    <n v="0"/>
    <n v="0"/>
    <n v="1"/>
    <n v="0"/>
    <m/>
    <n v="0"/>
    <n v="0"/>
    <n v="7377"/>
    <n v="0"/>
    <n v="0"/>
    <n v="0"/>
    <n v="1"/>
    <n v="7377"/>
    <n v="0"/>
    <n v="0"/>
    <n v="1"/>
    <n v="0"/>
    <n v="0"/>
    <n v="0"/>
    <n v="0"/>
    <n v="7377"/>
    <n v="0"/>
    <n v="0"/>
    <n v="0"/>
    <n v="1"/>
    <n v="7377"/>
    <n v="0"/>
    <n v="0"/>
    <n v="1"/>
    <n v="0"/>
    <n v="0"/>
    <n v="0"/>
    <n v="0"/>
    <n v="7377"/>
    <n v="0"/>
    <n v="0"/>
    <n v="0"/>
    <n v="1"/>
    <n v="7377"/>
    <n v="0"/>
    <n v="0"/>
    <n v="1"/>
    <n v="0"/>
    <n v="0"/>
    <n v="0"/>
    <n v="0"/>
    <n v="5175"/>
    <n v="0"/>
    <n v="0"/>
    <n v="0"/>
    <n v="1"/>
    <n v="7377"/>
    <n v="0"/>
    <n v="0"/>
    <n v="1"/>
    <n v="0"/>
    <n v="0"/>
    <n v="0"/>
    <n v="0"/>
    <m/>
    <n v="5175"/>
    <n v="0"/>
    <n v="0"/>
    <n v="0"/>
    <n v="1"/>
    <n v="5175"/>
    <n v="0"/>
    <n v="0"/>
    <n v="1"/>
    <n v="0"/>
    <m/>
    <n v="0"/>
    <n v="0"/>
    <n v="5175"/>
    <n v="0"/>
    <n v="0"/>
    <n v="0"/>
    <n v="1"/>
    <n v="5175"/>
    <n v="0"/>
    <n v="0"/>
    <n v="1"/>
    <n v="0"/>
    <n v="0"/>
    <n v="0"/>
    <n v="5175"/>
    <n v="0"/>
    <n v="0"/>
    <n v="0"/>
    <n v="1"/>
    <n v="5175"/>
    <n v="0"/>
    <n v="0"/>
    <n v="1"/>
    <n v="0"/>
    <n v="0"/>
    <m/>
    <n v="5175"/>
    <n v="0"/>
    <n v="0"/>
    <n v="1"/>
    <n v="5175"/>
    <n v="0"/>
  </r>
  <r>
    <m/>
    <x v="9"/>
    <x v="35"/>
    <x v="88"/>
    <n v="1650302269777"/>
    <x v="807"/>
    <x v="640"/>
    <x v="0"/>
    <x v="1"/>
    <n v="1"/>
    <x v="31"/>
    <n v="8"/>
    <m/>
    <n v="0"/>
    <n v="67624"/>
    <n v="540992"/>
    <n v="65"/>
    <n v="71012.5"/>
    <n v="151252.10084033615"/>
    <n v="142848.73949579833"/>
    <s v="Ningbo"/>
    <x v="0"/>
    <n v="30"/>
    <m/>
    <n v="30"/>
    <n v="35"/>
    <n v="0.35758208369099143"/>
    <n v="6"/>
    <n v="0.49444742054404078"/>
    <n v="12"/>
    <n v="0.4400036301458442"/>
    <n v="6"/>
    <n v="0.49858847987518395"/>
    <n v="2"/>
    <n v="0.44351259736420839"/>
    <n v="11"/>
    <n v="0.41106920105141243"/>
    <n v="11"/>
    <n v="0.41687302226253697"/>
    <n v="25"/>
    <n v="0.40332914335993958"/>
    <n v="31"/>
    <n v="0.40308356967612891"/>
    <n v="49"/>
    <n v="0.39201264370987565"/>
    <n v="25"/>
    <n v="0.46731792902690777"/>
    <n v="49"/>
    <n v="0.4846145303276726"/>
    <n v="60"/>
    <n v="0.44601726754531557"/>
    <n v="24"/>
    <n v="0.43858899460391876"/>
    <n v="11"/>
    <n v="0.45000002554967705"/>
    <n v="7"/>
    <n v="0.51213080318032878"/>
    <n v="0.7"/>
    <n v="9"/>
    <n v="0.57529442018497923"/>
    <n v="0.9"/>
    <n v="7"/>
    <n v="0.45636084475557381"/>
    <n v="0.35"/>
    <n v="0"/>
    <s v=""/>
    <n v="0"/>
    <n v="18"/>
    <n v="0.37479108156489577"/>
    <n v="1.2"/>
    <n v="15"/>
    <n v="0.3558925336196555"/>
    <n v="0.5"/>
    <m/>
    <m/>
    <m/>
    <m/>
    <m/>
    <m/>
    <m/>
    <m/>
    <m/>
    <n v="40"/>
    <n v="76"/>
    <n v="40"/>
    <n v="50"/>
    <n v="50"/>
    <n v="0"/>
    <n v="5883288"/>
    <n v="5112900"/>
    <n v="2704960"/>
    <n v="0"/>
    <n v="8"/>
    <n v="540992"/>
    <n v="5084104.229927266"/>
    <n v="20"/>
    <n v="23"/>
    <n v="36"/>
    <n v="25"/>
    <n v="25"/>
    <n v="0"/>
    <n v="3651696"/>
    <n v="1547325"/>
    <n v="2434464"/>
    <n v="0"/>
    <n v="8"/>
    <n v="540992"/>
    <n v="4575693.8069345392"/>
    <n v="15"/>
    <n v="23"/>
    <n v="11"/>
    <n v="0"/>
    <n v="0"/>
    <n v="1889982"/>
    <n v="1555352"/>
    <n v="743864"/>
    <n v="0"/>
    <n v="8"/>
    <n v="540992"/>
    <n v="1663773.1092436977"/>
    <n v="10"/>
    <n v="20"/>
    <n v="7"/>
    <n v="10"/>
    <n v="0"/>
    <n v="1345500"/>
    <n v="473368"/>
    <x v="17"/>
    <x v="0"/>
    <n v="8"/>
    <n v="540992"/>
    <n v="1058764.705882353"/>
    <n v="10"/>
    <n v="17"/>
    <n v="10"/>
    <m/>
    <n v="0"/>
    <n v="0"/>
    <n v="1149608"/>
    <n v="672750"/>
    <x v="0"/>
    <n v="0"/>
    <n v="8"/>
    <n v="540992"/>
    <n v="1512521.0084033615"/>
    <n v="20"/>
    <n v="15"/>
    <n v="7"/>
    <m/>
    <n v="0"/>
    <n v="0"/>
    <n v="1014360"/>
    <n v="470925"/>
    <n v="0"/>
    <n v="0"/>
    <n v="15"/>
    <n v="540992"/>
    <n v="1058764.705882353"/>
    <n v="10"/>
    <n v="8"/>
    <n v="0"/>
    <n v="30"/>
    <n v="30"/>
    <n v="0"/>
    <n v="540992"/>
    <n v="0"/>
    <n v="1950974.9999999998"/>
    <n v="0"/>
    <n v="8"/>
    <n v="540992"/>
    <n v="0"/>
    <n v="15"/>
    <n v="26"/>
    <n v="18"/>
    <n v="20"/>
    <n v="20"/>
    <n v="0"/>
    <n v="1758224"/>
    <n v="1210950"/>
    <n v="1345500"/>
    <n v="0"/>
    <n v="26"/>
    <n v="1758224"/>
    <n v="2722537.8151260507"/>
    <n v="30"/>
    <n v="23"/>
    <n v="22.5"/>
    <n v="30"/>
    <n v="30"/>
    <n v="0"/>
    <n v="1547325"/>
    <n v="1513687.5"/>
    <n v="2018250"/>
    <n v="0"/>
    <n v="8"/>
    <n v="540992"/>
    <n v="3403172.2689075633"/>
    <n v="40"/>
    <n v="0.5"/>
    <n v="30.5"/>
    <n v="50"/>
    <n v="50"/>
    <n v="30"/>
    <n v="30"/>
    <n v="33637.5"/>
    <n v="2051887.5"/>
    <n v="3363750"/>
    <n v="2018250"/>
    <n v="30.5"/>
    <n v="2051887.5"/>
    <n v="4356886.5546218492"/>
    <n v="30"/>
    <n v="0"/>
    <n v="30"/>
    <m/>
    <n v="0"/>
    <n v="50"/>
    <n v="0"/>
    <n v="2018250"/>
    <n v="0"/>
    <n v="3363750"/>
    <n v="50"/>
    <n v="3363750"/>
    <n v="0"/>
    <n v="50"/>
    <n v="20"/>
    <n v="50"/>
    <n v="30"/>
    <n v="30"/>
    <n v="1345500"/>
    <n v="3363750"/>
    <n v="2018250"/>
    <n v="2018250"/>
    <n v="50"/>
    <n v="3363750"/>
    <n v="7562605.042016807"/>
    <n v="18"/>
    <n v="0"/>
    <n v="18"/>
    <n v="0"/>
    <m/>
    <n v="0"/>
    <n v="1217232"/>
    <n v="0"/>
    <n v="0"/>
    <n v="0"/>
    <n v="2722537.8151260507"/>
  </r>
  <r>
    <m/>
    <x v="9"/>
    <x v="35"/>
    <x v="88"/>
    <s v="XRTOLLAT270-CL"/>
    <x v="808"/>
    <x v="641"/>
    <x v="0"/>
    <x v="4"/>
    <n v="1"/>
    <x v="31"/>
    <n v="0"/>
    <m/>
    <n v="0"/>
    <n v="188100"/>
    <n v="0"/>
    <n v="165"/>
    <n v="188100"/>
    <n v="474201.68067226891"/>
    <n v="403071.42857142858"/>
    <s v="Shenzhen"/>
    <x v="0"/>
    <n v="30"/>
    <m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0"/>
    <n v="10"/>
    <n v="0"/>
    <n v="0"/>
    <n v="0"/>
    <n v="1707750"/>
    <n v="0"/>
    <n v="0"/>
    <n v="0"/>
    <n v="0"/>
    <n v="2"/>
    <n v="0"/>
    <n v="2"/>
    <n v="0"/>
    <n v="0"/>
    <n v="10"/>
    <n v="10"/>
    <n v="0"/>
    <n v="341550"/>
    <n v="0"/>
    <n v="1707750"/>
    <n v="10"/>
    <n v="1707750"/>
    <n v="806142.85714285716"/>
    <n v="4"/>
    <n v="8"/>
    <n v="4"/>
    <m/>
    <n v="0"/>
    <n v="0"/>
    <n v="1366200"/>
    <n v="683100"/>
    <n v="0"/>
    <n v="0"/>
    <n v="8"/>
    <n v="1366200"/>
    <n v="1612285.7142857143"/>
    <n v="4"/>
    <n v="4"/>
    <n v="4"/>
    <n v="0"/>
    <n v="0"/>
    <n v="683100"/>
    <n v="683100"/>
    <n v="0"/>
    <n v="0"/>
    <n v="4"/>
    <n v="683100"/>
    <n v="1896806.7226890756"/>
    <n v="2.4"/>
    <n v="0"/>
    <n v="2.4"/>
    <n v="0"/>
    <m/>
    <n v="0"/>
    <n v="451440"/>
    <n v="0"/>
    <n v="0"/>
    <n v="0"/>
    <n v="1138084.0336134452"/>
  </r>
  <r>
    <m/>
    <x v="9"/>
    <x v="36"/>
    <x v="89"/>
    <s v="XRCARAA10-CL"/>
    <x v="809"/>
    <x v="642"/>
    <x v="0"/>
    <x v="4"/>
    <n v="1"/>
    <x v="31"/>
    <n v="0"/>
    <m/>
    <n v="0"/>
    <n v="94080"/>
    <n v="0"/>
    <n v="82.526315789473685"/>
    <n v="94080"/>
    <n v="237176.4705882353"/>
    <n v="201600"/>
    <s v="Shenzhen"/>
    <x v="0"/>
    <n v="30"/>
    <m/>
    <n v="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9"/>
    <x v="36"/>
    <x v="89"/>
    <s v="XRCARINF34-CL"/>
    <x v="810"/>
    <x v="643"/>
    <x v="0"/>
    <x v="4"/>
    <n v="1"/>
    <x v="31"/>
    <n v="0"/>
    <m/>
    <n v="0"/>
    <n v="164640"/>
    <n v="0"/>
    <n v="144.42105263157896"/>
    <n v="164640"/>
    <n v="415058.82352941181"/>
    <n v="352800"/>
    <s v="Shenzhen"/>
    <x v="0"/>
    <n v="30"/>
    <m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20"/>
    <n v="0"/>
    <n v="0"/>
    <n v="0"/>
    <n v="2989515.7894736845"/>
    <n v="0"/>
    <n v="0"/>
    <n v="0"/>
    <n v="0"/>
    <n v="2"/>
    <n v="0"/>
    <n v="0"/>
    <n v="0"/>
    <n v="0"/>
    <n v="0"/>
    <n v="20"/>
    <n v="0"/>
    <n v="0"/>
    <n v="0"/>
    <n v="0"/>
    <n v="0"/>
    <n v="0"/>
    <n v="0"/>
    <n v="3"/>
    <n v="0"/>
    <n v="3"/>
    <m/>
    <n v="0"/>
    <n v="20"/>
    <n v="0"/>
    <n v="448427.36842105264"/>
    <n v="0"/>
    <n v="2989515.7894736845"/>
    <n v="20"/>
    <n v="2989515.7894736845"/>
    <n v="0"/>
    <n v="5"/>
    <n v="17"/>
    <n v="5"/>
    <n v="0"/>
    <n v="0"/>
    <n v="2541088.4210526315"/>
    <n v="747378.94736842113"/>
    <n v="0"/>
    <n v="0"/>
    <n v="17"/>
    <n v="2541088.4210526315"/>
    <n v="2075294.117647059"/>
    <n v="1.7999999999999998"/>
    <n v="12"/>
    <n v="1.7999999999999998"/>
    <n v="0"/>
    <m/>
    <n v="1793709.4736842106"/>
    <n v="296351.99999999994"/>
    <n v="0"/>
    <n v="12"/>
    <n v="1793709.4736842106"/>
    <n v="747105.8823529412"/>
  </r>
  <r>
    <m/>
    <x v="9"/>
    <x v="36"/>
    <x v="89"/>
    <s v="XRCARINF68-CL"/>
    <x v="811"/>
    <x v="644"/>
    <x v="0"/>
    <x v="4"/>
    <n v="1"/>
    <x v="31"/>
    <n v="0"/>
    <m/>
    <n v="0"/>
    <n v="211680"/>
    <n v="0"/>
    <n v="185.68421052631578"/>
    <n v="211680"/>
    <n v="533647.0588235294"/>
    <n v="453600"/>
    <s v="Shenzhen"/>
    <x v="0"/>
    <n v="30"/>
    <m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9"/>
    <x v="36"/>
    <x v="89"/>
    <s v="XRCARRTRACT-CL"/>
    <x v="812"/>
    <x v="645"/>
    <x v="0"/>
    <x v="4"/>
    <n v="1"/>
    <x v="31"/>
    <n v="0"/>
    <m/>
    <n v="0"/>
    <n v="25650"/>
    <n v="0"/>
    <n v="22.5"/>
    <n v="25650"/>
    <n v="64663.865546218491"/>
    <n v="54964.285714285717"/>
    <s v="Shenzhen"/>
    <x v="0"/>
    <n v="30"/>
    <m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200"/>
    <n v="0"/>
    <n v="0"/>
    <n v="0"/>
    <n v="4657500"/>
    <n v="0"/>
    <n v="0"/>
    <n v="0"/>
    <n v="0"/>
    <n v="40"/>
    <n v="0"/>
    <n v="40"/>
    <n v="0"/>
    <n v="0"/>
    <n v="201"/>
    <n v="200"/>
    <n v="0"/>
    <n v="931500"/>
    <n v="0"/>
    <n v="4680787.5"/>
    <n v="201"/>
    <n v="4680787.5"/>
    <n v="2198571.4285714286"/>
    <n v="50"/>
    <n v="161"/>
    <n v="50"/>
    <m/>
    <n v="0"/>
    <n v="0"/>
    <n v="3749287.5"/>
    <n v="1164375"/>
    <n v="0"/>
    <n v="0"/>
    <n v="161"/>
    <n v="3749287.5"/>
    <n v="2748214.2857142859"/>
    <n v="100"/>
    <n v="111"/>
    <n v="100"/>
    <n v="0"/>
    <n v="0"/>
    <n v="2584912.5"/>
    <n v="2328750"/>
    <n v="0"/>
    <n v="0"/>
    <n v="111"/>
    <n v="2584912.5"/>
    <n v="6466386.5546218492"/>
    <n v="30"/>
    <n v="11"/>
    <n v="30"/>
    <n v="0"/>
    <m/>
    <n v="256162.5"/>
    <n v="769500"/>
    <n v="0"/>
    <n v="11"/>
    <n v="256162.5"/>
    <n v="1939915.9663865548"/>
  </r>
  <r>
    <m/>
    <x v="9"/>
    <x v="36"/>
    <x v="89"/>
    <s v="XRCOLINF2P-CL"/>
    <x v="813"/>
    <x v="646"/>
    <x v="0"/>
    <x v="4"/>
    <n v="1"/>
    <x v="31"/>
    <n v="0"/>
    <m/>
    <n v="0"/>
    <n v="19992"/>
    <n v="0"/>
    <n v="17.536842105263158"/>
    <n v="19992"/>
    <n v="50400"/>
    <n v="42840"/>
    <s v="Shenzhen"/>
    <x v="0"/>
    <n v="30"/>
    <m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9"/>
    <x v="36"/>
    <x v="89"/>
    <s v="XRCOOLPOR50-BK"/>
    <x v="814"/>
    <x v="647"/>
    <x v="0"/>
    <x v="4"/>
    <n v="1"/>
    <x v="31"/>
    <n v="0"/>
    <m/>
    <n v="0"/>
    <n v="38808"/>
    <n v="0"/>
    <n v="34.042105263157893"/>
    <n v="38808"/>
    <n v="97835.294117647063"/>
    <n v="83160"/>
    <s v="Ningbo"/>
    <x v="0"/>
    <n v="45"/>
    <m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200"/>
    <n v="200"/>
    <n v="0"/>
    <n v="0"/>
    <n v="0"/>
    <n v="7046715.7894736826"/>
    <n v="0"/>
    <n v="0"/>
    <n v="0"/>
    <n v="0"/>
    <n v="50"/>
    <n v="0"/>
    <n v="0"/>
    <n v="0"/>
    <n v="0"/>
    <n v="0"/>
    <n v="200"/>
    <n v="0"/>
    <n v="0"/>
    <n v="0"/>
    <n v="0"/>
    <n v="0"/>
    <n v="0"/>
    <n v="0"/>
    <n v="60"/>
    <n v="0"/>
    <n v="60"/>
    <m/>
    <n v="200"/>
    <n v="200"/>
    <n v="0"/>
    <n v="2114014.7368421047"/>
    <n v="0"/>
    <n v="7046715.7894736826"/>
    <n v="200"/>
    <n v="7046715.7894736826"/>
    <n v="4989600"/>
    <n v="90"/>
    <n v="140"/>
    <n v="90"/>
    <n v="0"/>
    <n v="0"/>
    <n v="4932701.0526315775"/>
    <n v="3171022.1052631573"/>
    <n v="0"/>
    <n v="0"/>
    <n v="140"/>
    <n v="4932701.0526315775"/>
    <n v="8805176.4705882352"/>
    <n v="36"/>
    <n v="50"/>
    <n v="36"/>
    <n v="0"/>
    <m/>
    <n v="1761678.9473684207"/>
    <n v="1397088"/>
    <n v="0"/>
    <n v="50"/>
    <n v="1761678.9473684207"/>
    <n v="3522070.5882352944"/>
  </r>
  <r>
    <m/>
    <x v="9"/>
    <x v="36"/>
    <x v="89"/>
    <s v="XRCOOLPORT20-GR"/>
    <x v="815"/>
    <x v="648"/>
    <x v="0"/>
    <x v="4"/>
    <n v="1"/>
    <x v="31"/>
    <n v="0"/>
    <m/>
    <n v="0"/>
    <n v="19000"/>
    <n v="0"/>
    <n v="16.666666666666668"/>
    <n v="19000"/>
    <n v="47899.159663865546"/>
    <n v="40714.28571428571"/>
    <s v="Ningbo"/>
    <x v="0"/>
    <n v="45"/>
    <m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9"/>
    <x v="36"/>
    <x v="89"/>
    <s v="XRCOOLPORT40-GR"/>
    <x v="816"/>
    <x v="649"/>
    <x v="0"/>
    <x v="4"/>
    <n v="1"/>
    <x v="31"/>
    <n v="0"/>
    <m/>
    <n v="0"/>
    <n v="37000"/>
    <n v="0"/>
    <n v="32.456140350877192"/>
    <n v="37000"/>
    <n v="93277.310924369755"/>
    <n v="79285.71428571429"/>
    <s v="Ningbo"/>
    <x v="0"/>
    <n v="45"/>
    <m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200"/>
    <n v="200"/>
    <n v="0"/>
    <n v="0"/>
    <n v="0"/>
    <n v="6718421.0526315784"/>
    <n v="0"/>
    <n v="0"/>
    <n v="0"/>
    <n v="0"/>
    <n v="40"/>
    <n v="0"/>
    <n v="40"/>
    <n v="0"/>
    <n v="0"/>
    <n v="101"/>
    <n v="200"/>
    <n v="0"/>
    <n v="1343684.2105263157"/>
    <n v="0"/>
    <n v="3392802.6315789474"/>
    <n v="101"/>
    <n v="3392802.6315789474"/>
    <n v="3171428.5714285718"/>
    <n v="60"/>
    <n v="61"/>
    <n v="60"/>
    <m/>
    <n v="0"/>
    <n v="0"/>
    <n v="2049118.4210526315"/>
    <n v="2015526.3157894737"/>
    <n v="0"/>
    <n v="0"/>
    <n v="61"/>
    <n v="2049118.4210526315"/>
    <n v="4757142.8571428573"/>
    <n v="100"/>
    <n v="1"/>
    <n v="1"/>
    <n v="0"/>
    <n v="0"/>
    <n v="33592.105263157893"/>
    <n v="33592.105263157893"/>
    <n v="0"/>
    <n v="0"/>
    <n v="1"/>
    <n v="33592.105263157893"/>
    <n v="93277.310924369755"/>
    <n v="36"/>
    <n v="0"/>
    <n v="36"/>
    <n v="0"/>
    <m/>
    <n v="0"/>
    <n v="1332000"/>
    <n v="0"/>
    <n v="0"/>
    <n v="0"/>
    <n v="3357983.193277311"/>
  </r>
  <r>
    <m/>
    <x v="9"/>
    <x v="36"/>
    <x v="89"/>
    <s v="XRCOOLPORTF40-GR"/>
    <x v="817"/>
    <x v="650"/>
    <x v="0"/>
    <x v="4"/>
    <n v="1"/>
    <x v="31"/>
    <n v="0"/>
    <m/>
    <n v="0"/>
    <n v="85848"/>
    <n v="0"/>
    <n v="75.305263157894743"/>
    <n v="85848"/>
    <n v="216423.52941176473"/>
    <n v="183960"/>
    <s v="Ningbo"/>
    <x v="0"/>
    <n v="45"/>
    <m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100"/>
    <n v="100"/>
    <n v="0"/>
    <n v="0"/>
    <n v="0"/>
    <n v="7794094.7368421052"/>
    <n v="0"/>
    <n v="0"/>
    <n v="0"/>
    <n v="0"/>
    <n v="15"/>
    <n v="0"/>
    <n v="0"/>
    <n v="0"/>
    <n v="0"/>
    <n v="0"/>
    <n v="100"/>
    <n v="0"/>
    <n v="0"/>
    <n v="0"/>
    <n v="0"/>
    <n v="0"/>
    <n v="0"/>
    <n v="0"/>
    <n v="25"/>
    <n v="0"/>
    <n v="0"/>
    <m/>
    <n v="0"/>
    <n v="0"/>
    <n v="0"/>
    <n v="0"/>
    <n v="0"/>
    <n v="0"/>
    <n v="0"/>
    <n v="0"/>
    <n v="0"/>
    <n v="40"/>
    <n v="0"/>
    <n v="0"/>
    <n v="0"/>
    <n v="0"/>
    <n v="0"/>
    <n v="0"/>
    <n v="0"/>
    <n v="0"/>
    <n v="0"/>
    <n v="0"/>
    <n v="0"/>
    <n v="15"/>
    <n v="0"/>
    <n v="15"/>
    <n v="0"/>
    <m/>
    <n v="0"/>
    <n v="1287720"/>
    <n v="0"/>
    <n v="0"/>
    <n v="0"/>
    <n v="3246352.9411764708"/>
  </r>
  <r>
    <m/>
    <x v="9"/>
    <x v="36"/>
    <x v="89"/>
    <s v="XRCOOLPORT-GR"/>
    <x v="818"/>
    <x v="651"/>
    <x v="0"/>
    <x v="1"/>
    <n v="1"/>
    <x v="443"/>
    <n v="137"/>
    <m/>
    <n v="0"/>
    <n v="32325"/>
    <n v="4428525"/>
    <n v="25"/>
    <n v="27312.499999999996"/>
    <n v="67218.487394957992"/>
    <n v="67218.487394957992"/>
    <s v="Ningbo"/>
    <x v="0"/>
    <n v="45"/>
    <m/>
    <n v="25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16"/>
    <n v="0.48369775923601777"/>
    <n v="69"/>
    <n v="0.34659350100985747"/>
    <n v="71"/>
    <n v="0.33463831156920759"/>
    <n v="0"/>
    <s v=""/>
    <n v="0"/>
    <s v=""/>
    <n v="0"/>
    <n v="1"/>
    <n v="0.55480272534066755"/>
    <n v="0"/>
    <n v="0"/>
    <s v=""/>
    <n v="0"/>
    <n v="0"/>
    <s v=""/>
    <n v="0"/>
    <n v="22"/>
    <n v="0.26214042268803378"/>
    <n v="0.44"/>
    <n v="78"/>
    <n v="0.349682839961031"/>
    <n v="1.1142857142857143"/>
    <m/>
    <m/>
    <m/>
    <m/>
    <m/>
    <m/>
    <m/>
    <m/>
    <m/>
    <n v="60"/>
    <n v="39"/>
    <n v="60"/>
    <n v="0"/>
    <n v="99"/>
    <n v="0"/>
    <n v="5382112.5"/>
    <n v="1009124.9999999999"/>
    <n v="1939500"/>
    <n v="0"/>
    <n v="137"/>
    <n v="4428525"/>
    <n v="3389167.4316785545"/>
    <n v="40"/>
    <n v="70"/>
    <n v="106.5"/>
    <n v="0"/>
    <n v="0"/>
    <n v="0"/>
    <n v="3442612.5"/>
    <n v="1811249.9999999998"/>
    <n v="3442612.5"/>
    <n v="0"/>
    <n v="137"/>
    <n v="4428525"/>
    <n v="6015772.1912294347"/>
    <n v="0"/>
    <n v="-1"/>
    <n v="0"/>
    <n v="0"/>
    <n v="0"/>
    <n v="0"/>
    <n v="-32325"/>
    <n v="0"/>
    <n v="0"/>
    <n v="137"/>
    <n v="4428525"/>
    <n v="0"/>
    <n v="0"/>
    <n v="0"/>
    <n v="0"/>
    <n v="0"/>
    <n v="0"/>
    <n v="0"/>
    <n v="0"/>
    <x v="0"/>
    <x v="0"/>
    <n v="137"/>
    <n v="4428525"/>
    <n v="0"/>
    <n v="0"/>
    <n v="138"/>
    <n v="0"/>
    <m/>
    <n v="0"/>
    <n v="0"/>
    <n v="4460850"/>
    <n v="0"/>
    <x v="0"/>
    <n v="0"/>
    <n v="137"/>
    <n v="4428525"/>
    <n v="0"/>
    <n v="0"/>
    <n v="137"/>
    <n v="0"/>
    <m/>
    <n v="0"/>
    <n v="0"/>
    <n v="4428525"/>
    <n v="0"/>
    <n v="0"/>
    <n v="0"/>
    <n v="137"/>
    <n v="4428525"/>
    <n v="0"/>
    <n v="30"/>
    <n v="137"/>
    <n v="0"/>
    <n v="250"/>
    <n v="250"/>
    <n v="0"/>
    <n v="4428525"/>
    <n v="0"/>
    <n v="6253124.9999999991"/>
    <n v="0"/>
    <n v="137"/>
    <n v="4428525"/>
    <n v="0"/>
    <n v="50"/>
    <n v="159"/>
    <n v="22"/>
    <n v="0"/>
    <n v="0"/>
    <n v="0"/>
    <n v="5139675"/>
    <n v="569249.99999999988"/>
    <n v="0"/>
    <n v="0"/>
    <n v="159"/>
    <n v="5139675"/>
    <n v="1478806.7226890759"/>
    <n v="70"/>
    <n v="215"/>
    <n v="94.5"/>
    <n v="250"/>
    <n v="250"/>
    <n v="0"/>
    <n v="5563124.9999999991"/>
    <n v="2445187.4999999995"/>
    <n v="6468749.9999999991"/>
    <n v="0"/>
    <n v="137"/>
    <n v="4428525"/>
    <n v="6352147.0588235306"/>
    <n v="140"/>
    <n v="120.5"/>
    <n v="140"/>
    <n v="0"/>
    <n v="0"/>
    <n v="251"/>
    <n v="250"/>
    <n v="3117937.4999999995"/>
    <n v="3622499.9999999995"/>
    <n v="0"/>
    <n v="6494624.9999999991"/>
    <n v="371.5"/>
    <n v="9612562.4999999981"/>
    <n v="9410588.2352941185"/>
    <n v="120"/>
    <n v="231.5"/>
    <n v="120"/>
    <m/>
    <n v="0"/>
    <n v="0"/>
    <n v="5990062.4999999991"/>
    <n v="3104999.9999999995"/>
    <n v="0"/>
    <n v="0"/>
    <n v="231.5"/>
    <n v="5990062.4999999991"/>
    <n v="8066218.4873949587"/>
    <n v="150"/>
    <n v="111.5"/>
    <n v="111.5"/>
    <n v="0"/>
    <n v="0"/>
    <n v="2885062.4999999995"/>
    <n v="2885062.4999999995"/>
    <n v="0"/>
    <n v="0"/>
    <n v="111.5"/>
    <n v="2885062.4999999995"/>
    <n v="7494861.344537816"/>
    <n v="72"/>
    <n v="0"/>
    <n v="72"/>
    <n v="250"/>
    <m/>
    <n v="0"/>
    <n v="2327400"/>
    <n v="0"/>
    <n v="0"/>
    <n v="0"/>
    <n v="4839731.0924369758"/>
  </r>
  <r>
    <m/>
    <x v="9"/>
    <x v="36"/>
    <x v="89"/>
    <s v="XRESTAENER-OG"/>
    <x v="819"/>
    <x v="652"/>
    <x v="0"/>
    <x v="5"/>
    <n v="1"/>
    <x v="444"/>
    <n v="2"/>
    <m/>
    <n v="0"/>
    <n v="87179"/>
    <n v="174358"/>
    <n v="92"/>
    <n v="100509.99999999999"/>
    <n v="168058.82352941178"/>
    <n v="109235.29411764706"/>
    <s v="Shenzhen"/>
    <x v="0"/>
    <n v="30"/>
    <m/>
    <n v="200"/>
    <n v="0"/>
    <s v=""/>
    <n v="1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1"/>
    <n v="-0.21292067343924678"/>
    <n v="0"/>
    <s v=""/>
    <n v="1"/>
    <n v="0.29913998449699675"/>
    <n v="2"/>
    <n v="0.14037721763505251"/>
    <n v="0.13333333333333333"/>
    <n v="4"/>
    <n v="0.29221913906607089"/>
    <n v="0.8"/>
    <n v="11"/>
    <n v="8.465674504082274E-2"/>
    <n v="2.2000000000000002"/>
    <n v="66"/>
    <n v="0.10587776701536707"/>
    <n v="13.2"/>
    <n v="0"/>
    <n v="-3.5097859999999996"/>
    <n v="0"/>
    <n v="0"/>
    <s v=""/>
    <n v="0"/>
    <m/>
    <m/>
    <m/>
    <m/>
    <m/>
    <m/>
    <m/>
    <m/>
    <m/>
    <n v="10"/>
    <n v="50"/>
    <n v="10"/>
    <n v="0"/>
    <n v="100"/>
    <n v="0"/>
    <n v="958969"/>
    <n v="4760999.9999999991"/>
    <n v="871790"/>
    <n v="0"/>
    <n v="2"/>
    <n v="174358"/>
    <n v="1412259.0212555612"/>
    <n v="10"/>
    <n v="48"/>
    <n v="0"/>
    <n v="0"/>
    <n v="0"/>
    <n v="0"/>
    <n v="261537"/>
    <n v="4570559.9999999991"/>
    <n v="0"/>
    <n v="0"/>
    <n v="2"/>
    <n v="174358"/>
    <n v="0"/>
    <n v="10"/>
    <n v="95"/>
    <n v="1"/>
    <n v="0"/>
    <n v="0"/>
    <n v="737637"/>
    <n v="8282005"/>
    <n v="87179"/>
    <n v="0"/>
    <n v="2"/>
    <n v="174358"/>
    <n v="168058.82352941178"/>
    <n v="15"/>
    <n v="97"/>
    <n v="2"/>
    <n v="0"/>
    <n v="0"/>
    <n v="9236339.9999999981"/>
    <n v="174358"/>
    <x v="0"/>
    <x v="0"/>
    <n v="2"/>
    <n v="174358"/>
    <n v="336117.64705882355"/>
    <n v="5"/>
    <n v="6"/>
    <n v="5"/>
    <m/>
    <n v="0"/>
    <n v="0"/>
    <n v="523074"/>
    <n v="476099.99999999994"/>
    <x v="0"/>
    <n v="0"/>
    <n v="2"/>
    <n v="174358"/>
    <n v="840294.11764705891"/>
    <n v="5"/>
    <n v="13"/>
    <n v="11"/>
    <m/>
    <n v="0"/>
    <n v="0"/>
    <n v="1133327"/>
    <n v="1047419.9999999999"/>
    <n v="0"/>
    <n v="0"/>
    <n v="13"/>
    <n v="174358"/>
    <n v="1848647.0588235296"/>
    <n v="5"/>
    <n v="68"/>
    <n v="66"/>
    <n v="0"/>
    <n v="0"/>
    <n v="0"/>
    <n v="5928172"/>
    <n v="6284519.9999999991"/>
    <n v="0"/>
    <n v="0"/>
    <n v="68"/>
    <n v="174358"/>
    <n v="11091882.352941178"/>
    <n v="0"/>
    <n v="2"/>
    <n v="0"/>
    <n v="0"/>
    <n v="0"/>
    <n v="0"/>
    <n v="174358"/>
    <n v="0"/>
    <n v="0"/>
    <n v="0"/>
    <n v="2"/>
    <n v="174358"/>
    <n v="0"/>
    <n v="0"/>
    <n v="2"/>
    <n v="0"/>
    <n v="0"/>
    <n v="0"/>
    <n v="0"/>
    <n v="190439.99999999997"/>
    <n v="0"/>
    <n v="0"/>
    <n v="0"/>
    <n v="2"/>
    <n v="174358"/>
    <n v="0"/>
    <n v="0"/>
    <n v="2"/>
    <n v="0"/>
    <n v="0"/>
    <n v="0"/>
    <n v="0"/>
    <m/>
    <n v="190439.99999999997"/>
    <n v="0"/>
    <n v="0"/>
    <n v="0"/>
    <n v="2"/>
    <n v="190439.99999999997"/>
    <n v="0"/>
    <n v="0"/>
    <n v="2"/>
    <n v="0"/>
    <m/>
    <n v="0"/>
    <n v="0"/>
    <n v="190439.99999999997"/>
    <n v="0"/>
    <n v="0"/>
    <n v="0"/>
    <n v="2"/>
    <n v="190439.99999999997"/>
    <n v="0"/>
    <n v="0"/>
    <n v="2"/>
    <n v="0"/>
    <n v="0"/>
    <n v="0"/>
    <n v="190439.99999999997"/>
    <n v="0"/>
    <n v="0"/>
    <n v="0"/>
    <n v="2"/>
    <n v="190439.99999999997"/>
    <n v="0"/>
    <n v="0"/>
    <n v="2"/>
    <n v="0"/>
    <n v="0"/>
    <m/>
    <n v="190439.99999999997"/>
    <n v="0"/>
    <n v="0"/>
    <n v="2"/>
    <n v="190439.99999999997"/>
    <n v="0"/>
  </r>
  <r>
    <m/>
    <x v="9"/>
    <x v="36"/>
    <x v="89"/>
    <s v="XRQUITCD-CL"/>
    <x v="820"/>
    <x v="653"/>
    <x v="0"/>
    <x v="4"/>
    <n v="1"/>
    <x v="31"/>
    <n v="0"/>
    <m/>
    <n v="0"/>
    <n v="9407.9999999999982"/>
    <n v="0"/>
    <n v="8.2526315789473674"/>
    <n v="9407.9999999999982"/>
    <n v="23717.647058823524"/>
    <n v="20159.999999999996"/>
    <s v="Shenzhen"/>
    <x v="0"/>
    <n v="30"/>
    <m/>
    <n v="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</r>
  <r>
    <m/>
    <x v="9"/>
    <x v="37"/>
    <x v="90"/>
    <s v="XRPARTBAT-GR"/>
    <x v="821"/>
    <x v="654"/>
    <x v="0"/>
    <x v="1"/>
    <n v="1"/>
    <x v="445"/>
    <n v="12"/>
    <m/>
    <n v="0"/>
    <n v="27208"/>
    <n v="326496"/>
    <n v="26"/>
    <n v="28404.999999999996"/>
    <n v="58815.126050420171"/>
    <n v="67218.487394957992"/>
    <s v="Ningbo"/>
    <x v="0"/>
    <n v="30"/>
    <m/>
    <n v="2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2"/>
    <n v="0.58340559381110257"/>
    <n v="39"/>
    <n v="0.40224580152288059"/>
    <n v="101"/>
    <n v="0.39825169350126649"/>
    <n v="4"/>
    <n v="0.44110343187369644"/>
    <n v="0"/>
    <s v=""/>
    <n v="0"/>
    <n v="0"/>
    <s v=""/>
    <n v="0"/>
    <n v="27"/>
    <n v="0.31818702115864672"/>
    <n v="0"/>
    <n v="123"/>
    <n v="0.58068674136787146"/>
    <n v="1.23"/>
    <n v="60"/>
    <n v="0.43555744428296161"/>
    <n v="1"/>
    <n v="67"/>
    <n v="0.41031117203692835"/>
    <n v="0.95714285714285718"/>
    <m/>
    <m/>
    <m/>
    <m/>
    <m/>
    <m/>
    <m/>
    <m/>
    <m/>
    <n v="25"/>
    <n v="147"/>
    <n v="25"/>
    <n v="0"/>
    <n v="0"/>
    <n v="0"/>
    <n v="4911044"/>
    <n v="3955769.9999999995"/>
    <n v="680200"/>
    <n v="0"/>
    <n v="12"/>
    <n v="326496"/>
    <n v="1235611.8918155499"/>
    <n v="25"/>
    <n v="109"/>
    <n v="151.5"/>
    <n v="0"/>
    <m/>
    <n v="0"/>
    <n v="4230844"/>
    <n v="2933189.9999999995"/>
    <n v="4122012"/>
    <n v="0"/>
    <n v="12"/>
    <n v="326496"/>
    <n v="7487808.0644022319"/>
    <n v="10"/>
    <n v="4"/>
    <n v="4"/>
    <n v="0"/>
    <n v="0"/>
    <n v="108832"/>
    <n v="108832"/>
    <n v="108832"/>
    <n v="0"/>
    <n v="12"/>
    <n v="326496"/>
    <n v="235260.50420168068"/>
    <n v="0"/>
    <n v="4"/>
    <n v="0"/>
    <n v="0"/>
    <n v="0"/>
    <n v="107639.99999999999"/>
    <n v="0"/>
    <x v="0"/>
    <x v="0"/>
    <n v="12"/>
    <n v="326496"/>
    <n v="0"/>
    <n v="0"/>
    <n v="12"/>
    <n v="0"/>
    <m/>
    <n v="0"/>
    <n v="0"/>
    <n v="326496"/>
    <n v="0"/>
    <x v="0"/>
    <n v="0"/>
    <n v="12"/>
    <n v="326496"/>
    <n v="0"/>
    <n v="0"/>
    <n v="39"/>
    <n v="27"/>
    <m/>
    <n v="0"/>
    <n v="0"/>
    <n v="1061112"/>
    <n v="726569.99999999988"/>
    <n v="0"/>
    <n v="0"/>
    <n v="39"/>
    <n v="326496"/>
    <n v="1588008.4033613447"/>
    <n v="100"/>
    <n v="135"/>
    <n v="123"/>
    <n v="150"/>
    <n v="150"/>
    <n v="0"/>
    <n v="3673080"/>
    <n v="3309929.9999999995"/>
    <n v="3901949.9999999995"/>
    <n v="0"/>
    <n v="135"/>
    <n v="326496"/>
    <n v="7234260.5042016814"/>
    <n v="60"/>
    <n v="72"/>
    <n v="62"/>
    <n v="150"/>
    <n v="150"/>
    <n v="0"/>
    <n v="1958976"/>
    <n v="1668419.9999999998"/>
    <n v="4036499.9999999995"/>
    <n v="0"/>
    <n v="72"/>
    <n v="1958976"/>
    <n v="3646537.8151260507"/>
    <n v="70"/>
    <n v="79"/>
    <n v="81"/>
    <n v="150"/>
    <n v="150"/>
    <n v="0"/>
    <n v="2125889.9999999995"/>
    <n v="2179709.9999999995"/>
    <n v="4036499.9999999995"/>
    <n v="0"/>
    <n v="12"/>
    <n v="326496"/>
    <n v="4764025.2100840341"/>
    <n v="70"/>
    <n v="0"/>
    <n v="0"/>
    <n v="0"/>
    <n v="0"/>
    <n v="0"/>
    <n v="150"/>
    <n v="0"/>
    <n v="0"/>
    <n v="0"/>
    <n v="0"/>
    <n v="0"/>
    <n v="0"/>
    <n v="0"/>
    <n v="120"/>
    <n v="0"/>
    <n v="120"/>
    <n v="0"/>
    <n v="0"/>
    <n v="150"/>
    <n v="0"/>
    <n v="3229199.9999999995"/>
    <n v="0"/>
    <n v="4036499.9999999995"/>
    <n v="150"/>
    <n v="4036499.9999999995"/>
    <n v="0"/>
    <n v="150"/>
    <n v="30"/>
    <n v="150"/>
    <n v="250"/>
    <n v="250"/>
    <n v="807299.99999999988"/>
    <n v="4036499.9999999995"/>
    <n v="6727499.9999999991"/>
    <n v="6727499.9999999991"/>
    <n v="280"/>
    <n v="7534799.9999999991"/>
    <n v="8822268.9075630251"/>
    <n v="72"/>
    <n v="130"/>
    <n v="72"/>
    <n v="150"/>
    <n v="150"/>
    <n v="3498299.9999999995"/>
    <n v="1958976"/>
    <n v="4036499.9999999995"/>
    <n v="280"/>
    <n v="7534799.9999999991"/>
    <n v="4234689.0756302522"/>
  </r>
  <r>
    <m/>
    <x v="9"/>
    <x v="37"/>
    <x v="90"/>
    <s v="XRBAREMSS"/>
    <x v="822"/>
    <x v="655"/>
    <x v="0"/>
    <x v="4"/>
    <n v="1"/>
    <x v="31"/>
    <n v="0"/>
    <m/>
    <n v="0"/>
    <n v="9530.64"/>
    <n v="0"/>
    <n v="8.5399999999999991"/>
    <n v="9530.64"/>
    <n v="29990"/>
    <n v="0"/>
    <s v="Ningbo"/>
    <x v="0"/>
    <n v="30"/>
    <m/>
    <n v="500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n v="0"/>
    <s v=""/>
    <m/>
    <m/>
    <m/>
    <s v=""/>
    <n v="0"/>
    <s v=""/>
    <n v="0"/>
    <s v=""/>
    <n v="0"/>
    <s v=""/>
    <n v="0"/>
    <n v="0"/>
    <s v=""/>
    <n v="0"/>
    <n v="0"/>
    <s v=""/>
    <n v="0"/>
    <n v="0"/>
    <s v=""/>
    <n v="0"/>
    <n v="0"/>
    <s v=""/>
    <n v="0"/>
    <n v="0"/>
    <s v=""/>
    <n v="0"/>
    <m/>
    <m/>
    <m/>
    <m/>
    <m/>
    <m/>
    <m/>
    <m/>
    <m/>
    <n v="25"/>
    <n v="147"/>
    <n v="25"/>
    <n v="0"/>
    <n v="0"/>
    <n v="0"/>
    <n v="238266"/>
    <n v="1299318.2999999996"/>
    <n v="238266"/>
    <n v="0"/>
    <n v="0"/>
    <n v="0"/>
    <n v="630042.01680672262"/>
    <n v="25"/>
    <n v="109"/>
    <n v="0"/>
    <n v="0"/>
    <m/>
    <n v="0"/>
    <n v="0"/>
    <n v="963440.09999999974"/>
    <n v="0"/>
    <n v="0"/>
    <n v="0"/>
    <n v="0"/>
    <n v="0"/>
    <n v="10"/>
    <n v="4"/>
    <n v="0"/>
    <n v="0"/>
    <n v="0"/>
    <n v="0"/>
    <n v="38122.559999999998"/>
    <n v="0"/>
    <n v="0"/>
    <n v="0"/>
    <n v="0"/>
    <n v="0"/>
    <n v="0"/>
    <n v="4"/>
    <n v="0"/>
    <n v="0"/>
    <n v="0"/>
    <n v="35355.599999999991"/>
    <n v="0"/>
    <x v="0"/>
    <x v="0"/>
    <n v="0"/>
    <n v="0"/>
    <n v="0"/>
    <n v="0"/>
    <n v="0"/>
    <n v="0"/>
    <m/>
    <n v="0"/>
    <n v="0"/>
    <n v="0"/>
    <n v="0"/>
    <x v="0"/>
    <n v="0"/>
    <n v="0"/>
    <n v="0"/>
    <n v="0"/>
    <n v="0"/>
    <n v="0"/>
    <n v="0"/>
    <m/>
    <n v="0"/>
    <n v="0"/>
    <n v="0"/>
    <n v="0"/>
    <n v="0"/>
    <n v="0"/>
    <n v="0"/>
    <n v="0"/>
    <n v="0"/>
    <n v="100"/>
    <n v="0"/>
    <n v="0"/>
    <n v="150"/>
    <n v="150"/>
    <n v="0"/>
    <n v="0"/>
    <n v="0"/>
    <n v="1281640.4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500"/>
    <n v="500"/>
    <n v="0"/>
    <n v="0"/>
    <n v="4419449.9999999991"/>
    <n v="500"/>
    <n v="4419449.9999999991"/>
    <n v="0"/>
  </r>
  <r>
    <m/>
    <x v="9"/>
    <x v="37"/>
    <x v="91"/>
    <s v="XRHYDLAV-OR"/>
    <x v="823"/>
    <x v="656"/>
    <x v="0"/>
    <x v="0"/>
    <n v="1"/>
    <x v="446"/>
    <n v="27"/>
    <m/>
    <n v="0"/>
    <n v="33359"/>
    <n v="900693"/>
    <n v="29"/>
    <n v="31682.499999999996"/>
    <n v="79871.848739495792"/>
    <n v="67891.07142857142"/>
    <s v="Shenzhen"/>
    <x v="0"/>
    <n v="30"/>
    <m/>
    <n v="5"/>
    <n v="0"/>
    <s v=""/>
    <n v="0"/>
    <s v=""/>
    <n v="0"/>
    <s v=""/>
    <n v="0"/>
    <s v=""/>
    <n v="0"/>
    <s v=""/>
    <n v="1"/>
    <n v="0.29327747095791279"/>
    <n v="3"/>
    <n v="0.4891001093728457"/>
    <n v="2"/>
    <n v="0.40593142565976759"/>
    <n v="15"/>
    <n v="0.42809777763864404"/>
    <n v="24"/>
    <n v="0.30778285667650263"/>
    <n v="6"/>
    <n v="0.48418555889804149"/>
    <n v="5"/>
    <n v="0.40534240393492676"/>
    <n v="10"/>
    <n v="0.38589445326014199"/>
    <n v="1"/>
    <n v="0.39567139175433935"/>
    <n v="5"/>
    <n v="0.59131951413245099"/>
    <n v="5"/>
    <n v="0.43854456043760387"/>
    <n v="1"/>
    <n v="2"/>
    <n v="0.59130310038754841"/>
    <n v="0.4"/>
    <n v="1"/>
    <n v="0.43237840129705496"/>
    <n v="0"/>
    <n v="1"/>
    <n v="0.51536616161616156"/>
    <n v="0.2"/>
    <n v="2"/>
    <n v="0.39659199209328044"/>
    <n v="0.4"/>
    <n v="1"/>
    <n v="0.33996458406871383"/>
    <n v="0.1"/>
    <m/>
    <m/>
    <m/>
    <m/>
    <m/>
    <m/>
    <m/>
    <m/>
    <m/>
    <n v="5"/>
    <n v="14"/>
    <n v="5"/>
    <n v="0"/>
    <m/>
    <n v="0"/>
    <n v="383628.5"/>
    <n v="420209.99999999994"/>
    <n v="166795"/>
    <n v="0"/>
    <n v="27"/>
    <n v="900693"/>
    <n v="335596.00310712523"/>
    <n v="5"/>
    <n v="15"/>
    <n v="1.5"/>
    <n v="15"/>
    <n v="15"/>
    <n v="0"/>
    <n v="383628.5"/>
    <n v="450224.99999999994"/>
    <n v="50038.5"/>
    <n v="0"/>
    <n v="27"/>
    <n v="900693"/>
    <n v="100678.80093213756"/>
    <n v="5"/>
    <n v="14"/>
    <n v="5"/>
    <n v="0"/>
    <n v="0"/>
    <n v="483665"/>
    <n v="467026"/>
    <n v="166795"/>
    <n v="0"/>
    <n v="27"/>
    <n v="900693"/>
    <n v="399359.24369747896"/>
    <n v="5"/>
    <n v="8"/>
    <n v="5"/>
    <n v="0"/>
    <n v="0"/>
    <n v="240119.99999999997"/>
    <n v="166795"/>
    <x v="0"/>
    <x v="0"/>
    <n v="27"/>
    <n v="900693"/>
    <n v="399359.24369747896"/>
    <n v="5"/>
    <n v="29"/>
    <n v="5"/>
    <m/>
    <n v="0"/>
    <n v="0"/>
    <n v="967411"/>
    <n v="150074.99999999997"/>
    <x v="0"/>
    <n v="0"/>
    <n v="27"/>
    <n v="900693"/>
    <n v="399359.24369747896"/>
    <n v="0"/>
    <n v="28"/>
    <n v="1"/>
    <m/>
    <n v="0"/>
    <n v="0"/>
    <n v="934052"/>
    <n v="30014.999999999996"/>
    <n v="0"/>
    <n v="0"/>
    <n v="28"/>
    <n v="900693"/>
    <n v="79871.848739495792"/>
    <n v="5"/>
    <n v="28"/>
    <n v="1"/>
    <n v="10"/>
    <n v="10"/>
    <n v="0"/>
    <n v="934052"/>
    <n v="30014.999999999996"/>
    <n v="290144.99999999994"/>
    <n v="0"/>
    <n v="28"/>
    <n v="900693"/>
    <n v="79871.848739495792"/>
    <n v="5"/>
    <n v="29"/>
    <n v="2"/>
    <n v="20"/>
    <n v="20"/>
    <n v="0"/>
    <n v="967411"/>
    <n v="60029.999999999993"/>
    <n v="600299.99999999988"/>
    <n v="0"/>
    <n v="29"/>
    <n v="967411"/>
    <n v="159743.69747899158"/>
    <n v="10"/>
    <n v="28"/>
    <n v="1.5"/>
    <n v="20"/>
    <n v="20"/>
    <n v="0"/>
    <n v="840419.99999999988"/>
    <n v="45022.499999999993"/>
    <n v="600299.99999999988"/>
    <n v="0"/>
    <n v="27"/>
    <n v="900693"/>
    <n v="119807.77310924369"/>
    <n v="15"/>
    <n v="26.5"/>
    <n v="15"/>
    <n v="0"/>
    <n v="0"/>
    <n v="0"/>
    <n v="20"/>
    <n v="795397.49999999988"/>
    <n v="450224.99999999994"/>
    <n v="0"/>
    <n v="0"/>
    <n v="26.5"/>
    <n v="795397.49999999988"/>
    <n v="1018366.0714285714"/>
    <n v="15"/>
    <n v="11.5"/>
    <n v="15"/>
    <m/>
    <n v="0"/>
    <n v="20"/>
    <n v="345172.49999999994"/>
    <n v="450224.99999999994"/>
    <n v="0"/>
    <n v="600299.99999999988"/>
    <n v="31.5"/>
    <n v="945472.49999999977"/>
    <n v="780747.32142857136"/>
    <n v="15"/>
    <n v="16.5"/>
    <n v="15"/>
    <n v="0"/>
    <n v="0"/>
    <n v="495247.49999999994"/>
    <n v="450224.99999999994"/>
    <n v="0"/>
    <n v="0"/>
    <n v="16.5"/>
    <n v="495247.49999999994"/>
    <n v="1198077.7310924369"/>
    <n v="9"/>
    <n v="1.5"/>
    <n v="9"/>
    <n v="0"/>
    <m/>
    <n v="45022.499999999993"/>
    <n v="300231"/>
    <n v="0"/>
    <n v="1.5"/>
    <n v="45022.499999999993"/>
    <n v="718846.638655462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laDinámica10" cacheId="2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5:T17" firstHeaderRow="1" firstDataRow="2" firstDataCol="5" rowPageCount="3" colPageCount="1"/>
  <pivotFields count="292">
    <pivotField compact="0" outline="0" showAll="0"/>
    <pivotField axis="axisRow" compact="0" outline="0" showAll="0" defaultSubtotal="0">
      <items count="10">
        <item sd="0" x="4"/>
        <item n="Simplit" sd="0" x="6"/>
        <item sd="0" x="3"/>
        <item sd="0" x="9"/>
        <item sd="0" x="1"/>
        <item sd="0" x="7"/>
        <item sd="0" x="0"/>
        <item sd="0" x="2"/>
        <item sd="0" x="8"/>
        <item sd="0" x="5"/>
      </items>
    </pivotField>
    <pivotField axis="axisRow" compact="0" outline="0" showAll="0" defaultSubtotal="0">
      <items count="38">
        <item sd="0" x="14"/>
        <item sd="0" x="7"/>
        <item x="34"/>
        <item sd="0" x="0"/>
        <item sd="0" x="35"/>
        <item sd="0" x="36"/>
        <item sd="0" x="15"/>
        <item sd="0" x="16"/>
        <item sd="0" x="24"/>
        <item sd="0" x="32"/>
        <item sd="0" x="17"/>
        <item sd="0" x="25"/>
        <item sd="0" x="18"/>
        <item sd="0" x="5"/>
        <item sd="0" x="4"/>
        <item sd="0" x="37"/>
        <item sd="0" x="19"/>
        <item sd="0" x="6"/>
        <item sd="0" x="26"/>
        <item sd="0" x="1"/>
        <item sd="0" x="2"/>
        <item sd="0" x="3"/>
        <item sd="0" x="27"/>
        <item sd="0" x="8"/>
        <item sd="0" x="29"/>
        <item sd="0" x="30"/>
        <item sd="0" x="9"/>
        <item sd="0" x="10"/>
        <item sd="0" x="11"/>
        <item sd="0" x="20"/>
        <item sd="0" x="12"/>
        <item sd="0" x="13"/>
        <item sd="0" x="31"/>
        <item sd="0" x="21"/>
        <item sd="0" x="22"/>
        <item x="33"/>
        <item x="23"/>
        <item x="28"/>
      </items>
    </pivotField>
    <pivotField axis="axisRow" compact="0" outline="0" showAll="0" defaultSubtotal="0">
      <items count="92">
        <item x="12"/>
        <item x="0"/>
        <item x="89"/>
        <item x="39"/>
        <item x="80"/>
        <item x="75"/>
        <item x="6"/>
        <item x="23"/>
        <item x="36"/>
        <item x="40"/>
        <item x="56"/>
        <item x="11"/>
        <item x="86"/>
        <item x="71"/>
        <item x="62"/>
        <item x="41"/>
        <item x="44"/>
        <item x="13"/>
        <item x="69"/>
        <item x="32"/>
        <item x="49"/>
        <item x="54"/>
        <item x="24"/>
        <item x="25"/>
        <item x="14"/>
        <item x="15"/>
        <item x="26"/>
        <item x="84"/>
        <item x="1"/>
        <item x="70"/>
        <item x="57"/>
        <item x="63"/>
        <item x="7"/>
        <item x="16"/>
        <item x="8"/>
        <item x="72"/>
        <item x="60"/>
        <item x="77"/>
        <item x="17"/>
        <item x="21"/>
        <item x="90"/>
        <item x="33"/>
        <item x="78"/>
        <item x="61"/>
        <item x="2"/>
        <item x="91"/>
        <item x="79"/>
        <item x="42"/>
        <item x="64"/>
        <item x="3"/>
        <item x="18"/>
        <item x="19"/>
        <item x="43"/>
        <item x="22"/>
        <item x="9"/>
        <item x="20"/>
        <item x="50"/>
        <item x="34"/>
        <item x="51"/>
        <item x="37"/>
        <item x="27"/>
        <item x="38"/>
        <item x="4"/>
        <item x="52"/>
        <item x="53"/>
        <item x="30"/>
        <item x="65"/>
        <item x="82"/>
        <item x="73"/>
        <item x="85"/>
        <item x="87"/>
        <item x="5"/>
        <item x="47"/>
        <item x="48"/>
        <item x="28"/>
        <item x="29"/>
        <item x="10"/>
        <item x="58"/>
        <item x="45"/>
        <item x="31"/>
        <item x="66"/>
        <item x="46"/>
        <item x="35"/>
        <item x="88"/>
        <item x="67"/>
        <item x="59"/>
        <item x="83"/>
        <item x="81"/>
        <item x="55"/>
        <item x="68"/>
        <item x="74"/>
        <item x="76"/>
      </items>
    </pivotField>
    <pivotField compact="0" outline="0" showAll="0"/>
    <pivotField axis="axisRow" compact="0" outline="0" showAll="0" defaultSubtotal="0">
      <items count="818">
        <item x="78"/>
        <item x="103"/>
        <item x="104"/>
        <item x="191"/>
        <item x="192"/>
        <item x="193"/>
        <item x="244"/>
        <item x="49"/>
        <item x="222"/>
        <item x="194"/>
        <item x="195"/>
        <item x="223"/>
        <item x="224"/>
        <item x="245"/>
        <item x="246"/>
        <item x="231"/>
        <item x="226"/>
        <item x="225"/>
        <item x="706"/>
        <item x="682"/>
        <item x="611"/>
        <item x="647"/>
        <item x="648"/>
        <item x="662"/>
        <item x="663"/>
        <item x="612"/>
        <item x="613"/>
        <item x="640"/>
        <item x="641"/>
        <item x="327"/>
        <item x="328"/>
        <item x="329"/>
        <item x="330"/>
        <item x="649"/>
        <item x="683"/>
        <item x="684"/>
        <item x="685"/>
        <item x="586"/>
        <item x="53"/>
        <item x="793"/>
        <item x="802"/>
        <item x="794"/>
        <item x="331"/>
        <item x="332"/>
        <item x="333"/>
        <item x="99"/>
        <item x="54"/>
        <item x="664"/>
        <item x="686"/>
        <item x="687"/>
        <item x="671"/>
        <item x="672"/>
        <item x="673"/>
        <item x="587"/>
        <item x="588"/>
        <item x="688"/>
        <item x="785"/>
        <item x="79"/>
        <item x="719"/>
        <item x="80"/>
        <item x="81"/>
        <item x="721"/>
        <item x="116"/>
        <item x="117"/>
        <item x="65"/>
        <item x="66"/>
        <item x="707"/>
        <item x="589"/>
        <item x="650"/>
        <item x="637"/>
        <item x="638"/>
        <item x="674"/>
        <item x="710"/>
        <item x="711"/>
        <item x="689"/>
        <item x="708"/>
        <item x="699"/>
        <item x="698"/>
        <item x="697"/>
        <item x="690"/>
        <item x="691"/>
        <item x="692"/>
        <item x="693"/>
        <item x="609"/>
        <item x="694"/>
        <item x="786"/>
        <item x="722"/>
        <item x="247"/>
        <item x="248"/>
        <item x="82"/>
        <item x="643"/>
        <item x="644"/>
        <item x="645"/>
        <item x="581"/>
        <item x="582"/>
        <item x="583"/>
        <item x="584"/>
        <item x="100"/>
        <item x="695"/>
        <item x="93"/>
        <item x="207"/>
        <item x="218"/>
        <item x="219"/>
        <item x="220"/>
        <item x="221"/>
        <item x="590"/>
        <item x="591"/>
        <item x="592"/>
        <item x="593"/>
        <item x="594"/>
        <item x="595"/>
        <item x="596"/>
        <item x="675"/>
        <item x="676"/>
        <item x="646"/>
        <item x="610"/>
        <item x="712"/>
        <item x="713"/>
        <item x="196"/>
        <item x="197"/>
        <item x="198"/>
        <item x="801"/>
        <item x="199"/>
        <item x="200"/>
        <item x="227"/>
        <item x="228"/>
        <item x="229"/>
        <item x="263"/>
        <item x="264"/>
        <item x="271"/>
        <item x="272"/>
        <item x="273"/>
        <item x="274"/>
        <item x="275"/>
        <item x="276"/>
        <item x="277"/>
        <item x="288"/>
        <item x="289"/>
        <item x="290"/>
        <item x="232"/>
        <item x="235"/>
        <item x="233"/>
        <item x="236"/>
        <item x="234"/>
        <item x="237"/>
        <item x="569"/>
        <item x="307"/>
        <item x="308"/>
        <item x="309"/>
        <item x="310"/>
        <item x="201"/>
        <item x="202"/>
        <item x="203"/>
        <item x="204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238"/>
        <item x="239"/>
        <item x="240"/>
        <item x="311"/>
        <item x="312"/>
        <item x="313"/>
        <item x="314"/>
        <item x="315"/>
        <item x="316"/>
        <item x="250"/>
        <item x="251"/>
        <item x="260"/>
        <item x="261"/>
        <item x="208"/>
        <item x="209"/>
        <item x="210"/>
        <item x="211"/>
        <item x="212"/>
        <item x="213"/>
        <item x="214"/>
        <item x="215"/>
        <item x="216"/>
        <item x="217"/>
        <item x="325"/>
        <item x="326"/>
        <item x="334"/>
        <item x="335"/>
        <item x="336"/>
        <item x="340"/>
        <item x="341"/>
        <item x="321"/>
        <item x="322"/>
        <item x="323"/>
        <item x="324"/>
        <item x="187"/>
        <item x="188"/>
        <item x="301"/>
        <item x="302"/>
        <item x="303"/>
        <item x="304"/>
        <item x="305"/>
        <item x="306"/>
        <item x="317"/>
        <item x="318"/>
        <item x="319"/>
        <item x="320"/>
        <item x="83"/>
        <item x="102"/>
        <item x="61"/>
        <item x="62"/>
        <item x="63"/>
        <item x="64"/>
        <item x="94"/>
        <item x="67"/>
        <item x="68"/>
        <item x="75"/>
        <item x="72"/>
        <item x="89"/>
        <item x="109"/>
        <item x="110"/>
        <item x="111"/>
        <item x="96"/>
        <item x="107"/>
        <item x="91"/>
        <item x="98"/>
        <item x="118"/>
        <item x="122"/>
        <item x="123"/>
        <item x="124"/>
        <item x="677"/>
        <item x="678"/>
        <item x="679"/>
        <item x="614"/>
        <item x="615"/>
        <item x="665"/>
        <item x="624"/>
        <item x="625"/>
        <item x="626"/>
        <item x="628"/>
        <item x="630"/>
        <item x="631"/>
        <item x="632"/>
        <item x="633"/>
        <item x="635"/>
        <item x="636"/>
        <item x="576"/>
        <item x="577"/>
        <item x="578"/>
        <item x="579"/>
        <item x="642"/>
        <item x="616"/>
        <item x="621"/>
        <item x="639"/>
        <item x="206"/>
        <item x="205"/>
        <item x="32"/>
        <item x="33"/>
        <item x="38"/>
        <item x="37"/>
        <item x="36"/>
        <item x="34"/>
        <item x="35"/>
        <item x="71"/>
        <item x="555"/>
        <item x="554"/>
        <item x="553"/>
        <item x="556"/>
        <item x="563"/>
        <item x="560"/>
        <item x="557"/>
        <item x="566"/>
        <item x="565"/>
        <item x="562"/>
        <item x="559"/>
        <item x="564"/>
        <item x="561"/>
        <item x="558"/>
        <item x="567"/>
        <item x="461"/>
        <item x="459"/>
        <item x="457"/>
        <item x="462"/>
        <item x="460"/>
        <item x="458"/>
        <item x="463"/>
        <item x="469"/>
        <item x="467"/>
        <item x="465"/>
        <item x="471"/>
        <item x="468"/>
        <item x="466"/>
        <item x="464"/>
        <item x="470"/>
        <item x="477"/>
        <item x="475"/>
        <item x="473"/>
        <item x="479"/>
        <item x="476"/>
        <item x="474"/>
        <item x="472"/>
        <item x="478"/>
        <item x="493"/>
        <item x="491"/>
        <item x="489"/>
        <item x="495"/>
        <item x="492"/>
        <item x="490"/>
        <item x="488"/>
        <item x="494"/>
        <item x="485"/>
        <item x="483"/>
        <item x="481"/>
        <item x="487"/>
        <item x="484"/>
        <item x="482"/>
        <item x="480"/>
        <item x="486"/>
        <item x="418"/>
        <item x="416"/>
        <item x="414"/>
        <item x="419"/>
        <item x="417"/>
        <item x="415"/>
        <item x="420"/>
        <item x="429"/>
        <item x="428"/>
        <item x="427"/>
        <item x="430"/>
        <item x="408"/>
        <item x="410"/>
        <item x="412"/>
        <item x="407"/>
        <item x="409"/>
        <item x="411"/>
        <item x="413"/>
        <item x="425"/>
        <item x="423"/>
        <item x="421"/>
        <item x="426"/>
        <item x="424"/>
        <item x="422"/>
        <item x="56"/>
        <item x="55"/>
        <item x="58"/>
        <item x="57"/>
        <item x="51"/>
        <item x="50"/>
        <item x="52"/>
        <item x="59"/>
        <item x="60"/>
        <item x="76"/>
        <item x="77"/>
        <item x="1"/>
        <item x="2"/>
        <item x="4"/>
        <item x="3"/>
        <item x="6"/>
        <item x="29"/>
        <item x="19"/>
        <item x="18"/>
        <item x="20"/>
        <item x="10"/>
        <item x="12"/>
        <item x="13"/>
        <item x="17"/>
        <item x="5"/>
        <item x="15"/>
        <item x="26"/>
        <item x="16"/>
        <item x="619"/>
        <item x="163"/>
        <item x="230"/>
        <item x="262"/>
        <item x="255"/>
        <item x="256"/>
        <item x="257"/>
        <item x="258"/>
        <item x="259"/>
        <item x="101"/>
        <item x="40"/>
        <item x="46"/>
        <item x="44"/>
        <item x="45"/>
        <item x="47"/>
        <item x="41"/>
        <item x="39"/>
        <item x="43"/>
        <item x="42"/>
        <item x="48"/>
        <item x="0"/>
        <item x="279"/>
        <item x="278"/>
        <item x="282"/>
        <item x="281"/>
        <item x="280"/>
        <item x="297"/>
        <item x="300"/>
        <item x="298"/>
        <item x="651"/>
        <item x="597"/>
        <item x="602"/>
        <item x="600"/>
        <item x="598"/>
        <item x="606"/>
        <item x="603"/>
        <item x="622"/>
        <item x="504"/>
        <item x="501"/>
        <item x="498"/>
        <item x="507"/>
        <item x="503"/>
        <item x="500"/>
        <item x="497"/>
        <item x="506"/>
        <item x="510"/>
        <item x="509"/>
        <item x="508"/>
        <item x="511"/>
        <item x="526"/>
        <item x="525"/>
        <item x="524"/>
        <item x="527"/>
        <item x="514"/>
        <item x="513"/>
        <item x="512"/>
        <item x="515"/>
        <item x="518"/>
        <item x="517"/>
        <item x="516"/>
        <item x="519"/>
        <item x="522"/>
        <item x="521"/>
        <item x="520"/>
        <item x="523"/>
        <item x="437"/>
        <item x="436"/>
        <item x="435"/>
        <item x="438"/>
        <item x="433"/>
        <item x="432"/>
        <item x="431"/>
        <item x="434"/>
        <item x="373"/>
        <item x="375"/>
        <item x="377"/>
        <item x="379"/>
        <item x="374"/>
        <item x="376"/>
        <item x="378"/>
        <item x="380"/>
        <item x="354"/>
        <item x="352"/>
        <item x="350"/>
        <item x="356"/>
        <item x="355"/>
        <item x="353"/>
        <item x="351"/>
        <item x="357"/>
        <item x="346"/>
        <item x="344"/>
        <item x="342"/>
        <item x="348"/>
        <item x="347"/>
        <item x="345"/>
        <item x="343"/>
        <item x="349"/>
        <item x="389"/>
        <item x="391"/>
        <item x="393"/>
        <item x="395"/>
        <item x="390"/>
        <item x="392"/>
        <item x="394"/>
        <item x="396"/>
        <item x="443"/>
        <item x="441"/>
        <item x="439"/>
        <item x="445"/>
        <item x="444"/>
        <item x="442"/>
        <item x="440"/>
        <item x="446"/>
        <item x="385"/>
        <item x="383"/>
        <item x="381"/>
        <item x="387"/>
        <item x="386"/>
        <item x="384"/>
        <item x="382"/>
        <item x="388"/>
        <item x="143"/>
        <item x="142"/>
        <item x="141"/>
        <item x="140"/>
        <item x="139"/>
        <item x="138"/>
        <item x="129"/>
        <item x="128"/>
        <item x="127"/>
        <item x="126"/>
        <item x="131"/>
        <item x="130"/>
        <item x="137"/>
        <item x="136"/>
        <item x="133"/>
        <item x="132"/>
        <item x="135"/>
        <item x="134"/>
        <item x="21"/>
        <item x="24"/>
        <item x="25"/>
        <item x="22"/>
        <item x="23"/>
        <item x="90"/>
        <item x="95"/>
        <item x="125"/>
        <item x="267"/>
        <item x="269"/>
        <item x="270"/>
        <item x="268"/>
        <item x="265"/>
        <item x="266"/>
        <item x="14"/>
        <item x="108"/>
        <item x="84"/>
        <item x="502"/>
        <item x="499"/>
        <item x="496"/>
        <item x="505"/>
        <item x="73"/>
        <item x="97"/>
        <item x="119"/>
        <item x="121"/>
        <item x="120"/>
        <item x="568"/>
        <item x="620"/>
        <item x="617"/>
        <item x="629"/>
        <item x="623"/>
        <item x="27"/>
        <item x="31"/>
        <item x="106"/>
        <item x="105"/>
        <item x="608"/>
        <item x="92"/>
        <item x="69"/>
        <item x="70"/>
        <item x="243"/>
        <item x="242"/>
        <item x="241"/>
        <item x="253"/>
        <item x="284"/>
        <item x="287"/>
        <item x="285"/>
        <item x="286"/>
        <item x="283"/>
        <item x="668"/>
        <item x="669"/>
        <item x="666"/>
        <item x="667"/>
        <item x="670"/>
        <item x="681"/>
        <item x="680"/>
        <item x="11"/>
        <item x="9"/>
        <item x="7"/>
        <item x="8"/>
        <item x="30"/>
        <item x="28"/>
        <item x="88"/>
        <item x="87"/>
        <item x="296"/>
        <item x="299"/>
        <item x="85"/>
        <item x="254"/>
        <item x="337"/>
        <item x="339"/>
        <item x="338"/>
        <item x="169"/>
        <item x="170"/>
        <item x="171"/>
        <item x="172"/>
        <item x="173"/>
        <item x="164"/>
        <item x="165"/>
        <item x="166"/>
        <item x="167"/>
        <item x="168"/>
        <item x="174"/>
        <item x="175"/>
        <item x="176"/>
        <item x="177"/>
        <item x="183"/>
        <item x="184"/>
        <item x="185"/>
        <item x="186"/>
        <item x="178"/>
        <item x="179"/>
        <item x="180"/>
        <item x="181"/>
        <item x="182"/>
        <item x="618"/>
        <item x="696"/>
        <item x="74"/>
        <item x="86"/>
        <item x="112"/>
        <item x="113"/>
        <item x="114"/>
        <item x="115"/>
        <item x="144"/>
        <item x="145"/>
        <item x="146"/>
        <item x="147"/>
        <item x="148"/>
        <item x="149"/>
        <item x="150"/>
        <item x="151"/>
        <item x="189"/>
        <item x="190"/>
        <item x="249"/>
        <item x="252"/>
        <item x="291"/>
        <item x="292"/>
        <item x="293"/>
        <item x="294"/>
        <item x="295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97"/>
        <item x="398"/>
        <item x="399"/>
        <item x="400"/>
        <item x="401"/>
        <item x="402"/>
        <item x="403"/>
        <item x="404"/>
        <item x="405"/>
        <item x="406"/>
        <item x="447"/>
        <item x="448"/>
        <item x="449"/>
        <item x="450"/>
        <item x="451"/>
        <item x="452"/>
        <item x="453"/>
        <item x="454"/>
        <item x="455"/>
        <item x="456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70"/>
        <item x="571"/>
        <item x="572"/>
        <item x="573"/>
        <item x="574"/>
        <item x="575"/>
        <item x="580"/>
        <item x="585"/>
        <item x="599"/>
        <item x="601"/>
        <item x="604"/>
        <item x="605"/>
        <item x="607"/>
        <item x="627"/>
        <item x="634"/>
        <item x="652"/>
        <item x="653"/>
        <item x="654"/>
        <item x="655"/>
        <item x="656"/>
        <item x="657"/>
        <item x="658"/>
        <item x="659"/>
        <item x="660"/>
        <item x="661"/>
        <item x="700"/>
        <item x="701"/>
        <item x="702"/>
        <item x="703"/>
        <item x="704"/>
        <item x="705"/>
        <item x="709"/>
        <item x="714"/>
        <item x="715"/>
        <item x="716"/>
        <item x="717"/>
        <item x="718"/>
        <item x="720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7"/>
        <item x="788"/>
        <item x="789"/>
        <item x="790"/>
        <item x="791"/>
        <item x="792"/>
        <item x="795"/>
        <item x="796"/>
        <item x="797"/>
        <item x="798"/>
        <item x="799"/>
        <item x="800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</items>
    </pivotField>
    <pivotField axis="axisRow" compact="0" outline="0" multipleItemSelectionAllowed="1" showAll="0" defaultSubtotal="0">
      <items count="651">
        <item x="456"/>
        <item x="457"/>
        <item x="423"/>
        <item x="483"/>
        <item x="232"/>
        <item x="197"/>
        <item x="214"/>
        <item x="314"/>
        <item x="316"/>
        <item x="315"/>
        <item x="47"/>
        <item x="475"/>
        <item x="317"/>
        <item x="31"/>
        <item x="32"/>
        <item x="35"/>
        <item x="33"/>
        <item x="34"/>
        <item x="73"/>
        <item x="74"/>
        <item x="1"/>
        <item x="2"/>
        <item x="4"/>
        <item x="3"/>
        <item x="6"/>
        <item x="28"/>
        <item x="19"/>
        <item x="10"/>
        <item x="12"/>
        <item x="13"/>
        <item x="17"/>
        <item x="5"/>
        <item x="15"/>
        <item x="16"/>
        <item x="44"/>
        <item x="43"/>
        <item x="45"/>
        <item x="39"/>
        <item x="37"/>
        <item x="41"/>
        <item x="46"/>
        <item x="140"/>
        <item x="139"/>
        <item x="138"/>
        <item x="137"/>
        <item x="136"/>
        <item x="126"/>
        <item x="125"/>
        <item x="124"/>
        <item x="123"/>
        <item x="128"/>
        <item x="127"/>
        <item x="134"/>
        <item x="133"/>
        <item x="130"/>
        <item x="129"/>
        <item x="132"/>
        <item x="131"/>
        <item x="103"/>
        <item x="102"/>
        <item x="624"/>
        <item x="623"/>
        <item x="557"/>
        <item x="412"/>
        <item x="160"/>
        <item x="161"/>
        <item x="162"/>
        <item x="163"/>
        <item x="164"/>
        <item x="155"/>
        <item x="156"/>
        <item x="157"/>
        <item x="158"/>
        <item x="159"/>
        <item x="165"/>
        <item x="166"/>
        <item x="167"/>
        <item x="168"/>
        <item x="174"/>
        <item x="175"/>
        <item x="176"/>
        <item x="177"/>
        <item x="169"/>
        <item x="170"/>
        <item x="171"/>
        <item x="172"/>
        <item x="173"/>
        <item x="464"/>
        <item x="461"/>
        <item x="559"/>
        <item x="574"/>
        <item x="628"/>
        <item x="629"/>
        <item x="630"/>
        <item x="601"/>
        <item x="603"/>
        <item x="600"/>
        <item x="608"/>
        <item x="605"/>
        <item x="609"/>
        <item x="612"/>
        <item x="611"/>
        <item x="610"/>
        <item x="613"/>
        <item x="604"/>
        <item x="602"/>
        <item x="607"/>
        <item x="606"/>
        <item x="614"/>
        <item x="615"/>
        <item x="617"/>
        <item x="616"/>
        <item x="576"/>
        <item x="575"/>
        <item x="577"/>
        <item x="578"/>
        <item x="231"/>
        <item x="230"/>
        <item x="229"/>
        <item x="271"/>
        <item x="274"/>
        <item x="272"/>
        <item x="273"/>
        <item x="270"/>
        <item x="279"/>
        <item x="282"/>
        <item x="280"/>
        <item x="278"/>
        <item x="281"/>
        <item x="510"/>
        <item x="511"/>
        <item x="508"/>
        <item x="509"/>
        <item x="512"/>
        <item x="539"/>
        <item x="522"/>
        <item x="521"/>
        <item x="619"/>
        <item x="620"/>
        <item x="639"/>
        <item x="637"/>
        <item x="648"/>
        <item x="641"/>
        <item x="570"/>
        <item x="572"/>
        <item x="11"/>
        <item x="9"/>
        <item x="7"/>
        <item x="8"/>
        <item x="29"/>
        <item x="27"/>
        <item x="30"/>
        <item x="621"/>
        <item x="283"/>
        <item x="50"/>
        <item x="57"/>
        <item x="58"/>
        <item x="77"/>
        <item x="78"/>
        <item x="79"/>
        <item x="86"/>
        <item x="85"/>
        <item x="84"/>
        <item x="88"/>
        <item x="89"/>
        <item x="87"/>
        <item x="91"/>
        <item x="95"/>
        <item x="92"/>
        <item x="90"/>
        <item x="93"/>
        <item x="96"/>
        <item x="97"/>
        <item x="98"/>
        <item x="99"/>
        <item x="68"/>
        <item x="106"/>
        <item x="108"/>
        <item x="107"/>
        <item x="105"/>
        <item x="113"/>
        <item x="115"/>
        <item x="114"/>
        <item x="116"/>
        <item x="118"/>
        <item x="117"/>
        <item x="72"/>
        <item x="213"/>
        <item x="212"/>
        <item x="215"/>
        <item x="190"/>
        <item x="189"/>
        <item x="216"/>
        <item x="217"/>
        <item x="218"/>
        <item x="219"/>
        <item x="248"/>
        <item x="249"/>
        <item x="235"/>
        <item x="236"/>
        <item x="288"/>
        <item x="286"/>
        <item x="250"/>
        <item x="251"/>
        <item x="258"/>
        <item x="308"/>
        <item x="309"/>
        <item x="310"/>
        <item x="311"/>
        <item x="304"/>
        <item x="305"/>
        <item x="306"/>
        <item x="307"/>
        <item x="298"/>
        <item x="299"/>
        <item x="301"/>
        <item x="302"/>
        <item x="303"/>
        <item x="300"/>
        <item x="294"/>
        <item x="295"/>
        <item x="296"/>
        <item x="297"/>
        <item x="413"/>
        <item x="312"/>
        <item x="313"/>
        <item x="318"/>
        <item x="319"/>
        <item x="325"/>
        <item x="326"/>
        <item x="321"/>
        <item x="320"/>
        <item x="152"/>
        <item x="150"/>
        <item x="149"/>
        <item x="151"/>
        <item x="153"/>
        <item x="178"/>
        <item x="135"/>
        <item x="154"/>
        <item x="410"/>
        <item x="411"/>
        <item x="374"/>
        <item x="375"/>
        <item x="376"/>
        <item x="378"/>
        <item x="377"/>
        <item x="358"/>
        <item x="360"/>
        <item x="357"/>
        <item x="359"/>
        <item x="379"/>
        <item x="380"/>
        <item x="384"/>
        <item x="381"/>
        <item x="382"/>
        <item x="383"/>
        <item x="362"/>
        <item x="361"/>
        <item x="344"/>
        <item x="328"/>
        <item x="327"/>
        <item x="346"/>
        <item x="363"/>
        <item x="345"/>
        <item x="458"/>
        <item x="460"/>
        <item x="465"/>
        <item x="459"/>
        <item x="463"/>
        <item x="481"/>
        <item x="482"/>
        <item x="484"/>
        <item x="485"/>
        <item x="487"/>
        <item x="488"/>
        <item x="489"/>
        <item x="490"/>
        <item x="491"/>
        <item x="492"/>
        <item x="493"/>
        <item x="494"/>
        <item x="495"/>
        <item x="476"/>
        <item x="474"/>
        <item x="479"/>
        <item x="480"/>
        <item x="473"/>
        <item x="467"/>
        <item x="472"/>
        <item x="470"/>
        <item x="477"/>
        <item x="469"/>
        <item x="468"/>
        <item x="466"/>
        <item x="486"/>
        <item x="505"/>
        <item x="504"/>
        <item x="506"/>
        <item x="507"/>
        <item x="513"/>
        <item x="514"/>
        <item x="515"/>
        <item x="516"/>
        <item x="517"/>
        <item x="524"/>
        <item x="529"/>
        <item x="530"/>
        <item x="523"/>
        <item x="535"/>
        <item x="536"/>
        <item x="531"/>
        <item x="532"/>
        <item x="533"/>
        <item x="534"/>
        <item x="540"/>
        <item x="525"/>
        <item x="528"/>
        <item x="527"/>
        <item x="526"/>
        <item x="538"/>
        <item x="541"/>
        <item x="542"/>
        <item x="543"/>
        <item x="544"/>
        <item x="545"/>
        <item x="546"/>
        <item x="547"/>
        <item x="548"/>
        <item x="549"/>
        <item x="550"/>
        <item x="519"/>
        <item x="520"/>
        <item x="518"/>
        <item x="426"/>
        <item x="425"/>
        <item x="427"/>
        <item x="428"/>
        <item x="435"/>
        <item x="436"/>
        <item x="437"/>
        <item x="440"/>
        <item x="430"/>
        <item x="432"/>
        <item x="452"/>
        <item x="431"/>
        <item x="433"/>
        <item x="434"/>
        <item x="438"/>
        <item x="439"/>
        <item x="441"/>
        <item x="446"/>
        <item x="444"/>
        <item x="442"/>
        <item x="450"/>
        <item x="447"/>
        <item x="422"/>
        <item x="420"/>
        <item x="421"/>
        <item x="453"/>
        <item x="454"/>
        <item x="455"/>
        <item x="552"/>
        <item x="561"/>
        <item x="556"/>
        <item x="562"/>
        <item x="558"/>
        <item x="567"/>
        <item x="564"/>
        <item x="569"/>
        <item x="566"/>
        <item x="563"/>
        <item x="565"/>
        <item x="568"/>
        <item x="555"/>
        <item x="554"/>
        <item x="635"/>
        <item x="626"/>
        <item x="634"/>
        <item x="618"/>
        <item x="625"/>
        <item x="649"/>
        <item x="647"/>
        <item x="36"/>
        <item x="571"/>
        <item x="573"/>
        <item x="0"/>
        <item x="14"/>
        <item x="18"/>
        <item x="26"/>
        <item x="25"/>
        <item x="20"/>
        <item x="23"/>
        <item x="24"/>
        <item x="21"/>
        <item x="22"/>
        <item x="38"/>
        <item x="42"/>
        <item x="40"/>
        <item x="52"/>
        <item x="51"/>
        <item x="54"/>
        <item x="53"/>
        <item x="56"/>
        <item x="55"/>
        <item x="49"/>
        <item x="48"/>
        <item x="80"/>
        <item x="81"/>
        <item x="75"/>
        <item x="76"/>
        <item x="94"/>
        <item x="100"/>
        <item x="101"/>
        <item x="62"/>
        <item x="63"/>
        <item x="64"/>
        <item x="65"/>
        <item x="69"/>
        <item x="66"/>
        <item x="67"/>
        <item x="61"/>
        <item x="59"/>
        <item x="60"/>
        <item x="119"/>
        <item x="121"/>
        <item x="120"/>
        <item x="122"/>
        <item x="70"/>
        <item x="104"/>
        <item x="184"/>
        <item x="182"/>
        <item x="183"/>
        <item x="181"/>
        <item x="185"/>
        <item x="186"/>
        <item x="187"/>
        <item x="188"/>
        <item x="191"/>
        <item x="192"/>
        <item x="193"/>
        <item x="194"/>
        <item x="196"/>
        <item x="195"/>
        <item x="208"/>
        <item x="211"/>
        <item x="210"/>
        <item x="204"/>
        <item x="206"/>
        <item x="207"/>
        <item x="205"/>
        <item x="200"/>
        <item x="202"/>
        <item x="203"/>
        <item x="201"/>
        <item x="198"/>
        <item x="199"/>
        <item x="220"/>
        <item x="223"/>
        <item x="221"/>
        <item x="222"/>
        <item x="225"/>
        <item x="227"/>
        <item x="226"/>
        <item x="228"/>
        <item x="243"/>
        <item x="244"/>
        <item x="245"/>
        <item x="246"/>
        <item x="247"/>
        <item x="234"/>
        <item x="233"/>
        <item x="238"/>
        <item x="239"/>
        <item x="259"/>
        <item x="260"/>
        <item x="261"/>
        <item x="262"/>
        <item x="263"/>
        <item x="264"/>
        <item x="289"/>
        <item x="290"/>
        <item x="291"/>
        <item x="292"/>
        <item x="293"/>
        <item x="275"/>
        <item x="276"/>
        <item x="277"/>
        <item x="266"/>
        <item x="265"/>
        <item x="269"/>
        <item x="268"/>
        <item x="267"/>
        <item x="284"/>
        <item x="287"/>
        <item x="285"/>
        <item x="254"/>
        <item x="256"/>
        <item x="257"/>
        <item x="255"/>
        <item x="252"/>
        <item x="253"/>
        <item x="636"/>
        <item x="627"/>
        <item x="633"/>
        <item x="622"/>
        <item x="650"/>
        <item x="646"/>
        <item x="644"/>
        <item x="643"/>
        <item x="645"/>
        <item x="209"/>
        <item x="642"/>
        <item x="638"/>
        <item x="640"/>
        <item x="224"/>
        <item x="82"/>
        <item x="241"/>
        <item x="242"/>
        <item x="322"/>
        <item x="324"/>
        <item x="323"/>
        <item x="462"/>
        <item x="632"/>
        <item x="631"/>
        <item x="537"/>
        <item x="71"/>
        <item x="83"/>
        <item x="109"/>
        <item x="110"/>
        <item x="111"/>
        <item x="112"/>
        <item x="141"/>
        <item x="142"/>
        <item x="143"/>
        <item x="144"/>
        <item x="145"/>
        <item x="146"/>
        <item x="147"/>
        <item x="148"/>
        <item x="179"/>
        <item x="180"/>
        <item x="237"/>
        <item x="240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7"/>
        <item x="348"/>
        <item x="349"/>
        <item x="350"/>
        <item x="351"/>
        <item x="352"/>
        <item x="353"/>
        <item x="354"/>
        <item x="355"/>
        <item x="356"/>
        <item x="364"/>
        <item x="365"/>
        <item x="366"/>
        <item x="367"/>
        <item x="368"/>
        <item x="369"/>
        <item x="370"/>
        <item x="371"/>
        <item x="372"/>
        <item x="373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4"/>
        <item x="415"/>
        <item x="416"/>
        <item x="417"/>
        <item x="418"/>
        <item x="419"/>
        <item x="424"/>
        <item x="429"/>
        <item x="443"/>
        <item x="445"/>
        <item x="448"/>
        <item x="449"/>
        <item x="451"/>
        <item x="471"/>
        <item x="478"/>
        <item x="496"/>
        <item x="497"/>
        <item x="498"/>
        <item x="499"/>
        <item x="500"/>
        <item x="501"/>
        <item x="502"/>
        <item x="503"/>
        <item x="551"/>
        <item x="553"/>
        <item x="560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</items>
    </pivotField>
    <pivotField axis="axisPage" compact="0" outline="0" multipleItemSelectionAllowed="1" showAll="0">
      <items count="3">
        <item x="0"/>
        <item x="1"/>
        <item t="default"/>
      </items>
    </pivotField>
    <pivotField axis="axisPage" compact="0" outline="0" showAll="0">
      <items count="10">
        <item x="1"/>
        <item x="3"/>
        <item x="0"/>
        <item x="5"/>
        <item x="4"/>
        <item x="2"/>
        <item x="6"/>
        <item x="7"/>
        <item x="8"/>
        <item t="default"/>
      </items>
    </pivotField>
    <pivotField compact="0" outline="0" showAll="0"/>
    <pivotField axis="axisPage" compact="0" outline="0" showAll="0">
      <items count="424">
        <item x="379"/>
        <item x="310"/>
        <item x="387"/>
        <item x="68"/>
        <item x="311"/>
        <item x="309"/>
        <item x="378"/>
        <item x="305"/>
        <item x="70"/>
        <item x="48"/>
        <item x="415"/>
        <item x="318"/>
        <item x="56"/>
        <item x="145"/>
        <item x="76"/>
        <item x="279"/>
        <item x="320"/>
        <item x="308"/>
        <item x="412"/>
        <item x="2"/>
        <item x="67"/>
        <item x="418"/>
        <item x="72"/>
        <item x="53"/>
        <item x="317"/>
        <item x="192"/>
        <item x="328"/>
        <item x="367"/>
        <item x="69"/>
        <item x="4"/>
        <item x="294"/>
        <item x="419"/>
        <item x="421"/>
        <item x="193"/>
        <item x="342"/>
        <item x="16"/>
        <item x="57"/>
        <item x="1"/>
        <item x="59"/>
        <item x="373"/>
        <item x="125"/>
        <item x="339"/>
        <item x="41"/>
        <item x="348"/>
        <item x="23"/>
        <item x="368"/>
        <item x="78"/>
        <item x="40"/>
        <item x="18"/>
        <item x="334"/>
        <item x="135"/>
        <item x="19"/>
        <item x="20"/>
        <item x="140"/>
        <item x="306"/>
        <item x="107"/>
        <item x="54"/>
        <item x="369"/>
        <item x="60"/>
        <item x="319"/>
        <item x="128"/>
        <item x="111"/>
        <item x="364"/>
        <item x="340"/>
        <item x="370"/>
        <item x="314"/>
        <item x="71"/>
        <item x="51"/>
        <item x="354"/>
        <item x="49"/>
        <item x="142"/>
        <item x="45"/>
        <item x="148"/>
        <item x="416"/>
        <item x="137"/>
        <item x="44"/>
        <item x="358"/>
        <item x="386"/>
        <item x="139"/>
        <item x="36"/>
        <item x="127"/>
        <item x="327"/>
        <item x="374"/>
        <item x="22"/>
        <item x="121"/>
        <item x="126"/>
        <item x="376"/>
        <item x="42"/>
        <item x="46"/>
        <item x="313"/>
        <item x="109"/>
        <item x="43"/>
        <item x="321"/>
        <item x="293"/>
        <item x="143"/>
        <item x="65"/>
        <item x="112"/>
        <item x="333"/>
        <item x="21"/>
        <item x="58"/>
        <item x="170"/>
        <item x="37"/>
        <item x="13"/>
        <item x="108"/>
        <item x="341"/>
        <item x="353"/>
        <item x="35"/>
        <item x="283"/>
        <item x="375"/>
        <item x="110"/>
        <item x="169"/>
        <item x="371"/>
        <item x="102"/>
        <item x="119"/>
        <item x="377"/>
        <item x="118"/>
        <item x="123"/>
        <item x="154"/>
        <item x="405"/>
        <item x="147"/>
        <item x="98"/>
        <item x="330"/>
        <item x="14"/>
        <item x="150"/>
        <item x="303"/>
        <item x="77"/>
        <item x="323"/>
        <item x="101"/>
        <item x="372"/>
        <item x="152"/>
        <item x="131"/>
        <item x="325"/>
        <item x="422"/>
        <item x="301"/>
        <item x="38"/>
        <item x="146"/>
        <item x="6"/>
        <item x="299"/>
        <item x="363"/>
        <item x="331"/>
        <item x="132"/>
        <item x="149"/>
        <item x="105"/>
        <item x="158"/>
        <item x="144"/>
        <item x="166"/>
        <item x="324"/>
        <item x="168"/>
        <item x="173"/>
        <item x="161"/>
        <item x="172"/>
        <item x="136"/>
        <item x="39"/>
        <item x="298"/>
        <item x="122"/>
        <item x="346"/>
        <item x="332"/>
        <item x="133"/>
        <item x="349"/>
        <item x="175"/>
        <item x="159"/>
        <item x="130"/>
        <item x="5"/>
        <item x="171"/>
        <item x="160"/>
        <item x="322"/>
        <item x="124"/>
        <item x="176"/>
        <item x="312"/>
        <item x="307"/>
        <item x="287"/>
        <item x="411"/>
        <item x="163"/>
        <item x="347"/>
        <item x="134"/>
        <item x="329"/>
        <item x="79"/>
        <item x="295"/>
        <item x="47"/>
        <item x="10"/>
        <item x="52"/>
        <item x="302"/>
        <item x="157"/>
        <item x="162"/>
        <item x="138"/>
        <item x="165"/>
        <item x="97"/>
        <item x="106"/>
        <item x="407"/>
        <item x="155"/>
        <item x="114"/>
        <item x="116"/>
        <item x="315"/>
        <item x="66"/>
        <item x="113"/>
        <item x="297"/>
        <item x="174"/>
        <item x="361"/>
        <item x="103"/>
        <item x="188"/>
        <item x="55"/>
        <item x="34"/>
        <item x="11"/>
        <item x="288"/>
        <item x="99"/>
        <item x="381"/>
        <item x="167"/>
        <item x="62"/>
        <item x="61"/>
        <item x="120"/>
        <item x="335"/>
        <item x="365"/>
        <item x="177"/>
        <item x="362"/>
        <item x="153"/>
        <item x="284"/>
        <item x="285"/>
        <item x="417"/>
        <item x="383"/>
        <item x="117"/>
        <item x="384"/>
        <item x="129"/>
        <item x="360"/>
        <item x="189"/>
        <item x="64"/>
        <item x="115"/>
        <item x="182"/>
        <item x="286"/>
        <item x="382"/>
        <item x="326"/>
        <item x="385"/>
        <item x="403"/>
        <item x="380"/>
        <item x="184"/>
        <item x="28"/>
        <item x="366"/>
        <item x="343"/>
        <item x="190"/>
        <item x="185"/>
        <item x="408"/>
        <item x="345"/>
        <item x="300"/>
        <item x="32"/>
        <item x="274"/>
        <item x="33"/>
        <item x="7"/>
        <item x="282"/>
        <item x="26"/>
        <item x="336"/>
        <item x="404"/>
        <item x="291"/>
        <item x="395"/>
        <item x="406"/>
        <item x="296"/>
        <item x="179"/>
        <item x="277"/>
        <item x="275"/>
        <item x="24"/>
        <item x="9"/>
        <item x="63"/>
        <item x="359"/>
        <item x="276"/>
        <item x="186"/>
        <item x="31"/>
        <item x="410"/>
        <item x="394"/>
        <item x="409"/>
        <item x="292"/>
        <item x="280"/>
        <item x="388"/>
        <item x="281"/>
        <item x="290"/>
        <item x="187"/>
        <item x="50"/>
        <item x="3"/>
        <item x="104"/>
        <item x="244"/>
        <item x="240"/>
        <item x="253"/>
        <item x="356"/>
        <item x="87"/>
        <item x="164"/>
        <item x="401"/>
        <item x="100"/>
        <item x="183"/>
        <item x="262"/>
        <item x="231"/>
        <item x="261"/>
        <item x="391"/>
        <item x="228"/>
        <item x="255"/>
        <item x="156"/>
        <item x="201"/>
        <item x="225"/>
        <item x="86"/>
        <item x="218"/>
        <item x="235"/>
        <item x="396"/>
        <item x="249"/>
        <item x="88"/>
        <item x="236"/>
        <item x="269"/>
        <item x="94"/>
        <item x="270"/>
        <item x="258"/>
        <item x="90"/>
        <item x="234"/>
        <item x="398"/>
        <item x="352"/>
        <item x="95"/>
        <item x="252"/>
        <item x="214"/>
        <item x="420"/>
        <item x="221"/>
        <item x="15"/>
        <item x="238"/>
        <item x="351"/>
        <item x="245"/>
        <item x="209"/>
        <item x="389"/>
        <item x="241"/>
        <item x="267"/>
        <item x="213"/>
        <item x="81"/>
        <item x="260"/>
        <item x="248"/>
        <item x="268"/>
        <item x="246"/>
        <item x="91"/>
        <item x="215"/>
        <item x="96"/>
        <item x="89"/>
        <item x="210"/>
        <item x="30"/>
        <item x="230"/>
        <item x="273"/>
        <item x="397"/>
        <item x="216"/>
        <item x="259"/>
        <item x="402"/>
        <item x="390"/>
        <item x="227"/>
        <item x="199"/>
        <item x="247"/>
        <item x="256"/>
        <item x="82"/>
        <item x="224"/>
        <item x="84"/>
        <item x="27"/>
        <item x="251"/>
        <item x="399"/>
        <item x="239"/>
        <item x="93"/>
        <item x="74"/>
        <item x="265"/>
        <item x="357"/>
        <item x="316"/>
        <item x="355"/>
        <item x="254"/>
        <item x="73"/>
        <item x="392"/>
        <item x="289"/>
        <item x="223"/>
        <item x="25"/>
        <item x="257"/>
        <item x="344"/>
        <item x="242"/>
        <item x="337"/>
        <item x="266"/>
        <item x="338"/>
        <item x="0"/>
        <item x="393"/>
        <item x="243"/>
        <item x="212"/>
        <item x="350"/>
        <item x="414"/>
        <item x="191"/>
        <item x="29"/>
        <item x="83"/>
        <item x="181"/>
        <item x="80"/>
        <item x="271"/>
        <item x="75"/>
        <item x="151"/>
        <item x="141"/>
        <item x="178"/>
        <item x="180"/>
        <item x="278"/>
        <item x="92"/>
        <item x="85"/>
        <item x="250"/>
        <item x="272"/>
        <item x="264"/>
        <item x="263"/>
        <item x="237"/>
        <item x="233"/>
        <item x="232"/>
        <item x="211"/>
        <item x="205"/>
        <item x="203"/>
        <item x="207"/>
        <item x="206"/>
        <item x="204"/>
        <item x="202"/>
        <item x="208"/>
        <item x="197"/>
        <item x="195"/>
        <item x="194"/>
        <item x="198"/>
        <item x="196"/>
        <item x="200"/>
        <item x="229"/>
        <item x="226"/>
        <item x="219"/>
        <item x="217"/>
        <item x="220"/>
        <item x="222"/>
        <item x="304"/>
        <item x="413"/>
        <item x="8"/>
        <item x="12"/>
        <item x="17"/>
        <item x="40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numFmtId="9" outline="0" showAll="0"/>
    <pivotField compact="0" numFmtId="41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1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numFmtId="3" outline="0" showAll="0"/>
    <pivotField compact="0" numFmtId="3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compact="0" outline="0" showAll="0"/>
    <pivotField compact="0" numFmtId="41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outline="0" showAll="0"/>
    <pivotField compact="0" numFmtId="3" outline="0" showAll="0"/>
    <pivotField compact="0" numFmtId="3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compact="0" outline="0" showAll="0"/>
    <pivotField compact="0" numFmtId="41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numFmtId="41" outline="0" showAll="0"/>
    <pivotField compact="0" numFmtId="3" outline="0" showAll="0"/>
    <pivotField compact="0" numFmtId="3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numFmtId="41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numFmtId="4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41" outline="0" showAll="0"/>
    <pivotField compact="0" outline="0" showAll="0"/>
    <pivotField compact="0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outline="0" showAll="0"/>
    <pivotField compact="0" outline="0" showAll="0"/>
    <pivotField compact="0" numFmtId="41" outline="0" showAll="0"/>
    <pivotField compact="0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outline="0" showAll="0"/>
    <pivotField compact="0" outline="0" showAll="0"/>
    <pivotField compact="0" outline="0" showAll="0"/>
    <pivotField compact="0" numFmtId="41" outline="0" showAll="0"/>
    <pivotField compact="0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</pivotFields>
  <rowFields count="5">
    <field x="1"/>
    <field x="2"/>
    <field x="3"/>
    <field x="5"/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pageFields count="3">
    <pageField fld="7" hier="-1"/>
    <pageField fld="8" hier="-1"/>
    <pageField fld="10" hier="-1"/>
  </pageFields>
  <dataFields count="15">
    <dataField name=" Stock HOY" fld="11" baseField="1" baseItem="4" numFmtId="3"/>
    <dataField name=" Embarcado AGO 26" fld="175" baseField="1" baseItem="0" numFmtId="41"/>
    <dataField name=" Stock + Pedido Unid AGO26" fld="180" baseField="1" baseItem="1" numFmtId="3"/>
    <dataField name="  Venta PPTO AGO26" fld="172" baseField="1" baseItem="1" numFmtId="3"/>
    <dataField name=" Cobert. ACT Unid" fld="290" baseField="1" baseItem="0" numFmtId="41"/>
    <dataField name=" Stock Inicial SEP26" fld="184" baseField="1" baseItem="1" numFmtId="3"/>
    <dataField name=" Embarcado SEP 26" fld="188" baseField="1" baseItem="0" numFmtId="3"/>
    <dataField name=" Stock + Pedido Unid SEP26" fld="193" baseField="1" baseItem="1" numFmtId="3"/>
    <dataField name="  Venta PPTO SEP26" fld="185" baseField="1" baseItem="1" numFmtId="3"/>
    <dataField name=" Cobert. SEP 26 Unid" fld="288" baseField="1" baseItem="1" numFmtId="4"/>
    <dataField name=" Stock Inicial OCT26" fld="197" baseField="1" baseItem="0" numFmtId="3"/>
    <dataField name=" Embarcado OCT 26" fld="201" baseField="1" baseItem="0" numFmtId="3"/>
    <dataField name=" Stock + Pedido Unid OCT26" fld="207" baseField="1" baseItem="0" numFmtId="3"/>
    <dataField name=" Atrasos SEPT" fld="202" baseField="1" baseItem="0" numFmtId="3"/>
    <dataField name=" Cobert. OCT26 Unid" fld="291" baseField="1" baseItem="0" numFmtId="41"/>
  </dataFields>
  <formats count="17">
    <format dxfId="82">
      <pivotArea outline="0" fieldPosition="0">
        <references count="1">
          <reference field="4294967294" count="1">
            <x v="0"/>
          </reference>
        </references>
      </pivotArea>
    </format>
    <format dxfId="81">
      <pivotArea dataOnly="0" outline="0" fieldPosition="0">
        <references count="1">
          <reference field="4294967294" count="1">
            <x v="0"/>
          </reference>
        </references>
      </pivotArea>
    </format>
    <format dxfId="8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9">
      <pivotArea dataOnly="0" outline="0" fieldPosition="0">
        <references count="1">
          <reference field="4294967294" count="1">
            <x v="0"/>
          </reference>
        </references>
      </pivotArea>
    </format>
    <format dxfId="78">
      <pivotArea outline="0" fieldPosition="0">
        <references count="1">
          <reference field="4294967294" count="1">
            <x v="2"/>
          </reference>
        </references>
      </pivotArea>
    </format>
    <format dxfId="77">
      <pivotArea outline="0" fieldPosition="0">
        <references count="1">
          <reference field="4294967294" count="1">
            <x v="3"/>
          </reference>
        </references>
      </pivotArea>
    </format>
    <format dxfId="76">
      <pivotArea outline="0" fieldPosition="0">
        <references count="1">
          <reference field="4294967294" count="1">
            <x v="5"/>
          </reference>
        </references>
      </pivotArea>
    </format>
    <format dxfId="75">
      <pivotArea outline="0" fieldPosition="0">
        <references count="1">
          <reference field="4294967294" count="1">
            <x v="7"/>
          </reference>
        </references>
      </pivotArea>
    </format>
    <format dxfId="74">
      <pivotArea outline="0" fieldPosition="0">
        <references count="1">
          <reference field="4294967294" count="1">
            <x v="8"/>
          </reference>
        </references>
      </pivotArea>
    </format>
    <format dxfId="73">
      <pivotArea outline="0" fieldPosition="0">
        <references count="1">
          <reference field="4294967294" count="1">
            <x v="9"/>
          </reference>
        </references>
      </pivotArea>
    </format>
    <format dxfId="72">
      <pivotArea outline="0" fieldPosition="0">
        <references count="1">
          <reference field="4294967294" count="1">
            <x v="4"/>
          </reference>
        </references>
      </pivotArea>
    </format>
    <format dxfId="71">
      <pivotArea outline="0" fieldPosition="0">
        <references count="1">
          <reference field="4294967294" count="1">
            <x v="6"/>
          </reference>
        </references>
      </pivotArea>
    </format>
    <format dxfId="70">
      <pivotArea outline="0" fieldPosition="0">
        <references count="1">
          <reference field="4294967294" count="1">
            <x v="10"/>
          </reference>
        </references>
      </pivotArea>
    </format>
    <format dxfId="69">
      <pivotArea outline="0" fieldPosition="0">
        <references count="1">
          <reference field="4294967294" count="1">
            <x v="11"/>
          </reference>
        </references>
      </pivotArea>
    </format>
    <format dxfId="68">
      <pivotArea outline="0" fieldPosition="0">
        <references count="1">
          <reference field="4294967294" count="1">
            <x v="12"/>
          </reference>
        </references>
      </pivotArea>
    </format>
    <format dxfId="67">
      <pivotArea outline="0" fieldPosition="0">
        <references count="1">
          <reference field="4294967294" count="1">
            <x v="13"/>
          </reference>
        </references>
      </pivotArea>
    </format>
    <format dxfId="66">
      <pivotArea outline="0" fieldPosition="0">
        <references count="1">
          <reference field="4294967294" count="1"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8E57DC-9E19-41B3-BE8D-30FFDA34504A}" name="TablaDinámica10" cacheId="2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11:V22" firstHeaderRow="1" firstDataRow="2" firstDataCol="4" rowPageCount="8" colPageCount="1"/>
  <pivotFields count="296">
    <pivotField compact="0" outline="0" showAll="0"/>
    <pivotField axis="axisRow" compact="0" outline="0" multipleItemSelectionAllowed="1" showAll="0" sortType="descending" defaultSubtotal="0">
      <items count="10">
        <item sd="0" x="4"/>
        <item sd="0" x="6"/>
        <item sd="0" x="3"/>
        <item sd="0" x="9"/>
        <item sd="0" x="1"/>
        <item sd="0" x="0"/>
        <item sd="0" x="7"/>
        <item h="1" sd="0" x="2"/>
        <item sd="0" x="8"/>
        <item sd="0"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multipleItemSelectionAllowed="1" showAll="0" defaultSubtotal="0">
      <items count="38">
        <item sd="0" x="14"/>
        <item sd="0" x="7"/>
        <item sd="0" x="34"/>
        <item sd="0" x="35"/>
        <item sd="0" x="15"/>
        <item sd="0" x="16"/>
        <item sd="0" x="24"/>
        <item h="1" sd="0" x="17"/>
        <item sd="0" x="25"/>
        <item sd="0" x="18"/>
        <item sd="0" x="4"/>
        <item sd="0" x="37"/>
        <item sd="0" x="19"/>
        <item sd="0" x="26"/>
        <item sd="0" x="1"/>
        <item sd="0" x="2"/>
        <item sd="0" x="3"/>
        <item sd="0" x="27"/>
        <item sd="0" x="8"/>
        <item sd="0" x="29"/>
        <item sd="0" x="30"/>
        <item sd="0" x="9"/>
        <item sd="0" x="10"/>
        <item sd="0" x="11"/>
        <item sd="0" x="20"/>
        <item sd="0" x="12"/>
        <item x="13"/>
        <item sd="0" x="31"/>
        <item sd="0" x="21"/>
        <item sd="0" x="22"/>
        <item sd="0" x="32"/>
        <item sd="0" x="0"/>
        <item sd="0" x="6"/>
        <item sd="0" x="36"/>
        <item sd="0" x="5"/>
        <item sd="0" x="33"/>
        <item x="23"/>
        <item x="28"/>
      </items>
    </pivotField>
    <pivotField axis="axisRow" compact="0" outline="0" showAll="0" defaultSubtotal="0">
      <items count="92">
        <item sd="0" x="12"/>
        <item sd="0" x="0"/>
        <item x="89"/>
        <item sd="0" x="39"/>
        <item sd="0" x="80"/>
        <item sd="0" x="75"/>
        <item sd="0" x="6"/>
        <item sd="0" x="23"/>
        <item sd="0" x="36"/>
        <item sd="0" x="40"/>
        <item sd="0" x="56"/>
        <item sd="0" x="11"/>
        <item sd="0" x="86"/>
        <item sd="0" x="71"/>
        <item sd="0" x="62"/>
        <item sd="0" x="41"/>
        <item sd="0" x="44"/>
        <item sd="0" x="13"/>
        <item sd="0" x="69"/>
        <item sd="0" x="32"/>
        <item sd="0" x="49"/>
        <item sd="0" x="54"/>
        <item sd="0" x="24"/>
        <item sd="0" x="25"/>
        <item sd="0" x="14"/>
        <item sd="0" x="15"/>
        <item sd="0" x="26"/>
        <item sd="0" x="84"/>
        <item sd="0" x="1"/>
        <item sd="0" x="70"/>
        <item sd="0" x="57"/>
        <item sd="0" x="63"/>
        <item sd="0" x="7"/>
        <item sd="0" x="16"/>
        <item sd="0" x="8"/>
        <item sd="0" x="72"/>
        <item sd="0" x="60"/>
        <item sd="0" x="77"/>
        <item sd="0" x="17"/>
        <item sd="0" x="21"/>
        <item sd="0" x="90"/>
        <item sd="0" x="33"/>
        <item sd="0" x="78"/>
        <item sd="0" x="61"/>
        <item sd="0" x="2"/>
        <item sd="0" x="91"/>
        <item sd="0" x="79"/>
        <item sd="0" x="42"/>
        <item sd="0" x="64"/>
        <item sd="0" x="3"/>
        <item sd="0" x="18"/>
        <item sd="0" x="19"/>
        <item sd="0" x="43"/>
        <item sd="0" x="22"/>
        <item sd="0" x="9"/>
        <item sd="0" x="20"/>
        <item sd="0" x="50"/>
        <item sd="0" x="34"/>
        <item sd="0" x="51"/>
        <item sd="0" x="37"/>
        <item sd="0" x="27"/>
        <item sd="0" x="38"/>
        <item sd="0" x="4"/>
        <item sd="0" x="52"/>
        <item sd="0" x="53"/>
        <item sd="0" x="30"/>
        <item sd="0" x="65"/>
        <item sd="0" x="82"/>
        <item sd="0" x="73"/>
        <item sd="0" x="85"/>
        <item sd="0" x="87"/>
        <item sd="0" x="5"/>
        <item sd="0" x="47"/>
        <item sd="0" x="48"/>
        <item sd="0" x="28"/>
        <item sd="0" x="29"/>
        <item sd="0" x="10"/>
        <item sd="0" x="58"/>
        <item sd="0" x="45"/>
        <item sd="0" x="31"/>
        <item sd="0" x="66"/>
        <item sd="0" x="46"/>
        <item sd="0" x="35"/>
        <item sd="0" x="88"/>
        <item sd="0" x="67"/>
        <item sd="0" x="59"/>
        <item sd="0" x="83"/>
        <item sd="0" x="81"/>
        <item sd="0" x="55"/>
        <item sd="0" x="68"/>
        <item sd="0" x="76"/>
        <item sd="0" x="74"/>
      </items>
    </pivotField>
    <pivotField compact="0" outline="0" showAll="0"/>
    <pivotField axis="axisPage" compact="0" outline="0" showAll="0" defaultSubtotal="0">
      <items count="825">
        <item x="78"/>
        <item x="104"/>
        <item x="105"/>
        <item x="194"/>
        <item x="195"/>
        <item x="196"/>
        <item x="247"/>
        <item x="49"/>
        <item x="225"/>
        <item x="197"/>
        <item x="198"/>
        <item x="226"/>
        <item x="227"/>
        <item x="248"/>
        <item x="249"/>
        <item x="234"/>
        <item x="229"/>
        <item x="228"/>
        <item x="710"/>
        <item x="685"/>
        <item x="614"/>
        <item x="650"/>
        <item x="651"/>
        <item x="665"/>
        <item x="666"/>
        <item x="615"/>
        <item x="616"/>
        <item x="643"/>
        <item x="644"/>
        <item x="330"/>
        <item x="331"/>
        <item x="332"/>
        <item x="333"/>
        <item x="652"/>
        <item x="686"/>
        <item x="688"/>
        <item x="689"/>
        <item x="589"/>
        <item x="53"/>
        <item x="798"/>
        <item x="807"/>
        <item x="799"/>
        <item x="334"/>
        <item x="335"/>
        <item x="336"/>
        <item x="100"/>
        <item x="54"/>
        <item x="667"/>
        <item x="690"/>
        <item x="691"/>
        <item x="674"/>
        <item x="675"/>
        <item x="676"/>
        <item x="590"/>
        <item x="591"/>
        <item x="692"/>
        <item x="789"/>
        <item x="79"/>
        <item x="723"/>
        <item x="80"/>
        <item x="81"/>
        <item x="725"/>
        <item x="117"/>
        <item x="118"/>
        <item x="65"/>
        <item x="66"/>
        <item x="711"/>
        <item x="592"/>
        <item x="653"/>
        <item x="640"/>
        <item m="1" x="824"/>
        <item x="677"/>
        <item x="714"/>
        <item x="715"/>
        <item x="693"/>
        <item x="712"/>
        <item x="703"/>
        <item x="702"/>
        <item x="701"/>
        <item x="694"/>
        <item x="695"/>
        <item x="696"/>
        <item x="697"/>
        <item x="612"/>
        <item x="698"/>
        <item x="791"/>
        <item x="726"/>
        <item x="250"/>
        <item x="251"/>
        <item x="82"/>
        <item x="646"/>
        <item x="647"/>
        <item x="648"/>
        <item x="584"/>
        <item x="585"/>
        <item x="586"/>
        <item x="587"/>
        <item x="101"/>
        <item x="699"/>
        <item x="94"/>
        <item x="210"/>
        <item x="221"/>
        <item x="222"/>
        <item x="223"/>
        <item x="224"/>
        <item x="593"/>
        <item x="594"/>
        <item x="595"/>
        <item x="596"/>
        <item x="597"/>
        <item x="598"/>
        <item x="599"/>
        <item x="678"/>
        <item x="679"/>
        <item x="649"/>
        <item x="613"/>
        <item x="716"/>
        <item x="717"/>
        <item x="199"/>
        <item x="200"/>
        <item x="201"/>
        <item x="806"/>
        <item x="202"/>
        <item x="203"/>
        <item x="230"/>
        <item x="231"/>
        <item x="232"/>
        <item x="266"/>
        <item x="267"/>
        <item x="274"/>
        <item x="275"/>
        <item x="276"/>
        <item x="277"/>
        <item x="278"/>
        <item x="279"/>
        <item x="280"/>
        <item x="291"/>
        <item x="292"/>
        <item x="293"/>
        <item x="235"/>
        <item x="238"/>
        <item x="236"/>
        <item x="239"/>
        <item x="237"/>
        <item x="240"/>
        <item x="572"/>
        <item x="310"/>
        <item x="311"/>
        <item x="312"/>
        <item x="313"/>
        <item x="204"/>
        <item x="205"/>
        <item x="206"/>
        <item x="207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241"/>
        <item x="242"/>
        <item x="243"/>
        <item x="314"/>
        <item x="315"/>
        <item x="316"/>
        <item x="317"/>
        <item x="318"/>
        <item x="319"/>
        <item x="253"/>
        <item x="254"/>
        <item x="263"/>
        <item x="264"/>
        <item x="211"/>
        <item x="212"/>
        <item x="213"/>
        <item x="214"/>
        <item x="215"/>
        <item x="216"/>
        <item x="217"/>
        <item x="218"/>
        <item x="219"/>
        <item x="220"/>
        <item x="328"/>
        <item x="329"/>
        <item x="337"/>
        <item x="338"/>
        <item x="339"/>
        <item x="343"/>
        <item x="344"/>
        <item x="324"/>
        <item x="325"/>
        <item x="326"/>
        <item x="327"/>
        <item x="190"/>
        <item x="191"/>
        <item x="304"/>
        <item x="305"/>
        <item x="306"/>
        <item x="307"/>
        <item x="308"/>
        <item x="309"/>
        <item x="320"/>
        <item x="321"/>
        <item x="322"/>
        <item x="323"/>
        <item x="83"/>
        <item x="103"/>
        <item x="61"/>
        <item x="62"/>
        <item x="63"/>
        <item x="64"/>
        <item x="95"/>
        <item x="67"/>
        <item x="68"/>
        <item x="75"/>
        <item x="72"/>
        <item x="89"/>
        <item x="110"/>
        <item x="111"/>
        <item x="112"/>
        <item x="97"/>
        <item x="108"/>
        <item x="92"/>
        <item x="99"/>
        <item x="119"/>
        <item x="123"/>
        <item x="124"/>
        <item x="125"/>
        <item x="680"/>
        <item x="681"/>
        <item x="682"/>
        <item x="617"/>
        <item x="618"/>
        <item x="734"/>
        <item x="735"/>
        <item x="736"/>
        <item x="668"/>
        <item x="627"/>
        <item x="628"/>
        <item x="629"/>
        <item x="631"/>
        <item x="633"/>
        <item x="634"/>
        <item x="635"/>
        <item x="636"/>
        <item x="638"/>
        <item x="639"/>
        <item x="579"/>
        <item x="580"/>
        <item x="581"/>
        <item x="582"/>
        <item x="727"/>
        <item x="732"/>
        <item x="733"/>
        <item x="645"/>
        <item x="737"/>
        <item x="738"/>
        <item x="739"/>
        <item x="740"/>
        <item x="706"/>
        <item x="707"/>
        <item x="708"/>
        <item x="709"/>
        <item x="619"/>
        <item x="624"/>
        <item x="642"/>
        <item x="209"/>
        <item x="208"/>
        <item x="32"/>
        <item x="33"/>
        <item x="38"/>
        <item x="37"/>
        <item x="36"/>
        <item x="34"/>
        <item x="35"/>
        <item x="71"/>
        <item x="823"/>
        <item x="796"/>
        <item x="558"/>
        <item x="557"/>
        <item x="556"/>
        <item x="559"/>
        <item x="566"/>
        <item x="563"/>
        <item x="560"/>
        <item x="569"/>
        <item x="568"/>
        <item x="565"/>
        <item x="562"/>
        <item x="567"/>
        <item x="564"/>
        <item x="561"/>
        <item x="570"/>
        <item x="464"/>
        <item x="462"/>
        <item x="460"/>
        <item x="465"/>
        <item x="463"/>
        <item x="461"/>
        <item x="466"/>
        <item x="472"/>
        <item x="470"/>
        <item x="468"/>
        <item x="474"/>
        <item x="471"/>
        <item x="469"/>
        <item x="467"/>
        <item x="473"/>
        <item x="480"/>
        <item x="478"/>
        <item x="476"/>
        <item x="482"/>
        <item x="479"/>
        <item x="477"/>
        <item x="475"/>
        <item x="481"/>
        <item x="496"/>
        <item x="494"/>
        <item x="492"/>
        <item x="498"/>
        <item x="495"/>
        <item x="493"/>
        <item x="491"/>
        <item x="497"/>
        <item x="488"/>
        <item x="486"/>
        <item x="484"/>
        <item x="490"/>
        <item x="487"/>
        <item x="485"/>
        <item x="483"/>
        <item x="489"/>
        <item x="421"/>
        <item x="419"/>
        <item x="417"/>
        <item x="422"/>
        <item x="420"/>
        <item x="418"/>
        <item x="423"/>
        <item x="432"/>
        <item x="431"/>
        <item x="430"/>
        <item x="433"/>
        <item x="411"/>
        <item x="413"/>
        <item x="415"/>
        <item x="410"/>
        <item x="412"/>
        <item x="414"/>
        <item x="416"/>
        <item x="428"/>
        <item x="426"/>
        <item x="424"/>
        <item x="429"/>
        <item x="427"/>
        <item x="425"/>
        <item x="56"/>
        <item x="55"/>
        <item x="58"/>
        <item x="57"/>
        <item x="51"/>
        <item x="50"/>
        <item x="52"/>
        <item x="59"/>
        <item x="60"/>
        <item x="1"/>
        <item x="2"/>
        <item x="4"/>
        <item x="3"/>
        <item x="6"/>
        <item x="29"/>
        <item x="19"/>
        <item x="18"/>
        <item x="20"/>
        <item x="10"/>
        <item x="12"/>
        <item x="13"/>
        <item x="17"/>
        <item x="5"/>
        <item x="15"/>
        <item x="26"/>
        <item x="16"/>
        <item x="76"/>
        <item x="77"/>
        <item x="622"/>
        <item x="166"/>
        <item x="233"/>
        <item x="265"/>
        <item x="258"/>
        <item x="259"/>
        <item x="260"/>
        <item x="261"/>
        <item x="262"/>
        <item x="102"/>
        <item x="742"/>
        <item x="718"/>
        <item x="719"/>
        <item x="720"/>
        <item x="721"/>
        <item x="729"/>
        <item x="282"/>
        <item x="281"/>
        <item x="285"/>
        <item x="284"/>
        <item x="283"/>
        <item x="300"/>
        <item x="303"/>
        <item x="301"/>
        <item x="713"/>
        <item x="704"/>
        <item x="654"/>
        <item x="600"/>
        <item x="605"/>
        <item x="603"/>
        <item x="601"/>
        <item x="609"/>
        <item x="606"/>
        <item x="625"/>
        <item x="818"/>
        <item x="821"/>
        <item x="819"/>
        <item x="744"/>
        <item x="507"/>
        <item x="504"/>
        <item x="501"/>
        <item x="510"/>
        <item x="506"/>
        <item x="503"/>
        <item x="500"/>
        <item x="509"/>
        <item x="513"/>
        <item x="512"/>
        <item x="511"/>
        <item x="514"/>
        <item x="529"/>
        <item x="528"/>
        <item x="527"/>
        <item x="530"/>
        <item x="517"/>
        <item x="516"/>
        <item x="515"/>
        <item x="518"/>
        <item x="521"/>
        <item x="520"/>
        <item x="519"/>
        <item x="522"/>
        <item x="525"/>
        <item x="524"/>
        <item x="523"/>
        <item x="526"/>
        <item x="440"/>
        <item x="439"/>
        <item x="438"/>
        <item x="441"/>
        <item x="436"/>
        <item x="435"/>
        <item x="434"/>
        <item x="437"/>
        <item x="376"/>
        <item x="378"/>
        <item x="380"/>
        <item x="382"/>
        <item x="377"/>
        <item x="379"/>
        <item x="381"/>
        <item x="383"/>
        <item x="357"/>
        <item x="355"/>
        <item x="353"/>
        <item x="359"/>
        <item x="358"/>
        <item x="356"/>
        <item x="354"/>
        <item x="360"/>
        <item x="349"/>
        <item x="347"/>
        <item x="345"/>
        <item x="351"/>
        <item x="350"/>
        <item x="348"/>
        <item x="346"/>
        <item x="352"/>
        <item x="392"/>
        <item x="394"/>
        <item x="396"/>
        <item x="398"/>
        <item x="393"/>
        <item x="395"/>
        <item x="397"/>
        <item x="399"/>
        <item x="446"/>
        <item x="444"/>
        <item x="442"/>
        <item x="448"/>
        <item x="447"/>
        <item x="445"/>
        <item x="443"/>
        <item x="449"/>
        <item x="388"/>
        <item x="386"/>
        <item x="384"/>
        <item x="390"/>
        <item x="389"/>
        <item x="387"/>
        <item x="385"/>
        <item x="391"/>
        <item x="146"/>
        <item x="145"/>
        <item x="144"/>
        <item x="143"/>
        <item x="142"/>
        <item x="141"/>
        <item x="130"/>
        <item x="129"/>
        <item x="128"/>
        <item x="127"/>
        <item x="132"/>
        <item x="131"/>
        <item x="138"/>
        <item x="137"/>
        <item x="134"/>
        <item x="133"/>
        <item x="136"/>
        <item x="135"/>
        <item x="0"/>
        <item x="21"/>
        <item x="24"/>
        <item x="25"/>
        <item x="22"/>
        <item x="23"/>
        <item x="40"/>
        <item x="46"/>
        <item x="44"/>
        <item x="45"/>
        <item x="47"/>
        <item x="41"/>
        <item x="39"/>
        <item x="43"/>
        <item x="42"/>
        <item x="48"/>
        <item x="91"/>
        <item x="96"/>
        <item x="126"/>
        <item x="270"/>
        <item x="272"/>
        <item x="273"/>
        <item x="271"/>
        <item x="268"/>
        <item x="269"/>
        <item x="14"/>
        <item x="109"/>
        <item x="84"/>
        <item x="505"/>
        <item x="502"/>
        <item x="499"/>
        <item x="508"/>
        <item x="73"/>
        <item x="98"/>
        <item x="571"/>
        <item x="728"/>
        <item x="772"/>
        <item x="774"/>
        <item x="771"/>
        <item x="779"/>
        <item x="776"/>
        <item x="780"/>
        <item x="783"/>
        <item x="782"/>
        <item x="781"/>
        <item x="784"/>
        <item x="775"/>
        <item x="773"/>
        <item x="778"/>
        <item x="777"/>
        <item x="785"/>
        <item x="786"/>
        <item x="788"/>
        <item x="787"/>
        <item x="747"/>
        <item x="746"/>
        <item x="748"/>
        <item x="749"/>
        <item x="623"/>
        <item x="620"/>
        <item x="632"/>
        <item x="626"/>
        <item x="730"/>
        <item x="27"/>
        <item x="120"/>
        <item x="122"/>
        <item x="121"/>
        <item x="745"/>
        <item x="805"/>
        <item x="793"/>
        <item x="792"/>
        <item x="31"/>
        <item x="107"/>
        <item x="106"/>
        <item x="611"/>
        <item x="794"/>
        <item x="797"/>
        <item x="795"/>
        <item x="88"/>
        <item x="87"/>
        <item x="93"/>
        <item x="69"/>
        <item x="70"/>
        <item x="246"/>
        <item x="245"/>
        <item x="244"/>
        <item x="256"/>
        <item x="287"/>
        <item x="290"/>
        <item x="288"/>
        <item x="289"/>
        <item x="286"/>
        <item x="671"/>
        <item x="672"/>
        <item x="669"/>
        <item x="670"/>
        <item x="673"/>
        <item x="705"/>
        <item x="684"/>
        <item x="683"/>
        <item x="741"/>
        <item x="743"/>
        <item x="11"/>
        <item x="9"/>
        <item x="7"/>
        <item x="8"/>
        <item x="30"/>
        <item x="28"/>
        <item x="299"/>
        <item x="302"/>
        <item x="816"/>
        <item x="815"/>
        <item x="817"/>
        <item x="810"/>
        <item x="811"/>
        <item x="809"/>
        <item x="820"/>
        <item x="813"/>
        <item x="812"/>
        <item x="808"/>
        <item x="814"/>
        <item x="85"/>
        <item x="257"/>
        <item x="340"/>
        <item x="342"/>
        <item x="341"/>
        <item x="172"/>
        <item x="173"/>
        <item x="174"/>
        <item x="175"/>
        <item x="176"/>
        <item x="167"/>
        <item x="168"/>
        <item x="169"/>
        <item x="170"/>
        <item x="171"/>
        <item x="177"/>
        <item x="178"/>
        <item x="179"/>
        <item x="180"/>
        <item x="186"/>
        <item x="187"/>
        <item x="188"/>
        <item x="189"/>
        <item x="181"/>
        <item x="182"/>
        <item x="183"/>
        <item x="184"/>
        <item x="185"/>
        <item x="621"/>
        <item x="804"/>
        <item x="803"/>
        <item x="700"/>
        <item x="731"/>
        <item x="630"/>
        <item x="255"/>
        <item x="252"/>
        <item x="637"/>
        <item x="149"/>
        <item x="150"/>
        <item x="151"/>
        <item x="147"/>
        <item x="148"/>
        <item x="154"/>
        <item x="153"/>
        <item x="152"/>
        <item x="455"/>
        <item x="453"/>
        <item x="451"/>
        <item x="457"/>
        <item x="459"/>
        <item x="454"/>
        <item x="452"/>
        <item x="450"/>
        <item x="456"/>
        <item x="458"/>
        <item x="543"/>
        <item x="538"/>
        <item x="533"/>
        <item x="548"/>
        <item x="553"/>
        <item x="545"/>
        <item x="540"/>
        <item x="535"/>
        <item x="550"/>
        <item x="555"/>
        <item x="542"/>
        <item x="537"/>
        <item x="532"/>
        <item x="547"/>
        <item x="552"/>
        <item x="544"/>
        <item x="539"/>
        <item x="534"/>
        <item x="549"/>
        <item x="554"/>
        <item x="541"/>
        <item x="536"/>
        <item x="531"/>
        <item x="546"/>
        <item x="551"/>
        <item x="400"/>
        <item x="402"/>
        <item x="404"/>
        <item x="406"/>
        <item x="408"/>
        <item x="401"/>
        <item x="403"/>
        <item x="405"/>
        <item x="407"/>
        <item x="409"/>
        <item x="375"/>
        <item x="373"/>
        <item x="372"/>
        <item x="371"/>
        <item x="374"/>
        <item x="370"/>
        <item x="368"/>
        <item x="367"/>
        <item x="366"/>
        <item x="369"/>
        <item x="365"/>
        <item x="363"/>
        <item x="362"/>
        <item x="361"/>
        <item x="364"/>
        <item x="573"/>
        <item x="574"/>
        <item x="577"/>
        <item x="575"/>
        <item x="578"/>
        <item x="576"/>
        <item x="658"/>
        <item x="661"/>
        <item x="660"/>
        <item x="657"/>
        <item x="662"/>
        <item x="659"/>
        <item x="655"/>
        <item x="656"/>
        <item x="664"/>
        <item x="663"/>
        <item x="765"/>
        <item x="767"/>
        <item x="766"/>
        <item x="770"/>
        <item x="768"/>
        <item x="769"/>
        <item x="764"/>
        <item x="763"/>
        <item x="750"/>
        <item x="751"/>
        <item x="752"/>
        <item x="753"/>
        <item x="758"/>
        <item x="759"/>
        <item x="760"/>
        <item x="761"/>
        <item x="762"/>
        <item x="724"/>
        <item x="722"/>
        <item x="583"/>
        <item x="608"/>
        <item x="607"/>
        <item x="610"/>
        <item x="604"/>
        <item x="602"/>
        <item x="588"/>
        <item x="192"/>
        <item x="193"/>
        <item x="74"/>
        <item x="86"/>
        <item x="113"/>
        <item x="114"/>
        <item x="115"/>
        <item x="116"/>
        <item x="294"/>
        <item x="295"/>
        <item x="296"/>
        <item x="297"/>
        <item x="298"/>
        <item x="90"/>
        <item x="822"/>
        <item x="800"/>
        <item x="801"/>
        <item x="802"/>
        <item x="139"/>
        <item x="140"/>
        <item x="641"/>
        <item x="687"/>
        <item x="790"/>
        <item x="754"/>
        <item x="755"/>
        <item x="756"/>
        <item x="757"/>
      </items>
    </pivotField>
    <pivotField axis="axisRow" compact="0" outline="0" multipleItemSelectionAllowed="1" showAll="0" defaultSubtotal="0">
      <items count="664">
        <item x="459"/>
        <item x="460"/>
        <item x="426"/>
        <item x="486"/>
        <item x="235"/>
        <item x="200"/>
        <item x="217"/>
        <item x="317"/>
        <item x="319"/>
        <item x="318"/>
        <item x="47"/>
        <item x="478"/>
        <item x="320"/>
        <item x="31"/>
        <item x="32"/>
        <item x="35"/>
        <item x="33"/>
        <item x="34"/>
        <item x="1"/>
        <item x="2"/>
        <item x="4"/>
        <item x="3"/>
        <item x="6"/>
        <item x="28"/>
        <item x="19"/>
        <item x="10"/>
        <item x="12"/>
        <item x="13"/>
        <item x="17"/>
        <item x="5"/>
        <item x="15"/>
        <item x="16"/>
        <item x="73"/>
        <item x="74"/>
        <item x="143"/>
        <item x="142"/>
        <item x="141"/>
        <item x="140"/>
        <item x="139"/>
        <item x="127"/>
        <item x="126"/>
        <item x="125"/>
        <item x="124"/>
        <item x="129"/>
        <item x="128"/>
        <item x="135"/>
        <item x="134"/>
        <item x="131"/>
        <item x="130"/>
        <item x="133"/>
        <item x="132"/>
        <item x="44"/>
        <item x="43"/>
        <item x="45"/>
        <item x="39"/>
        <item x="37"/>
        <item x="41"/>
        <item x="46"/>
        <item x="104"/>
        <item x="103"/>
        <item x="629"/>
        <item x="628"/>
        <item x="561"/>
        <item x="415"/>
        <item x="163"/>
        <item x="164"/>
        <item x="165"/>
        <item x="166"/>
        <item x="167"/>
        <item x="158"/>
        <item x="159"/>
        <item x="160"/>
        <item x="161"/>
        <item x="162"/>
        <item x="168"/>
        <item x="169"/>
        <item x="170"/>
        <item x="171"/>
        <item x="177"/>
        <item x="178"/>
        <item x="179"/>
        <item x="180"/>
        <item x="172"/>
        <item x="173"/>
        <item x="174"/>
        <item x="175"/>
        <item x="176"/>
        <item x="605"/>
        <item x="607"/>
        <item x="604"/>
        <item x="612"/>
        <item x="609"/>
        <item x="613"/>
        <item x="616"/>
        <item x="615"/>
        <item x="614"/>
        <item x="617"/>
        <item x="608"/>
        <item x="606"/>
        <item x="611"/>
        <item x="610"/>
        <item x="618"/>
        <item x="619"/>
        <item x="621"/>
        <item x="620"/>
        <item x="580"/>
        <item x="579"/>
        <item x="581"/>
        <item x="582"/>
        <item x="467"/>
        <item x="464"/>
        <item x="563"/>
        <item x="578"/>
        <item m="1" x="661"/>
        <item m="1" x="662"/>
        <item m="1" x="663"/>
        <item x="234"/>
        <item x="233"/>
        <item x="232"/>
        <item x="274"/>
        <item x="277"/>
        <item x="275"/>
        <item x="276"/>
        <item x="273"/>
        <item x="282"/>
        <item x="285"/>
        <item x="283"/>
        <item x="281"/>
        <item x="284"/>
        <item x="513"/>
        <item x="514"/>
        <item x="511"/>
        <item x="512"/>
        <item x="515"/>
        <item x="543"/>
        <item x="525"/>
        <item x="524"/>
        <item x="624"/>
        <item x="625"/>
        <item x="644"/>
        <item x="642"/>
        <item x="653"/>
        <item x="646"/>
        <item x="574"/>
        <item x="576"/>
        <item x="11"/>
        <item x="9"/>
        <item x="7"/>
        <item x="8"/>
        <item x="29"/>
        <item x="30"/>
        <item x="27"/>
        <item x="626"/>
        <item x="286"/>
        <item x="50"/>
        <item x="57"/>
        <item x="58"/>
        <item x="77"/>
        <item x="78"/>
        <item x="79"/>
        <item x="86"/>
        <item x="85"/>
        <item x="84"/>
        <item x="89"/>
        <item x="90"/>
        <item x="88"/>
        <item x="92"/>
        <item x="96"/>
        <item x="93"/>
        <item x="91"/>
        <item x="94"/>
        <item x="97"/>
        <item x="98"/>
        <item x="99"/>
        <item x="100"/>
        <item x="68"/>
        <item x="107"/>
        <item x="109"/>
        <item x="108"/>
        <item x="106"/>
        <item x="114"/>
        <item x="116"/>
        <item x="115"/>
        <item x="117"/>
        <item x="119"/>
        <item x="118"/>
        <item x="72"/>
        <item x="216"/>
        <item x="215"/>
        <item x="218"/>
        <item x="193"/>
        <item x="192"/>
        <item x="219"/>
        <item x="220"/>
        <item x="221"/>
        <item x="222"/>
        <item x="251"/>
        <item x="252"/>
        <item x="238"/>
        <item x="239"/>
        <item x="291"/>
        <item x="289"/>
        <item x="253"/>
        <item x="254"/>
        <item x="261"/>
        <item x="311"/>
        <item x="312"/>
        <item x="313"/>
        <item x="314"/>
        <item x="307"/>
        <item x="308"/>
        <item x="309"/>
        <item x="310"/>
        <item x="301"/>
        <item x="302"/>
        <item x="304"/>
        <item x="305"/>
        <item x="306"/>
        <item x="303"/>
        <item x="297"/>
        <item x="298"/>
        <item x="299"/>
        <item x="300"/>
        <item x="416"/>
        <item x="315"/>
        <item x="316"/>
        <item x="321"/>
        <item x="322"/>
        <item x="328"/>
        <item x="329"/>
        <item x="324"/>
        <item x="323"/>
        <item x="155"/>
        <item x="153"/>
        <item x="152"/>
        <item x="154"/>
        <item x="156"/>
        <item x="181"/>
        <item x="138"/>
        <item x="157"/>
        <item x="413"/>
        <item x="414"/>
        <item x="377"/>
        <item x="378"/>
        <item x="379"/>
        <item x="381"/>
        <item x="380"/>
        <item x="361"/>
        <item x="363"/>
        <item x="360"/>
        <item x="362"/>
        <item x="382"/>
        <item x="383"/>
        <item x="387"/>
        <item x="384"/>
        <item x="385"/>
        <item x="386"/>
        <item x="365"/>
        <item x="364"/>
        <item x="347"/>
        <item x="331"/>
        <item x="330"/>
        <item x="349"/>
        <item x="366"/>
        <item x="348"/>
        <item x="461"/>
        <item x="463"/>
        <item x="468"/>
        <item x="462"/>
        <item x="466"/>
        <item x="484"/>
        <item x="485"/>
        <item x="487"/>
        <item x="488"/>
        <item x="490"/>
        <item x="491"/>
        <item x="492"/>
        <item x="493"/>
        <item x="494"/>
        <item x="495"/>
        <item x="496"/>
        <item x="497"/>
        <item x="498"/>
        <item x="479"/>
        <item x="477"/>
        <item x="482"/>
        <item x="483"/>
        <item x="476"/>
        <item x="470"/>
        <item x="475"/>
        <item x="473"/>
        <item x="480"/>
        <item x="472"/>
        <item x="471"/>
        <item x="469"/>
        <item x="489"/>
        <item x="508"/>
        <item x="507"/>
        <item x="509"/>
        <item x="510"/>
        <item x="516"/>
        <item x="517"/>
        <item x="518"/>
        <item x="519"/>
        <item x="520"/>
        <item x="527"/>
        <item x="533"/>
        <item x="534"/>
        <item x="526"/>
        <item x="539"/>
        <item x="540"/>
        <item x="535"/>
        <item x="536"/>
        <item x="537"/>
        <item x="538"/>
        <item x="544"/>
        <item x="529"/>
        <item x="532"/>
        <item x="531"/>
        <item x="530"/>
        <item x="542"/>
        <item x="545"/>
        <item x="546"/>
        <item x="547"/>
        <item x="548"/>
        <item x="549"/>
        <item x="550"/>
        <item x="551"/>
        <item x="552"/>
        <item x="553"/>
        <item x="554"/>
        <item x="522"/>
        <item x="523"/>
        <item x="521"/>
        <item x="429"/>
        <item x="428"/>
        <item x="430"/>
        <item x="431"/>
        <item x="438"/>
        <item x="439"/>
        <item x="440"/>
        <item x="443"/>
        <item x="433"/>
        <item x="435"/>
        <item x="455"/>
        <item x="434"/>
        <item x="436"/>
        <item x="437"/>
        <item x="441"/>
        <item x="442"/>
        <item x="444"/>
        <item x="449"/>
        <item x="447"/>
        <item x="445"/>
        <item x="453"/>
        <item x="450"/>
        <item x="425"/>
        <item x="423"/>
        <item x="424"/>
        <item x="456"/>
        <item x="457"/>
        <item x="458"/>
        <item x="556"/>
        <item x="565"/>
        <item x="560"/>
        <item x="566"/>
        <item x="562"/>
        <item x="571"/>
        <item x="568"/>
        <item x="573"/>
        <item x="570"/>
        <item x="567"/>
        <item x="569"/>
        <item x="572"/>
        <item x="559"/>
        <item x="558"/>
        <item x="640"/>
        <item x="631"/>
        <item x="639"/>
        <item x="622"/>
        <item x="630"/>
        <item x="654"/>
        <item x="652"/>
        <item x="36"/>
        <item x="575"/>
        <item x="577"/>
        <item x="0"/>
        <item x="14"/>
        <item x="18"/>
        <item x="26"/>
        <item x="25"/>
        <item x="20"/>
        <item x="23"/>
        <item x="24"/>
        <item x="21"/>
        <item x="22"/>
        <item x="38"/>
        <item x="42"/>
        <item x="40"/>
        <item x="52"/>
        <item x="51"/>
        <item x="54"/>
        <item x="53"/>
        <item x="56"/>
        <item x="55"/>
        <item x="49"/>
        <item x="48"/>
        <item x="80"/>
        <item x="81"/>
        <item x="75"/>
        <item x="76"/>
        <item x="95"/>
        <item x="101"/>
        <item x="102"/>
        <item x="62"/>
        <item x="63"/>
        <item x="64"/>
        <item x="65"/>
        <item x="69"/>
        <item x="66"/>
        <item x="67"/>
        <item x="61"/>
        <item x="59"/>
        <item x="60"/>
        <item x="120"/>
        <item x="122"/>
        <item x="121"/>
        <item x="123"/>
        <item x="70"/>
        <item x="105"/>
        <item x="187"/>
        <item x="185"/>
        <item x="186"/>
        <item x="184"/>
        <item x="188"/>
        <item x="189"/>
        <item x="190"/>
        <item x="191"/>
        <item x="194"/>
        <item x="195"/>
        <item x="196"/>
        <item x="197"/>
        <item x="199"/>
        <item x="198"/>
        <item x="211"/>
        <item x="214"/>
        <item x="213"/>
        <item x="207"/>
        <item x="209"/>
        <item x="210"/>
        <item x="208"/>
        <item x="203"/>
        <item x="205"/>
        <item x="206"/>
        <item x="204"/>
        <item x="201"/>
        <item x="202"/>
        <item x="223"/>
        <item x="226"/>
        <item x="224"/>
        <item x="225"/>
        <item x="228"/>
        <item x="230"/>
        <item x="229"/>
        <item x="231"/>
        <item x="246"/>
        <item x="247"/>
        <item x="248"/>
        <item x="249"/>
        <item x="250"/>
        <item x="237"/>
        <item x="236"/>
        <item x="241"/>
        <item x="242"/>
        <item x="262"/>
        <item x="263"/>
        <item x="264"/>
        <item x="265"/>
        <item x="266"/>
        <item x="267"/>
        <item x="292"/>
        <item x="293"/>
        <item x="294"/>
        <item x="295"/>
        <item x="296"/>
        <item x="278"/>
        <item x="279"/>
        <item x="280"/>
        <item x="269"/>
        <item x="268"/>
        <item x="272"/>
        <item x="271"/>
        <item x="270"/>
        <item x="287"/>
        <item x="290"/>
        <item x="288"/>
        <item x="257"/>
        <item x="259"/>
        <item x="260"/>
        <item x="258"/>
        <item x="255"/>
        <item x="256"/>
        <item x="641"/>
        <item x="632"/>
        <item x="638"/>
        <item x="627"/>
        <item x="656"/>
        <item x="651"/>
        <item x="649"/>
        <item x="648"/>
        <item x="650"/>
        <item x="212"/>
        <item x="647"/>
        <item x="643"/>
        <item x="645"/>
        <item x="227"/>
        <item x="82"/>
        <item x="244"/>
        <item x="245"/>
        <item x="325"/>
        <item x="327"/>
        <item x="326"/>
        <item x="465"/>
        <item x="637"/>
        <item x="636"/>
        <item x="541"/>
        <item x="564"/>
        <item x="474"/>
        <item x="243"/>
        <item x="240"/>
        <item x="481"/>
        <item x="146"/>
        <item x="147"/>
        <item x="148"/>
        <item x="144"/>
        <item x="145"/>
        <item x="151"/>
        <item x="150"/>
        <item x="149"/>
        <item x="372"/>
        <item x="370"/>
        <item x="368"/>
        <item x="374"/>
        <item x="376"/>
        <item x="371"/>
        <item x="369"/>
        <item x="367"/>
        <item x="373"/>
        <item x="375"/>
        <item x="400"/>
        <item x="395"/>
        <item x="390"/>
        <item x="405"/>
        <item x="410"/>
        <item x="402"/>
        <item x="397"/>
        <item x="392"/>
        <item x="407"/>
        <item x="412"/>
        <item x="399"/>
        <item x="394"/>
        <item x="389"/>
        <item x="404"/>
        <item x="409"/>
        <item x="401"/>
        <item x="396"/>
        <item x="391"/>
        <item x="406"/>
        <item x="411"/>
        <item x="398"/>
        <item x="393"/>
        <item x="388"/>
        <item x="403"/>
        <item x="408"/>
        <item x="350"/>
        <item x="352"/>
        <item x="354"/>
        <item x="356"/>
        <item x="358"/>
        <item x="351"/>
        <item x="353"/>
        <item x="355"/>
        <item x="357"/>
        <item x="359"/>
        <item x="346"/>
        <item x="344"/>
        <item x="343"/>
        <item x="342"/>
        <item x="345"/>
        <item x="341"/>
        <item x="339"/>
        <item x="338"/>
        <item x="337"/>
        <item x="340"/>
        <item x="336"/>
        <item x="334"/>
        <item x="333"/>
        <item x="332"/>
        <item x="335"/>
        <item x="417"/>
        <item x="418"/>
        <item x="421"/>
        <item x="419"/>
        <item x="422"/>
        <item x="420"/>
        <item x="502"/>
        <item x="504"/>
        <item x="503"/>
        <item x="501"/>
        <item x="499"/>
        <item x="500"/>
        <item x="506"/>
        <item x="505"/>
        <item x="598"/>
        <item x="600"/>
        <item x="599"/>
        <item x="603"/>
        <item x="601"/>
        <item x="602"/>
        <item x="597"/>
        <item x="596"/>
        <item x="583"/>
        <item x="584"/>
        <item x="585"/>
        <item x="586"/>
        <item m="1" x="658"/>
        <item m="1" x="657"/>
        <item m="1" x="659"/>
        <item m="1" x="660"/>
        <item x="591"/>
        <item x="592"/>
        <item x="593"/>
        <item x="594"/>
        <item x="595"/>
        <item x="557"/>
        <item x="555"/>
        <item x="427"/>
        <item x="452"/>
        <item x="451"/>
        <item x="454"/>
        <item x="448"/>
        <item x="446"/>
        <item x="432"/>
        <item x="182"/>
        <item x="183"/>
        <item x="71"/>
        <item x="83"/>
        <item x="110"/>
        <item x="111"/>
        <item x="112"/>
        <item x="113"/>
        <item x="87"/>
        <item x="655"/>
        <item x="633"/>
        <item x="634"/>
        <item x="635"/>
        <item x="136"/>
        <item x="137"/>
        <item x="528"/>
        <item x="623"/>
        <item x="587"/>
        <item x="588"/>
        <item x="589"/>
        <item x="590"/>
      </items>
    </pivotField>
    <pivotField axis="axisPage" compact="0" outline="0" multipleItemSelectionAllowed="1" showAll="0">
      <items count="3">
        <item x="0"/>
        <item x="1"/>
        <item t="default"/>
      </items>
    </pivotField>
    <pivotField axis="axisPage" compact="0" outline="0" multipleItemSelectionAllowed="1" showAll="0" defaultSubtotal="0">
      <items count="9">
        <item sd="0" x="5"/>
        <item sd="0" x="2"/>
        <item sd="0" x="1"/>
        <item sd="0" x="4"/>
        <item sd="0" x="3"/>
        <item sd="0" x="0"/>
        <item sd="0" m="1" x="8"/>
        <item sd="0" x="7"/>
        <item x="6"/>
      </items>
    </pivotField>
    <pivotField compact="0" outline="0" showAll="0"/>
    <pivotField axis="axisPage" compact="0" outline="0" showAll="0" defaultSubtotal="0">
      <items count="561">
        <item x="386"/>
        <item x="388"/>
        <item x="434"/>
        <item x="425"/>
        <item x="423"/>
        <item x="435"/>
        <item x="38"/>
        <item x="79"/>
        <item m="1" x="469"/>
        <item m="1" x="463"/>
        <item m="1" x="558"/>
        <item x="80"/>
        <item m="1" x="465"/>
        <item m="1" x="489"/>
        <item x="85"/>
        <item m="1" x="517"/>
        <item x="385"/>
        <item x="59"/>
        <item x="398"/>
        <item m="1" x="447"/>
        <item x="77"/>
        <item x="419"/>
        <item x="69"/>
        <item x="384"/>
        <item x="58"/>
        <item x="400"/>
        <item x="64"/>
        <item x="396"/>
        <item x="71"/>
        <item x="424"/>
        <item x="57"/>
        <item x="422"/>
        <item x="445"/>
        <item m="1" x="502"/>
        <item x="76"/>
        <item x="371"/>
        <item m="1" x="466"/>
        <item x="55"/>
        <item m="1" x="467"/>
        <item x="399"/>
        <item x="37"/>
        <item x="169"/>
        <item x="441"/>
        <item m="1" x="538"/>
        <item m="1" x="455"/>
        <item m="1" x="544"/>
        <item x="407"/>
        <item m="1" x="461"/>
        <item x="60"/>
        <item x="408"/>
        <item x="387"/>
        <item m="1" x="453"/>
        <item x="78"/>
        <item m="1" x="488"/>
        <item x="411"/>
        <item m="1" x="478"/>
        <item x="392"/>
        <item m="1" x="545"/>
        <item x="87"/>
        <item x="53"/>
        <item x="18"/>
        <item x="420"/>
        <item m="1" x="542"/>
        <item m="1" x="534"/>
        <item x="66"/>
        <item m="1" x="526"/>
        <item m="1" x="470"/>
        <item m="1" x="464"/>
        <item x="136"/>
        <item x="382"/>
        <item x="165"/>
        <item x="433"/>
        <item m="1" x="490"/>
        <item m="1" x="559"/>
        <item x="158"/>
        <item x="391"/>
        <item x="162"/>
        <item m="1" x="551"/>
        <item x="34"/>
        <item m="1" x="459"/>
        <item m="1" x="484"/>
        <item m="1" x="531"/>
        <item x="167"/>
        <item m="1" x="454"/>
        <item x="401"/>
        <item m="1" x="483"/>
        <item x="49"/>
        <item x="82"/>
        <item m="1" x="462"/>
        <item x="409"/>
        <item x="81"/>
        <item x="135"/>
        <item m="1" x="528"/>
        <item x="379"/>
        <item x="4"/>
        <item x="48"/>
        <item x="36"/>
        <item x="164"/>
        <item x="395"/>
        <item x="417"/>
        <item x="444"/>
        <item x="75"/>
        <item m="1" x="452"/>
        <item x="88"/>
        <item m="1" x="535"/>
        <item x="192"/>
        <item m="1" x="458"/>
        <item x="35"/>
        <item m="1" x="548"/>
        <item x="72"/>
        <item x="2"/>
        <item m="1" x="546"/>
        <item m="1" x="476"/>
        <item m="1" x="481"/>
        <item m="1" x="549"/>
        <item x="70"/>
        <item x="390"/>
        <item x="29"/>
        <item m="1" x="555"/>
        <item x="418"/>
        <item m="1" x="475"/>
        <item x="163"/>
        <item x="171"/>
        <item m="1" x="491"/>
        <item m="1" x="525"/>
        <item x="370"/>
        <item m="1" x="529"/>
        <item x="190"/>
        <item m="1" x="547"/>
        <item x="159"/>
        <item x="19"/>
        <item x="83"/>
        <item m="1" x="560"/>
        <item m="1" x="523"/>
        <item m="1" x="460"/>
        <item x="161"/>
        <item m="1" x="448"/>
        <item m="1" x="522"/>
        <item x="1"/>
        <item x="404"/>
        <item m="1" x="486"/>
        <item x="212"/>
        <item x="134"/>
        <item m="1" x="493"/>
        <item x="150"/>
        <item x="20"/>
        <item m="1" x="530"/>
        <item m="1" x="497"/>
        <item m="1" x="499"/>
        <item m="1" x="495"/>
        <item x="405"/>
        <item m="1" x="487"/>
        <item x="157"/>
        <item m="1" x="521"/>
        <item m="1" x="482"/>
        <item m="1" x="537"/>
        <item m="1" x="532"/>
        <item x="376"/>
        <item x="156"/>
        <item x="381"/>
        <item x="191"/>
        <item m="1" x="485"/>
        <item x="438"/>
        <item m="1" x="498"/>
        <item m="1" x="494"/>
        <item x="8"/>
        <item x="160"/>
        <item x="138"/>
        <item x="86"/>
        <item x="380"/>
        <item x="74"/>
        <item x="197"/>
        <item x="62"/>
        <item x="416"/>
        <item x="84"/>
        <item x="141"/>
        <item x="16"/>
        <item x="5"/>
        <item x="198"/>
        <item m="1" x="451"/>
        <item x="202"/>
        <item m="1" x="524"/>
        <item m="1" x="492"/>
        <item x="442"/>
        <item x="61"/>
        <item m="1" x="496"/>
        <item x="168"/>
        <item x="13"/>
        <item x="30"/>
        <item x="12"/>
        <item m="1" x="479"/>
        <item x="33"/>
        <item x="65"/>
        <item x="214"/>
        <item x="184"/>
        <item x="155"/>
        <item x="68"/>
        <item x="182"/>
        <item m="1" x="477"/>
        <item x="137"/>
        <item x="26"/>
        <item x="206"/>
        <item x="377"/>
        <item x="178"/>
        <item x="429"/>
        <item x="378"/>
        <item x="174"/>
        <item x="145"/>
        <item x="260"/>
        <item x="213"/>
        <item x="218"/>
        <item x="144"/>
        <item x="359"/>
        <item x="203"/>
        <item x="426"/>
        <item x="15"/>
        <item x="186"/>
        <item x="193"/>
        <item m="1" x="550"/>
        <item x="394"/>
        <item x="27"/>
        <item x="430"/>
        <item x="152"/>
        <item x="196"/>
        <item x="267"/>
        <item m="1" x="480"/>
        <item x="41"/>
        <item x="142"/>
        <item x="183"/>
        <item x="262"/>
        <item x="273"/>
        <item x="14"/>
        <item x="221"/>
        <item m="1" x="501"/>
        <item x="113"/>
        <item m="1" x="543"/>
        <item x="374"/>
        <item x="180"/>
        <item x="28"/>
        <item x="414"/>
        <item x="181"/>
        <item x="428"/>
        <item x="437"/>
        <item x="216"/>
        <item x="440"/>
        <item x="207"/>
        <item m="1" x="520"/>
        <item x="0"/>
        <item x="139"/>
        <item x="358"/>
        <item x="393"/>
        <item x="172"/>
        <item x="375"/>
        <item x="73"/>
        <item m="1" x="500"/>
        <item x="269"/>
        <item x="176"/>
        <item m="1" x="456"/>
        <item m="1" x="450"/>
        <item m="1" x="468"/>
        <item m="1" x="541"/>
        <item x="261"/>
        <item x="179"/>
        <item x="154"/>
        <item x="201"/>
        <item m="1" x="554"/>
        <item m="1" x="556"/>
        <item x="143"/>
        <item m="1" x="518"/>
        <item x="140"/>
        <item m="1" x="519"/>
        <item x="17"/>
        <item x="397"/>
        <item x="31"/>
        <item x="217"/>
        <item x="177"/>
        <item x="114"/>
        <item x="175"/>
        <item m="1" x="540"/>
        <item m="1" x="472"/>
        <item x="195"/>
        <item x="270"/>
        <item x="402"/>
        <item x="288"/>
        <item x="200"/>
        <item m="1" x="508"/>
        <item x="194"/>
        <item m="1" x="552"/>
        <item x="10"/>
        <item x="199"/>
        <item x="205"/>
        <item x="118"/>
        <item x="293"/>
        <item x="285"/>
        <item m="1" x="507"/>
        <item x="410"/>
        <item x="249"/>
        <item m="1" x="512"/>
        <item x="25"/>
        <item x="383"/>
        <item x="6"/>
        <item x="318"/>
        <item m="1" x="514"/>
        <item x="24"/>
        <item x="372"/>
        <item x="287"/>
        <item x="147"/>
        <item x="268"/>
        <item m="1" x="473"/>
        <item x="11"/>
        <item m="1" x="506"/>
        <item x="439"/>
        <item x="127"/>
        <item x="290"/>
        <item x="43"/>
        <item m="1" x="539"/>
        <item x="446"/>
        <item x="130"/>
        <item x="9"/>
        <item x="204"/>
        <item x="317"/>
        <item x="265"/>
        <item x="46"/>
        <item x="63"/>
        <item m="1" x="511"/>
        <item x="121"/>
        <item x="373"/>
        <item x="170"/>
        <item x="22"/>
        <item m="1" x="474"/>
        <item x="286"/>
        <item x="109"/>
        <item x="272"/>
        <item x="51"/>
        <item m="1" x="516"/>
        <item x="264"/>
        <item x="3"/>
        <item x="432"/>
        <item x="263"/>
        <item x="322"/>
        <item x="122"/>
        <item x="44"/>
        <item x="185"/>
        <item x="39"/>
        <item x="131"/>
        <item x="128"/>
        <item x="271"/>
        <item x="247"/>
        <item x="47"/>
        <item x="274"/>
        <item m="1" x="509"/>
        <item x="148"/>
        <item m="1" x="471"/>
        <item x="54"/>
        <item x="360"/>
        <item m="1" x="527"/>
        <item x="220"/>
        <item x="316"/>
        <item x="403"/>
        <item x="413"/>
        <item x="151"/>
        <item x="406"/>
        <item m="1" x="457"/>
        <item x="112"/>
        <item m="1" x="536"/>
        <item m="1" x="510"/>
        <item x="421"/>
        <item m="1" x="513"/>
        <item m="1" x="533"/>
        <item x="389"/>
        <item m="1" x="553"/>
        <item x="296"/>
        <item x="173"/>
        <item x="295"/>
        <item x="215"/>
        <item x="294"/>
        <item x="45"/>
        <item x="361"/>
        <item x="415"/>
        <item x="412"/>
        <item m="1" x="515"/>
        <item x="307"/>
        <item x="246"/>
        <item x="126"/>
        <item x="289"/>
        <item x="111"/>
        <item x="153"/>
        <item x="315"/>
        <item x="125"/>
        <item x="108"/>
        <item x="275"/>
        <item x="255"/>
        <item x="298"/>
        <item x="67"/>
        <item x="257"/>
        <item x="42"/>
        <item x="256"/>
        <item x="266"/>
        <item x="94"/>
        <item x="132"/>
        <item m="1" x="504"/>
        <item x="110"/>
        <item x="89"/>
        <item m="1" x="505"/>
        <item x="209"/>
        <item x="297"/>
        <item x="313"/>
        <item x="252"/>
        <item m="1" x="503"/>
        <item x="301"/>
        <item x="326"/>
        <item x="117"/>
        <item x="245"/>
        <item x="40"/>
        <item x="291"/>
        <item x="251"/>
        <item x="314"/>
        <item m="1" x="557"/>
        <item m="1" x="449"/>
        <item x="311"/>
        <item x="23"/>
        <item x="427"/>
        <item x="7"/>
        <item x="21"/>
        <item x="32"/>
        <item x="50"/>
        <item x="52"/>
        <item x="56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15"/>
        <item x="116"/>
        <item x="119"/>
        <item x="120"/>
        <item x="123"/>
        <item x="124"/>
        <item x="129"/>
        <item x="133"/>
        <item x="146"/>
        <item x="149"/>
        <item x="166"/>
        <item x="187"/>
        <item x="188"/>
        <item x="189"/>
        <item x="208"/>
        <item x="210"/>
        <item x="211"/>
        <item x="219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8"/>
        <item x="250"/>
        <item x="253"/>
        <item x="254"/>
        <item x="258"/>
        <item x="259"/>
        <item x="276"/>
        <item x="277"/>
        <item x="278"/>
        <item x="279"/>
        <item x="280"/>
        <item x="281"/>
        <item x="282"/>
        <item x="283"/>
        <item x="284"/>
        <item x="292"/>
        <item x="299"/>
        <item x="300"/>
        <item x="302"/>
        <item x="303"/>
        <item x="304"/>
        <item x="305"/>
        <item x="306"/>
        <item x="308"/>
        <item x="309"/>
        <item x="310"/>
        <item x="312"/>
        <item x="319"/>
        <item x="320"/>
        <item x="321"/>
        <item x="323"/>
        <item x="324"/>
        <item x="325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62"/>
        <item x="363"/>
        <item x="364"/>
        <item x="365"/>
        <item x="366"/>
        <item x="367"/>
        <item x="368"/>
        <item x="369"/>
        <item x="431"/>
        <item x="436"/>
        <item x="443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41" outline="0" showAll="0"/>
    <pivotField compact="0" outline="0" showAll="0"/>
    <pivotField axis="axisPage" compact="0" outline="0" multipleItemSelectionAllowed="1" showAll="0">
      <items count="9">
        <item sd="0" x="2"/>
        <item sd="0" x="1"/>
        <item sd="0" x="0"/>
        <item sd="0" x="4"/>
        <item x="5"/>
        <item x="6"/>
        <item x="7"/>
        <item x="3"/>
        <item t="default" sd="0"/>
      </items>
    </pivotField>
    <pivotField compact="0" numFmtId="4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numFmtId="9" outline="0" showAll="0"/>
    <pivotField compact="0" numFmtId="41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1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numFmtId="3" outline="0" showAll="0"/>
    <pivotField compact="0" numFmtId="3" outline="0" showAll="0"/>
    <pivotField axis="axisPage" compact="0" outline="0" multipleItemSelectionAllowed="1" showAll="0">
      <items count="114">
        <item x="0"/>
        <item x="22"/>
        <item x="66"/>
        <item x="91"/>
        <item x="19"/>
        <item x="25"/>
        <item x="24"/>
        <item x="23"/>
        <item x="26"/>
        <item x="17"/>
        <item x="18"/>
        <item x="28"/>
        <item x="27"/>
        <item x="29"/>
        <item x="30"/>
        <item x="31"/>
        <item x="33"/>
        <item x="14"/>
        <item x="12"/>
        <item x="13"/>
        <item x="34"/>
        <item x="36"/>
        <item x="35"/>
        <item x="37"/>
        <item x="39"/>
        <item x="38"/>
        <item x="40"/>
        <item x="42"/>
        <item x="41"/>
        <item x="43"/>
        <item x="15"/>
        <item x="16"/>
        <item x="44"/>
        <item x="45"/>
        <item x="46"/>
        <item x="47"/>
        <item x="48"/>
        <item x="49"/>
        <item x="50"/>
        <item x="51"/>
        <item x="52"/>
        <item x="53"/>
        <item x="55"/>
        <item x="54"/>
        <item x="62"/>
        <item x="63"/>
        <item x="57"/>
        <item x="58"/>
        <item x="60"/>
        <item x="61"/>
        <item x="59"/>
        <item x="56"/>
        <item x="64"/>
        <item x="76"/>
        <item x="77"/>
        <item x="78"/>
        <item x="79"/>
        <item x="74"/>
        <item x="73"/>
        <item x="75"/>
        <item x="72"/>
        <item x="80"/>
        <item x="81"/>
        <item x="82"/>
        <item x="83"/>
        <item x="88"/>
        <item x="93"/>
        <item x="87"/>
        <item x="94"/>
        <item x="95"/>
        <item x="89"/>
        <item x="92"/>
        <item x="90"/>
        <item x="96"/>
        <item x="97"/>
        <item x="98"/>
        <item x="99"/>
        <item x="100"/>
        <item x="101"/>
        <item x="102"/>
        <item x="103"/>
        <item x="104"/>
        <item x="85"/>
        <item x="86"/>
        <item x="84"/>
        <item x="69"/>
        <item x="67"/>
        <item x="68"/>
        <item x="65"/>
        <item x="70"/>
        <item x="71"/>
        <item x="105"/>
        <item x="108"/>
        <item x="112"/>
        <item x="110"/>
        <item x="111"/>
        <item x="109"/>
        <item x="1"/>
        <item x="2"/>
        <item x="3"/>
        <item x="4"/>
        <item x="5"/>
        <item x="7"/>
        <item x="6"/>
        <item x="9"/>
        <item x="8"/>
        <item x="11"/>
        <item x="10"/>
        <item x="32"/>
        <item x="20"/>
        <item x="21"/>
        <item x="106"/>
        <item x="107"/>
        <item t="default"/>
      </items>
    </pivotField>
    <pivotField axis="axisPage" compact="0" numFmtId="3" outline="0" multipleItemSelectionAllowed="1" showAll="0">
      <items count="3">
        <item x="0"/>
        <item x="1"/>
        <item t="default"/>
      </items>
    </pivotField>
    <pivotField compact="0" numFmtId="3" outline="0" showAll="0"/>
    <pivotField compact="0" numFmtId="3" outline="0" showAll="0"/>
    <pivotField compact="0" outline="0" showAll="0"/>
    <pivotField compact="0" numFmtId="41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outline="0" showAll="0"/>
    <pivotField compact="0" numFmtId="3" outline="0" showAll="0"/>
    <pivotField compact="0" numFmtId="3" outline="0" showAll="0"/>
    <pivotField axis="axisPage" compact="0" outline="0" multipleItemSelectionAllowed="1" showAll="0">
      <items count="34">
        <item x="0"/>
        <item x="14"/>
        <item x="8"/>
        <item x="9"/>
        <item x="10"/>
        <item x="11"/>
        <item x="12"/>
        <item x="13"/>
        <item x="15"/>
        <item x="17"/>
        <item x="16"/>
        <item x="18"/>
        <item x="20"/>
        <item x="19"/>
        <item x="21"/>
        <item x="22"/>
        <item x="6"/>
        <item x="7"/>
        <item x="23"/>
        <item x="24"/>
        <item x="29"/>
        <item x="30"/>
        <item x="26"/>
        <item x="25"/>
        <item x="27"/>
        <item x="28"/>
        <item x="31"/>
        <item x="32"/>
        <item x="1"/>
        <item x="5"/>
        <item x="4"/>
        <item x="3"/>
        <item x="2"/>
        <item t="default"/>
      </items>
    </pivotField>
    <pivotField compact="0" numFmtId="3" outline="0" showAll="0"/>
    <pivotField compact="0" numFmtId="3" outline="0" showAll="0"/>
    <pivotField compact="0" numFmtId="3" outline="0" showAll="0"/>
    <pivotField compact="0" outline="0" showAll="0"/>
    <pivotField compact="0" numFmtId="41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numFmtId="41" outline="0" showAll="0"/>
    <pivotField compact="0" numFmtId="3" outline="0" showAll="0"/>
    <pivotField compact="0" numFmtId="3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numFmtId="41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  <pivotField compact="0" numFmtId="41" outline="0" showAll="0"/>
    <pivotField compact="0" numFmtId="41" outline="0" showAll="0"/>
    <pivotField compact="0" outline="0" showAll="0"/>
    <pivotField compact="0" outline="0" showAll="0"/>
    <pivotField compact="0" numFmtId="41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numFmtId="41" outline="0" showAll="0"/>
    <pivotField dataField="1" compact="0" numFmtId="41" outline="0" showAll="0"/>
    <pivotField compact="0" outline="0" showAll="0"/>
    <pivotField dataField="1" compact="0" outline="0" showAll="0"/>
    <pivotField compact="0" outline="0" showAll="0"/>
    <pivotField compact="0" numFmtId="4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1" outline="0" showAll="0"/>
    <pivotField dataField="1" compact="0" outline="0" showAll="0"/>
    <pivotField compact="0" numFmtId="41" outline="0" showAll="0"/>
    <pivotField dataField="1" compact="0" numFmtId="41" outline="0" showAll="0"/>
    <pivotField dataField="1" compact="0" numFmtId="41" outline="0" showAll="0"/>
    <pivotField compact="0" outline="0" showAll="0"/>
    <pivotField dataField="1" compact="0" outline="0" showAll="0"/>
    <pivotField compact="0" numFmtId="41" outline="0" showAll="0"/>
    <pivotField compact="0" numFmtId="41" outline="0" showAll="0"/>
    <pivotField compact="0" outline="0" showAll="0"/>
    <pivotField compact="0" outline="0" showAll="0"/>
    <pivotField compact="0" numFmtId="41" outline="0" showAll="0"/>
    <pivotField compact="0" outline="0" showAll="0"/>
    <pivotField compact="0" outline="0" showAll="0"/>
    <pivotField compact="0" numFmtId="41" outline="0" showAll="0"/>
    <pivotField compact="0" numFmtId="41" outline="0" showAll="0"/>
    <pivotField compact="0" numFmtId="41" outline="0" showAll="0"/>
    <pivotField compact="0" outline="0" showAll="0"/>
    <pivotField compact="0" outline="0" showAll="0"/>
    <pivotField compact="0" numFmtId="41" outline="0" showAll="0"/>
    <pivotField compact="0" numFmtId="41" outline="0" showAll="0"/>
    <pivotField compact="0" outline="0" showAll="0"/>
    <pivotField compact="0" outline="0" showAll="0"/>
    <pivotField compact="0" numFmtId="41" outline="0" showAll="0"/>
    <pivotField compact="0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numFmtId="41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</pivotFields>
  <rowFields count="4">
    <field x="1"/>
    <field x="3"/>
    <field x="2"/>
    <field x="6"/>
  </rowFields>
  <rowItems count="10">
    <i>
      <x/>
    </i>
    <i>
      <x v="1"/>
    </i>
    <i>
      <x v="2"/>
    </i>
    <i>
      <x v="3"/>
    </i>
    <i>
      <x v="8"/>
    </i>
    <i>
      <x v="4"/>
    </i>
    <i>
      <x v="5"/>
    </i>
    <i>
      <x v="9"/>
    </i>
    <i>
      <x v="6"/>
    </i>
    <i t="grand">
      <x/>
    </i>
  </rowItems>
  <colFields count="1">
    <field x="-2"/>
  </colFields>
  <colItems count="1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</colItems>
  <pageFields count="8">
    <pageField fld="7" hier="-1"/>
    <pageField fld="5" hier="-1"/>
    <pageField fld="128" hier="-1"/>
    <pageField fld="127" hier="-1"/>
    <pageField fld="140" hier="-1"/>
    <pageField fld="21" hier="-1"/>
    <pageField fld="10" hier="-1"/>
    <pageField fld="8" hier="-1"/>
  </pageFields>
  <dataFields count="18">
    <dataField name=" Stock Hoy CST" fld="15" baseField="1" baseItem="4" numFmtId="3"/>
    <dataField name=" Stock Inicial Cst SEP26" fld="190" baseField="1" baseItem="2" numFmtId="3"/>
    <dataField name=" Compra Cst SEP26" fld="192" baseField="1" baseItem="2" numFmtId="3"/>
    <dataField name=" Llegadas Cst SEP26" fld="193" baseField="1" baseItem="2" numFmtId="3"/>
    <dataField name=" Stock + Pedido Csto SEP26" fld="195" baseField="1" baseItem="2" numFmtId="3"/>
    <dataField name="  Venta Cst SEP26" fld="191" baseField="1" baseItem="2" numFmtId="41"/>
    <dataField name=" Cobert. SEP 26" fld="288" baseField="1" baseItem="2" numFmtId="168"/>
    <dataField name=" Stock Inicial Cst OCT26" fld="204" baseField="1" baseItem="1" numFmtId="3"/>
    <dataField name=" Compra Cst OCT26" fld="206" baseField="1" baseItem="1" numFmtId="41"/>
    <dataField name=" Llegadas Cst OCT26" fld="207" baseField="1" baseItem="1" numFmtId="170"/>
    <dataField name=" Stock + Pedido Csto OCT26" fld="209" baseField="1" baseItem="1" numFmtId="3"/>
    <dataField name="  Venta Cst OCT26" fld="205" baseField="1" baseItem="1" numFmtId="3"/>
    <dataField name=" Cobert. OCT 26" fld="292" baseField="1" baseItem="0" numFmtId="168"/>
    <dataField name=" Stock Inicial Cst NOV26" fld="217" baseField="1" baseItem="0" numFmtId="3"/>
    <dataField name=" Compra Cst NOV26" fld="219" baseField="1" baseItem="0" numFmtId="170"/>
    <dataField name=" Llegadas Cst NOV26" fld="220" baseField="1" baseItem="0" numFmtId="170"/>
    <dataField name=" Stock + Pedido Csto NOV26" fld="222" baseField="1" baseItem="0" numFmtId="3"/>
    <dataField name=" Cobert. NOV 26" fld="295" baseField="1" baseItem="0" numFmtId="168"/>
  </dataFields>
  <formats count="66">
    <format dxfId="0">
      <pivotArea type="origin" dataOnly="0" labelOnly="1" outline="0" fieldPosition="0"/>
    </format>
    <format dxfId="1">
      <pivotArea field="-2" type="button" dataOnly="0" labelOnly="1" outline="0" axis="axisCol" fieldPosition="0"/>
    </format>
    <format dxfId="2">
      <pivotArea type="topRight" dataOnly="0" labelOnly="1" outline="0" offset="A1:S1" fieldPosition="0"/>
    </format>
    <format dxfId="3">
      <pivotArea field="1" type="button" dataOnly="0" labelOnly="1" outline="0" axis="axisRow" fieldPosition="0"/>
    </format>
    <format dxfId="4">
      <pivotArea field="5" type="button" dataOnly="0" labelOnly="1" outline="0" axis="axisPage" fieldPosition="1"/>
    </format>
    <format dxfId="5">
      <pivotArea field="6" type="button" dataOnly="0" labelOnly="1" outline="0" axis="axisRow" fieldPosition="3"/>
    </format>
    <format dxfId="6">
      <pivotArea dataOnly="0" labelOnly="1" outline="0" fieldPosition="0">
        <references count="1">
          <reference field="1" count="6">
            <x v="0"/>
            <x v="1"/>
            <x v="2"/>
            <x v="3"/>
            <x v="4"/>
            <x v="6"/>
          </reference>
        </references>
      </pivotArea>
    </format>
    <format dxfId="7">
      <pivotArea dataOnly="0" labelOnly="1" grandRow="1" outline="0" fieldPosition="0"/>
    </format>
    <format dxfId="8">
      <pivotArea outline="0" fieldPosition="0">
        <references count="1">
          <reference field="4294967294" count="1">
            <x v="0"/>
          </reference>
        </references>
      </pivotArea>
    </format>
    <format dxfId="9">
      <pivotArea outline="0" fieldPosition="0">
        <references count="1">
          <reference field="4294967294" count="1" selected="0">
            <x v="0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outline="0" fieldPosition="0">
        <references count="1">
          <reference field="4294967294" count="1" selected="0">
            <x v="0"/>
          </reference>
        </references>
      </pivotArea>
    </format>
    <format dxfId="12">
      <pivotArea field="-2" type="button" dataOnly="0" labelOnly="1" outline="0" axis="axisCol" fieldPosition="0"/>
    </format>
    <format dxfId="13">
      <pivotArea dataOnly="0" outline="0" fieldPosition="0">
        <references count="1">
          <reference field="4294967294" count="1">
            <x v="0"/>
          </reference>
        </references>
      </pivotArea>
    </format>
    <format dxfId="14">
      <pivotArea outline="0" fieldPosition="0">
        <references count="2">
          <reference field="4294967294" count="1" selected="0">
            <x v="0"/>
          </reference>
          <reference field="1" count="6" selected="0">
            <x v="0"/>
            <x v="1"/>
            <x v="2"/>
            <x v="3"/>
            <x v="4"/>
            <x v="6"/>
          </reference>
        </references>
      </pivotArea>
    </format>
    <format dxfId="15">
      <pivotArea dataOnly="0" outline="0" fieldPosition="0">
        <references count="1">
          <reference field="4294967294" count="1">
            <x v="0"/>
          </reference>
        </references>
      </pivotArea>
    </format>
    <format dxfId="16">
      <pivotArea dataOnly="0" outline="0" fieldPosition="0">
        <references count="1">
          <reference field="4294967294" count="1">
            <x v="0"/>
          </reference>
        </references>
      </pivotArea>
    </format>
    <format dxfId="17">
      <pivotArea dataOnly="0" outline="0" fieldPosition="0">
        <references count="1">
          <reference field="4294967294" count="1">
            <x v="0"/>
          </reference>
        </references>
      </pivotArea>
    </format>
    <format dxfId="18">
      <pivotArea dataOnly="0" outline="0" fieldPosition="0">
        <references count="1">
          <reference field="4294967294" count="1">
            <x v="0"/>
          </reference>
        </references>
      </pivotArea>
    </format>
    <format dxfId="19">
      <pivotArea outline="0" fieldPosition="0">
        <references count="1">
          <reference field="4294967294" count="1" selected="0">
            <x v="0"/>
          </reference>
        </references>
      </pivotArea>
    </format>
    <format dxfId="20">
      <pivotArea type="topRight" dataOnly="0" labelOnly="1" outline="0" fieldPosition="0"/>
    </format>
    <format dxfId="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2">
      <pivotArea type="topRight" dataOnly="0" labelOnly="1" outline="0" offset="S1:W1" fieldPosition="0"/>
    </format>
    <format dxfId="23">
      <pivotArea outline="0" fieldPosition="0">
        <references count="1">
          <reference field="4294967294" count="1" selected="0">
            <x v="0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5">
      <pivotArea dataOnly="0" outline="0" fieldPosition="0">
        <references count="1">
          <reference field="4294967294" count="1">
            <x v="0"/>
          </reference>
        </references>
      </pivotArea>
    </format>
    <format dxfId="26">
      <pivotArea outline="0" fieldPosition="0">
        <references count="1">
          <reference field="4294967294" count="1" selected="0">
            <x v="0"/>
          </reference>
        </references>
      </pivotArea>
    </format>
    <format dxfId="27">
      <pivotArea dataOnly="0" outline="0" fieldPosition="0">
        <references count="1">
          <reference field="4294967294" count="1">
            <x v="0"/>
          </reference>
        </references>
      </pivotArea>
    </format>
    <format dxfId="28">
      <pivotArea field="1" type="button" dataOnly="0" labelOnly="1" outline="0" axis="axisRow" fieldPosition="0"/>
    </format>
    <format dxfId="29">
      <pivotArea field="2" type="button" dataOnly="0" labelOnly="1" outline="0" axis="axisRow" fieldPosition="2"/>
    </format>
    <format dxfId="30">
      <pivotArea field="3" type="button" dataOnly="0" labelOnly="1" outline="0" axis="axisRow" fieldPosition="1"/>
    </format>
    <format dxfId="31">
      <pivotArea field="6" type="button" dataOnly="0" labelOnly="1" outline="0" axis="axisRow" fieldPosition="3"/>
    </format>
    <format dxfId="32">
      <pivotArea field="1" type="button" dataOnly="0" labelOnly="1" outline="0" axis="axisRow" fieldPosition="0"/>
    </format>
    <format dxfId="33">
      <pivotArea field="2" type="button" dataOnly="0" labelOnly="1" outline="0" axis="axisRow" fieldPosition="2"/>
    </format>
    <format dxfId="34">
      <pivotArea field="3" type="button" dataOnly="0" labelOnly="1" outline="0" axis="axisRow" fieldPosition="1"/>
    </format>
    <format dxfId="35">
      <pivotArea field="6" type="button" dataOnly="0" labelOnly="1" outline="0" axis="axisRow" fieldPosition="3"/>
    </format>
    <format dxfId="36">
      <pivotArea field="1" type="button" dataOnly="0" labelOnly="1" outline="0" axis="axisRow" fieldPosition="0"/>
    </format>
    <format dxfId="37">
      <pivotArea field="2" type="button" dataOnly="0" labelOnly="1" outline="0" axis="axisRow" fieldPosition="2"/>
    </format>
    <format dxfId="38">
      <pivotArea field="3" type="button" dataOnly="0" labelOnly="1" outline="0" axis="axisRow" fieldPosition="1"/>
    </format>
    <format dxfId="39">
      <pivotArea field="6" type="button" dataOnly="0" labelOnly="1" outline="0" axis="axisRow" fieldPosition="3"/>
    </format>
    <format dxfId="40">
      <pivotArea dataOnly="0" labelOnly="1" outline="0" fieldPosition="0">
        <references count="1">
          <reference field="1" count="8">
            <x v="0"/>
            <x v="1"/>
            <x v="2"/>
            <x v="3"/>
            <x v="4"/>
            <x v="5"/>
            <x v="6"/>
            <x v="8"/>
          </reference>
        </references>
      </pivotArea>
    </format>
    <format dxfId="41">
      <pivotArea dataOnly="0" labelOnly="1" grandRow="1" outline="0" fieldPosition="0"/>
    </format>
    <format dxfId="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5">
      <pivotArea outline="0" fieldPosition="0">
        <references count="1">
          <reference field="4294967294" count="1" selected="0">
            <x v="0"/>
          </reference>
        </references>
      </pivotArea>
    </format>
    <format dxfId="46">
      <pivotArea field="-2" type="button" dataOnly="0" labelOnly="1" outline="0" axis="axisCol" fieldPosition="0"/>
    </format>
    <format dxfId="4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8">
      <pivotArea outline="0" fieldPosition="0">
        <references count="1">
          <reference field="4294967294" count="1">
            <x v="1"/>
          </reference>
        </references>
      </pivotArea>
    </format>
    <format dxfId="49">
      <pivotArea outline="0" fieldPosition="0">
        <references count="1">
          <reference field="4294967294" count="1">
            <x v="3"/>
          </reference>
        </references>
      </pivotArea>
    </format>
    <format dxfId="50">
      <pivotArea outline="0" fieldPosition="0">
        <references count="1">
          <reference field="4294967294" count="1">
            <x v="2"/>
          </reference>
        </references>
      </pivotArea>
    </format>
    <format dxfId="51">
      <pivotArea outline="0" fieldPosition="0">
        <references count="1">
          <reference field="4294967294" count="1">
            <x v="4"/>
          </reference>
        </references>
      </pivotArea>
    </format>
    <format dxfId="52">
      <pivotArea outline="0" fieldPosition="0">
        <references count="1">
          <reference field="4294967294" count="1">
            <x v="6"/>
          </reference>
        </references>
      </pivotArea>
    </format>
    <format dxfId="53">
      <pivotArea outline="0" fieldPosition="0">
        <references count="1">
          <reference field="4294967294" count="1">
            <x v="11"/>
          </reference>
        </references>
      </pivotArea>
    </format>
    <format dxfId="54">
      <pivotArea outline="0" fieldPosition="0">
        <references count="1">
          <reference field="4294967294" count="1">
            <x v="10"/>
          </reference>
        </references>
      </pivotArea>
    </format>
    <format dxfId="55">
      <pivotArea outline="0" fieldPosition="0">
        <references count="1">
          <reference field="4294967294" count="1">
            <x v="9"/>
          </reference>
        </references>
      </pivotArea>
    </format>
    <format dxfId="56">
      <pivotArea outline="0" fieldPosition="0">
        <references count="1">
          <reference field="4294967294" count="1">
            <x v="7"/>
          </reference>
        </references>
      </pivotArea>
    </format>
    <format dxfId="57">
      <pivotArea dataOnly="0" labelOnly="1" outline="0" offset="A256" fieldPosition="0">
        <references count="1">
          <reference field="1" count="1">
            <x v="7"/>
          </reference>
        </references>
      </pivotArea>
    </format>
    <format dxfId="58">
      <pivotArea dataOnly="0" labelOnly="1" outline="0" offset="A256" fieldPosition="0">
        <references count="1">
          <reference field="1" count="1">
            <x v="8"/>
          </reference>
        </references>
      </pivotArea>
    </format>
    <format dxfId="59">
      <pivotArea dataOnly="0" labelOnly="1" outline="0" offset="A256" fieldPosition="0">
        <references count="1">
          <reference field="1" count="1">
            <x v="9"/>
          </reference>
        </references>
      </pivotArea>
    </format>
    <format dxfId="60">
      <pivotArea outline="0" fieldPosition="0">
        <references count="1">
          <reference field="4294967294" count="1">
            <x v="13"/>
          </reference>
        </references>
      </pivotArea>
    </format>
    <format dxfId="61">
      <pivotArea outline="0" fieldPosition="0">
        <references count="1">
          <reference field="4294967294" count="1">
            <x v="14"/>
          </reference>
        </references>
      </pivotArea>
    </format>
    <format dxfId="62">
      <pivotArea outline="0" fieldPosition="0">
        <references count="1">
          <reference field="4294967294" count="1">
            <x v="15"/>
          </reference>
        </references>
      </pivotArea>
    </format>
    <format dxfId="63">
      <pivotArea outline="0" fieldPosition="0">
        <references count="1">
          <reference field="4294967294" count="1">
            <x v="16"/>
          </reference>
        </references>
      </pivotArea>
    </format>
    <format dxfId="64">
      <pivotArea outline="0" fieldPosition="0">
        <references count="1">
          <reference field="4294967294" count="1">
            <x v="12"/>
          </reference>
        </references>
      </pivotArea>
    </format>
    <format dxfId="65">
      <pivotArea outline="0" fieldPosition="0">
        <references count="1">
          <reference field="4294967294" count="1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"/>
  <sheetViews>
    <sheetView workbookViewId="0">
      <pane xSplit="1" ySplit="4" topLeftCell="B5" activePane="bottomRight" state="frozen"/>
      <selection pane="topRight"/>
      <selection pane="bottomLeft"/>
      <selection pane="bottomRight" activeCell="J13" sqref="J13"/>
    </sheetView>
  </sheetViews>
  <sheetFormatPr baseColWidth="10" defaultColWidth="8.88671875" defaultRowHeight="14.4" x14ac:dyDescent="0.3"/>
  <cols>
    <col min="1" max="1" width="18" customWidth="1"/>
    <col min="2" max="2" width="13" customWidth="1"/>
    <col min="3" max="3" width="9" customWidth="1"/>
    <col min="4" max="4" width="11" hidden="1" customWidth="1"/>
    <col min="5" max="5" width="11" customWidth="1"/>
    <col min="6" max="6" width="12" customWidth="1"/>
    <col min="7" max="7" width="11" customWidth="1"/>
    <col min="8" max="8" width="9" customWidth="1"/>
    <col min="9" max="9" width="11" hidden="1" customWidth="1"/>
    <col min="10" max="10" width="11" customWidth="1"/>
    <col min="11" max="11" width="12" customWidth="1"/>
    <col min="12" max="12" width="11" customWidth="1"/>
    <col min="13" max="13" width="9" customWidth="1"/>
    <col min="14" max="14" width="11" hidden="1" customWidth="1"/>
    <col min="15" max="15" width="11" customWidth="1"/>
    <col min="16" max="16" width="12" customWidth="1"/>
    <col min="17" max="17" width="11" customWidth="1"/>
    <col min="18" max="18" width="9" customWidth="1"/>
    <col min="19" max="19" width="9.33203125" hidden="1" customWidth="1"/>
    <col min="20" max="22" width="9.33203125" bestFit="1" customWidth="1"/>
    <col min="23" max="23" width="5.88671875" bestFit="1" customWidth="1"/>
  </cols>
  <sheetData>
    <row r="1" spans="1:23" ht="28.05" customHeight="1" x14ac:dyDescent="0.3">
      <c r="A1" s="227" t="s">
        <v>266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</row>
    <row r="2" spans="1:23" ht="19.95" customHeight="1" x14ac:dyDescent="0.3">
      <c r="A2" s="1"/>
      <c r="B2" s="72" t="s">
        <v>267</v>
      </c>
      <c r="D2" s="230" t="s">
        <v>268</v>
      </c>
      <c r="E2" s="226"/>
      <c r="F2" s="226"/>
      <c r="G2" s="226"/>
      <c r="H2" s="229"/>
      <c r="I2" s="231" t="s">
        <v>269</v>
      </c>
      <c r="J2" s="226"/>
      <c r="K2" s="226"/>
      <c r="L2" s="226"/>
      <c r="M2" s="229"/>
      <c r="N2" s="232" t="s">
        <v>270</v>
      </c>
      <c r="O2" s="226"/>
      <c r="P2" s="226"/>
      <c r="Q2" s="226"/>
      <c r="R2" s="229"/>
      <c r="S2" s="228" t="s">
        <v>271</v>
      </c>
      <c r="T2" s="226"/>
      <c r="U2" s="226"/>
      <c r="V2" s="226"/>
      <c r="W2" s="229"/>
    </row>
    <row r="3" spans="1:23" ht="36" customHeight="1" x14ac:dyDescent="0.3">
      <c r="A3" s="2" t="s">
        <v>272</v>
      </c>
      <c r="B3" s="2" t="s">
        <v>273</v>
      </c>
      <c r="C3" s="2" t="s">
        <v>274</v>
      </c>
      <c r="D3" s="20" t="s">
        <v>275</v>
      </c>
      <c r="E3" s="20" t="s">
        <v>276</v>
      </c>
      <c r="F3" s="20" t="s">
        <v>277</v>
      </c>
      <c r="G3" s="20" t="s">
        <v>278</v>
      </c>
      <c r="H3" s="20" t="s">
        <v>279</v>
      </c>
      <c r="I3" s="21" t="s">
        <v>275</v>
      </c>
      <c r="J3" s="21" t="s">
        <v>276</v>
      </c>
      <c r="K3" s="21" t="s">
        <v>277</v>
      </c>
      <c r="L3" s="21" t="s">
        <v>278</v>
      </c>
      <c r="M3" s="21" t="s">
        <v>279</v>
      </c>
      <c r="N3" s="22" t="s">
        <v>275</v>
      </c>
      <c r="O3" s="22" t="s">
        <v>276</v>
      </c>
      <c r="P3" s="22" t="s">
        <v>277</v>
      </c>
      <c r="Q3" s="22" t="s">
        <v>278</v>
      </c>
      <c r="R3" s="22" t="s">
        <v>279</v>
      </c>
      <c r="S3" s="23" t="s">
        <v>275</v>
      </c>
      <c r="T3" s="23" t="s">
        <v>276</v>
      </c>
      <c r="U3" s="23" t="s">
        <v>277</v>
      </c>
      <c r="V3" s="23" t="s">
        <v>278</v>
      </c>
      <c r="W3" s="23" t="s">
        <v>279</v>
      </c>
    </row>
    <row r="4" spans="1:23" ht="16.05" customHeight="1" x14ac:dyDescent="0.3">
      <c r="A4" s="3" t="s">
        <v>280</v>
      </c>
      <c r="B4" s="4">
        <v>354532163</v>
      </c>
      <c r="C4" s="5">
        <v>8.7634450000000008</v>
      </c>
      <c r="D4" s="4">
        <v>381534782</v>
      </c>
      <c r="E4" s="4">
        <v>0</v>
      </c>
      <c r="F4" s="4">
        <v>354532163</v>
      </c>
      <c r="G4" s="4">
        <v>25213127.800000001</v>
      </c>
      <c r="H4" s="5">
        <v>8.7634450000000008</v>
      </c>
      <c r="I4" s="4">
        <v>356653087</v>
      </c>
      <c r="J4" s="4">
        <v>3819150</v>
      </c>
      <c r="K4" s="4">
        <v>360472237</v>
      </c>
      <c r="L4" s="4">
        <v>52666627</v>
      </c>
      <c r="M4" s="7">
        <v>6.3714079999999997</v>
      </c>
      <c r="N4" s="4">
        <v>307805610</v>
      </c>
      <c r="O4" s="4">
        <v>46409400</v>
      </c>
      <c r="P4" s="4">
        <v>354215010</v>
      </c>
      <c r="Q4" s="4">
        <v>43487641.600000001</v>
      </c>
      <c r="R4" s="5">
        <v>6.0516990000000002</v>
      </c>
      <c r="S4" s="17">
        <v>310727369</v>
      </c>
      <c r="T4" s="17">
        <v>37218600</v>
      </c>
      <c r="U4" s="17">
        <v>347945969</v>
      </c>
      <c r="V4" s="17">
        <v>73575350.299999997</v>
      </c>
      <c r="W4" s="5">
        <v>4.7291109999999996</v>
      </c>
    </row>
    <row r="5" spans="1:23" ht="16.05" customHeight="1" x14ac:dyDescent="0.3">
      <c r="A5" s="8" t="s">
        <v>281</v>
      </c>
      <c r="B5" s="9">
        <v>260005599</v>
      </c>
      <c r="C5" s="10">
        <v>2.9974880000000002</v>
      </c>
      <c r="D5" s="9">
        <v>294142974</v>
      </c>
      <c r="E5" s="9">
        <v>0</v>
      </c>
      <c r="F5" s="9">
        <v>260005599</v>
      </c>
      <c r="G5" s="9">
        <v>59713466</v>
      </c>
      <c r="H5" s="10">
        <v>2.9974880000000002</v>
      </c>
      <c r="I5" s="9">
        <v>235553378</v>
      </c>
      <c r="J5" s="9">
        <v>23698395</v>
      </c>
      <c r="K5" s="9">
        <v>259251773</v>
      </c>
      <c r="L5" s="9">
        <v>116787847.5</v>
      </c>
      <c r="M5" s="10">
        <v>2.647602</v>
      </c>
      <c r="N5" s="9">
        <v>142463926</v>
      </c>
      <c r="O5" s="9">
        <v>90092610</v>
      </c>
      <c r="P5" s="9">
        <v>232556536</v>
      </c>
      <c r="Q5" s="9">
        <v>83722216.099999994</v>
      </c>
      <c r="R5" s="10">
        <v>2.628196</v>
      </c>
      <c r="S5" s="117">
        <v>148834320</v>
      </c>
      <c r="T5" s="117">
        <v>82917990</v>
      </c>
      <c r="U5" s="117">
        <v>231752310</v>
      </c>
      <c r="V5" s="117">
        <v>93248283.599999994</v>
      </c>
      <c r="W5" s="18">
        <v>2.485325</v>
      </c>
    </row>
    <row r="6" spans="1:23" ht="16.05" customHeight="1" x14ac:dyDescent="0.3">
      <c r="A6" s="3" t="s">
        <v>282</v>
      </c>
      <c r="B6" s="4">
        <v>118685439</v>
      </c>
      <c r="C6" s="10">
        <v>3.1294110000000002</v>
      </c>
      <c r="D6" s="4">
        <v>139097862</v>
      </c>
      <c r="E6" s="4">
        <v>0</v>
      </c>
      <c r="F6" s="4">
        <v>118685439</v>
      </c>
      <c r="G6" s="4">
        <v>30396739.100000001</v>
      </c>
      <c r="H6" s="10">
        <v>3.1294110000000002</v>
      </c>
      <c r="I6" s="4">
        <v>110416118</v>
      </c>
      <c r="J6" s="4">
        <v>0</v>
      </c>
      <c r="K6" s="4">
        <v>110416118</v>
      </c>
      <c r="L6" s="4">
        <v>44194960.600000001</v>
      </c>
      <c r="M6" s="10">
        <v>1.979484</v>
      </c>
      <c r="N6" s="4">
        <v>66221158</v>
      </c>
      <c r="O6" s="4">
        <v>21716888</v>
      </c>
      <c r="P6" s="4">
        <v>87938045</v>
      </c>
      <c r="Q6" s="4">
        <v>39185731.399999999</v>
      </c>
      <c r="R6" s="10">
        <v>1.428194</v>
      </c>
      <c r="S6" s="17">
        <v>48752314</v>
      </c>
      <c r="T6" s="17">
        <v>105093382</v>
      </c>
      <c r="U6" s="17">
        <v>153845696</v>
      </c>
      <c r="V6" s="17">
        <v>83960028</v>
      </c>
      <c r="W6" s="18">
        <v>1.832368</v>
      </c>
    </row>
    <row r="7" spans="1:23" ht="16.05" customHeight="1" x14ac:dyDescent="0.3">
      <c r="A7" s="8" t="s">
        <v>283</v>
      </c>
      <c r="B7" s="9">
        <v>39812849</v>
      </c>
      <c r="C7" s="11">
        <v>2.3680639999999999</v>
      </c>
      <c r="D7" s="9">
        <v>43534377</v>
      </c>
      <c r="E7" s="9">
        <v>0</v>
      </c>
      <c r="F7" s="9">
        <v>39812849</v>
      </c>
      <c r="G7" s="9">
        <v>10502895.4</v>
      </c>
      <c r="H7" s="10">
        <v>2.3680639999999999</v>
      </c>
      <c r="I7" s="9">
        <v>33085302</v>
      </c>
      <c r="J7" s="9">
        <v>18294215</v>
      </c>
      <c r="K7" s="9">
        <v>51379517</v>
      </c>
      <c r="L7" s="9">
        <v>17180710.800000001</v>
      </c>
      <c r="M7" s="11">
        <v>2.3037000000000001</v>
      </c>
      <c r="N7" s="9">
        <v>34198806</v>
      </c>
      <c r="O7" s="9">
        <v>20179232</v>
      </c>
      <c r="P7" s="9">
        <v>54378038</v>
      </c>
      <c r="Q7" s="9">
        <v>22753603.399999999</v>
      </c>
      <c r="R7" s="11">
        <v>2.187001</v>
      </c>
      <c r="S7" s="117">
        <v>31624434</v>
      </c>
      <c r="T7" s="117">
        <v>19693054</v>
      </c>
      <c r="U7" s="117">
        <v>51317488</v>
      </c>
      <c r="V7" s="117">
        <v>26974798.699999999</v>
      </c>
      <c r="W7" s="11">
        <v>1.902423</v>
      </c>
    </row>
    <row r="8" spans="1:23" ht="16.05" customHeight="1" x14ac:dyDescent="0.3">
      <c r="A8" s="3" t="s">
        <v>284</v>
      </c>
      <c r="B8" s="4">
        <v>13506346</v>
      </c>
      <c r="C8" s="10">
        <v>3.539005</v>
      </c>
      <c r="D8" s="4">
        <v>15136875</v>
      </c>
      <c r="E8" s="4">
        <v>0</v>
      </c>
      <c r="F8" s="4">
        <v>13506346</v>
      </c>
      <c r="G8" s="4">
        <v>1661951.2</v>
      </c>
      <c r="H8" s="10">
        <v>3.539005</v>
      </c>
      <c r="I8" s="4">
        <v>13474924</v>
      </c>
      <c r="J8" s="4">
        <v>0</v>
      </c>
      <c r="K8" s="4">
        <v>13474924</v>
      </c>
      <c r="L8" s="4">
        <v>5571767.2000000002</v>
      </c>
      <c r="M8" s="10">
        <v>2.2826970000000002</v>
      </c>
      <c r="N8" s="4">
        <v>7903156</v>
      </c>
      <c r="O8" s="4">
        <v>3260250</v>
      </c>
      <c r="P8" s="4">
        <v>11163406</v>
      </c>
      <c r="Q8" s="4">
        <v>4215555</v>
      </c>
      <c r="R8" s="10">
        <v>1.839499</v>
      </c>
      <c r="S8" s="17">
        <v>6947851</v>
      </c>
      <c r="T8" s="17">
        <v>9232200</v>
      </c>
      <c r="U8" s="17">
        <v>16180052</v>
      </c>
      <c r="V8" s="17">
        <v>7921890</v>
      </c>
      <c r="W8" s="18">
        <v>2.0424479999999998</v>
      </c>
    </row>
    <row r="9" spans="1:23" ht="16.05" customHeight="1" x14ac:dyDescent="0.3">
      <c r="A9" s="8" t="s">
        <v>285</v>
      </c>
      <c r="B9" s="9">
        <v>12875874</v>
      </c>
      <c r="C9" s="10">
        <v>2.7566619999999999</v>
      </c>
      <c r="D9" s="9">
        <v>14085626</v>
      </c>
      <c r="E9" s="9">
        <v>0</v>
      </c>
      <c r="F9" s="9">
        <v>12875874</v>
      </c>
      <c r="G9" s="9">
        <v>2064002.2</v>
      </c>
      <c r="H9" s="10">
        <v>2.7566619999999999</v>
      </c>
      <c r="I9" s="9">
        <v>12181790</v>
      </c>
      <c r="J9" s="9">
        <v>7620953</v>
      </c>
      <c r="K9" s="9">
        <v>19802743</v>
      </c>
      <c r="L9" s="9">
        <v>9688076.0999999996</v>
      </c>
      <c r="M9" s="10">
        <v>1.4426239999999999</v>
      </c>
      <c r="N9" s="9">
        <v>10114667</v>
      </c>
      <c r="O9" s="9">
        <v>414000</v>
      </c>
      <c r="P9" s="9">
        <v>10528667</v>
      </c>
      <c r="Q9" s="9">
        <v>2260386.2000000002</v>
      </c>
      <c r="R9" s="11">
        <v>0.66864400000000002</v>
      </c>
      <c r="S9" s="117">
        <v>8268281</v>
      </c>
      <c r="T9" s="117">
        <v>39008840</v>
      </c>
      <c r="U9" s="117">
        <v>47277120</v>
      </c>
      <c r="V9" s="117">
        <v>29232219.199999999</v>
      </c>
      <c r="W9" s="11">
        <v>1.6172949999999999</v>
      </c>
    </row>
    <row r="10" spans="1:23" ht="16.05" customHeight="1" x14ac:dyDescent="0.3">
      <c r="A10" s="3" t="s">
        <v>286</v>
      </c>
      <c r="B10" s="4">
        <v>2096696</v>
      </c>
      <c r="C10" s="6">
        <v>0.21423900000000001</v>
      </c>
      <c r="D10" s="4">
        <v>3036690</v>
      </c>
      <c r="E10" s="4">
        <v>0</v>
      </c>
      <c r="F10" s="4">
        <v>2096696</v>
      </c>
      <c r="G10" s="4">
        <v>607803.80000000005</v>
      </c>
      <c r="H10" s="6">
        <v>0.21423900000000001</v>
      </c>
      <c r="I10" s="4">
        <v>2428886</v>
      </c>
      <c r="J10" s="4">
        <v>74669040</v>
      </c>
      <c r="K10" s="4">
        <v>77097926</v>
      </c>
      <c r="L10" s="4">
        <v>17698500</v>
      </c>
      <c r="M10" s="5">
        <v>4.5685830000000003</v>
      </c>
      <c r="N10" s="4">
        <v>59399426</v>
      </c>
      <c r="O10" s="4">
        <v>0</v>
      </c>
      <c r="P10" s="4">
        <v>59399426</v>
      </c>
      <c r="Q10" s="4">
        <v>11053800</v>
      </c>
      <c r="R10" s="10">
        <v>3.6077789999999998</v>
      </c>
      <c r="S10" s="17">
        <v>48345626</v>
      </c>
      <c r="T10" s="17">
        <v>5744250</v>
      </c>
      <c r="U10" s="17">
        <v>54089876</v>
      </c>
      <c r="V10" s="17">
        <v>21874725</v>
      </c>
      <c r="W10" s="10">
        <v>2.4727109999999999</v>
      </c>
    </row>
    <row r="11" spans="1:23" ht="16.05" customHeight="1" x14ac:dyDescent="0.3">
      <c r="A11" s="8" t="s">
        <v>287</v>
      </c>
      <c r="B11" s="9">
        <v>35671215</v>
      </c>
      <c r="C11" s="5">
        <v>15.871332000000001</v>
      </c>
      <c r="D11" s="9">
        <v>85679349</v>
      </c>
      <c r="E11" s="9">
        <v>0</v>
      </c>
      <c r="F11" s="9">
        <v>35671215</v>
      </c>
      <c r="G11" s="9">
        <v>1085627</v>
      </c>
      <c r="H11" s="5">
        <v>15.871332000000001</v>
      </c>
      <c r="I11" s="9">
        <v>84593722</v>
      </c>
      <c r="J11" s="9">
        <v>0</v>
      </c>
      <c r="K11" s="9">
        <v>84593722</v>
      </c>
      <c r="L11" s="9">
        <v>3066135.8</v>
      </c>
      <c r="M11" s="5">
        <v>24.730101000000001</v>
      </c>
      <c r="N11" s="9">
        <v>81527587</v>
      </c>
      <c r="O11" s="9">
        <v>0</v>
      </c>
      <c r="P11" s="9">
        <v>81527587</v>
      </c>
      <c r="Q11" s="9">
        <v>2590812</v>
      </c>
      <c r="R11" s="5">
        <v>22.659455999999999</v>
      </c>
      <c r="S11" s="117">
        <v>78936775</v>
      </c>
      <c r="T11" s="117">
        <v>0</v>
      </c>
      <c r="U11" s="117">
        <v>78936775</v>
      </c>
      <c r="V11" s="117">
        <v>4605087.5999999996</v>
      </c>
      <c r="W11" s="5">
        <v>17.141210000000001</v>
      </c>
    </row>
    <row r="12" spans="1:23" ht="16.05" customHeight="1" x14ac:dyDescent="0.3">
      <c r="A12" s="16" t="s">
        <v>288</v>
      </c>
      <c r="B12" s="17">
        <v>7113067</v>
      </c>
      <c r="C12" s="18">
        <v>2.4911270000000001</v>
      </c>
      <c r="D12" s="17">
        <v>8533171</v>
      </c>
      <c r="E12" s="17">
        <v>0</v>
      </c>
      <c r="F12" s="17">
        <v>7113067</v>
      </c>
      <c r="G12" s="17">
        <v>1648429</v>
      </c>
      <c r="H12" s="10">
        <v>2.4911270000000001</v>
      </c>
      <c r="I12" s="17">
        <v>6917655</v>
      </c>
      <c r="J12" s="17">
        <v>0</v>
      </c>
      <c r="K12" s="17">
        <v>6917655</v>
      </c>
      <c r="L12" s="17">
        <v>5988178.7999999998</v>
      </c>
      <c r="M12" s="11">
        <v>2</v>
      </c>
      <c r="N12" s="17">
        <v>929477</v>
      </c>
      <c r="O12" s="17">
        <v>0</v>
      </c>
      <c r="P12" s="17">
        <v>929477</v>
      </c>
      <c r="Q12" s="17">
        <v>929476.6</v>
      </c>
      <c r="R12" s="6">
        <v>1</v>
      </c>
      <c r="S12" s="17">
        <v>0</v>
      </c>
      <c r="T12" s="17">
        <v>0</v>
      </c>
      <c r="U12" s="17">
        <v>0</v>
      </c>
      <c r="V12" s="17">
        <v>0</v>
      </c>
      <c r="W12" s="6"/>
    </row>
    <row r="13" spans="1:23" ht="16.05" customHeight="1" x14ac:dyDescent="0.3">
      <c r="A13" s="12" t="s">
        <v>289</v>
      </c>
      <c r="B13" s="13">
        <v>844299248</v>
      </c>
      <c r="C13" s="14">
        <v>4.1122740000000002</v>
      </c>
      <c r="D13" s="13">
        <v>984781707</v>
      </c>
      <c r="E13" s="13">
        <v>0</v>
      </c>
      <c r="F13" s="13">
        <v>844299248</v>
      </c>
      <c r="G13" s="13">
        <v>132894041.40000001</v>
      </c>
      <c r="H13" s="14">
        <v>4.1122740000000002</v>
      </c>
      <c r="I13" s="13">
        <v>855304863</v>
      </c>
      <c r="J13" s="13">
        <v>128101754</v>
      </c>
      <c r="K13" s="13">
        <v>983406616</v>
      </c>
      <c r="L13" s="13">
        <v>272842803.89999998</v>
      </c>
      <c r="M13" s="14">
        <v>3.5784769999999999</v>
      </c>
      <c r="N13" s="13">
        <v>710563813</v>
      </c>
      <c r="O13" s="13">
        <v>182072379</v>
      </c>
      <c r="P13" s="13">
        <v>892636192</v>
      </c>
      <c r="Q13" s="13">
        <v>210199222.19999999</v>
      </c>
      <c r="R13" s="14">
        <v>3.2365840000000001</v>
      </c>
      <c r="S13" s="13">
        <v>682436969</v>
      </c>
      <c r="T13" s="13">
        <v>298908316</v>
      </c>
      <c r="U13" s="13">
        <v>981345285</v>
      </c>
      <c r="V13" s="13">
        <v>341392382.39999998</v>
      </c>
      <c r="W13" s="14">
        <v>2.8745379999999998</v>
      </c>
    </row>
    <row r="14" spans="1:23" ht="16.05" customHeight="1" x14ac:dyDescent="0.3">
      <c r="A14" s="12" t="s">
        <v>290</v>
      </c>
      <c r="B14" s="13">
        <v>99390665</v>
      </c>
      <c r="C14" s="14">
        <v>6.6429912524440722</v>
      </c>
      <c r="D14" s="13">
        <v>99390665</v>
      </c>
      <c r="E14" s="13">
        <v>0</v>
      </c>
      <c r="F14" s="13">
        <v>99390665</v>
      </c>
      <c r="G14" s="13">
        <v>13869052.735257329</v>
      </c>
      <c r="H14" s="14">
        <v>0</v>
      </c>
      <c r="I14" s="13">
        <v>0</v>
      </c>
      <c r="J14" s="13">
        <v>0</v>
      </c>
      <c r="K14" s="13">
        <v>0</v>
      </c>
      <c r="L14" s="13">
        <v>0</v>
      </c>
      <c r="M14" s="14">
        <v>0</v>
      </c>
      <c r="N14" s="13">
        <v>0</v>
      </c>
      <c r="O14" s="13">
        <v>0</v>
      </c>
      <c r="P14" s="13">
        <v>0</v>
      </c>
      <c r="Q14" s="13">
        <v>0</v>
      </c>
      <c r="R14" s="14">
        <v>0</v>
      </c>
      <c r="S14" s="13">
        <v>0</v>
      </c>
      <c r="T14" s="13">
        <v>0</v>
      </c>
      <c r="U14" s="13">
        <v>0</v>
      </c>
      <c r="V14" s="13">
        <v>0</v>
      </c>
      <c r="W14" s="14">
        <v>0</v>
      </c>
    </row>
    <row r="15" spans="1:23" ht="16.05" customHeight="1" x14ac:dyDescent="0.3">
      <c r="A15" s="12" t="s">
        <v>291</v>
      </c>
      <c r="B15" s="13">
        <v>943689913</v>
      </c>
      <c r="C15" s="14">
        <v>4.495152</v>
      </c>
      <c r="D15" s="13">
        <v>1084172372</v>
      </c>
      <c r="E15" s="13">
        <v>0</v>
      </c>
      <c r="F15" s="13">
        <v>943689913</v>
      </c>
      <c r="G15" s="13">
        <v>146763094.09999999</v>
      </c>
      <c r="H15" s="14">
        <v>4.495152</v>
      </c>
      <c r="I15" s="13">
        <v>855304863</v>
      </c>
      <c r="J15" s="13">
        <v>128101754</v>
      </c>
      <c r="K15" s="13">
        <v>983406616</v>
      </c>
      <c r="L15" s="13">
        <v>272842803.89999998</v>
      </c>
      <c r="M15" s="14">
        <v>3.5784769999999999</v>
      </c>
      <c r="N15" s="13">
        <v>710563813</v>
      </c>
      <c r="O15" s="13">
        <v>182072379</v>
      </c>
      <c r="P15" s="13">
        <v>892636192</v>
      </c>
      <c r="Q15" s="13">
        <v>210199222.19999999</v>
      </c>
      <c r="R15" s="14">
        <v>3.2365840000000001</v>
      </c>
      <c r="S15" s="13">
        <v>682436969</v>
      </c>
      <c r="T15" s="13">
        <v>298908316</v>
      </c>
      <c r="U15" s="13">
        <v>981345285</v>
      </c>
      <c r="V15" s="13">
        <v>341392382.39999998</v>
      </c>
      <c r="W15" s="14">
        <v>2.8745379999999998</v>
      </c>
    </row>
    <row r="16" spans="1:23" ht="13.95" customHeight="1" x14ac:dyDescent="0.3">
      <c r="A16" s="71" t="s">
        <v>292</v>
      </c>
    </row>
  </sheetData>
  <autoFilter ref="A3:R11" xr:uid="{00000000-0009-0000-0000-000000000000}"/>
  <mergeCells count="5">
    <mergeCell ref="A1:W1"/>
    <mergeCell ref="S2:W2"/>
    <mergeCell ref="D2:H2"/>
    <mergeCell ref="I2:M2"/>
    <mergeCell ref="N2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workbookViewId="0">
      <pane ySplit="2" topLeftCell="A3" activePane="bottomLeft" state="frozen"/>
      <selection pane="bottomLeft" activeCell="E30" sqref="E30"/>
    </sheetView>
  </sheetViews>
  <sheetFormatPr baseColWidth="10" defaultColWidth="8.88671875" defaultRowHeight="14.4" x14ac:dyDescent="0.3"/>
  <cols>
    <col min="1" max="1" width="20" customWidth="1"/>
    <col min="2" max="2" width="7" customWidth="1"/>
    <col min="3" max="4" width="10" customWidth="1"/>
    <col min="5" max="8" width="14" customWidth="1"/>
    <col min="9" max="9" width="34.44140625" bestFit="1" customWidth="1"/>
    <col min="10" max="10" width="18.44140625" bestFit="1" customWidth="1"/>
  </cols>
  <sheetData>
    <row r="1" spans="1:10" ht="22.05" customHeight="1" x14ac:dyDescent="0.3">
      <c r="A1" s="233" t="s">
        <v>293</v>
      </c>
      <c r="B1" s="226"/>
      <c r="C1" s="226"/>
      <c r="D1" s="226"/>
      <c r="E1" s="226"/>
      <c r="F1" s="226"/>
      <c r="G1" s="226"/>
      <c r="H1" s="226"/>
      <c r="I1" s="226"/>
      <c r="J1" s="226"/>
    </row>
    <row r="2" spans="1:10" ht="37.950000000000003" customHeight="1" x14ac:dyDescent="0.3">
      <c r="A2" s="19" t="s">
        <v>272</v>
      </c>
      <c r="B2" s="19" t="s">
        <v>294</v>
      </c>
      <c r="C2" s="19" t="s">
        <v>295</v>
      </c>
      <c r="D2" s="19" t="s">
        <v>296</v>
      </c>
      <c r="E2" s="19" t="s">
        <v>297</v>
      </c>
      <c r="F2" s="19" t="s">
        <v>298</v>
      </c>
      <c r="G2" s="19" t="s">
        <v>299</v>
      </c>
      <c r="H2" s="19" t="s">
        <v>300</v>
      </c>
      <c r="I2" s="19" t="s">
        <v>301</v>
      </c>
      <c r="J2" s="19" t="s">
        <v>302</v>
      </c>
    </row>
    <row r="3" spans="1:10" ht="15" customHeight="1" x14ac:dyDescent="0.3">
      <c r="A3" s="51" t="s">
        <v>280</v>
      </c>
      <c r="B3" s="52">
        <v>20</v>
      </c>
      <c r="C3" s="57">
        <v>0.09</v>
      </c>
      <c r="D3" s="58">
        <v>5</v>
      </c>
      <c r="E3" s="53">
        <v>541</v>
      </c>
      <c r="F3" s="53">
        <v>163.5</v>
      </c>
      <c r="G3" s="59">
        <v>3676956</v>
      </c>
      <c r="H3" s="59">
        <v>410946.8</v>
      </c>
      <c r="I3" s="53" t="s">
        <v>303</v>
      </c>
      <c r="J3" s="51" t="s">
        <v>304</v>
      </c>
    </row>
    <row r="4" spans="1:10" ht="15" customHeight="1" x14ac:dyDescent="0.3">
      <c r="A4" s="54" t="s">
        <v>281</v>
      </c>
      <c r="B4" s="55">
        <v>10</v>
      </c>
      <c r="C4" s="57">
        <v>0.52</v>
      </c>
      <c r="D4" s="58">
        <v>0</v>
      </c>
      <c r="E4" s="56">
        <v>395</v>
      </c>
      <c r="F4" s="56">
        <v>981</v>
      </c>
      <c r="G4" s="60">
        <v>3237645</v>
      </c>
      <c r="H4" s="60">
        <v>7465662</v>
      </c>
      <c r="I4" s="56" t="s">
        <v>305</v>
      </c>
      <c r="J4" s="54" t="s">
        <v>306</v>
      </c>
    </row>
    <row r="5" spans="1:10" ht="15" customHeight="1" x14ac:dyDescent="0.3">
      <c r="A5" s="51" t="s">
        <v>282</v>
      </c>
      <c r="B5" s="52">
        <v>10</v>
      </c>
      <c r="C5" s="57">
        <v>0.43</v>
      </c>
      <c r="D5" s="58">
        <v>1</v>
      </c>
      <c r="E5" s="53">
        <v>116</v>
      </c>
      <c r="F5" s="53">
        <v>127.5</v>
      </c>
      <c r="G5" s="59">
        <v>2848562</v>
      </c>
      <c r="H5" s="59">
        <v>5349138.7</v>
      </c>
      <c r="I5" s="53" t="s">
        <v>307</v>
      </c>
      <c r="J5" s="51" t="s">
        <v>308</v>
      </c>
    </row>
    <row r="6" spans="1:10" ht="15" customHeight="1" x14ac:dyDescent="0.3">
      <c r="A6" s="54" t="s">
        <v>283</v>
      </c>
      <c r="B6" s="55">
        <v>4</v>
      </c>
      <c r="C6" s="57">
        <v>0.12</v>
      </c>
      <c r="D6" s="58">
        <v>0</v>
      </c>
      <c r="E6" s="56">
        <v>23</v>
      </c>
      <c r="F6" s="56">
        <v>103.5</v>
      </c>
      <c r="G6" s="60">
        <v>1049223</v>
      </c>
      <c r="H6" s="60">
        <v>3693397.5</v>
      </c>
      <c r="I6" s="56" t="s">
        <v>309</v>
      </c>
      <c r="J6" s="54" t="s">
        <v>310</v>
      </c>
    </row>
    <row r="7" spans="1:10" ht="15" customHeight="1" x14ac:dyDescent="0.3">
      <c r="A7" s="51" t="s">
        <v>284</v>
      </c>
      <c r="B7" s="52">
        <v>0</v>
      </c>
      <c r="C7" s="57">
        <v>0</v>
      </c>
      <c r="D7" s="52">
        <v>0</v>
      </c>
      <c r="E7" s="53">
        <v>0</v>
      </c>
      <c r="F7" s="53">
        <v>0</v>
      </c>
      <c r="G7" s="59">
        <v>0</v>
      </c>
      <c r="H7" s="59">
        <v>0</v>
      </c>
      <c r="I7" s="53"/>
      <c r="J7" s="51" t="s">
        <v>311</v>
      </c>
    </row>
    <row r="8" spans="1:10" ht="15" customHeight="1" x14ac:dyDescent="0.3">
      <c r="A8" s="54" t="s">
        <v>285</v>
      </c>
      <c r="B8" s="55">
        <v>9</v>
      </c>
      <c r="C8" s="57">
        <v>0.18</v>
      </c>
      <c r="D8" s="55">
        <v>1</v>
      </c>
      <c r="E8" s="56">
        <v>29</v>
      </c>
      <c r="F8" s="56">
        <v>37.5</v>
      </c>
      <c r="G8" s="60">
        <v>657583</v>
      </c>
      <c r="H8" s="60">
        <v>808076.2</v>
      </c>
      <c r="I8" s="56" t="s">
        <v>312</v>
      </c>
      <c r="J8" s="54" t="s">
        <v>313</v>
      </c>
    </row>
    <row r="9" spans="1:10" ht="15" customHeight="1" x14ac:dyDescent="0.3">
      <c r="A9" s="54" t="s">
        <v>286</v>
      </c>
      <c r="B9" s="55">
        <v>2</v>
      </c>
      <c r="C9" s="57">
        <v>0.04</v>
      </c>
      <c r="D9" s="55">
        <v>0</v>
      </c>
      <c r="E9" s="56">
        <v>11</v>
      </c>
      <c r="F9" s="56">
        <v>12</v>
      </c>
      <c r="G9" s="60">
        <v>238484</v>
      </c>
      <c r="H9" s="60">
        <v>298080</v>
      </c>
      <c r="I9" s="56" t="s">
        <v>314</v>
      </c>
      <c r="J9" s="54" t="s">
        <v>313</v>
      </c>
    </row>
    <row r="10" spans="1:10" ht="15" customHeight="1" x14ac:dyDescent="0.3">
      <c r="A10" s="137" t="s">
        <v>315</v>
      </c>
      <c r="B10" s="137">
        <v>56</v>
      </c>
      <c r="C10" s="138"/>
      <c r="D10" s="137">
        <v>7</v>
      </c>
      <c r="E10" s="139">
        <v>1117</v>
      </c>
      <c r="F10" s="139">
        <v>1446</v>
      </c>
      <c r="G10" s="139">
        <v>11722219</v>
      </c>
      <c r="H10" s="139">
        <v>18163535.800000001</v>
      </c>
      <c r="I10" s="139"/>
      <c r="J10" s="73"/>
    </row>
  </sheetData>
  <autoFilter ref="A2:J10" xr:uid="{00000000-0009-0000-0000-000001000000}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U122"/>
  <sheetViews>
    <sheetView topLeftCell="F1" workbookViewId="0">
      <pane ySplit="2" topLeftCell="A3" activePane="bottomLeft" state="frozen"/>
      <selection pane="bottomLeft" activeCell="J24" sqref="J24"/>
    </sheetView>
  </sheetViews>
  <sheetFormatPr baseColWidth="10" defaultColWidth="8.88671875" defaultRowHeight="14.4" x14ac:dyDescent="0.3"/>
  <cols>
    <col min="1" max="1" width="15" customWidth="1"/>
    <col min="2" max="2" width="18" customWidth="1"/>
    <col min="3" max="4" width="16" customWidth="1"/>
    <col min="5" max="5" width="10" customWidth="1"/>
    <col min="6" max="6" width="16" customWidth="1"/>
    <col min="7" max="7" width="49.77734375" customWidth="1"/>
    <col min="8" max="8" width="9" customWidth="1"/>
    <col min="9" max="9" width="11" customWidth="1"/>
    <col min="10" max="10" width="12" customWidth="1"/>
    <col min="11" max="11" width="11" customWidth="1"/>
    <col min="12" max="12" width="12" customWidth="1"/>
    <col min="13" max="15" width="11" customWidth="1"/>
    <col min="16" max="16" width="13" customWidth="1"/>
    <col min="17" max="17" width="15" customWidth="1"/>
    <col min="18" max="18" width="13" customWidth="1"/>
    <col min="19" max="19" width="14" customWidth="1"/>
  </cols>
  <sheetData>
    <row r="1" spans="1:21" ht="22.05" customHeight="1" x14ac:dyDescent="0.3">
      <c r="A1" s="234" t="s">
        <v>316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</row>
    <row r="2" spans="1:21" ht="37.950000000000003" customHeight="1" x14ac:dyDescent="0.3">
      <c r="A2" s="140" t="s">
        <v>272</v>
      </c>
      <c r="B2" s="140" t="s">
        <v>317</v>
      </c>
      <c r="C2" s="140" t="s">
        <v>318</v>
      </c>
      <c r="D2" s="140" t="s">
        <v>319</v>
      </c>
      <c r="E2" s="140" t="s">
        <v>320</v>
      </c>
      <c r="F2" s="140" t="s">
        <v>321</v>
      </c>
      <c r="G2" s="140" t="s">
        <v>322</v>
      </c>
      <c r="H2" s="140" t="s">
        <v>274</v>
      </c>
      <c r="I2" s="140" t="s">
        <v>323</v>
      </c>
      <c r="J2" s="140" t="s">
        <v>324</v>
      </c>
      <c r="K2" s="140" t="s">
        <v>325</v>
      </c>
      <c r="L2" s="140" t="s">
        <v>326</v>
      </c>
      <c r="M2" s="140" t="s">
        <v>327</v>
      </c>
      <c r="N2" s="140" t="s">
        <v>328</v>
      </c>
      <c r="O2" s="140" t="s">
        <v>329</v>
      </c>
      <c r="P2" s="140" t="s">
        <v>330</v>
      </c>
      <c r="Q2" s="140" t="s">
        <v>331</v>
      </c>
      <c r="R2" s="140" t="s">
        <v>332</v>
      </c>
      <c r="S2" s="140" t="s">
        <v>3</v>
      </c>
      <c r="T2" s="141" t="s">
        <v>333</v>
      </c>
      <c r="U2" s="111"/>
    </row>
    <row r="3" spans="1:21" ht="15" hidden="1" customHeight="1" x14ac:dyDescent="0.3">
      <c r="A3" s="142" t="s">
        <v>280</v>
      </c>
      <c r="B3" s="142" t="s">
        <v>334</v>
      </c>
      <c r="C3" s="142" t="s">
        <v>335</v>
      </c>
      <c r="D3" s="142" t="s">
        <v>336</v>
      </c>
      <c r="E3" s="143">
        <v>0</v>
      </c>
      <c r="F3" s="142" t="s">
        <v>337</v>
      </c>
      <c r="G3" s="142" t="s">
        <v>338</v>
      </c>
      <c r="H3" s="144">
        <v>0</v>
      </c>
      <c r="I3" s="145">
        <v>13</v>
      </c>
      <c r="J3" s="145">
        <v>0</v>
      </c>
      <c r="K3" s="145">
        <v>94003</v>
      </c>
      <c r="L3" s="145">
        <v>0</v>
      </c>
      <c r="M3" s="145"/>
      <c r="N3" s="145"/>
      <c r="O3" s="145"/>
      <c r="P3" s="145"/>
      <c r="Q3" s="145" t="s">
        <v>339</v>
      </c>
      <c r="R3" s="143"/>
      <c r="S3" s="143"/>
      <c r="T3" s="146"/>
      <c r="U3" s="95"/>
    </row>
    <row r="4" spans="1:21" ht="15" hidden="1" customHeight="1" x14ac:dyDescent="0.3">
      <c r="A4" s="147" t="s">
        <v>280</v>
      </c>
      <c r="B4" s="147" t="s">
        <v>334</v>
      </c>
      <c r="C4" s="147" t="s">
        <v>335</v>
      </c>
      <c r="D4" s="147" t="s">
        <v>336</v>
      </c>
      <c r="E4" s="148">
        <v>0</v>
      </c>
      <c r="F4" s="147" t="s">
        <v>340</v>
      </c>
      <c r="G4" s="147" t="s">
        <v>341</v>
      </c>
      <c r="H4" s="149">
        <v>0</v>
      </c>
      <c r="I4" s="150">
        <v>53</v>
      </c>
      <c r="J4" s="150">
        <v>0</v>
      </c>
      <c r="K4" s="150">
        <v>383296</v>
      </c>
      <c r="L4" s="150">
        <v>0</v>
      </c>
      <c r="M4" s="150"/>
      <c r="N4" s="150"/>
      <c r="O4" s="150"/>
      <c r="P4" s="150"/>
      <c r="Q4" s="150" t="s">
        <v>339</v>
      </c>
      <c r="R4" s="148"/>
      <c r="S4" s="148"/>
      <c r="T4" s="151"/>
      <c r="U4" s="95"/>
    </row>
    <row r="5" spans="1:21" ht="15" hidden="1" customHeight="1" x14ac:dyDescent="0.3">
      <c r="A5" s="142" t="s">
        <v>280</v>
      </c>
      <c r="B5" s="142" t="s">
        <v>334</v>
      </c>
      <c r="C5" s="142" t="s">
        <v>335</v>
      </c>
      <c r="D5" s="142" t="s">
        <v>336</v>
      </c>
      <c r="E5" s="143">
        <v>0</v>
      </c>
      <c r="F5" s="142" t="s">
        <v>342</v>
      </c>
      <c r="G5" s="142" t="s">
        <v>343</v>
      </c>
      <c r="H5" s="144">
        <v>0</v>
      </c>
      <c r="I5" s="145">
        <v>136</v>
      </c>
      <c r="J5" s="145">
        <v>0</v>
      </c>
      <c r="K5" s="145">
        <v>983552</v>
      </c>
      <c r="L5" s="145">
        <v>0</v>
      </c>
      <c r="M5" s="145"/>
      <c r="N5" s="145"/>
      <c r="O5" s="145"/>
      <c r="P5" s="145"/>
      <c r="Q5" s="145" t="s">
        <v>339</v>
      </c>
      <c r="R5" s="143"/>
      <c r="S5" s="143"/>
      <c r="T5" s="146"/>
      <c r="U5" s="95"/>
    </row>
    <row r="6" spans="1:21" ht="15" hidden="1" customHeight="1" x14ac:dyDescent="0.3">
      <c r="A6" s="147" t="s">
        <v>280</v>
      </c>
      <c r="B6" s="147" t="s">
        <v>334</v>
      </c>
      <c r="C6" s="147" t="s">
        <v>335</v>
      </c>
      <c r="D6" s="147" t="s">
        <v>336</v>
      </c>
      <c r="E6" s="148">
        <v>0</v>
      </c>
      <c r="F6" s="147" t="s">
        <v>344</v>
      </c>
      <c r="G6" s="147" t="s">
        <v>345</v>
      </c>
      <c r="H6" s="149">
        <v>0</v>
      </c>
      <c r="I6" s="150">
        <v>142</v>
      </c>
      <c r="J6" s="150">
        <v>0</v>
      </c>
      <c r="K6" s="150">
        <v>1026944</v>
      </c>
      <c r="L6" s="150">
        <v>0</v>
      </c>
      <c r="M6" s="150"/>
      <c r="N6" s="150"/>
      <c r="O6" s="150"/>
      <c r="P6" s="150"/>
      <c r="Q6" s="150" t="s">
        <v>339</v>
      </c>
      <c r="R6" s="148"/>
      <c r="S6" s="148"/>
      <c r="T6" s="151"/>
      <c r="U6" s="95"/>
    </row>
    <row r="7" spans="1:21" ht="15" hidden="1" customHeight="1" x14ac:dyDescent="0.3">
      <c r="A7" s="142" t="s">
        <v>280</v>
      </c>
      <c r="B7" s="142" t="s">
        <v>334</v>
      </c>
      <c r="C7" s="142" t="s">
        <v>335</v>
      </c>
      <c r="D7" s="142" t="s">
        <v>336</v>
      </c>
      <c r="E7" s="143">
        <v>0</v>
      </c>
      <c r="F7" s="142" t="s">
        <v>346</v>
      </c>
      <c r="G7" s="142" t="s">
        <v>347</v>
      </c>
      <c r="H7" s="144">
        <v>0</v>
      </c>
      <c r="I7" s="145">
        <v>33</v>
      </c>
      <c r="J7" s="145">
        <v>0</v>
      </c>
      <c r="K7" s="145">
        <v>238656</v>
      </c>
      <c r="L7" s="145">
        <v>0</v>
      </c>
      <c r="M7" s="145"/>
      <c r="N7" s="145"/>
      <c r="O7" s="145"/>
      <c r="P7" s="145"/>
      <c r="Q7" s="145" t="s">
        <v>339</v>
      </c>
      <c r="R7" s="143"/>
      <c r="S7" s="143"/>
      <c r="T7" s="146"/>
      <c r="U7" s="95"/>
    </row>
    <row r="8" spans="1:21" ht="15" hidden="1" customHeight="1" x14ac:dyDescent="0.3">
      <c r="A8" s="147" t="s">
        <v>280</v>
      </c>
      <c r="B8" s="147" t="s">
        <v>334</v>
      </c>
      <c r="C8" s="147" t="s">
        <v>335</v>
      </c>
      <c r="D8" s="147" t="s">
        <v>336</v>
      </c>
      <c r="E8" s="148">
        <v>0</v>
      </c>
      <c r="F8" s="147" t="s">
        <v>348</v>
      </c>
      <c r="G8" s="147" t="s">
        <v>349</v>
      </c>
      <c r="H8" s="149">
        <v>0</v>
      </c>
      <c r="I8" s="150">
        <v>49</v>
      </c>
      <c r="J8" s="150">
        <v>0</v>
      </c>
      <c r="K8" s="150">
        <v>354368</v>
      </c>
      <c r="L8" s="150">
        <v>0</v>
      </c>
      <c r="M8" s="150"/>
      <c r="N8" s="150"/>
      <c r="O8" s="150"/>
      <c r="P8" s="150"/>
      <c r="Q8" s="150" t="s">
        <v>339</v>
      </c>
      <c r="R8" s="148"/>
      <c r="S8" s="148"/>
      <c r="T8" s="151"/>
      <c r="U8" s="95"/>
    </row>
    <row r="9" spans="1:21" ht="15" hidden="1" customHeight="1" x14ac:dyDescent="0.3">
      <c r="A9" s="142" t="s">
        <v>280</v>
      </c>
      <c r="B9" s="142" t="s">
        <v>334</v>
      </c>
      <c r="C9" s="142" t="s">
        <v>335</v>
      </c>
      <c r="D9" s="142" t="s">
        <v>336</v>
      </c>
      <c r="E9" s="143">
        <v>0</v>
      </c>
      <c r="F9" s="142" t="s">
        <v>350</v>
      </c>
      <c r="G9" s="142" t="s">
        <v>351</v>
      </c>
      <c r="H9" s="144">
        <v>0</v>
      </c>
      <c r="I9" s="145">
        <v>6</v>
      </c>
      <c r="J9" s="145">
        <v>0</v>
      </c>
      <c r="K9" s="145">
        <v>43386</v>
      </c>
      <c r="L9" s="145">
        <v>0</v>
      </c>
      <c r="M9" s="145"/>
      <c r="N9" s="145"/>
      <c r="O9" s="145"/>
      <c r="P9" s="145"/>
      <c r="Q9" s="145" t="s">
        <v>339</v>
      </c>
      <c r="R9" s="143"/>
      <c r="S9" s="143"/>
      <c r="T9" s="146"/>
      <c r="U9" s="95"/>
    </row>
    <row r="10" spans="1:21" ht="15" hidden="1" customHeight="1" x14ac:dyDescent="0.3">
      <c r="A10" s="147" t="s">
        <v>280</v>
      </c>
      <c r="B10" s="147" t="s">
        <v>334</v>
      </c>
      <c r="C10" s="147" t="s">
        <v>335</v>
      </c>
      <c r="D10" s="147" t="s">
        <v>336</v>
      </c>
      <c r="E10" s="148">
        <v>0</v>
      </c>
      <c r="F10" s="147" t="s">
        <v>352</v>
      </c>
      <c r="G10" s="147" t="s">
        <v>353</v>
      </c>
      <c r="H10" s="149">
        <v>0</v>
      </c>
      <c r="I10" s="150">
        <v>12</v>
      </c>
      <c r="J10" s="150">
        <v>0</v>
      </c>
      <c r="K10" s="150">
        <v>86772</v>
      </c>
      <c r="L10" s="150">
        <v>0</v>
      </c>
      <c r="M10" s="150"/>
      <c r="N10" s="150"/>
      <c r="O10" s="150"/>
      <c r="P10" s="150"/>
      <c r="Q10" s="150" t="s">
        <v>339</v>
      </c>
      <c r="R10" s="148"/>
      <c r="S10" s="148"/>
      <c r="T10" s="151"/>
      <c r="U10" s="95"/>
    </row>
    <row r="11" spans="1:21" ht="15" customHeight="1" x14ac:dyDescent="0.3">
      <c r="A11" s="142" t="s">
        <v>280</v>
      </c>
      <c r="B11" s="142" t="s">
        <v>354</v>
      </c>
      <c r="C11" s="142" t="s">
        <v>355</v>
      </c>
      <c r="D11" s="142" t="s">
        <v>356</v>
      </c>
      <c r="E11" s="143">
        <v>0</v>
      </c>
      <c r="F11" s="142" t="s">
        <v>357</v>
      </c>
      <c r="G11" s="142" t="s">
        <v>358</v>
      </c>
      <c r="H11" s="144">
        <v>0</v>
      </c>
      <c r="I11" s="145">
        <v>13</v>
      </c>
      <c r="J11" s="145">
        <v>0</v>
      </c>
      <c r="K11" s="145">
        <v>132249</v>
      </c>
      <c r="L11" s="145">
        <v>0</v>
      </c>
      <c r="M11" s="145"/>
      <c r="N11" s="145"/>
      <c r="O11" s="145"/>
      <c r="P11" s="145"/>
      <c r="Q11" s="145" t="s">
        <v>339</v>
      </c>
      <c r="R11" s="143"/>
      <c r="S11" s="143"/>
      <c r="T11" s="146"/>
      <c r="U11" s="95"/>
    </row>
    <row r="12" spans="1:21" ht="15" customHeight="1" x14ac:dyDescent="0.3">
      <c r="A12" s="147" t="s">
        <v>280</v>
      </c>
      <c r="B12" s="147" t="s">
        <v>354</v>
      </c>
      <c r="C12" s="147" t="s">
        <v>355</v>
      </c>
      <c r="D12" s="147" t="s">
        <v>356</v>
      </c>
      <c r="E12" s="148">
        <v>192</v>
      </c>
      <c r="F12" s="147" t="s">
        <v>359</v>
      </c>
      <c r="G12" s="147" t="s">
        <v>360</v>
      </c>
      <c r="H12" s="149">
        <v>0</v>
      </c>
      <c r="I12" s="150">
        <v>0</v>
      </c>
      <c r="J12" s="150">
        <v>0</v>
      </c>
      <c r="K12" s="150">
        <v>0</v>
      </c>
      <c r="L12" s="150">
        <v>0</v>
      </c>
      <c r="M12" s="150"/>
      <c r="N12" s="150"/>
      <c r="O12" s="150"/>
      <c r="P12" s="150"/>
      <c r="Q12" s="150" t="s">
        <v>339</v>
      </c>
      <c r="R12" s="148"/>
      <c r="S12" s="148"/>
      <c r="T12" s="151"/>
      <c r="U12" s="95"/>
    </row>
    <row r="13" spans="1:21" ht="15" customHeight="1" x14ac:dyDescent="0.3">
      <c r="A13" s="142" t="s">
        <v>280</v>
      </c>
      <c r="B13" s="142" t="s">
        <v>354</v>
      </c>
      <c r="C13" s="142" t="s">
        <v>361</v>
      </c>
      <c r="D13" s="142" t="s">
        <v>362</v>
      </c>
      <c r="E13" s="143">
        <v>0</v>
      </c>
      <c r="F13" s="142" t="s">
        <v>363</v>
      </c>
      <c r="G13" s="142" t="s">
        <v>364</v>
      </c>
      <c r="H13" s="144">
        <v>0</v>
      </c>
      <c r="I13" s="145">
        <v>0</v>
      </c>
      <c r="J13" s="145">
        <v>3</v>
      </c>
      <c r="K13" s="145">
        <v>0</v>
      </c>
      <c r="L13" s="145">
        <v>13972.5</v>
      </c>
      <c r="M13" s="152"/>
      <c r="N13" s="152"/>
      <c r="O13" s="152"/>
      <c r="P13" s="152">
        <v>300</v>
      </c>
      <c r="Q13" s="152" t="s">
        <v>192</v>
      </c>
      <c r="R13" s="153"/>
      <c r="S13" s="153"/>
      <c r="T13" s="154"/>
      <c r="U13" s="95"/>
    </row>
    <row r="14" spans="1:21" ht="15" customHeight="1" x14ac:dyDescent="0.3">
      <c r="A14" s="147" t="s">
        <v>280</v>
      </c>
      <c r="B14" s="147" t="s">
        <v>354</v>
      </c>
      <c r="C14" s="147" t="s">
        <v>365</v>
      </c>
      <c r="D14" s="147" t="s">
        <v>366</v>
      </c>
      <c r="E14" s="148">
        <v>187</v>
      </c>
      <c r="F14" s="147" t="s">
        <v>367</v>
      </c>
      <c r="G14" s="147" t="s">
        <v>368</v>
      </c>
      <c r="H14" s="149">
        <v>0</v>
      </c>
      <c r="I14" s="150">
        <v>2</v>
      </c>
      <c r="J14" s="150">
        <v>0</v>
      </c>
      <c r="K14" s="150">
        <v>10468</v>
      </c>
      <c r="L14" s="150">
        <v>0</v>
      </c>
      <c r="M14" s="150"/>
      <c r="N14" s="150"/>
      <c r="O14" s="150"/>
      <c r="P14" s="150"/>
      <c r="Q14" s="150" t="s">
        <v>339</v>
      </c>
      <c r="R14" s="148"/>
      <c r="S14" s="148"/>
      <c r="T14" s="151"/>
      <c r="U14" s="95"/>
    </row>
    <row r="15" spans="1:21" ht="15" customHeight="1" x14ac:dyDescent="0.3">
      <c r="A15" s="142" t="s">
        <v>280</v>
      </c>
      <c r="B15" s="142" t="s">
        <v>369</v>
      </c>
      <c r="C15" s="142" t="s">
        <v>365</v>
      </c>
      <c r="D15" s="142" t="s">
        <v>366</v>
      </c>
      <c r="E15" s="143">
        <v>0</v>
      </c>
      <c r="F15" s="142" t="s">
        <v>370</v>
      </c>
      <c r="G15" s="142" t="s">
        <v>19</v>
      </c>
      <c r="H15" s="144">
        <v>0</v>
      </c>
      <c r="I15" s="145">
        <v>0</v>
      </c>
      <c r="J15" s="145">
        <v>0</v>
      </c>
      <c r="K15" s="145">
        <v>0</v>
      </c>
      <c r="L15" s="145">
        <v>0</v>
      </c>
      <c r="M15" s="152"/>
      <c r="N15" s="152">
        <v>500</v>
      </c>
      <c r="O15" s="152"/>
      <c r="P15" s="152"/>
      <c r="Q15" s="152" t="s">
        <v>15</v>
      </c>
      <c r="R15" s="153" t="s">
        <v>12</v>
      </c>
      <c r="S15" s="153" t="s">
        <v>14</v>
      </c>
      <c r="T15" s="154"/>
      <c r="U15" s="95"/>
    </row>
    <row r="16" spans="1:21" ht="15" customHeight="1" x14ac:dyDescent="0.3">
      <c r="A16" s="147" t="s">
        <v>280</v>
      </c>
      <c r="B16" s="147" t="s">
        <v>369</v>
      </c>
      <c r="C16" s="147" t="s">
        <v>365</v>
      </c>
      <c r="D16" s="147" t="s">
        <v>366</v>
      </c>
      <c r="E16" s="148">
        <v>164</v>
      </c>
      <c r="F16" s="147" t="s">
        <v>371</v>
      </c>
      <c r="G16" s="147" t="s">
        <v>372</v>
      </c>
      <c r="H16" s="149">
        <v>0</v>
      </c>
      <c r="I16" s="150">
        <v>0</v>
      </c>
      <c r="J16" s="150">
        <v>0</v>
      </c>
      <c r="K16" s="150">
        <v>0</v>
      </c>
      <c r="L16" s="150">
        <v>0</v>
      </c>
      <c r="M16" s="150"/>
      <c r="N16" s="150"/>
      <c r="O16" s="150"/>
      <c r="P16" s="150"/>
      <c r="Q16" s="150" t="s">
        <v>339</v>
      </c>
      <c r="R16" s="148"/>
      <c r="S16" s="148"/>
      <c r="T16" s="151"/>
      <c r="U16" s="95"/>
    </row>
    <row r="17" spans="1:21" ht="15" customHeight="1" x14ac:dyDescent="0.3">
      <c r="A17" s="142" t="s">
        <v>280</v>
      </c>
      <c r="B17" s="142" t="s">
        <v>369</v>
      </c>
      <c r="C17" s="142" t="s">
        <v>365</v>
      </c>
      <c r="D17" s="142" t="s">
        <v>366</v>
      </c>
      <c r="E17" s="143">
        <v>0</v>
      </c>
      <c r="F17" s="142" t="s">
        <v>373</v>
      </c>
      <c r="G17" s="142" t="s">
        <v>22</v>
      </c>
      <c r="H17" s="144">
        <v>0</v>
      </c>
      <c r="I17" s="145">
        <v>0</v>
      </c>
      <c r="J17" s="145">
        <v>0</v>
      </c>
      <c r="K17" s="145">
        <v>0</v>
      </c>
      <c r="L17" s="145">
        <v>0</v>
      </c>
      <c r="M17" s="152"/>
      <c r="N17" s="152">
        <v>500</v>
      </c>
      <c r="O17" s="152"/>
      <c r="P17" s="152"/>
      <c r="Q17" s="152" t="s">
        <v>15</v>
      </c>
      <c r="R17" s="153" t="s">
        <v>12</v>
      </c>
      <c r="S17" s="153" t="s">
        <v>14</v>
      </c>
      <c r="T17" s="154"/>
      <c r="U17" s="95"/>
    </row>
    <row r="18" spans="1:21" ht="15" customHeight="1" x14ac:dyDescent="0.3">
      <c r="A18" s="147" t="s">
        <v>280</v>
      </c>
      <c r="B18" s="147" t="s">
        <v>369</v>
      </c>
      <c r="C18" s="147" t="s">
        <v>361</v>
      </c>
      <c r="D18" s="147" t="s">
        <v>374</v>
      </c>
      <c r="E18" s="148">
        <v>0</v>
      </c>
      <c r="F18" s="147" t="s">
        <v>375</v>
      </c>
      <c r="G18" s="147" t="s">
        <v>107</v>
      </c>
      <c r="H18" s="149">
        <v>0.14599999999999999</v>
      </c>
      <c r="I18" s="150">
        <v>4</v>
      </c>
      <c r="J18" s="150">
        <v>0</v>
      </c>
      <c r="K18" s="150">
        <v>46356</v>
      </c>
      <c r="L18" s="150">
        <v>0</v>
      </c>
      <c r="M18" s="152"/>
      <c r="N18" s="152"/>
      <c r="O18" s="152">
        <v>301</v>
      </c>
      <c r="P18" s="152"/>
      <c r="Q18" s="152" t="s">
        <v>70</v>
      </c>
      <c r="R18" s="153" t="s">
        <v>90</v>
      </c>
      <c r="S18" s="153" t="s">
        <v>69</v>
      </c>
      <c r="T18" s="154"/>
      <c r="U18" s="95"/>
    </row>
    <row r="19" spans="1:21" ht="15" customHeight="1" x14ac:dyDescent="0.3">
      <c r="A19" s="142" t="s">
        <v>280</v>
      </c>
      <c r="B19" s="142" t="s">
        <v>376</v>
      </c>
      <c r="C19" s="142" t="s">
        <v>361</v>
      </c>
      <c r="D19" s="142" t="s">
        <v>374</v>
      </c>
      <c r="E19" s="143">
        <v>0</v>
      </c>
      <c r="F19" s="142" t="s">
        <v>377</v>
      </c>
      <c r="G19" s="142" t="s">
        <v>152</v>
      </c>
      <c r="H19" s="144">
        <v>0.16700000000000001</v>
      </c>
      <c r="I19" s="145">
        <v>4</v>
      </c>
      <c r="J19" s="145">
        <v>0</v>
      </c>
      <c r="K19" s="145">
        <v>37632</v>
      </c>
      <c r="L19" s="145">
        <v>0</v>
      </c>
      <c r="M19" s="152"/>
      <c r="N19" s="152"/>
      <c r="O19" s="152">
        <v>300</v>
      </c>
      <c r="P19" s="152"/>
      <c r="Q19" s="152" t="s">
        <v>70</v>
      </c>
      <c r="R19" s="153" t="s">
        <v>147</v>
      </c>
      <c r="S19" s="153" t="s">
        <v>149</v>
      </c>
      <c r="T19" s="154"/>
      <c r="U19" s="95"/>
    </row>
    <row r="20" spans="1:21" ht="15" customHeight="1" x14ac:dyDescent="0.3">
      <c r="A20" s="147" t="s">
        <v>280</v>
      </c>
      <c r="B20" s="147" t="s">
        <v>369</v>
      </c>
      <c r="C20" s="147" t="s">
        <v>361</v>
      </c>
      <c r="D20" s="147" t="s">
        <v>374</v>
      </c>
      <c r="E20" s="148">
        <v>0</v>
      </c>
      <c r="F20" s="147" t="s">
        <v>378</v>
      </c>
      <c r="G20" s="147" t="s">
        <v>109</v>
      </c>
      <c r="H20" s="149">
        <v>0.214</v>
      </c>
      <c r="I20" s="150">
        <v>5</v>
      </c>
      <c r="J20" s="150">
        <v>0</v>
      </c>
      <c r="K20" s="150">
        <v>56100</v>
      </c>
      <c r="L20" s="150">
        <v>0</v>
      </c>
      <c r="M20" s="152"/>
      <c r="N20" s="152"/>
      <c r="O20" s="152">
        <v>303</v>
      </c>
      <c r="P20" s="152"/>
      <c r="Q20" s="152" t="s">
        <v>70</v>
      </c>
      <c r="R20" s="153" t="s">
        <v>90</v>
      </c>
      <c r="S20" s="153" t="s">
        <v>69</v>
      </c>
      <c r="T20" s="154"/>
      <c r="U20" s="95"/>
    </row>
    <row r="21" spans="1:21" ht="15" customHeight="1" x14ac:dyDescent="0.3">
      <c r="A21" s="142" t="s">
        <v>280</v>
      </c>
      <c r="B21" s="142" t="s">
        <v>369</v>
      </c>
      <c r="C21" s="142" t="s">
        <v>361</v>
      </c>
      <c r="D21" s="142" t="s">
        <v>379</v>
      </c>
      <c r="E21" s="143">
        <v>0</v>
      </c>
      <c r="F21" s="142" t="s">
        <v>380</v>
      </c>
      <c r="G21" s="142" t="s">
        <v>130</v>
      </c>
      <c r="H21" s="144">
        <v>0.46400000000000002</v>
      </c>
      <c r="I21" s="145">
        <v>37</v>
      </c>
      <c r="J21" s="145">
        <v>72</v>
      </c>
      <c r="K21" s="145">
        <v>95238</v>
      </c>
      <c r="L21" s="145">
        <v>186300</v>
      </c>
      <c r="M21" s="152"/>
      <c r="N21" s="152"/>
      <c r="O21" s="152">
        <v>300</v>
      </c>
      <c r="P21" s="152">
        <v>300</v>
      </c>
      <c r="Q21" s="152" t="s">
        <v>70</v>
      </c>
      <c r="R21" s="153" t="s">
        <v>120</v>
      </c>
      <c r="S21" s="153" t="s">
        <v>122</v>
      </c>
      <c r="T21" s="154"/>
      <c r="U21" s="95"/>
    </row>
    <row r="22" spans="1:21" ht="15" customHeight="1" x14ac:dyDescent="0.3">
      <c r="A22" s="147" t="s">
        <v>280</v>
      </c>
      <c r="B22" s="147" t="s">
        <v>354</v>
      </c>
      <c r="C22" s="147" t="s">
        <v>365</v>
      </c>
      <c r="D22" s="147" t="s">
        <v>381</v>
      </c>
      <c r="E22" s="148">
        <v>0</v>
      </c>
      <c r="F22" s="147" t="s">
        <v>382</v>
      </c>
      <c r="G22" s="147" t="s">
        <v>383</v>
      </c>
      <c r="H22" s="149">
        <v>0.85</v>
      </c>
      <c r="I22" s="150">
        <v>32</v>
      </c>
      <c r="J22" s="150">
        <v>88.5</v>
      </c>
      <c r="K22" s="150">
        <v>87936</v>
      </c>
      <c r="L22" s="150">
        <v>210674.2</v>
      </c>
      <c r="M22" s="152"/>
      <c r="N22" s="152"/>
      <c r="O22" s="152"/>
      <c r="P22" s="152">
        <v>100</v>
      </c>
      <c r="Q22" s="152" t="s">
        <v>192</v>
      </c>
      <c r="R22" s="153"/>
      <c r="S22" s="153"/>
      <c r="T22" s="154"/>
      <c r="U22" s="95"/>
    </row>
    <row r="23" spans="1:21" ht="15" customHeight="1" x14ac:dyDescent="0.3">
      <c r="A23" s="142" t="s">
        <v>281</v>
      </c>
      <c r="B23" s="142" t="s">
        <v>369</v>
      </c>
      <c r="C23" s="142" t="s">
        <v>384</v>
      </c>
      <c r="D23" s="142" t="s">
        <v>385</v>
      </c>
      <c r="E23" s="143">
        <v>0</v>
      </c>
      <c r="F23" s="142" t="s">
        <v>386</v>
      </c>
      <c r="G23" s="142" t="s">
        <v>156</v>
      </c>
      <c r="H23" s="144">
        <v>0.20899999999999999</v>
      </c>
      <c r="I23" s="145">
        <v>37</v>
      </c>
      <c r="J23" s="145">
        <v>180</v>
      </c>
      <c r="K23" s="145">
        <v>300292</v>
      </c>
      <c r="L23" s="145">
        <v>1550016</v>
      </c>
      <c r="M23" s="152"/>
      <c r="N23" s="152"/>
      <c r="O23" s="152">
        <v>600</v>
      </c>
      <c r="P23" s="152"/>
      <c r="Q23" s="152" t="s">
        <v>70</v>
      </c>
      <c r="R23" s="153" t="s">
        <v>147</v>
      </c>
      <c r="S23" s="153" t="s">
        <v>149</v>
      </c>
      <c r="T23" s="154"/>
      <c r="U23" s="95"/>
    </row>
    <row r="24" spans="1:21" ht="15" customHeight="1" x14ac:dyDescent="0.3">
      <c r="A24" s="147" t="s">
        <v>281</v>
      </c>
      <c r="B24" s="147" t="s">
        <v>387</v>
      </c>
      <c r="C24" s="147" t="s">
        <v>388</v>
      </c>
      <c r="D24" s="147" t="s">
        <v>389</v>
      </c>
      <c r="E24" s="148">
        <v>0</v>
      </c>
      <c r="F24" s="147" t="s">
        <v>390</v>
      </c>
      <c r="G24" s="147" t="s">
        <v>75</v>
      </c>
      <c r="H24" s="149">
        <v>0.26700000000000002</v>
      </c>
      <c r="I24" s="150">
        <v>24</v>
      </c>
      <c r="J24" s="150">
        <v>205.5</v>
      </c>
      <c r="K24" s="150">
        <v>37176</v>
      </c>
      <c r="L24" s="150">
        <v>304150.3</v>
      </c>
      <c r="M24" s="152"/>
      <c r="N24" s="152"/>
      <c r="O24" s="152">
        <v>150</v>
      </c>
      <c r="P24" s="152"/>
      <c r="Q24" s="152" t="s">
        <v>70</v>
      </c>
      <c r="R24" s="153" t="s">
        <v>67</v>
      </c>
      <c r="S24" s="153" t="s">
        <v>69</v>
      </c>
      <c r="T24" s="154"/>
      <c r="U24" s="95"/>
    </row>
    <row r="25" spans="1:21" ht="15" customHeight="1" x14ac:dyDescent="0.3">
      <c r="A25" s="142" t="s">
        <v>281</v>
      </c>
      <c r="B25" s="142" t="s">
        <v>376</v>
      </c>
      <c r="C25" s="142" t="s">
        <v>391</v>
      </c>
      <c r="D25" s="142" t="s">
        <v>392</v>
      </c>
      <c r="E25" s="143">
        <v>0</v>
      </c>
      <c r="F25" s="142" t="s">
        <v>393</v>
      </c>
      <c r="G25" s="142" t="s">
        <v>394</v>
      </c>
      <c r="H25" s="144">
        <v>0.33900000000000002</v>
      </c>
      <c r="I25" s="145">
        <v>51</v>
      </c>
      <c r="J25" s="145">
        <v>151.5</v>
      </c>
      <c r="K25" s="145">
        <v>252144</v>
      </c>
      <c r="L25" s="145">
        <v>823213.1</v>
      </c>
      <c r="M25" s="145"/>
      <c r="N25" s="145"/>
      <c r="O25" s="145"/>
      <c r="P25" s="145"/>
      <c r="Q25" s="145" t="s">
        <v>339</v>
      </c>
      <c r="R25" s="143"/>
      <c r="S25" s="143"/>
      <c r="T25" s="146"/>
      <c r="U25" s="95"/>
    </row>
    <row r="26" spans="1:21" ht="15" customHeight="1" x14ac:dyDescent="0.3">
      <c r="A26" s="147" t="s">
        <v>281</v>
      </c>
      <c r="B26" s="147" t="s">
        <v>369</v>
      </c>
      <c r="C26" s="147" t="s">
        <v>388</v>
      </c>
      <c r="D26" s="147" t="s">
        <v>395</v>
      </c>
      <c r="E26" s="148">
        <v>0</v>
      </c>
      <c r="F26" s="147" t="s">
        <v>396</v>
      </c>
      <c r="G26" s="147" t="s">
        <v>158</v>
      </c>
      <c r="H26" s="149">
        <v>0.35799999999999998</v>
      </c>
      <c r="I26" s="150">
        <v>54</v>
      </c>
      <c r="J26" s="150">
        <v>142.5</v>
      </c>
      <c r="K26" s="150">
        <v>1390770</v>
      </c>
      <c r="L26" s="150">
        <v>3019069.1</v>
      </c>
      <c r="M26" s="152"/>
      <c r="N26" s="152"/>
      <c r="O26" s="152">
        <v>300</v>
      </c>
      <c r="P26" s="152"/>
      <c r="Q26" s="152" t="s">
        <v>70</v>
      </c>
      <c r="R26" s="153" t="s">
        <v>147</v>
      </c>
      <c r="S26" s="153" t="s">
        <v>149</v>
      </c>
      <c r="T26" s="154"/>
      <c r="U26" s="95"/>
    </row>
    <row r="27" spans="1:21" ht="15" customHeight="1" x14ac:dyDescent="0.3">
      <c r="A27" s="142" t="s">
        <v>281</v>
      </c>
      <c r="B27" s="142" t="s">
        <v>354</v>
      </c>
      <c r="C27" s="142" t="s">
        <v>391</v>
      </c>
      <c r="D27" s="142" t="s">
        <v>397</v>
      </c>
      <c r="E27" s="143">
        <v>108</v>
      </c>
      <c r="F27" s="142" t="s">
        <v>398</v>
      </c>
      <c r="G27" s="142" t="s">
        <v>128</v>
      </c>
      <c r="H27" s="144">
        <v>0.40699999999999997</v>
      </c>
      <c r="I27" s="145">
        <v>8</v>
      </c>
      <c r="J27" s="145">
        <v>1.5</v>
      </c>
      <c r="K27" s="145">
        <v>58712</v>
      </c>
      <c r="L27" s="145">
        <v>11007.2</v>
      </c>
      <c r="M27" s="152"/>
      <c r="N27" s="152"/>
      <c r="O27" s="152">
        <v>504</v>
      </c>
      <c r="P27" s="152"/>
      <c r="Q27" s="152" t="s">
        <v>70</v>
      </c>
      <c r="R27" s="153" t="s">
        <v>120</v>
      </c>
      <c r="S27" s="153" t="s">
        <v>122</v>
      </c>
      <c r="T27" s="154"/>
      <c r="U27" s="95"/>
    </row>
    <row r="28" spans="1:21" ht="15" customHeight="1" x14ac:dyDescent="0.3">
      <c r="A28" s="147" t="s">
        <v>281</v>
      </c>
      <c r="B28" s="147" t="s">
        <v>334</v>
      </c>
      <c r="C28" s="147" t="s">
        <v>399</v>
      </c>
      <c r="D28" s="147" t="s">
        <v>400</v>
      </c>
      <c r="E28" s="148">
        <v>0</v>
      </c>
      <c r="F28" s="147" t="s">
        <v>401</v>
      </c>
      <c r="G28" s="147" t="s">
        <v>240</v>
      </c>
      <c r="H28" s="149">
        <v>0.46600000000000003</v>
      </c>
      <c r="I28" s="150">
        <v>16</v>
      </c>
      <c r="J28" s="150">
        <v>90</v>
      </c>
      <c r="K28" s="150">
        <v>62240</v>
      </c>
      <c r="L28" s="150">
        <v>353970</v>
      </c>
      <c r="M28" s="152"/>
      <c r="N28" s="152"/>
      <c r="O28" s="152"/>
      <c r="P28" s="152">
        <v>100</v>
      </c>
      <c r="Q28" s="152" t="s">
        <v>192</v>
      </c>
      <c r="R28" s="153" t="s">
        <v>223</v>
      </c>
      <c r="S28" s="153" t="s">
        <v>225</v>
      </c>
      <c r="T28" s="154"/>
      <c r="U28" s="95"/>
    </row>
    <row r="29" spans="1:21" ht="15" customHeight="1" x14ac:dyDescent="0.3">
      <c r="A29" s="142" t="s">
        <v>281</v>
      </c>
      <c r="B29" s="142" t="s">
        <v>369</v>
      </c>
      <c r="C29" s="142" t="s">
        <v>384</v>
      </c>
      <c r="D29" s="142" t="s">
        <v>402</v>
      </c>
      <c r="E29" s="143">
        <v>0</v>
      </c>
      <c r="F29" s="142" t="s">
        <v>403</v>
      </c>
      <c r="G29" s="142" t="s">
        <v>134</v>
      </c>
      <c r="H29" s="144">
        <v>0.71799999999999997</v>
      </c>
      <c r="I29" s="145">
        <v>131</v>
      </c>
      <c r="J29" s="145">
        <v>19.5</v>
      </c>
      <c r="K29" s="145">
        <v>630503</v>
      </c>
      <c r="L29" s="145">
        <v>102930.8</v>
      </c>
      <c r="M29" s="152"/>
      <c r="N29" s="152"/>
      <c r="O29" s="152">
        <v>1200</v>
      </c>
      <c r="P29" s="152">
        <v>500</v>
      </c>
      <c r="Q29" s="152" t="s">
        <v>70</v>
      </c>
      <c r="R29" s="153" t="s">
        <v>120</v>
      </c>
      <c r="S29" s="153" t="s">
        <v>122</v>
      </c>
      <c r="T29" s="154"/>
      <c r="U29" s="95"/>
    </row>
    <row r="30" spans="1:21" ht="15" customHeight="1" x14ac:dyDescent="0.3">
      <c r="A30" s="147" t="s">
        <v>281</v>
      </c>
      <c r="B30" s="147" t="s">
        <v>369</v>
      </c>
      <c r="C30" s="147" t="s">
        <v>404</v>
      </c>
      <c r="D30" s="147" t="s">
        <v>405</v>
      </c>
      <c r="E30" s="148">
        <v>0</v>
      </c>
      <c r="F30" s="147" t="s">
        <v>406</v>
      </c>
      <c r="G30" s="147" t="s">
        <v>407</v>
      </c>
      <c r="H30" s="149">
        <v>0.75</v>
      </c>
      <c r="I30" s="150">
        <v>52</v>
      </c>
      <c r="J30" s="150">
        <v>190.5</v>
      </c>
      <c r="K30" s="150">
        <v>411424</v>
      </c>
      <c r="L30" s="150">
        <v>1301305.5</v>
      </c>
      <c r="M30" s="150"/>
      <c r="N30" s="150"/>
      <c r="O30" s="150"/>
      <c r="P30" s="150"/>
      <c r="Q30" s="150" t="s">
        <v>339</v>
      </c>
      <c r="R30" s="148"/>
      <c r="S30" s="148"/>
      <c r="T30" s="151"/>
      <c r="U30" s="95"/>
    </row>
    <row r="31" spans="1:21" ht="15" customHeight="1" x14ac:dyDescent="0.3">
      <c r="A31" s="142" t="s">
        <v>281</v>
      </c>
      <c r="B31" s="142" t="s">
        <v>354</v>
      </c>
      <c r="C31" s="142" t="s">
        <v>388</v>
      </c>
      <c r="D31" s="142" t="s">
        <v>389</v>
      </c>
      <c r="E31" s="143">
        <v>0</v>
      </c>
      <c r="F31" s="142" t="s">
        <v>408</v>
      </c>
      <c r="G31" s="142" t="s">
        <v>160</v>
      </c>
      <c r="H31" s="144">
        <v>0.82399999999999995</v>
      </c>
      <c r="I31" s="145">
        <v>14</v>
      </c>
      <c r="J31" s="145">
        <v>0</v>
      </c>
      <c r="K31" s="145">
        <v>49560</v>
      </c>
      <c r="L31" s="145">
        <v>0</v>
      </c>
      <c r="M31" s="152"/>
      <c r="N31" s="152"/>
      <c r="O31" s="152">
        <v>204</v>
      </c>
      <c r="P31" s="152"/>
      <c r="Q31" s="152" t="s">
        <v>70</v>
      </c>
      <c r="R31" s="153" t="s">
        <v>147</v>
      </c>
      <c r="S31" s="153" t="s">
        <v>149</v>
      </c>
      <c r="T31" s="154"/>
      <c r="U31" s="95"/>
    </row>
    <row r="32" spans="1:21" ht="15" customHeight="1" x14ac:dyDescent="0.3">
      <c r="A32" s="147" t="s">
        <v>281</v>
      </c>
      <c r="B32" s="147" t="s">
        <v>387</v>
      </c>
      <c r="C32" s="147" t="s">
        <v>391</v>
      </c>
      <c r="D32" s="147" t="s">
        <v>397</v>
      </c>
      <c r="E32" s="148">
        <v>0</v>
      </c>
      <c r="F32" s="147" t="s">
        <v>409</v>
      </c>
      <c r="G32" s="147" t="s">
        <v>162</v>
      </c>
      <c r="H32" s="149">
        <v>0.85699999999999998</v>
      </c>
      <c r="I32" s="150">
        <v>8</v>
      </c>
      <c r="J32" s="150">
        <v>0</v>
      </c>
      <c r="K32" s="150">
        <v>44824</v>
      </c>
      <c r="L32" s="150">
        <v>0</v>
      </c>
      <c r="M32" s="152"/>
      <c r="N32" s="152"/>
      <c r="O32" s="152">
        <v>204</v>
      </c>
      <c r="P32" s="152"/>
      <c r="Q32" s="152" t="s">
        <v>70</v>
      </c>
      <c r="R32" s="153" t="s">
        <v>147</v>
      </c>
      <c r="S32" s="153" t="s">
        <v>149</v>
      </c>
      <c r="T32" s="154"/>
      <c r="U32" s="95"/>
    </row>
    <row r="33" spans="1:21" ht="15" customHeight="1" x14ac:dyDescent="0.3">
      <c r="A33" s="142" t="s">
        <v>282</v>
      </c>
      <c r="B33" s="142" t="s">
        <v>369</v>
      </c>
      <c r="C33" s="142" t="s">
        <v>410</v>
      </c>
      <c r="D33" s="142" t="s">
        <v>411</v>
      </c>
      <c r="E33" s="143">
        <v>0</v>
      </c>
      <c r="F33" s="142" t="s">
        <v>412</v>
      </c>
      <c r="G33" s="142" t="s">
        <v>103</v>
      </c>
      <c r="H33" s="144">
        <v>0</v>
      </c>
      <c r="I33" s="145">
        <v>0</v>
      </c>
      <c r="J33" s="145">
        <v>0</v>
      </c>
      <c r="K33" s="145">
        <v>0</v>
      </c>
      <c r="L33" s="145">
        <v>0</v>
      </c>
      <c r="M33" s="152"/>
      <c r="N33" s="152"/>
      <c r="O33" s="152">
        <v>10</v>
      </c>
      <c r="P33" s="152">
        <v>15</v>
      </c>
      <c r="Q33" s="152" t="s">
        <v>70</v>
      </c>
      <c r="R33" s="153" t="s">
        <v>90</v>
      </c>
      <c r="S33" s="153" t="s">
        <v>69</v>
      </c>
      <c r="T33" s="154"/>
      <c r="U33" s="95"/>
    </row>
    <row r="34" spans="1:21" ht="15" customHeight="1" x14ac:dyDescent="0.3">
      <c r="A34" s="147" t="s">
        <v>282</v>
      </c>
      <c r="B34" s="147" t="s">
        <v>334</v>
      </c>
      <c r="C34" s="147" t="s">
        <v>413</v>
      </c>
      <c r="D34" s="147" t="s">
        <v>414</v>
      </c>
      <c r="E34" s="148">
        <v>0</v>
      </c>
      <c r="F34" s="147" t="s">
        <v>415</v>
      </c>
      <c r="G34" s="147" t="s">
        <v>416</v>
      </c>
      <c r="H34" s="149">
        <v>0</v>
      </c>
      <c r="I34" s="150">
        <v>2</v>
      </c>
      <c r="J34" s="150">
        <v>0</v>
      </c>
      <c r="K34" s="150">
        <v>18488</v>
      </c>
      <c r="L34" s="150">
        <v>0</v>
      </c>
      <c r="M34" s="152"/>
      <c r="N34" s="152"/>
      <c r="O34" s="152"/>
      <c r="P34" s="152">
        <v>400</v>
      </c>
      <c r="Q34" s="152" t="s">
        <v>192</v>
      </c>
      <c r="R34" s="153"/>
      <c r="S34" s="153"/>
      <c r="T34" s="154"/>
      <c r="U34" s="95"/>
    </row>
    <row r="35" spans="1:21" ht="15" customHeight="1" x14ac:dyDescent="0.3">
      <c r="A35" s="142" t="s">
        <v>282</v>
      </c>
      <c r="B35" s="142" t="s">
        <v>354</v>
      </c>
      <c r="C35" s="142" t="s">
        <v>417</v>
      </c>
      <c r="D35" s="142" t="s">
        <v>418</v>
      </c>
      <c r="E35" s="143">
        <v>0</v>
      </c>
      <c r="F35" s="142" t="s">
        <v>419</v>
      </c>
      <c r="G35" s="142" t="s">
        <v>420</v>
      </c>
      <c r="H35" s="144">
        <v>0</v>
      </c>
      <c r="I35" s="145">
        <v>4</v>
      </c>
      <c r="J35" s="145">
        <v>0</v>
      </c>
      <c r="K35" s="145">
        <v>39844</v>
      </c>
      <c r="L35" s="145">
        <v>0</v>
      </c>
      <c r="M35" s="152"/>
      <c r="N35" s="152"/>
      <c r="O35" s="152"/>
      <c r="P35" s="152">
        <v>50</v>
      </c>
      <c r="Q35" s="152" t="s">
        <v>192</v>
      </c>
      <c r="R35" s="153"/>
      <c r="S35" s="153"/>
      <c r="T35" s="154"/>
      <c r="U35" s="95"/>
    </row>
    <row r="36" spans="1:21" ht="15" customHeight="1" x14ac:dyDescent="0.3">
      <c r="A36" s="147" t="s">
        <v>282</v>
      </c>
      <c r="B36" s="147" t="s">
        <v>376</v>
      </c>
      <c r="C36" s="147" t="s">
        <v>421</v>
      </c>
      <c r="D36" s="147" t="s">
        <v>422</v>
      </c>
      <c r="E36" s="148">
        <v>0</v>
      </c>
      <c r="F36" s="147" t="s">
        <v>423</v>
      </c>
      <c r="G36" s="147" t="s">
        <v>124</v>
      </c>
      <c r="H36" s="149">
        <v>0.33300000000000002</v>
      </c>
      <c r="I36" s="150">
        <v>32</v>
      </c>
      <c r="J36" s="150">
        <v>7.5</v>
      </c>
      <c r="K36" s="150">
        <v>94560</v>
      </c>
      <c r="L36" s="150">
        <v>22511.200000000001</v>
      </c>
      <c r="M36" s="152"/>
      <c r="N36" s="152"/>
      <c r="O36" s="152">
        <v>1000</v>
      </c>
      <c r="P36" s="152"/>
      <c r="Q36" s="152" t="s">
        <v>70</v>
      </c>
      <c r="R36" s="153" t="s">
        <v>120</v>
      </c>
      <c r="S36" s="153" t="s">
        <v>122</v>
      </c>
      <c r="T36" s="154"/>
      <c r="U36" s="95"/>
    </row>
    <row r="37" spans="1:21" ht="15" customHeight="1" x14ac:dyDescent="0.3">
      <c r="A37" s="142" t="s">
        <v>282</v>
      </c>
      <c r="B37" s="142" t="s">
        <v>369</v>
      </c>
      <c r="C37" s="142" t="s">
        <v>417</v>
      </c>
      <c r="D37" s="142" t="s">
        <v>418</v>
      </c>
      <c r="E37" s="143">
        <v>15</v>
      </c>
      <c r="F37" s="142" t="s">
        <v>424</v>
      </c>
      <c r="G37" s="142" t="s">
        <v>126</v>
      </c>
      <c r="H37" s="144">
        <v>0.33700000000000002</v>
      </c>
      <c r="I37" s="145">
        <v>9</v>
      </c>
      <c r="J37" s="145">
        <v>0</v>
      </c>
      <c r="K37" s="145">
        <v>211167</v>
      </c>
      <c r="L37" s="145">
        <v>0</v>
      </c>
      <c r="M37" s="152"/>
      <c r="N37" s="152"/>
      <c r="O37" s="152">
        <v>150</v>
      </c>
      <c r="P37" s="152">
        <v>75</v>
      </c>
      <c r="Q37" s="152" t="s">
        <v>70</v>
      </c>
      <c r="R37" s="153" t="s">
        <v>120</v>
      </c>
      <c r="S37" s="153" t="s">
        <v>122</v>
      </c>
      <c r="T37" s="154"/>
      <c r="U37" s="95"/>
    </row>
    <row r="38" spans="1:21" ht="15" customHeight="1" x14ac:dyDescent="0.3">
      <c r="A38" s="147" t="s">
        <v>282</v>
      </c>
      <c r="B38" s="147" t="s">
        <v>369</v>
      </c>
      <c r="C38" s="147" t="s">
        <v>417</v>
      </c>
      <c r="D38" s="147" t="s">
        <v>418</v>
      </c>
      <c r="E38" s="148">
        <v>47</v>
      </c>
      <c r="F38" s="147" t="s">
        <v>425</v>
      </c>
      <c r="G38" s="147" t="s">
        <v>132</v>
      </c>
      <c r="H38" s="149">
        <v>0.51400000000000001</v>
      </c>
      <c r="I38" s="150">
        <v>6</v>
      </c>
      <c r="J38" s="150">
        <v>0</v>
      </c>
      <c r="K38" s="150">
        <v>129756</v>
      </c>
      <c r="L38" s="150">
        <v>0</v>
      </c>
      <c r="M38" s="152"/>
      <c r="N38" s="152"/>
      <c r="O38" s="152">
        <v>75</v>
      </c>
      <c r="P38" s="152"/>
      <c r="Q38" s="152" t="s">
        <v>70</v>
      </c>
      <c r="R38" s="153" t="s">
        <v>120</v>
      </c>
      <c r="S38" s="153" t="s">
        <v>122</v>
      </c>
      <c r="T38" s="154"/>
      <c r="U38" s="95"/>
    </row>
    <row r="39" spans="1:21" ht="15" customHeight="1" x14ac:dyDescent="0.3">
      <c r="A39" s="142" t="s">
        <v>282</v>
      </c>
      <c r="B39" s="142" t="s">
        <v>387</v>
      </c>
      <c r="C39" s="142" t="s">
        <v>426</v>
      </c>
      <c r="D39" s="142" t="s">
        <v>427</v>
      </c>
      <c r="E39" s="143">
        <v>0</v>
      </c>
      <c r="F39" s="142" t="s">
        <v>428</v>
      </c>
      <c r="G39" s="142" t="s">
        <v>429</v>
      </c>
      <c r="H39" s="144">
        <v>0.56399999999999995</v>
      </c>
      <c r="I39" s="145">
        <v>11</v>
      </c>
      <c r="J39" s="145">
        <v>58.5</v>
      </c>
      <c r="K39" s="145">
        <v>34232</v>
      </c>
      <c r="L39" s="145">
        <v>151368.79999999999</v>
      </c>
      <c r="M39" s="145"/>
      <c r="N39" s="145"/>
      <c r="O39" s="145"/>
      <c r="P39" s="145"/>
      <c r="Q39" s="145" t="s">
        <v>339</v>
      </c>
      <c r="R39" s="143"/>
      <c r="S39" s="143"/>
      <c r="T39" s="146"/>
      <c r="U39" s="95"/>
    </row>
    <row r="40" spans="1:21" ht="15" customHeight="1" x14ac:dyDescent="0.3">
      <c r="A40" s="147" t="s">
        <v>282</v>
      </c>
      <c r="B40" s="147" t="s">
        <v>369</v>
      </c>
      <c r="C40" s="147" t="s">
        <v>410</v>
      </c>
      <c r="D40" s="147" t="s">
        <v>411</v>
      </c>
      <c r="E40" s="148">
        <v>0</v>
      </c>
      <c r="F40" s="147" t="s">
        <v>430</v>
      </c>
      <c r="G40" s="147" t="s">
        <v>111</v>
      </c>
      <c r="H40" s="149">
        <v>0.68200000000000005</v>
      </c>
      <c r="I40" s="150">
        <v>5</v>
      </c>
      <c r="J40" s="150">
        <v>12</v>
      </c>
      <c r="K40" s="150">
        <v>1936460</v>
      </c>
      <c r="L40" s="150">
        <v>4719600</v>
      </c>
      <c r="M40" s="152"/>
      <c r="N40" s="152"/>
      <c r="O40" s="152">
        <v>10</v>
      </c>
      <c r="P40" s="152">
        <v>15</v>
      </c>
      <c r="Q40" s="152" t="s">
        <v>70</v>
      </c>
      <c r="R40" s="153" t="s">
        <v>90</v>
      </c>
      <c r="S40" s="153" t="s">
        <v>69</v>
      </c>
      <c r="T40" s="154"/>
      <c r="U40" s="95"/>
    </row>
    <row r="41" spans="1:21" ht="15" customHeight="1" x14ac:dyDescent="0.3">
      <c r="A41" s="142" t="s">
        <v>282</v>
      </c>
      <c r="B41" s="142" t="s">
        <v>376</v>
      </c>
      <c r="C41" s="142" t="s">
        <v>413</v>
      </c>
      <c r="D41" s="142" t="s">
        <v>414</v>
      </c>
      <c r="E41" s="143">
        <v>0</v>
      </c>
      <c r="F41" s="142" t="s">
        <v>431</v>
      </c>
      <c r="G41" s="142" t="s">
        <v>164</v>
      </c>
      <c r="H41" s="144">
        <v>0.89200000000000002</v>
      </c>
      <c r="I41" s="145">
        <v>33</v>
      </c>
      <c r="J41" s="145">
        <v>6</v>
      </c>
      <c r="K41" s="145">
        <v>248325</v>
      </c>
      <c r="L41" s="145">
        <v>27945</v>
      </c>
      <c r="M41" s="152"/>
      <c r="N41" s="152"/>
      <c r="O41" s="152">
        <v>50</v>
      </c>
      <c r="P41" s="152">
        <v>300</v>
      </c>
      <c r="Q41" s="152" t="s">
        <v>70</v>
      </c>
      <c r="R41" s="153" t="s">
        <v>147</v>
      </c>
      <c r="S41" s="153" t="s">
        <v>149</v>
      </c>
      <c r="T41" s="154"/>
      <c r="U41" s="95"/>
    </row>
    <row r="42" spans="1:21" ht="15" customHeight="1" x14ac:dyDescent="0.3">
      <c r="A42" s="147" t="s">
        <v>282</v>
      </c>
      <c r="B42" s="147" t="s">
        <v>354</v>
      </c>
      <c r="C42" s="147" t="s">
        <v>417</v>
      </c>
      <c r="D42" s="147" t="s">
        <v>418</v>
      </c>
      <c r="E42" s="148">
        <v>0</v>
      </c>
      <c r="F42" s="147" t="s">
        <v>432</v>
      </c>
      <c r="G42" s="147" t="s">
        <v>433</v>
      </c>
      <c r="H42" s="149">
        <v>0.96599999999999997</v>
      </c>
      <c r="I42" s="150">
        <v>14</v>
      </c>
      <c r="J42" s="150">
        <v>43.5</v>
      </c>
      <c r="K42" s="150">
        <v>135730</v>
      </c>
      <c r="L42" s="150">
        <v>427713.8</v>
      </c>
      <c r="M42" s="152"/>
      <c r="N42" s="152"/>
      <c r="O42" s="152"/>
      <c r="P42" s="152">
        <v>80</v>
      </c>
      <c r="Q42" s="152" t="s">
        <v>192</v>
      </c>
      <c r="R42" s="153"/>
      <c r="S42" s="153"/>
      <c r="T42" s="154"/>
      <c r="U42" s="95"/>
    </row>
    <row r="43" spans="1:21" ht="15" customHeight="1" x14ac:dyDescent="0.3">
      <c r="A43" s="142" t="s">
        <v>283</v>
      </c>
      <c r="B43" s="142" t="s">
        <v>434</v>
      </c>
      <c r="C43" s="142" t="s">
        <v>435</v>
      </c>
      <c r="D43" s="142" t="s">
        <v>436</v>
      </c>
      <c r="E43" s="143">
        <v>0</v>
      </c>
      <c r="F43" s="142" t="s">
        <v>437</v>
      </c>
      <c r="G43" s="142" t="s">
        <v>438</v>
      </c>
      <c r="H43" s="144">
        <v>0</v>
      </c>
      <c r="I43" s="145">
        <v>1</v>
      </c>
      <c r="J43" s="145">
        <v>0</v>
      </c>
      <c r="K43" s="145">
        <v>7377</v>
      </c>
      <c r="L43" s="145">
        <v>0</v>
      </c>
      <c r="M43" s="145"/>
      <c r="N43" s="145"/>
      <c r="O43" s="145"/>
      <c r="P43" s="145"/>
      <c r="Q43" s="145" t="s">
        <v>339</v>
      </c>
      <c r="R43" s="143"/>
      <c r="S43" s="143"/>
      <c r="T43" s="146"/>
      <c r="U43" s="95"/>
    </row>
    <row r="44" spans="1:21" ht="15" customHeight="1" x14ac:dyDescent="0.3">
      <c r="A44" s="147" t="s">
        <v>283</v>
      </c>
      <c r="B44" s="147" t="s">
        <v>387</v>
      </c>
      <c r="C44" s="147" t="s">
        <v>439</v>
      </c>
      <c r="D44" s="147" t="s">
        <v>440</v>
      </c>
      <c r="E44" s="148">
        <v>0</v>
      </c>
      <c r="F44" s="147" t="s">
        <v>441</v>
      </c>
      <c r="G44" s="147" t="s">
        <v>442</v>
      </c>
      <c r="H44" s="149">
        <v>0</v>
      </c>
      <c r="I44" s="150">
        <v>2</v>
      </c>
      <c r="J44" s="150">
        <v>0</v>
      </c>
      <c r="K44" s="150">
        <v>174358</v>
      </c>
      <c r="L44" s="150">
        <v>0</v>
      </c>
      <c r="M44" s="150"/>
      <c r="N44" s="150"/>
      <c r="O44" s="150"/>
      <c r="P44" s="150"/>
      <c r="Q44" s="150" t="s">
        <v>339</v>
      </c>
      <c r="R44" s="148"/>
      <c r="S44" s="148"/>
      <c r="T44" s="151"/>
      <c r="U44" s="95"/>
    </row>
    <row r="45" spans="1:21" ht="15" customHeight="1" x14ac:dyDescent="0.3">
      <c r="A45" s="142" t="s">
        <v>283</v>
      </c>
      <c r="B45" s="142" t="s">
        <v>369</v>
      </c>
      <c r="C45" s="142" t="s">
        <v>443</v>
      </c>
      <c r="D45" s="142" t="s">
        <v>444</v>
      </c>
      <c r="E45" s="143">
        <v>0</v>
      </c>
      <c r="F45" s="142" t="s">
        <v>445</v>
      </c>
      <c r="G45" s="142" t="s">
        <v>154</v>
      </c>
      <c r="H45" s="144">
        <v>0.17899999999999999</v>
      </c>
      <c r="I45" s="145">
        <v>12</v>
      </c>
      <c r="J45" s="145">
        <v>81</v>
      </c>
      <c r="K45" s="145">
        <v>326496</v>
      </c>
      <c r="L45" s="145">
        <v>2179710</v>
      </c>
      <c r="M45" s="152"/>
      <c r="N45" s="152"/>
      <c r="O45" s="152">
        <v>150</v>
      </c>
      <c r="P45" s="152">
        <v>250</v>
      </c>
      <c r="Q45" s="152" t="s">
        <v>70</v>
      </c>
      <c r="R45" s="153" t="s">
        <v>147</v>
      </c>
      <c r="S45" s="153" t="s">
        <v>149</v>
      </c>
      <c r="T45" s="154"/>
      <c r="U45" s="95"/>
    </row>
    <row r="46" spans="1:21" ht="15" customHeight="1" x14ac:dyDescent="0.3">
      <c r="A46" s="147" t="s">
        <v>283</v>
      </c>
      <c r="B46" s="147" t="s">
        <v>369</v>
      </c>
      <c r="C46" s="147" t="s">
        <v>435</v>
      </c>
      <c r="D46" s="147" t="s">
        <v>446</v>
      </c>
      <c r="E46" s="148">
        <v>0</v>
      </c>
      <c r="F46" s="147" t="s">
        <v>447</v>
      </c>
      <c r="G46" s="147" t="s">
        <v>62</v>
      </c>
      <c r="H46" s="149">
        <v>0.28899999999999998</v>
      </c>
      <c r="I46" s="150">
        <v>8</v>
      </c>
      <c r="J46" s="150">
        <v>22.5</v>
      </c>
      <c r="K46" s="150">
        <v>540992</v>
      </c>
      <c r="L46" s="150">
        <v>1513687.5</v>
      </c>
      <c r="M46" s="152"/>
      <c r="N46" s="152">
        <v>30</v>
      </c>
      <c r="O46" s="152">
        <v>50</v>
      </c>
      <c r="P46" s="152">
        <v>30</v>
      </c>
      <c r="Q46" s="152" t="s">
        <v>15</v>
      </c>
      <c r="R46" s="153" t="s">
        <v>49</v>
      </c>
      <c r="S46" s="153" t="s">
        <v>51</v>
      </c>
      <c r="T46" s="154"/>
      <c r="U46" s="95"/>
    </row>
    <row r="47" spans="1:21" ht="15" customHeight="1" x14ac:dyDescent="0.3">
      <c r="A47" s="142" t="s">
        <v>285</v>
      </c>
      <c r="B47" s="142" t="s">
        <v>369</v>
      </c>
      <c r="C47" s="142" t="s">
        <v>448</v>
      </c>
      <c r="D47" s="142" t="s">
        <v>449</v>
      </c>
      <c r="E47" s="143">
        <v>0</v>
      </c>
      <c r="F47" s="142" t="s">
        <v>450</v>
      </c>
      <c r="G47" s="142" t="s">
        <v>211</v>
      </c>
      <c r="H47" s="144">
        <v>0</v>
      </c>
      <c r="I47" s="145">
        <v>8</v>
      </c>
      <c r="J47" s="145">
        <v>0</v>
      </c>
      <c r="K47" s="145">
        <v>117752</v>
      </c>
      <c r="L47" s="145">
        <v>0</v>
      </c>
      <c r="M47" s="152"/>
      <c r="N47" s="152"/>
      <c r="O47" s="152"/>
      <c r="P47" s="152">
        <v>150</v>
      </c>
      <c r="Q47" s="152" t="s">
        <v>192</v>
      </c>
      <c r="R47" s="153" t="s">
        <v>189</v>
      </c>
      <c r="S47" s="153" t="s">
        <v>191</v>
      </c>
      <c r="T47" s="154"/>
      <c r="U47" s="95"/>
    </row>
    <row r="48" spans="1:21" ht="15" customHeight="1" x14ac:dyDescent="0.3">
      <c r="A48" s="147" t="s">
        <v>285</v>
      </c>
      <c r="B48" s="147" t="s">
        <v>376</v>
      </c>
      <c r="C48" s="147" t="s">
        <v>448</v>
      </c>
      <c r="D48" s="147" t="s">
        <v>449</v>
      </c>
      <c r="E48" s="148">
        <v>0</v>
      </c>
      <c r="F48" s="147" t="s">
        <v>451</v>
      </c>
      <c r="G48" s="147" t="s">
        <v>213</v>
      </c>
      <c r="H48" s="149">
        <v>0</v>
      </c>
      <c r="I48" s="150">
        <v>0</v>
      </c>
      <c r="J48" s="150">
        <v>3</v>
      </c>
      <c r="K48" s="150">
        <v>0</v>
      </c>
      <c r="L48" s="150">
        <v>46575</v>
      </c>
      <c r="M48" s="152"/>
      <c r="N48" s="152"/>
      <c r="O48" s="152"/>
      <c r="P48" s="152">
        <v>80</v>
      </c>
      <c r="Q48" s="152" t="s">
        <v>192</v>
      </c>
      <c r="R48" s="153" t="s">
        <v>189</v>
      </c>
      <c r="S48" s="153" t="s">
        <v>191</v>
      </c>
      <c r="T48" s="154"/>
      <c r="U48" s="95"/>
    </row>
    <row r="49" spans="1:21" ht="15" customHeight="1" x14ac:dyDescent="0.3">
      <c r="A49" s="142" t="s">
        <v>285</v>
      </c>
      <c r="B49" s="142" t="s">
        <v>334</v>
      </c>
      <c r="C49" s="142" t="s">
        <v>448</v>
      </c>
      <c r="D49" s="142" t="s">
        <v>452</v>
      </c>
      <c r="E49" s="143">
        <v>0</v>
      </c>
      <c r="F49" s="142" t="s">
        <v>453</v>
      </c>
      <c r="G49" s="142" t="s">
        <v>230</v>
      </c>
      <c r="H49" s="144">
        <v>0</v>
      </c>
      <c r="I49" s="145">
        <v>1</v>
      </c>
      <c r="J49" s="145">
        <v>0</v>
      </c>
      <c r="K49" s="145">
        <v>57328</v>
      </c>
      <c r="L49" s="145">
        <v>0</v>
      </c>
      <c r="M49" s="152"/>
      <c r="N49" s="152"/>
      <c r="O49" s="152"/>
      <c r="P49" s="152">
        <v>50</v>
      </c>
      <c r="Q49" s="152" t="s">
        <v>192</v>
      </c>
      <c r="R49" s="153" t="s">
        <v>223</v>
      </c>
      <c r="S49" s="153" t="s">
        <v>225</v>
      </c>
      <c r="T49" s="154"/>
      <c r="U49" s="95"/>
    </row>
    <row r="50" spans="1:21" ht="15" customHeight="1" x14ac:dyDescent="0.3">
      <c r="A50" s="147" t="s">
        <v>285</v>
      </c>
      <c r="B50" s="147" t="s">
        <v>369</v>
      </c>
      <c r="C50" s="147" t="s">
        <v>454</v>
      </c>
      <c r="D50" s="147" t="s">
        <v>455</v>
      </c>
      <c r="E50" s="148">
        <v>137</v>
      </c>
      <c r="F50" s="147" t="s">
        <v>456</v>
      </c>
      <c r="G50" s="147" t="s">
        <v>28</v>
      </c>
      <c r="H50" s="149">
        <v>3.6999999999999998E-2</v>
      </c>
      <c r="I50" s="150">
        <v>1</v>
      </c>
      <c r="J50" s="150">
        <v>0</v>
      </c>
      <c r="K50" s="150">
        <v>5504</v>
      </c>
      <c r="L50" s="150">
        <v>0</v>
      </c>
      <c r="M50" s="152"/>
      <c r="N50" s="152">
        <v>80</v>
      </c>
      <c r="O50" s="152"/>
      <c r="P50" s="152">
        <v>200</v>
      </c>
      <c r="Q50" s="152" t="s">
        <v>15</v>
      </c>
      <c r="R50" s="153" t="s">
        <v>12</v>
      </c>
      <c r="S50" s="153" t="s">
        <v>14</v>
      </c>
      <c r="T50" s="154"/>
      <c r="U50" s="95"/>
    </row>
    <row r="51" spans="1:21" ht="15" customHeight="1" x14ac:dyDescent="0.3">
      <c r="A51" s="142" t="s">
        <v>285</v>
      </c>
      <c r="B51" s="142" t="s">
        <v>369</v>
      </c>
      <c r="C51" s="142" t="s">
        <v>454</v>
      </c>
      <c r="D51" s="142" t="s">
        <v>457</v>
      </c>
      <c r="E51" s="143">
        <v>0</v>
      </c>
      <c r="F51" s="142" t="s">
        <v>458</v>
      </c>
      <c r="G51" s="142" t="s">
        <v>32</v>
      </c>
      <c r="H51" s="144">
        <v>0.18</v>
      </c>
      <c r="I51" s="145">
        <v>3</v>
      </c>
      <c r="J51" s="145">
        <v>0</v>
      </c>
      <c r="K51" s="145">
        <v>93279</v>
      </c>
      <c r="L51" s="145">
        <v>0</v>
      </c>
      <c r="M51" s="152"/>
      <c r="N51" s="152">
        <v>50</v>
      </c>
      <c r="O51" s="152"/>
      <c r="P51" s="152">
        <v>250</v>
      </c>
      <c r="Q51" s="152" t="s">
        <v>15</v>
      </c>
      <c r="R51" s="153" t="s">
        <v>12</v>
      </c>
      <c r="S51" s="153" t="s">
        <v>14</v>
      </c>
      <c r="T51" s="154"/>
      <c r="U51" s="95"/>
    </row>
    <row r="52" spans="1:21" ht="15" customHeight="1" x14ac:dyDescent="0.3">
      <c r="A52" s="147" t="s">
        <v>285</v>
      </c>
      <c r="B52" s="147" t="s">
        <v>334</v>
      </c>
      <c r="C52" s="147" t="s">
        <v>448</v>
      </c>
      <c r="D52" s="147" t="s">
        <v>452</v>
      </c>
      <c r="E52" s="148">
        <v>0</v>
      </c>
      <c r="F52" s="147" t="s">
        <v>459</v>
      </c>
      <c r="G52" s="147" t="s">
        <v>34</v>
      </c>
      <c r="H52" s="149">
        <v>0.2</v>
      </c>
      <c r="I52" s="150">
        <v>1</v>
      </c>
      <c r="J52" s="150">
        <v>0</v>
      </c>
      <c r="K52" s="150">
        <v>10632</v>
      </c>
      <c r="L52" s="150">
        <v>0</v>
      </c>
      <c r="M52" s="152"/>
      <c r="N52" s="152">
        <v>20</v>
      </c>
      <c r="O52" s="152"/>
      <c r="P52" s="152">
        <v>100</v>
      </c>
      <c r="Q52" s="152" t="s">
        <v>15</v>
      </c>
      <c r="R52" s="153" t="s">
        <v>12</v>
      </c>
      <c r="S52" s="153" t="s">
        <v>14</v>
      </c>
      <c r="T52" s="154"/>
      <c r="U52" s="95"/>
    </row>
    <row r="53" spans="1:21" ht="15" customHeight="1" x14ac:dyDescent="0.3">
      <c r="A53" s="142" t="s">
        <v>285</v>
      </c>
      <c r="B53" s="142" t="s">
        <v>369</v>
      </c>
      <c r="C53" s="142" t="s">
        <v>454</v>
      </c>
      <c r="D53" s="142" t="s">
        <v>457</v>
      </c>
      <c r="E53" s="143">
        <v>30</v>
      </c>
      <c r="F53" s="142" t="s">
        <v>460</v>
      </c>
      <c r="G53" s="142" t="s">
        <v>36</v>
      </c>
      <c r="H53" s="144">
        <v>0.33300000000000002</v>
      </c>
      <c r="I53" s="145">
        <v>10</v>
      </c>
      <c r="J53" s="145">
        <v>0</v>
      </c>
      <c r="K53" s="145">
        <v>263490</v>
      </c>
      <c r="L53" s="145">
        <v>0</v>
      </c>
      <c r="M53" s="152"/>
      <c r="N53" s="152">
        <v>80</v>
      </c>
      <c r="O53" s="152"/>
      <c r="P53" s="152">
        <v>200</v>
      </c>
      <c r="Q53" s="152" t="s">
        <v>15</v>
      </c>
      <c r="R53" s="153" t="s">
        <v>12</v>
      </c>
      <c r="S53" s="153" t="s">
        <v>14</v>
      </c>
      <c r="T53" s="154"/>
      <c r="U53" s="95"/>
    </row>
    <row r="54" spans="1:21" ht="15" customHeight="1" x14ac:dyDescent="0.3">
      <c r="A54" s="147" t="s">
        <v>285</v>
      </c>
      <c r="B54" s="147" t="s">
        <v>334</v>
      </c>
      <c r="C54" s="147" t="s">
        <v>448</v>
      </c>
      <c r="D54" s="147" t="s">
        <v>452</v>
      </c>
      <c r="E54" s="148">
        <v>0</v>
      </c>
      <c r="F54" s="147" t="s">
        <v>461</v>
      </c>
      <c r="G54" s="147" t="s">
        <v>238</v>
      </c>
      <c r="H54" s="149">
        <v>0.42899999999999999</v>
      </c>
      <c r="I54" s="150">
        <v>3</v>
      </c>
      <c r="J54" s="150">
        <v>21</v>
      </c>
      <c r="K54" s="150">
        <v>97584</v>
      </c>
      <c r="L54" s="150">
        <v>684652.5</v>
      </c>
      <c r="M54" s="152"/>
      <c r="N54" s="152"/>
      <c r="O54" s="152"/>
      <c r="P54" s="152">
        <v>20</v>
      </c>
      <c r="Q54" s="152" t="s">
        <v>192</v>
      </c>
      <c r="R54" s="153" t="s">
        <v>223</v>
      </c>
      <c r="S54" s="153" t="s">
        <v>225</v>
      </c>
      <c r="T54" s="154"/>
      <c r="U54" s="95"/>
    </row>
    <row r="55" spans="1:21" ht="15" customHeight="1" x14ac:dyDescent="0.3">
      <c r="A55" s="142" t="s">
        <v>285</v>
      </c>
      <c r="B55" s="142" t="s">
        <v>354</v>
      </c>
      <c r="C55" s="142" t="s">
        <v>454</v>
      </c>
      <c r="D55" s="142" t="s">
        <v>457</v>
      </c>
      <c r="E55" s="143">
        <v>0</v>
      </c>
      <c r="F55" s="142" t="s">
        <v>462</v>
      </c>
      <c r="G55" s="142" t="s">
        <v>463</v>
      </c>
      <c r="H55" s="144">
        <v>0.44400000000000001</v>
      </c>
      <c r="I55" s="145">
        <v>2</v>
      </c>
      <c r="J55" s="145">
        <v>13.5</v>
      </c>
      <c r="K55" s="145">
        <v>12014</v>
      </c>
      <c r="L55" s="145">
        <v>76848.800000000003</v>
      </c>
      <c r="M55" s="152"/>
      <c r="N55" s="152"/>
      <c r="O55" s="152"/>
      <c r="P55" s="152">
        <v>100</v>
      </c>
      <c r="Q55" s="152" t="s">
        <v>192</v>
      </c>
      <c r="R55" s="153"/>
      <c r="S55" s="153"/>
      <c r="T55" s="154"/>
      <c r="U55" s="95"/>
    </row>
    <row r="56" spans="1:21" ht="15" customHeight="1" x14ac:dyDescent="0.3">
      <c r="A56" s="147" t="s">
        <v>286</v>
      </c>
      <c r="B56" s="147" t="s">
        <v>369</v>
      </c>
      <c r="C56" s="147" t="s">
        <v>464</v>
      </c>
      <c r="D56" s="147" t="s">
        <v>465</v>
      </c>
      <c r="E56" s="148">
        <v>3</v>
      </c>
      <c r="F56" s="147" t="s">
        <v>466</v>
      </c>
      <c r="G56" s="147" t="s">
        <v>26</v>
      </c>
      <c r="H56" s="149">
        <v>2.4E-2</v>
      </c>
      <c r="I56" s="150">
        <v>6</v>
      </c>
      <c r="J56" s="150">
        <v>12</v>
      </c>
      <c r="K56" s="150">
        <v>129954</v>
      </c>
      <c r="L56" s="150">
        <v>298080</v>
      </c>
      <c r="M56" s="152"/>
      <c r="N56" s="152">
        <v>2004</v>
      </c>
      <c r="O56" s="152"/>
      <c r="P56" s="152"/>
      <c r="Q56" s="152" t="s">
        <v>15</v>
      </c>
      <c r="R56" s="153" t="s">
        <v>12</v>
      </c>
      <c r="S56" s="153" t="s">
        <v>14</v>
      </c>
      <c r="T56" s="154"/>
      <c r="U56" s="95"/>
    </row>
    <row r="57" spans="1:21" ht="15" customHeight="1" x14ac:dyDescent="0.3">
      <c r="A57" s="142" t="s">
        <v>286</v>
      </c>
      <c r="B57" s="142" t="s">
        <v>334</v>
      </c>
      <c r="C57" s="142" t="s">
        <v>464</v>
      </c>
      <c r="D57" s="142" t="s">
        <v>465</v>
      </c>
      <c r="E57" s="143">
        <v>0</v>
      </c>
      <c r="F57" s="142" t="s">
        <v>467</v>
      </c>
      <c r="G57" s="142" t="s">
        <v>30</v>
      </c>
      <c r="H57" s="144">
        <v>4.7E-2</v>
      </c>
      <c r="I57" s="145">
        <v>5</v>
      </c>
      <c r="J57" s="145">
        <v>0</v>
      </c>
      <c r="K57" s="145">
        <v>108530</v>
      </c>
      <c r="L57" s="145">
        <v>0</v>
      </c>
      <c r="M57" s="152"/>
      <c r="N57" s="152">
        <v>1002</v>
      </c>
      <c r="O57" s="152"/>
      <c r="P57" s="152"/>
      <c r="Q57" s="152" t="s">
        <v>15</v>
      </c>
      <c r="R57" s="153" t="s">
        <v>12</v>
      </c>
      <c r="S57" s="153" t="s">
        <v>14</v>
      </c>
      <c r="T57" s="154"/>
      <c r="U57" s="95"/>
    </row>
    <row r="58" spans="1:21" ht="15" customHeight="1" x14ac:dyDescent="0.3">
      <c r="A58" s="147" t="s">
        <v>288</v>
      </c>
      <c r="B58" s="147" t="s">
        <v>334</v>
      </c>
      <c r="C58" s="147" t="s">
        <v>468</v>
      </c>
      <c r="D58" s="147" t="s">
        <v>469</v>
      </c>
      <c r="E58" s="148">
        <v>0</v>
      </c>
      <c r="F58" s="147" t="s">
        <v>470</v>
      </c>
      <c r="G58" s="147" t="s">
        <v>471</v>
      </c>
      <c r="H58" s="149">
        <v>0.28599999999999998</v>
      </c>
      <c r="I58" s="150">
        <v>2</v>
      </c>
      <c r="J58" s="150">
        <v>21</v>
      </c>
      <c r="K58" s="150">
        <v>13766</v>
      </c>
      <c r="L58" s="150">
        <v>138234.6</v>
      </c>
      <c r="M58" s="150"/>
      <c r="N58" s="150"/>
      <c r="O58" s="150"/>
      <c r="P58" s="150"/>
      <c r="Q58" s="150" t="s">
        <v>339</v>
      </c>
      <c r="R58" s="148"/>
      <c r="S58" s="148"/>
      <c r="T58" s="151"/>
      <c r="U58" s="95"/>
    </row>
    <row r="59" spans="1:21" ht="15" customHeight="1" x14ac:dyDescent="0.3">
      <c r="A59" s="216"/>
      <c r="B59" s="216"/>
      <c r="C59" s="216"/>
      <c r="D59" s="216"/>
      <c r="E59" s="217"/>
      <c r="F59" s="216"/>
      <c r="G59" s="216"/>
      <c r="H59" s="218"/>
      <c r="I59" s="219"/>
      <c r="J59" s="219"/>
      <c r="K59" s="219"/>
      <c r="L59" s="219"/>
      <c r="M59" s="219"/>
      <c r="N59" s="219"/>
      <c r="O59" s="219"/>
      <c r="P59" s="219"/>
      <c r="Q59" s="219"/>
      <c r="R59" s="217"/>
      <c r="S59" s="217"/>
      <c r="T59" s="220"/>
      <c r="U59" s="95"/>
    </row>
    <row r="60" spans="1:21" ht="15" customHeight="1" x14ac:dyDescent="0.3">
      <c r="A60" s="155"/>
      <c r="B60" s="155"/>
      <c r="C60" s="155"/>
      <c r="D60" s="155"/>
      <c r="E60" s="156"/>
      <c r="F60" s="155"/>
      <c r="G60" s="155"/>
      <c r="H60" s="157"/>
      <c r="I60" s="158"/>
      <c r="J60" s="158"/>
      <c r="K60" s="158"/>
      <c r="L60" s="158"/>
      <c r="M60" s="158"/>
      <c r="N60" s="158"/>
      <c r="O60" s="158"/>
      <c r="P60" s="158"/>
      <c r="Q60" s="158"/>
      <c r="R60" s="156"/>
      <c r="S60" s="156"/>
      <c r="T60" s="159"/>
      <c r="U60" s="95"/>
    </row>
    <row r="61" spans="1:21" ht="15" customHeight="1" x14ac:dyDescent="0.3">
      <c r="A61" s="155"/>
      <c r="B61" s="155"/>
      <c r="C61" s="155"/>
      <c r="D61" s="155"/>
      <c r="E61" s="156"/>
      <c r="F61" s="155"/>
      <c r="G61" s="155"/>
      <c r="H61" s="157"/>
      <c r="I61" s="158"/>
      <c r="J61" s="158"/>
      <c r="K61" s="158"/>
      <c r="L61" s="158"/>
      <c r="M61" s="158"/>
      <c r="N61" s="158"/>
      <c r="O61" s="158"/>
      <c r="P61" s="158"/>
      <c r="Q61" s="158"/>
      <c r="R61" s="156"/>
      <c r="S61" s="156"/>
      <c r="T61" s="159"/>
      <c r="U61" s="95"/>
    </row>
    <row r="62" spans="1:21" ht="15" customHeight="1" x14ac:dyDescent="0.3">
      <c r="A62" s="155"/>
      <c r="B62" s="155"/>
      <c r="C62" s="155"/>
      <c r="D62" s="155"/>
      <c r="E62" s="156"/>
      <c r="F62" s="155"/>
      <c r="G62" s="155"/>
      <c r="H62" s="157"/>
      <c r="I62" s="158"/>
      <c r="J62" s="158"/>
      <c r="K62" s="158"/>
      <c r="L62" s="158"/>
      <c r="M62" s="158"/>
      <c r="N62" s="158"/>
      <c r="O62" s="158"/>
      <c r="P62" s="158"/>
      <c r="Q62" s="158"/>
      <c r="R62" s="156"/>
      <c r="S62" s="156"/>
      <c r="T62" s="159"/>
      <c r="U62" s="95"/>
    </row>
    <row r="63" spans="1:21" ht="15" customHeight="1" x14ac:dyDescent="0.3">
      <c r="A63" s="155"/>
      <c r="B63" s="155"/>
      <c r="C63" s="155"/>
      <c r="D63" s="155"/>
      <c r="E63" s="156"/>
      <c r="F63" s="155"/>
      <c r="G63" s="155"/>
      <c r="H63" s="157"/>
      <c r="I63" s="158"/>
      <c r="J63" s="158"/>
      <c r="K63" s="158"/>
      <c r="L63" s="158"/>
      <c r="M63" s="158"/>
      <c r="N63" s="158"/>
      <c r="O63" s="158"/>
      <c r="P63" s="158"/>
      <c r="Q63" s="158"/>
      <c r="R63" s="156"/>
      <c r="S63" s="156"/>
      <c r="T63" s="159"/>
      <c r="U63" s="95"/>
    </row>
    <row r="64" spans="1:21" ht="15" customHeight="1" x14ac:dyDescent="0.3">
      <c r="A64" s="155"/>
      <c r="B64" s="155"/>
      <c r="C64" s="155"/>
      <c r="D64" s="155"/>
      <c r="E64" s="156"/>
      <c r="F64" s="155"/>
      <c r="G64" s="155"/>
      <c r="H64" s="157"/>
      <c r="I64" s="158"/>
      <c r="J64" s="158"/>
      <c r="K64" s="158"/>
      <c r="L64" s="158"/>
      <c r="M64" s="158"/>
      <c r="N64" s="158"/>
      <c r="O64" s="158"/>
      <c r="P64" s="158"/>
      <c r="Q64" s="158"/>
      <c r="R64" s="156"/>
      <c r="S64" s="156"/>
      <c r="T64" s="159"/>
      <c r="U64" s="95"/>
    </row>
    <row r="65" spans="1:21" ht="15" customHeight="1" x14ac:dyDescent="0.3">
      <c r="A65" s="155"/>
      <c r="B65" s="155"/>
      <c r="C65" s="155"/>
      <c r="D65" s="155"/>
      <c r="E65" s="156"/>
      <c r="F65" s="155"/>
      <c r="G65" s="155"/>
      <c r="H65" s="157"/>
      <c r="I65" s="158"/>
      <c r="J65" s="158"/>
      <c r="K65" s="158"/>
      <c r="L65" s="158"/>
      <c r="M65" s="158"/>
      <c r="N65" s="158"/>
      <c r="O65" s="158"/>
      <c r="P65" s="158"/>
      <c r="Q65" s="158"/>
      <c r="R65" s="156"/>
      <c r="S65" s="156"/>
      <c r="T65" s="159"/>
      <c r="U65" s="95"/>
    </row>
    <row r="66" spans="1:21" ht="15" customHeight="1" x14ac:dyDescent="0.3">
      <c r="A66" s="155"/>
      <c r="B66" s="155"/>
      <c r="C66" s="155"/>
      <c r="D66" s="155"/>
      <c r="E66" s="156"/>
      <c r="F66" s="155"/>
      <c r="G66" s="155"/>
      <c r="H66" s="157"/>
      <c r="I66" s="158"/>
      <c r="J66" s="158"/>
      <c r="K66" s="158"/>
      <c r="L66" s="158"/>
      <c r="M66" s="158"/>
      <c r="N66" s="158"/>
      <c r="O66" s="158"/>
      <c r="P66" s="158"/>
      <c r="Q66" s="158"/>
      <c r="R66" s="156"/>
      <c r="S66" s="156"/>
      <c r="T66" s="159"/>
      <c r="U66" s="95"/>
    </row>
    <row r="67" spans="1:21" ht="15" customHeight="1" x14ac:dyDescent="0.3">
      <c r="A67" s="155"/>
      <c r="B67" s="155"/>
      <c r="C67" s="155"/>
      <c r="D67" s="155"/>
      <c r="E67" s="156"/>
      <c r="F67" s="155"/>
      <c r="G67" s="155"/>
      <c r="H67" s="157"/>
      <c r="I67" s="158"/>
      <c r="J67" s="158"/>
      <c r="K67" s="158"/>
      <c r="L67" s="158"/>
      <c r="M67" s="158"/>
      <c r="N67" s="158"/>
      <c r="O67" s="158"/>
      <c r="P67" s="158"/>
      <c r="Q67" s="158"/>
      <c r="R67" s="156"/>
      <c r="S67" s="156"/>
      <c r="T67" s="159"/>
      <c r="U67" s="95"/>
    </row>
    <row r="68" spans="1:21" ht="15" customHeight="1" x14ac:dyDescent="0.3">
      <c r="A68" s="112"/>
      <c r="B68" s="112"/>
      <c r="C68" s="112"/>
      <c r="D68" s="112"/>
      <c r="E68" s="113"/>
      <c r="F68" s="112"/>
      <c r="G68" s="112"/>
      <c r="H68" s="114"/>
      <c r="I68" s="115"/>
      <c r="J68" s="115"/>
      <c r="K68" s="115"/>
      <c r="L68" s="115"/>
      <c r="M68" s="115"/>
      <c r="N68" s="115"/>
      <c r="O68" s="115"/>
      <c r="P68" s="115"/>
      <c r="Q68" s="115"/>
      <c r="R68" s="113"/>
      <c r="S68" s="113"/>
      <c r="T68" s="116"/>
      <c r="U68" s="95"/>
    </row>
    <row r="69" spans="1:21" ht="15" customHeight="1" x14ac:dyDescent="0.3">
      <c r="A69" s="112"/>
      <c r="B69" s="112"/>
      <c r="C69" s="112"/>
      <c r="D69" s="112"/>
      <c r="E69" s="113"/>
      <c r="F69" s="112"/>
      <c r="G69" s="112"/>
      <c r="H69" s="114"/>
      <c r="I69" s="115"/>
      <c r="J69" s="115"/>
      <c r="K69" s="115"/>
      <c r="L69" s="115"/>
      <c r="M69" s="115"/>
      <c r="N69" s="115"/>
      <c r="O69" s="115"/>
      <c r="P69" s="115"/>
      <c r="Q69" s="115"/>
      <c r="R69" s="113"/>
      <c r="S69" s="113"/>
      <c r="T69" s="116"/>
      <c r="U69" s="95"/>
    </row>
    <row r="70" spans="1:21" ht="15" customHeight="1" x14ac:dyDescent="0.3">
      <c r="A70" s="112"/>
      <c r="B70" s="112"/>
      <c r="C70" s="112"/>
      <c r="D70" s="112"/>
      <c r="E70" s="113"/>
      <c r="F70" s="112"/>
      <c r="G70" s="112"/>
      <c r="H70" s="114"/>
      <c r="I70" s="115"/>
      <c r="J70" s="115"/>
      <c r="K70" s="115"/>
      <c r="L70" s="115"/>
      <c r="M70" s="115"/>
      <c r="N70" s="115"/>
      <c r="O70" s="115"/>
      <c r="P70" s="115"/>
      <c r="Q70" s="115"/>
      <c r="R70" s="113"/>
      <c r="S70" s="113"/>
      <c r="T70" s="116"/>
    </row>
    <row r="71" spans="1:21" ht="15" customHeight="1" x14ac:dyDescent="0.3">
      <c r="A71" s="112"/>
      <c r="B71" s="112"/>
      <c r="C71" s="112"/>
      <c r="D71" s="112"/>
      <c r="E71" s="113"/>
      <c r="F71" s="112"/>
      <c r="G71" s="112"/>
      <c r="H71" s="114"/>
      <c r="I71" s="115"/>
      <c r="J71" s="115"/>
      <c r="K71" s="115"/>
      <c r="L71" s="115"/>
      <c r="M71" s="115"/>
      <c r="N71" s="115"/>
      <c r="O71" s="115"/>
      <c r="P71" s="115"/>
      <c r="Q71" s="115"/>
      <c r="R71" s="113"/>
      <c r="S71" s="113"/>
      <c r="T71" s="116"/>
    </row>
    <row r="72" spans="1:21" ht="15" customHeight="1" x14ac:dyDescent="0.3">
      <c r="A72" s="112"/>
      <c r="B72" s="112"/>
      <c r="C72" s="112"/>
      <c r="D72" s="112"/>
      <c r="E72" s="113"/>
      <c r="F72" s="112"/>
      <c r="G72" s="112"/>
      <c r="H72" s="114"/>
      <c r="I72" s="115"/>
      <c r="J72" s="115"/>
      <c r="K72" s="115"/>
      <c r="L72" s="115"/>
      <c r="M72" s="115"/>
      <c r="N72" s="115"/>
      <c r="O72" s="115"/>
      <c r="P72" s="115"/>
      <c r="Q72" s="115"/>
      <c r="R72" s="113"/>
      <c r="S72" s="113"/>
      <c r="T72" s="116"/>
    </row>
    <row r="73" spans="1:21" ht="15" customHeight="1" x14ac:dyDescent="0.3">
      <c r="A73" s="112"/>
      <c r="B73" s="112"/>
      <c r="C73" s="112"/>
      <c r="D73" s="112"/>
      <c r="E73" s="113"/>
      <c r="F73" s="112"/>
      <c r="G73" s="112"/>
      <c r="H73" s="114"/>
      <c r="I73" s="115"/>
      <c r="J73" s="115"/>
      <c r="K73" s="115"/>
      <c r="L73" s="115"/>
      <c r="M73" s="115"/>
      <c r="N73" s="115"/>
      <c r="O73" s="115"/>
      <c r="P73" s="115"/>
      <c r="Q73" s="115"/>
      <c r="R73" s="113"/>
      <c r="S73" s="113"/>
      <c r="T73" s="116"/>
    </row>
    <row r="74" spans="1:21" ht="15" customHeight="1" x14ac:dyDescent="0.3">
      <c r="A74" s="112"/>
      <c r="B74" s="112"/>
      <c r="C74" s="112"/>
      <c r="D74" s="112"/>
      <c r="E74" s="113"/>
      <c r="F74" s="112"/>
      <c r="G74" s="112"/>
      <c r="H74" s="114"/>
      <c r="I74" s="115"/>
      <c r="J74" s="115"/>
      <c r="K74" s="115"/>
      <c r="L74" s="115"/>
      <c r="M74" s="115"/>
      <c r="N74" s="115"/>
      <c r="O74" s="115"/>
      <c r="P74" s="115"/>
      <c r="Q74" s="115"/>
      <c r="R74" s="113"/>
      <c r="S74" s="113"/>
      <c r="T74" s="116"/>
    </row>
    <row r="75" spans="1:21" ht="15" customHeight="1" x14ac:dyDescent="0.3">
      <c r="A75" s="112"/>
      <c r="B75" s="112"/>
      <c r="C75" s="112"/>
      <c r="D75" s="112"/>
      <c r="E75" s="113"/>
      <c r="F75" s="112"/>
      <c r="G75" s="112"/>
      <c r="H75" s="114"/>
      <c r="I75" s="115"/>
      <c r="J75" s="115"/>
      <c r="K75" s="115"/>
      <c r="L75" s="115"/>
      <c r="M75" s="115"/>
      <c r="N75" s="115"/>
      <c r="O75" s="115"/>
      <c r="P75" s="115"/>
      <c r="Q75" s="115"/>
      <c r="R75" s="113"/>
      <c r="S75" s="113"/>
      <c r="T75" s="116"/>
    </row>
    <row r="76" spans="1:21" ht="15" customHeight="1" x14ac:dyDescent="0.3">
      <c r="A76" s="112"/>
      <c r="B76" s="112"/>
      <c r="C76" s="112"/>
      <c r="D76" s="112"/>
      <c r="E76" s="113"/>
      <c r="F76" s="112"/>
      <c r="G76" s="112"/>
      <c r="H76" s="114"/>
      <c r="I76" s="115"/>
      <c r="J76" s="115"/>
      <c r="K76" s="115"/>
      <c r="L76" s="115"/>
      <c r="M76" s="115"/>
      <c r="N76" s="115"/>
      <c r="O76" s="115"/>
      <c r="P76" s="115"/>
      <c r="Q76" s="115"/>
      <c r="R76" s="113"/>
      <c r="S76" s="113"/>
      <c r="T76" s="116"/>
    </row>
    <row r="77" spans="1:21" ht="15" customHeight="1" x14ac:dyDescent="0.3">
      <c r="A77" s="91"/>
      <c r="B77" s="91"/>
      <c r="C77" s="91"/>
      <c r="D77" s="91"/>
      <c r="E77" s="92"/>
      <c r="F77" s="91"/>
      <c r="G77" s="91"/>
      <c r="H77" s="93"/>
      <c r="I77" s="94"/>
      <c r="J77" s="94"/>
      <c r="K77" s="94"/>
      <c r="L77" s="94"/>
      <c r="M77" s="94"/>
      <c r="N77" s="94"/>
      <c r="O77" s="94"/>
      <c r="P77" s="94"/>
      <c r="Q77" s="94"/>
      <c r="R77" s="92"/>
      <c r="S77" s="92"/>
      <c r="T77" s="95"/>
    </row>
    <row r="78" spans="1:21" ht="15" customHeight="1" x14ac:dyDescent="0.3">
      <c r="A78" s="91"/>
      <c r="B78" s="91"/>
      <c r="C78" s="91"/>
      <c r="D78" s="91"/>
      <c r="E78" s="92"/>
      <c r="F78" s="91"/>
      <c r="G78" s="91"/>
      <c r="H78" s="93"/>
      <c r="I78" s="94"/>
      <c r="J78" s="94"/>
      <c r="K78" s="94"/>
      <c r="L78" s="94"/>
      <c r="M78" s="94"/>
      <c r="N78" s="94"/>
      <c r="O78" s="94"/>
      <c r="P78" s="94"/>
      <c r="Q78" s="94"/>
      <c r="R78" s="92"/>
      <c r="S78" s="92"/>
      <c r="T78" s="95"/>
    </row>
    <row r="79" spans="1:21" ht="15" customHeight="1" x14ac:dyDescent="0.3">
      <c r="A79" s="91"/>
      <c r="B79" s="91"/>
      <c r="C79" s="91"/>
      <c r="D79" s="91"/>
      <c r="E79" s="92"/>
      <c r="F79" s="91"/>
      <c r="G79" s="91"/>
      <c r="H79" s="93"/>
      <c r="I79" s="94"/>
      <c r="J79" s="94"/>
      <c r="K79" s="94"/>
      <c r="L79" s="94"/>
      <c r="M79" s="94"/>
      <c r="N79" s="94"/>
      <c r="O79" s="94"/>
      <c r="P79" s="94"/>
      <c r="Q79" s="94"/>
      <c r="R79" s="92"/>
      <c r="S79" s="92"/>
      <c r="T79" s="95"/>
    </row>
    <row r="80" spans="1:21" ht="15" customHeight="1" x14ac:dyDescent="0.3">
      <c r="A80" s="91"/>
      <c r="B80" s="91"/>
      <c r="C80" s="91"/>
      <c r="D80" s="91"/>
      <c r="E80" s="92"/>
      <c r="F80" s="91"/>
      <c r="G80" s="91"/>
      <c r="H80" s="93"/>
      <c r="I80" s="94"/>
      <c r="J80" s="94"/>
      <c r="K80" s="94"/>
      <c r="L80" s="94"/>
      <c r="M80" s="94"/>
      <c r="N80" s="94"/>
      <c r="O80" s="94"/>
      <c r="P80" s="94"/>
      <c r="Q80" s="94"/>
      <c r="R80" s="92"/>
      <c r="S80" s="92"/>
      <c r="T80" s="95"/>
    </row>
    <row r="81" spans="1:20" ht="15" customHeight="1" x14ac:dyDescent="0.3">
      <c r="A81" s="91"/>
      <c r="B81" s="91"/>
      <c r="C81" s="91"/>
      <c r="D81" s="91"/>
      <c r="E81" s="92"/>
      <c r="F81" s="91"/>
      <c r="G81" s="91"/>
      <c r="H81" s="93"/>
      <c r="I81" s="94"/>
      <c r="J81" s="94"/>
      <c r="K81" s="94"/>
      <c r="L81" s="94"/>
      <c r="M81" s="94"/>
      <c r="N81" s="94"/>
      <c r="O81" s="94"/>
      <c r="P81" s="94"/>
      <c r="Q81" s="94"/>
      <c r="R81" s="92"/>
      <c r="S81" s="92"/>
      <c r="T81" s="95"/>
    </row>
    <row r="82" spans="1:20" ht="15" customHeight="1" x14ac:dyDescent="0.3">
      <c r="A82" s="91"/>
      <c r="B82" s="91"/>
      <c r="C82" s="91"/>
      <c r="D82" s="91"/>
      <c r="E82" s="92"/>
      <c r="F82" s="91"/>
      <c r="G82" s="91"/>
      <c r="H82" s="93"/>
      <c r="I82" s="94"/>
      <c r="J82" s="94"/>
      <c r="K82" s="94"/>
      <c r="L82" s="94"/>
      <c r="M82" s="94"/>
      <c r="N82" s="94"/>
      <c r="O82" s="94"/>
      <c r="P82" s="94"/>
      <c r="Q82" s="94"/>
      <c r="R82" s="92"/>
      <c r="S82" s="92"/>
      <c r="T82" s="95"/>
    </row>
    <row r="83" spans="1:20" ht="15" customHeight="1" x14ac:dyDescent="0.3">
      <c r="A83" s="91"/>
      <c r="B83" s="91"/>
      <c r="C83" s="91"/>
      <c r="D83" s="91"/>
      <c r="E83" s="92"/>
      <c r="F83" s="91"/>
      <c r="G83" s="91"/>
      <c r="H83" s="93"/>
      <c r="I83" s="94"/>
      <c r="J83" s="94"/>
      <c r="K83" s="94"/>
      <c r="L83" s="94"/>
      <c r="M83" s="94"/>
      <c r="N83" s="94"/>
      <c r="O83" s="94"/>
      <c r="P83" s="94"/>
      <c r="Q83" s="94"/>
      <c r="R83" s="92"/>
      <c r="S83" s="92"/>
      <c r="T83" s="95"/>
    </row>
    <row r="84" spans="1:20" ht="15" customHeight="1" x14ac:dyDescent="0.3">
      <c r="A84" s="91"/>
      <c r="B84" s="91"/>
      <c r="C84" s="91"/>
      <c r="D84" s="91"/>
      <c r="E84" s="92"/>
      <c r="F84" s="91"/>
      <c r="G84" s="91"/>
      <c r="H84" s="93"/>
      <c r="I84" s="94"/>
      <c r="J84" s="94"/>
      <c r="K84" s="94"/>
      <c r="L84" s="94"/>
      <c r="M84" s="94"/>
      <c r="N84" s="94"/>
      <c r="O84" s="94"/>
      <c r="P84" s="94"/>
      <c r="Q84" s="94"/>
      <c r="R84" s="92"/>
      <c r="S84" s="92"/>
      <c r="T84" s="95"/>
    </row>
    <row r="85" spans="1:20" ht="15" customHeight="1" x14ac:dyDescent="0.3">
      <c r="A85" s="91"/>
      <c r="B85" s="91"/>
      <c r="C85" s="91"/>
      <c r="D85" s="91"/>
      <c r="E85" s="92"/>
      <c r="F85" s="91"/>
      <c r="G85" s="91"/>
      <c r="H85" s="93"/>
      <c r="I85" s="94"/>
      <c r="J85" s="94"/>
      <c r="K85" s="94"/>
      <c r="L85" s="94"/>
      <c r="M85" s="94"/>
      <c r="N85" s="94"/>
      <c r="O85" s="94"/>
      <c r="P85" s="94"/>
      <c r="Q85" s="94"/>
      <c r="R85" s="92"/>
      <c r="S85" s="92"/>
      <c r="T85" s="95"/>
    </row>
    <row r="86" spans="1:20" ht="15" customHeight="1" x14ac:dyDescent="0.3">
      <c r="A86" s="91"/>
      <c r="B86" s="91"/>
      <c r="C86" s="91"/>
      <c r="D86" s="91"/>
      <c r="E86" s="92"/>
      <c r="F86" s="91"/>
      <c r="G86" s="91"/>
      <c r="H86" s="93"/>
      <c r="I86" s="94"/>
      <c r="J86" s="94"/>
      <c r="K86" s="94"/>
      <c r="L86" s="94"/>
      <c r="M86" s="94"/>
      <c r="N86" s="94"/>
      <c r="O86" s="94"/>
      <c r="P86" s="94"/>
      <c r="Q86" s="94"/>
      <c r="R86" s="92"/>
      <c r="S86" s="92"/>
      <c r="T86" s="95"/>
    </row>
    <row r="87" spans="1:20" ht="15" customHeight="1" x14ac:dyDescent="0.3">
      <c r="A87" s="91"/>
      <c r="B87" s="91"/>
      <c r="C87" s="91"/>
      <c r="D87" s="91"/>
      <c r="E87" s="92"/>
      <c r="F87" s="91"/>
      <c r="G87" s="91"/>
      <c r="H87" s="93"/>
      <c r="I87" s="94"/>
      <c r="J87" s="94"/>
      <c r="K87" s="94"/>
      <c r="L87" s="94"/>
      <c r="M87" s="94"/>
      <c r="N87" s="94"/>
      <c r="O87" s="94"/>
      <c r="P87" s="94"/>
      <c r="Q87" s="94"/>
      <c r="R87" s="92"/>
      <c r="S87" s="92"/>
      <c r="T87" s="95"/>
    </row>
    <row r="88" spans="1:20" ht="15" customHeight="1" x14ac:dyDescent="0.3">
      <c r="A88" s="91"/>
      <c r="B88" s="91"/>
      <c r="C88" s="91"/>
      <c r="D88" s="91"/>
      <c r="E88" s="92"/>
      <c r="F88" s="91"/>
      <c r="G88" s="91"/>
      <c r="H88" s="93"/>
      <c r="I88" s="94"/>
      <c r="J88" s="94"/>
      <c r="K88" s="94"/>
      <c r="L88" s="94"/>
      <c r="M88" s="94"/>
      <c r="N88" s="94"/>
      <c r="O88" s="94"/>
      <c r="P88" s="94"/>
      <c r="Q88" s="94"/>
      <c r="R88" s="92"/>
      <c r="S88" s="92"/>
      <c r="T88" s="95"/>
    </row>
    <row r="89" spans="1:20" ht="15" customHeight="1" x14ac:dyDescent="0.3">
      <c r="A89" s="91"/>
      <c r="B89" s="91"/>
      <c r="C89" s="91"/>
      <c r="D89" s="91"/>
      <c r="E89" s="92"/>
      <c r="F89" s="91"/>
      <c r="G89" s="91"/>
      <c r="H89" s="93"/>
      <c r="I89" s="94"/>
      <c r="J89" s="94"/>
      <c r="K89" s="94"/>
      <c r="L89" s="94"/>
      <c r="M89" s="94"/>
      <c r="N89" s="94"/>
      <c r="O89" s="94"/>
      <c r="P89" s="94"/>
      <c r="Q89" s="94"/>
      <c r="R89" s="92"/>
      <c r="S89" s="92"/>
      <c r="T89" s="95"/>
    </row>
    <row r="90" spans="1:20" ht="15" customHeight="1" x14ac:dyDescent="0.3">
      <c r="A90" s="91"/>
      <c r="B90" s="91"/>
      <c r="C90" s="91"/>
      <c r="D90" s="91"/>
      <c r="E90" s="92"/>
      <c r="F90" s="91"/>
      <c r="G90" s="91"/>
      <c r="H90" s="93"/>
      <c r="I90" s="94"/>
      <c r="J90" s="94"/>
      <c r="K90" s="94"/>
      <c r="L90" s="94"/>
      <c r="M90" s="94"/>
      <c r="N90" s="94"/>
      <c r="O90" s="94"/>
      <c r="P90" s="94"/>
      <c r="Q90" s="94"/>
      <c r="R90" s="92"/>
      <c r="S90" s="92"/>
      <c r="T90" s="95"/>
    </row>
    <row r="91" spans="1:20" ht="15" customHeight="1" x14ac:dyDescent="0.3">
      <c r="A91" s="91"/>
      <c r="B91" s="91"/>
      <c r="C91" s="91"/>
      <c r="D91" s="91"/>
      <c r="E91" s="92"/>
      <c r="F91" s="91"/>
      <c r="G91" s="91"/>
      <c r="H91" s="93"/>
      <c r="I91" s="94"/>
      <c r="J91" s="94"/>
      <c r="K91" s="94"/>
      <c r="L91" s="94"/>
      <c r="M91" s="94"/>
      <c r="N91" s="94"/>
      <c r="O91" s="94"/>
      <c r="P91" s="94"/>
      <c r="Q91" s="94"/>
      <c r="R91" s="92"/>
      <c r="S91" s="92"/>
      <c r="T91" s="95"/>
    </row>
    <row r="92" spans="1:20" ht="15" customHeight="1" x14ac:dyDescent="0.3">
      <c r="A92" s="91"/>
      <c r="B92" s="91"/>
      <c r="C92" s="91"/>
      <c r="D92" s="91"/>
      <c r="E92" s="92"/>
      <c r="F92" s="91"/>
      <c r="G92" s="91"/>
      <c r="H92" s="93"/>
      <c r="I92" s="94"/>
      <c r="J92" s="94"/>
      <c r="K92" s="94"/>
      <c r="L92" s="94"/>
      <c r="M92" s="94"/>
      <c r="N92" s="94"/>
      <c r="O92" s="94"/>
      <c r="P92" s="94"/>
      <c r="Q92" s="94"/>
      <c r="R92" s="92"/>
      <c r="S92" s="92"/>
      <c r="T92" s="95"/>
    </row>
    <row r="93" spans="1:20" ht="15" customHeight="1" x14ac:dyDescent="0.3">
      <c r="A93" s="91"/>
      <c r="B93" s="91"/>
      <c r="C93" s="91"/>
      <c r="D93" s="91"/>
      <c r="E93" s="92"/>
      <c r="F93" s="91"/>
      <c r="G93" s="91"/>
      <c r="H93" s="93"/>
      <c r="I93" s="94"/>
      <c r="J93" s="94"/>
      <c r="K93" s="94"/>
      <c r="L93" s="94"/>
      <c r="M93" s="94"/>
      <c r="N93" s="94"/>
      <c r="O93" s="94"/>
      <c r="P93" s="94"/>
      <c r="Q93" s="94"/>
      <c r="R93" s="92"/>
      <c r="S93" s="92"/>
      <c r="T93" s="95"/>
    </row>
    <row r="94" spans="1:20" ht="15" customHeight="1" x14ac:dyDescent="0.3">
      <c r="A94" s="91"/>
      <c r="B94" s="91"/>
      <c r="C94" s="91"/>
      <c r="D94" s="91"/>
      <c r="E94" s="92"/>
      <c r="F94" s="91"/>
      <c r="G94" s="91"/>
      <c r="H94" s="93"/>
      <c r="I94" s="94"/>
      <c r="J94" s="94"/>
      <c r="K94" s="94"/>
      <c r="L94" s="94"/>
      <c r="M94" s="94"/>
      <c r="N94" s="94"/>
      <c r="O94" s="94"/>
      <c r="P94" s="94"/>
      <c r="Q94" s="94"/>
      <c r="R94" s="92"/>
      <c r="S94" s="92"/>
      <c r="T94" s="95"/>
    </row>
    <row r="95" spans="1:20" ht="15" customHeight="1" x14ac:dyDescent="0.3">
      <c r="A95" s="24"/>
      <c r="B95" s="24"/>
      <c r="C95" s="24"/>
      <c r="D95" s="24"/>
      <c r="E95" s="35"/>
      <c r="F95" s="35"/>
      <c r="G95" s="24"/>
      <c r="H95" s="42"/>
      <c r="I95" s="43"/>
      <c r="J95" s="43"/>
      <c r="K95" s="43"/>
      <c r="L95" s="43"/>
      <c r="M95" s="44"/>
      <c r="N95" s="45"/>
      <c r="O95" s="44"/>
      <c r="P95" s="46"/>
      <c r="Q95" s="46"/>
      <c r="R95" s="46"/>
      <c r="S95" s="24"/>
    </row>
    <row r="96" spans="1:20" ht="15" customHeight="1" x14ac:dyDescent="0.3">
      <c r="A96" s="24"/>
      <c r="B96" s="24"/>
      <c r="C96" s="24"/>
      <c r="D96" s="24"/>
      <c r="E96" s="35"/>
      <c r="F96" s="35"/>
      <c r="G96" s="24"/>
      <c r="H96" s="42"/>
      <c r="I96" s="43"/>
      <c r="J96" s="43"/>
      <c r="K96" s="43"/>
      <c r="L96" s="43"/>
      <c r="M96" s="45"/>
      <c r="N96" s="44"/>
      <c r="O96" s="44"/>
      <c r="P96" s="46"/>
      <c r="Q96" s="46"/>
      <c r="R96" s="46"/>
      <c r="S96" s="24"/>
    </row>
    <row r="97" spans="1:19" ht="15" customHeight="1" x14ac:dyDescent="0.3">
      <c r="A97" s="24"/>
      <c r="B97" s="24"/>
      <c r="C97" s="24"/>
      <c r="D97" s="24"/>
      <c r="E97" s="35"/>
      <c r="F97" s="35"/>
      <c r="G97" s="24"/>
      <c r="H97" s="42"/>
      <c r="I97" s="43"/>
      <c r="J97" s="43"/>
      <c r="K97" s="43"/>
      <c r="L97" s="43"/>
      <c r="M97" s="44"/>
      <c r="N97" s="44"/>
      <c r="O97" s="44"/>
      <c r="P97" s="48"/>
      <c r="Q97" s="50"/>
      <c r="R97" s="50"/>
      <c r="S97" s="24"/>
    </row>
    <row r="98" spans="1:19" ht="15" customHeight="1" x14ac:dyDescent="0.3">
      <c r="A98" s="24"/>
      <c r="B98" s="24"/>
      <c r="C98" s="24"/>
      <c r="D98" s="24"/>
      <c r="E98" s="35"/>
      <c r="F98" s="35"/>
      <c r="G98" s="24"/>
      <c r="H98" s="49"/>
      <c r="I98" s="43"/>
      <c r="J98" s="43"/>
      <c r="K98" s="43"/>
      <c r="L98" s="43"/>
      <c r="M98" s="44"/>
      <c r="N98" s="44"/>
      <c r="O98" s="44"/>
      <c r="P98" s="48"/>
      <c r="Q98" s="50"/>
      <c r="R98" s="50"/>
      <c r="S98" s="24"/>
    </row>
    <row r="99" spans="1:19" ht="15" customHeight="1" x14ac:dyDescent="0.3">
      <c r="A99" s="24"/>
      <c r="B99" s="24"/>
      <c r="C99" s="24"/>
      <c r="D99" s="24"/>
      <c r="E99" s="35"/>
      <c r="F99" s="35"/>
      <c r="G99" s="24"/>
      <c r="H99" s="42"/>
      <c r="I99" s="43"/>
      <c r="J99" s="43"/>
      <c r="K99" s="43"/>
      <c r="L99" s="43"/>
      <c r="M99" s="44"/>
      <c r="N99" s="45"/>
      <c r="O99" s="44"/>
      <c r="P99" s="46"/>
      <c r="Q99" s="47"/>
      <c r="R99" s="47"/>
      <c r="S99" s="48"/>
    </row>
    <row r="100" spans="1:19" ht="15" customHeight="1" x14ac:dyDescent="0.3">
      <c r="A100" s="24"/>
      <c r="B100" s="24"/>
      <c r="C100" s="24"/>
      <c r="D100" s="24"/>
      <c r="E100" s="35"/>
      <c r="F100" s="35"/>
      <c r="G100" s="24"/>
      <c r="H100" s="42"/>
      <c r="I100" s="43"/>
      <c r="J100" s="43"/>
      <c r="K100" s="43"/>
      <c r="L100" s="43"/>
      <c r="M100" s="44"/>
      <c r="N100" s="44"/>
      <c r="O100" s="45"/>
      <c r="P100" s="46"/>
      <c r="Q100" s="46"/>
      <c r="R100" s="46"/>
      <c r="S100" s="24"/>
    </row>
    <row r="101" spans="1:19" ht="15" customHeight="1" x14ac:dyDescent="0.3">
      <c r="A101" s="24"/>
      <c r="B101" s="24"/>
      <c r="C101" s="24"/>
      <c r="D101" s="24"/>
      <c r="E101" s="35"/>
      <c r="F101" s="35"/>
      <c r="G101" s="24"/>
      <c r="H101" s="42"/>
      <c r="I101" s="43"/>
      <c r="J101" s="43"/>
      <c r="K101" s="43"/>
      <c r="L101" s="43"/>
      <c r="M101" s="44"/>
      <c r="N101" s="44"/>
      <c r="O101" s="45"/>
      <c r="P101" s="46"/>
      <c r="Q101" s="46"/>
      <c r="R101" s="46"/>
      <c r="S101" s="24"/>
    </row>
    <row r="102" spans="1:19" ht="15" customHeight="1" x14ac:dyDescent="0.3">
      <c r="A102" s="24"/>
      <c r="B102" s="24"/>
      <c r="C102" s="24"/>
      <c r="D102" s="24"/>
      <c r="E102" s="35"/>
      <c r="F102" s="35"/>
      <c r="G102" s="24"/>
      <c r="H102" s="42"/>
      <c r="I102" s="43"/>
      <c r="J102" s="43"/>
      <c r="K102" s="43"/>
      <c r="L102" s="43"/>
      <c r="M102" s="44"/>
      <c r="N102" s="44"/>
      <c r="O102" s="45"/>
      <c r="P102" s="46"/>
      <c r="Q102" s="46"/>
      <c r="R102" s="46"/>
      <c r="S102" s="24"/>
    </row>
    <row r="103" spans="1:19" ht="15" customHeight="1" x14ac:dyDescent="0.3">
      <c r="A103" s="24"/>
      <c r="B103" s="24"/>
      <c r="C103" s="24"/>
      <c r="D103" s="24"/>
      <c r="E103" s="35"/>
      <c r="F103" s="35"/>
      <c r="G103" s="24"/>
      <c r="H103" s="42"/>
      <c r="I103" s="43"/>
      <c r="J103" s="43"/>
      <c r="K103" s="43"/>
      <c r="L103" s="43"/>
      <c r="M103" s="44"/>
      <c r="N103" s="44"/>
      <c r="O103" s="45"/>
      <c r="P103" s="46"/>
      <c r="Q103" s="46"/>
      <c r="R103" s="46"/>
      <c r="S103" s="24"/>
    </row>
    <row r="104" spans="1:19" ht="15" customHeight="1" x14ac:dyDescent="0.3">
      <c r="A104" s="24"/>
      <c r="B104" s="24"/>
      <c r="C104" s="24"/>
      <c r="D104" s="24"/>
      <c r="E104" s="35"/>
      <c r="F104" s="35"/>
      <c r="G104" s="24"/>
      <c r="H104" s="42"/>
      <c r="I104" s="43"/>
      <c r="J104" s="43"/>
      <c r="K104" s="43"/>
      <c r="L104" s="43"/>
      <c r="M104" s="44"/>
      <c r="N104" s="44"/>
      <c r="O104" s="45"/>
      <c r="P104" s="46"/>
      <c r="Q104" s="46"/>
      <c r="R104" s="46"/>
      <c r="S104" s="24"/>
    </row>
    <row r="105" spans="1:19" ht="15" customHeight="1" x14ac:dyDescent="0.3">
      <c r="A105" s="24"/>
      <c r="B105" s="24"/>
      <c r="C105" s="24"/>
      <c r="D105" s="24"/>
      <c r="E105" s="35"/>
      <c r="F105" s="35"/>
      <c r="G105" s="24"/>
      <c r="H105" s="42"/>
      <c r="I105" s="43"/>
      <c r="J105" s="43"/>
      <c r="K105" s="43"/>
      <c r="L105" s="43"/>
      <c r="M105" s="44"/>
      <c r="N105" s="44"/>
      <c r="O105" s="45"/>
      <c r="P105" s="46"/>
      <c r="Q105" s="46"/>
      <c r="R105" s="46"/>
      <c r="S105" s="24"/>
    </row>
    <row r="106" spans="1:19" ht="15" customHeight="1" x14ac:dyDescent="0.3">
      <c r="A106" s="24"/>
      <c r="B106" s="24"/>
      <c r="C106" s="24"/>
      <c r="D106" s="24"/>
      <c r="E106" s="35"/>
      <c r="F106" s="35"/>
      <c r="G106" s="24"/>
      <c r="H106" s="42"/>
      <c r="I106" s="43"/>
      <c r="J106" s="43"/>
      <c r="K106" s="43"/>
      <c r="L106" s="43"/>
      <c r="M106" s="44"/>
      <c r="N106" s="44"/>
      <c r="O106" s="45"/>
      <c r="P106" s="46"/>
      <c r="Q106" s="46"/>
      <c r="R106" s="46"/>
      <c r="S106" s="24"/>
    </row>
    <row r="107" spans="1:19" ht="15" customHeight="1" x14ac:dyDescent="0.3">
      <c r="A107" s="24"/>
      <c r="B107" s="24"/>
      <c r="C107" s="24"/>
      <c r="D107" s="24"/>
      <c r="E107" s="35"/>
      <c r="F107" s="35"/>
      <c r="G107" s="24"/>
      <c r="H107" s="42"/>
      <c r="I107" s="43"/>
      <c r="J107" s="43"/>
      <c r="K107" s="43"/>
      <c r="L107" s="43"/>
      <c r="M107" s="44"/>
      <c r="N107" s="44"/>
      <c r="O107" s="45"/>
      <c r="P107" s="46"/>
      <c r="Q107" s="46"/>
      <c r="R107" s="46"/>
      <c r="S107" s="24"/>
    </row>
    <row r="108" spans="1:19" ht="15" customHeight="1" x14ac:dyDescent="0.3">
      <c r="A108" s="24"/>
      <c r="B108" s="24"/>
      <c r="C108" s="24"/>
      <c r="D108" s="24"/>
      <c r="E108" s="35"/>
      <c r="F108" s="35"/>
      <c r="G108" s="24"/>
      <c r="H108" s="42"/>
      <c r="I108" s="43"/>
      <c r="J108" s="43"/>
      <c r="K108" s="43"/>
      <c r="L108" s="43"/>
      <c r="M108" s="44"/>
      <c r="N108" s="44"/>
      <c r="O108" s="44"/>
      <c r="P108" s="48"/>
      <c r="Q108" s="50"/>
      <c r="R108" s="50"/>
      <c r="S108" s="24"/>
    </row>
    <row r="109" spans="1:19" ht="15" customHeight="1" x14ac:dyDescent="0.3">
      <c r="A109" s="24"/>
      <c r="B109" s="24"/>
      <c r="C109" s="24"/>
      <c r="D109" s="24"/>
      <c r="E109" s="35"/>
      <c r="F109" s="35"/>
      <c r="G109" s="24"/>
      <c r="H109" s="42"/>
      <c r="I109" s="43"/>
      <c r="J109" s="43"/>
      <c r="K109" s="43"/>
      <c r="L109" s="43"/>
      <c r="M109" s="45"/>
      <c r="N109" s="44"/>
      <c r="O109" s="44"/>
      <c r="P109" s="46"/>
      <c r="Q109" s="46"/>
      <c r="R109" s="46"/>
      <c r="S109" s="24"/>
    </row>
    <row r="110" spans="1:19" ht="15" customHeight="1" x14ac:dyDescent="0.3">
      <c r="A110" s="24"/>
      <c r="B110" s="24"/>
      <c r="C110" s="24"/>
      <c r="D110" s="24"/>
      <c r="E110" s="35"/>
      <c r="F110" s="35"/>
      <c r="G110" s="24"/>
      <c r="H110" s="42"/>
      <c r="I110" s="43"/>
      <c r="J110" s="43"/>
      <c r="K110" s="43"/>
      <c r="L110" s="43"/>
      <c r="M110" s="45"/>
      <c r="N110" s="44"/>
      <c r="O110" s="44"/>
      <c r="P110" s="46"/>
      <c r="Q110" s="46"/>
      <c r="R110" s="46"/>
      <c r="S110" s="24"/>
    </row>
    <row r="111" spans="1:19" ht="15" customHeight="1" x14ac:dyDescent="0.3">
      <c r="A111" s="24"/>
      <c r="B111" s="24"/>
      <c r="C111" s="24"/>
      <c r="D111" s="24"/>
      <c r="E111" s="35"/>
      <c r="F111" s="35"/>
      <c r="G111" s="24"/>
      <c r="H111" s="42"/>
      <c r="I111" s="43"/>
      <c r="J111" s="43"/>
      <c r="K111" s="43"/>
      <c r="L111" s="43"/>
      <c r="M111" s="44"/>
      <c r="N111" s="45"/>
      <c r="O111" s="44"/>
      <c r="P111" s="46"/>
      <c r="Q111" s="47"/>
      <c r="R111" s="47"/>
      <c r="S111" s="48"/>
    </row>
    <row r="112" spans="1:19" ht="15" customHeight="1" x14ac:dyDescent="0.3">
      <c r="A112" s="24"/>
      <c r="B112" s="24"/>
      <c r="C112" s="24"/>
      <c r="D112" s="24"/>
      <c r="E112" s="35"/>
      <c r="F112" s="35"/>
      <c r="G112" s="24"/>
      <c r="H112" s="42"/>
      <c r="I112" s="43"/>
      <c r="J112" s="43"/>
      <c r="K112" s="43"/>
      <c r="L112" s="43"/>
      <c r="M112" s="45"/>
      <c r="N112" s="44"/>
      <c r="O112" s="44"/>
      <c r="P112" s="46"/>
      <c r="Q112" s="46"/>
      <c r="R112" s="46"/>
      <c r="S112" s="24"/>
    </row>
    <row r="113" spans="1:19" ht="15" customHeight="1" x14ac:dyDescent="0.3">
      <c r="A113" s="24"/>
      <c r="B113" s="24"/>
      <c r="C113" s="24"/>
      <c r="D113" s="24"/>
      <c r="E113" s="35"/>
      <c r="F113" s="35"/>
      <c r="G113" s="24"/>
      <c r="H113" s="42"/>
      <c r="I113" s="43"/>
      <c r="J113" s="43"/>
      <c r="K113" s="43"/>
      <c r="L113" s="43"/>
      <c r="M113" s="45"/>
      <c r="N113" s="44"/>
      <c r="O113" s="44"/>
      <c r="P113" s="46"/>
      <c r="Q113" s="46"/>
      <c r="R113" s="46"/>
      <c r="S113" s="24"/>
    </row>
    <row r="114" spans="1:19" ht="15" customHeight="1" x14ac:dyDescent="0.3">
      <c r="A114" s="24"/>
      <c r="B114" s="24"/>
      <c r="C114" s="24"/>
      <c r="D114" s="24"/>
      <c r="E114" s="35"/>
      <c r="F114" s="35"/>
      <c r="G114" s="24"/>
      <c r="H114" s="42"/>
      <c r="I114" s="43"/>
      <c r="J114" s="43"/>
      <c r="K114" s="43"/>
      <c r="L114" s="43"/>
      <c r="M114" s="45"/>
      <c r="N114" s="44"/>
      <c r="O114" s="44"/>
      <c r="P114" s="46"/>
      <c r="Q114" s="46"/>
      <c r="R114" s="46"/>
      <c r="S114" s="24"/>
    </row>
    <row r="115" spans="1:19" ht="15" customHeight="1" x14ac:dyDescent="0.3">
      <c r="A115" s="24"/>
      <c r="B115" s="24"/>
      <c r="C115" s="24"/>
      <c r="D115" s="24"/>
      <c r="E115" s="35"/>
      <c r="F115" s="35"/>
      <c r="G115" s="24"/>
      <c r="H115" s="42"/>
      <c r="I115" s="43"/>
      <c r="J115" s="43"/>
      <c r="K115" s="43"/>
      <c r="L115" s="43"/>
      <c r="M115" s="44"/>
      <c r="N115" s="45"/>
      <c r="O115" s="44"/>
      <c r="P115" s="46"/>
      <c r="Q115" s="47"/>
      <c r="R115" s="47"/>
      <c r="S115" s="48"/>
    </row>
    <row r="116" spans="1:19" ht="15" customHeight="1" x14ac:dyDescent="0.3">
      <c r="A116" s="24"/>
      <c r="B116" s="24"/>
      <c r="C116" s="24"/>
      <c r="D116" s="24"/>
      <c r="E116" s="35"/>
      <c r="F116" s="35"/>
      <c r="G116" s="24"/>
      <c r="H116" s="42"/>
      <c r="I116" s="43"/>
      <c r="J116" s="43"/>
      <c r="K116" s="43"/>
      <c r="L116" s="43"/>
      <c r="M116" s="44"/>
      <c r="N116" s="45"/>
      <c r="O116" s="44"/>
      <c r="P116" s="46"/>
      <c r="Q116" s="47"/>
      <c r="R116" s="47"/>
      <c r="S116" s="48"/>
    </row>
    <row r="117" spans="1:19" ht="15" customHeight="1" x14ac:dyDescent="0.3">
      <c r="A117" s="24"/>
      <c r="B117" s="24"/>
      <c r="C117" s="24"/>
      <c r="D117" s="24"/>
      <c r="E117" s="35"/>
      <c r="F117" s="35"/>
      <c r="G117" s="24"/>
      <c r="H117" s="42"/>
      <c r="I117" s="43"/>
      <c r="J117" s="43"/>
      <c r="K117" s="43"/>
      <c r="L117" s="43"/>
      <c r="M117" s="44"/>
      <c r="N117" s="45"/>
      <c r="O117" s="44"/>
      <c r="P117" s="46"/>
      <c r="Q117" s="47"/>
      <c r="R117" s="47"/>
      <c r="S117" s="48"/>
    </row>
    <row r="118" spans="1:19" ht="15" customHeight="1" x14ac:dyDescent="0.3">
      <c r="A118" s="24"/>
      <c r="B118" s="24"/>
      <c r="C118" s="24"/>
      <c r="D118" s="24"/>
      <c r="E118" s="35"/>
      <c r="F118" s="35"/>
      <c r="G118" s="24"/>
      <c r="H118" s="42"/>
      <c r="I118" s="43"/>
      <c r="J118" s="43"/>
      <c r="K118" s="43"/>
      <c r="L118" s="43"/>
      <c r="M118" s="44"/>
      <c r="N118" s="45"/>
      <c r="O118" s="44"/>
      <c r="P118" s="46"/>
      <c r="Q118" s="47"/>
      <c r="R118" s="47"/>
      <c r="S118" s="48"/>
    </row>
    <row r="119" spans="1:19" ht="15" customHeight="1" x14ac:dyDescent="0.3">
      <c r="A119" s="24"/>
      <c r="B119" s="24"/>
      <c r="C119" s="24"/>
      <c r="D119" s="24"/>
      <c r="E119" s="35"/>
      <c r="F119" s="35"/>
      <c r="G119" s="24"/>
      <c r="H119" s="42"/>
      <c r="I119" s="43"/>
      <c r="J119" s="43"/>
      <c r="K119" s="43"/>
      <c r="L119" s="43"/>
      <c r="M119" s="44"/>
      <c r="N119" s="45"/>
      <c r="O119" s="44"/>
      <c r="P119" s="46"/>
      <c r="Q119" s="47"/>
      <c r="R119" s="47"/>
      <c r="S119" s="48"/>
    </row>
    <row r="120" spans="1:19" ht="15" customHeight="1" x14ac:dyDescent="0.3">
      <c r="A120" s="24"/>
      <c r="B120" s="24"/>
      <c r="C120" s="24"/>
      <c r="D120" s="24"/>
      <c r="E120" s="35"/>
      <c r="F120" s="35"/>
      <c r="G120" s="24"/>
      <c r="H120" s="42"/>
      <c r="I120" s="43"/>
      <c r="J120" s="43"/>
      <c r="K120" s="43"/>
      <c r="L120" s="43"/>
      <c r="M120" s="44"/>
      <c r="N120" s="44"/>
      <c r="O120" s="45"/>
      <c r="P120" s="46"/>
      <c r="Q120" s="46"/>
      <c r="R120" s="46"/>
      <c r="S120" s="24"/>
    </row>
    <row r="121" spans="1:19" ht="15" customHeight="1" x14ac:dyDescent="0.3">
      <c r="A121" s="24"/>
      <c r="B121" s="24"/>
      <c r="C121" s="24"/>
      <c r="D121" s="24"/>
      <c r="E121" s="35"/>
      <c r="F121" s="35"/>
      <c r="G121" s="24"/>
      <c r="H121" s="42"/>
      <c r="I121" s="43"/>
      <c r="J121" s="43"/>
      <c r="K121" s="43"/>
      <c r="L121" s="43"/>
      <c r="M121" s="44"/>
      <c r="N121" s="45"/>
      <c r="O121" s="45"/>
      <c r="P121" s="46"/>
      <c r="Q121" s="46"/>
      <c r="R121" s="46"/>
      <c r="S121" s="24"/>
    </row>
    <row r="122" spans="1:19" ht="15" customHeight="1" x14ac:dyDescent="0.3">
      <c r="A122" s="24"/>
      <c r="B122" s="24"/>
      <c r="C122" s="24"/>
      <c r="D122" s="24"/>
      <c r="E122" s="35"/>
      <c r="F122" s="35"/>
      <c r="G122" s="24"/>
      <c r="H122" s="42"/>
      <c r="I122" s="43"/>
      <c r="J122" s="43"/>
      <c r="K122" s="43"/>
      <c r="L122" s="43"/>
      <c r="M122" s="44"/>
      <c r="N122" s="45"/>
      <c r="O122" s="44"/>
      <c r="P122" s="46"/>
      <c r="Q122" s="47"/>
      <c r="R122" s="47"/>
      <c r="S122" s="48"/>
    </row>
  </sheetData>
  <autoFilter ref="A2:S122" xr:uid="{00000000-0009-0000-0000-000002000000}">
    <filterColumn colId="2">
      <filters blank="1">
        <filter val="Accesorios"/>
        <filter val="Accesorios de Instalacion"/>
        <filter val="Accesorios de Viaje"/>
        <filter val="Audio Menor"/>
        <filter val="Belleza"/>
        <filter val="Cristalería y Bar"/>
        <filter val="Cuidado Personal"/>
        <filter val="Equipamiento"/>
        <filter val="Herramientas y Mantenimiento"/>
        <filter val="Hidratación"/>
        <filter val="Jueguetes de Rol"/>
        <filter val="Juguetes de Motricidad"/>
        <filter val="Menaje de Cocina"/>
        <filter val="Mundo Café"/>
        <filter val="Organización"/>
        <filter val="Pantallas"/>
        <filter val="Perifericos de Computacion"/>
        <filter val="Soportes"/>
        <filter val="Telones y Proyectores"/>
        <filter val="Vajilla"/>
      </filters>
    </filterColumn>
  </autoFilter>
  <mergeCells count="1">
    <mergeCell ref="A1:T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417"/>
  <sheetViews>
    <sheetView workbookViewId="0">
      <pane ySplit="2" topLeftCell="A3" activePane="bottomLeft" state="frozen"/>
      <selection pane="bottomLeft" activeCell="B139" sqref="B139"/>
    </sheetView>
  </sheetViews>
  <sheetFormatPr baseColWidth="10" defaultColWidth="8.88671875" defaultRowHeight="14.4" outlineLevelRow="3" x14ac:dyDescent="0.3"/>
  <cols>
    <col min="1" max="1" width="36" customWidth="1"/>
    <col min="2" max="2" width="38" bestFit="1" customWidth="1"/>
    <col min="3" max="3" width="7" customWidth="1"/>
    <col min="4" max="4" width="9" customWidth="1"/>
    <col min="5" max="5" width="8" customWidth="1"/>
    <col min="6" max="6" width="16" customWidth="1"/>
    <col min="7" max="7" width="18" customWidth="1"/>
    <col min="8" max="9" width="16" customWidth="1"/>
    <col min="10" max="10" width="15" customWidth="1"/>
  </cols>
  <sheetData>
    <row r="1" spans="1:10" ht="22.05" customHeight="1" x14ac:dyDescent="0.3">
      <c r="A1" s="235" t="s">
        <v>472</v>
      </c>
      <c r="B1" s="226"/>
      <c r="C1" s="226"/>
      <c r="D1" s="226"/>
      <c r="E1" s="226"/>
      <c r="F1" s="226"/>
      <c r="G1" s="226"/>
      <c r="H1" s="226"/>
      <c r="I1" s="226"/>
      <c r="J1" s="226"/>
    </row>
    <row r="2" spans="1:10" ht="28.05" customHeight="1" x14ac:dyDescent="0.3">
      <c r="A2" s="140" t="s">
        <v>473</v>
      </c>
      <c r="B2" s="141" t="s">
        <v>474</v>
      </c>
      <c r="C2" s="141" t="s">
        <v>294</v>
      </c>
      <c r="D2" s="141" t="s">
        <v>475</v>
      </c>
      <c r="E2" s="141" t="s">
        <v>476</v>
      </c>
      <c r="F2" s="141" t="s">
        <v>477</v>
      </c>
      <c r="G2" s="141" t="s">
        <v>478</v>
      </c>
      <c r="H2" s="141" t="s">
        <v>479</v>
      </c>
      <c r="I2" s="141" t="s">
        <v>480</v>
      </c>
      <c r="J2" s="141" t="s">
        <v>481</v>
      </c>
    </row>
    <row r="3" spans="1:10" ht="16.05" customHeight="1" collapsed="1" x14ac:dyDescent="0.3">
      <c r="A3" s="160" t="s">
        <v>482</v>
      </c>
      <c r="B3" s="161"/>
      <c r="C3" s="162">
        <v>229</v>
      </c>
      <c r="D3" s="162"/>
      <c r="E3" s="162"/>
      <c r="F3" s="163">
        <v>268532086</v>
      </c>
      <c r="G3" s="163">
        <v>22480843</v>
      </c>
      <c r="H3" s="163">
        <v>89923397</v>
      </c>
      <c r="I3" s="163">
        <v>178608690</v>
      </c>
      <c r="J3" s="162" t="s">
        <v>483</v>
      </c>
    </row>
    <row r="4" spans="1:10" ht="15" hidden="1" customHeight="1" outlineLevel="1" collapsed="1" x14ac:dyDescent="0.3">
      <c r="A4" s="164" t="s">
        <v>484</v>
      </c>
      <c r="B4" s="164"/>
      <c r="C4" s="165">
        <v>32</v>
      </c>
      <c r="D4" s="165"/>
      <c r="E4" s="165"/>
      <c r="F4" s="166">
        <v>3591542</v>
      </c>
      <c r="G4" s="166">
        <v>452714</v>
      </c>
      <c r="H4" s="166">
        <v>1810862</v>
      </c>
      <c r="I4" s="166">
        <v>1780680</v>
      </c>
      <c r="J4" s="165" t="s">
        <v>485</v>
      </c>
    </row>
    <row r="5" spans="1:10" ht="15" hidden="1" customHeight="1" outlineLevel="2" x14ac:dyDescent="0.3">
      <c r="A5" s="167" t="s">
        <v>486</v>
      </c>
      <c r="B5" s="167"/>
      <c r="C5" s="168">
        <v>20</v>
      </c>
      <c r="D5" s="168"/>
      <c r="E5" s="168"/>
      <c r="F5" s="169">
        <v>3376089</v>
      </c>
      <c r="G5" s="169">
        <v>452714</v>
      </c>
      <c r="H5" s="169">
        <v>1810862</v>
      </c>
      <c r="I5" s="169">
        <v>1565227</v>
      </c>
      <c r="J5" s="168" t="s">
        <v>487</v>
      </c>
    </row>
    <row r="6" spans="1:10" ht="13.95" hidden="1" customHeight="1" outlineLevel="3" x14ac:dyDescent="0.3">
      <c r="A6" s="170" t="s">
        <v>488</v>
      </c>
      <c r="B6" s="170" t="s">
        <v>489</v>
      </c>
      <c r="C6" s="171"/>
      <c r="D6" s="172">
        <v>9.9499999999999993</v>
      </c>
      <c r="E6" s="173">
        <v>6</v>
      </c>
      <c r="F6" s="174">
        <v>238595</v>
      </c>
      <c r="G6" s="174">
        <v>23969</v>
      </c>
      <c r="H6" s="174">
        <v>95877</v>
      </c>
      <c r="I6" s="174">
        <v>142718</v>
      </c>
      <c r="J6" s="171" t="s">
        <v>490</v>
      </c>
    </row>
    <row r="7" spans="1:10" ht="13.95" hidden="1" customHeight="1" outlineLevel="3" x14ac:dyDescent="0.3">
      <c r="A7" s="175" t="s">
        <v>491</v>
      </c>
      <c r="B7" s="175" t="s">
        <v>492</v>
      </c>
      <c r="C7" s="176"/>
      <c r="D7" s="177">
        <v>9.84</v>
      </c>
      <c r="E7" s="178">
        <v>5.8</v>
      </c>
      <c r="F7" s="179">
        <v>235788</v>
      </c>
      <c r="G7" s="179">
        <v>23969</v>
      </c>
      <c r="H7" s="179">
        <v>95877</v>
      </c>
      <c r="I7" s="179">
        <v>139911</v>
      </c>
      <c r="J7" s="176" t="s">
        <v>490</v>
      </c>
    </row>
    <row r="8" spans="1:10" ht="13.95" hidden="1" customHeight="1" outlineLevel="3" x14ac:dyDescent="0.3">
      <c r="A8" s="170" t="s">
        <v>493</v>
      </c>
      <c r="B8" s="170" t="s">
        <v>494</v>
      </c>
      <c r="C8" s="171"/>
      <c r="D8" s="172">
        <v>9.49</v>
      </c>
      <c r="E8" s="173">
        <v>5.5</v>
      </c>
      <c r="F8" s="174">
        <v>227367</v>
      </c>
      <c r="G8" s="174">
        <v>23969</v>
      </c>
      <c r="H8" s="174">
        <v>95877</v>
      </c>
      <c r="I8" s="174">
        <v>131490</v>
      </c>
      <c r="J8" s="171" t="s">
        <v>490</v>
      </c>
    </row>
    <row r="9" spans="1:10" ht="13.95" hidden="1" customHeight="1" outlineLevel="3" x14ac:dyDescent="0.3">
      <c r="A9" s="175" t="s">
        <v>495</v>
      </c>
      <c r="B9" s="175" t="s">
        <v>496</v>
      </c>
      <c r="C9" s="176"/>
      <c r="D9" s="177">
        <v>9.42</v>
      </c>
      <c r="E9" s="178">
        <v>5.4</v>
      </c>
      <c r="F9" s="179">
        <v>195755</v>
      </c>
      <c r="G9" s="179">
        <v>20788</v>
      </c>
      <c r="H9" s="179">
        <v>83152</v>
      </c>
      <c r="I9" s="179">
        <v>112603</v>
      </c>
      <c r="J9" s="176" t="s">
        <v>490</v>
      </c>
    </row>
    <row r="10" spans="1:10" ht="13.95" hidden="1" customHeight="1" outlineLevel="3" x14ac:dyDescent="0.3">
      <c r="A10" s="170" t="s">
        <v>497</v>
      </c>
      <c r="B10" s="170" t="s">
        <v>498</v>
      </c>
      <c r="C10" s="171"/>
      <c r="D10" s="172">
        <v>9.31</v>
      </c>
      <c r="E10" s="173">
        <v>5.3</v>
      </c>
      <c r="F10" s="174">
        <v>193452</v>
      </c>
      <c r="G10" s="174">
        <v>20788</v>
      </c>
      <c r="H10" s="174">
        <v>83152</v>
      </c>
      <c r="I10" s="174">
        <v>110300</v>
      </c>
      <c r="J10" s="171" t="s">
        <v>490</v>
      </c>
    </row>
    <row r="11" spans="1:10" ht="13.95" hidden="1" customHeight="1" outlineLevel="3" x14ac:dyDescent="0.3">
      <c r="A11" s="175" t="s">
        <v>499</v>
      </c>
      <c r="B11" s="175" t="s">
        <v>500</v>
      </c>
      <c r="C11" s="176"/>
      <c r="D11" s="177">
        <v>8.64</v>
      </c>
      <c r="E11" s="178">
        <v>4.5999999999999996</v>
      </c>
      <c r="F11" s="179">
        <v>179634</v>
      </c>
      <c r="G11" s="179">
        <v>20788</v>
      </c>
      <c r="H11" s="179">
        <v>83152</v>
      </c>
      <c r="I11" s="179">
        <v>96482</v>
      </c>
      <c r="J11" s="176" t="s">
        <v>490</v>
      </c>
    </row>
    <row r="12" spans="1:10" ht="13.95" hidden="1" customHeight="1" outlineLevel="3" x14ac:dyDescent="0.3">
      <c r="A12" s="170" t="s">
        <v>501</v>
      </c>
      <c r="B12" s="170" t="s">
        <v>502</v>
      </c>
      <c r="C12" s="171"/>
      <c r="D12" s="172">
        <v>8.4</v>
      </c>
      <c r="E12" s="173">
        <v>4.4000000000000004</v>
      </c>
      <c r="F12" s="174">
        <v>179634</v>
      </c>
      <c r="G12" s="174">
        <v>21393</v>
      </c>
      <c r="H12" s="174">
        <v>85574</v>
      </c>
      <c r="I12" s="174">
        <v>94060</v>
      </c>
      <c r="J12" s="171" t="s">
        <v>490</v>
      </c>
    </row>
    <row r="13" spans="1:10" ht="13.95" hidden="1" customHeight="1" outlineLevel="3" x14ac:dyDescent="0.3">
      <c r="A13" s="175" t="s">
        <v>503</v>
      </c>
      <c r="B13" s="175" t="s">
        <v>504</v>
      </c>
      <c r="C13" s="176"/>
      <c r="D13" s="177">
        <v>8.16</v>
      </c>
      <c r="E13" s="178">
        <v>4.2</v>
      </c>
      <c r="F13" s="179">
        <v>252630</v>
      </c>
      <c r="G13" s="179">
        <v>30971</v>
      </c>
      <c r="H13" s="179">
        <v>123883</v>
      </c>
      <c r="I13" s="179">
        <v>128747</v>
      </c>
      <c r="J13" s="176" t="s">
        <v>490</v>
      </c>
    </row>
    <row r="14" spans="1:10" ht="13.95" hidden="1" customHeight="1" outlineLevel="3" x14ac:dyDescent="0.3">
      <c r="A14" s="170" t="s">
        <v>505</v>
      </c>
      <c r="B14" s="170" t="s">
        <v>506</v>
      </c>
      <c r="C14" s="171"/>
      <c r="D14" s="172">
        <v>8.09</v>
      </c>
      <c r="E14" s="173">
        <v>4.0999999999999996</v>
      </c>
      <c r="F14" s="174">
        <v>168119</v>
      </c>
      <c r="G14" s="174">
        <v>20788</v>
      </c>
      <c r="H14" s="174">
        <v>83152</v>
      </c>
      <c r="I14" s="174">
        <v>84967</v>
      </c>
      <c r="J14" s="171" t="s">
        <v>490</v>
      </c>
    </row>
    <row r="15" spans="1:10" ht="13.95" hidden="1" customHeight="1" outlineLevel="3" x14ac:dyDescent="0.3">
      <c r="A15" s="175" t="s">
        <v>507</v>
      </c>
      <c r="B15" s="175" t="s">
        <v>508</v>
      </c>
      <c r="C15" s="176"/>
      <c r="D15" s="177">
        <v>7.61</v>
      </c>
      <c r="E15" s="178">
        <v>3.6</v>
      </c>
      <c r="F15" s="179">
        <v>182455</v>
      </c>
      <c r="G15" s="179">
        <v>23969</v>
      </c>
      <c r="H15" s="179">
        <v>95877</v>
      </c>
      <c r="I15" s="179">
        <v>86578</v>
      </c>
      <c r="J15" s="176" t="s">
        <v>490</v>
      </c>
    </row>
    <row r="16" spans="1:10" ht="13.95" hidden="1" customHeight="1" outlineLevel="3" x14ac:dyDescent="0.3">
      <c r="A16" s="170" t="s">
        <v>509</v>
      </c>
      <c r="B16" s="170" t="s">
        <v>510</v>
      </c>
      <c r="C16" s="171"/>
      <c r="D16" s="172">
        <v>7.43</v>
      </c>
      <c r="E16" s="173">
        <v>3.4</v>
      </c>
      <c r="F16" s="174">
        <v>230174</v>
      </c>
      <c r="G16" s="174">
        <v>30971</v>
      </c>
      <c r="H16" s="174">
        <v>123883</v>
      </c>
      <c r="I16" s="174">
        <v>106291</v>
      </c>
      <c r="J16" s="171" t="s">
        <v>490</v>
      </c>
    </row>
    <row r="17" spans="1:10" ht="13.95" hidden="1" customHeight="1" outlineLevel="3" x14ac:dyDescent="0.3">
      <c r="A17" s="175" t="s">
        <v>511</v>
      </c>
      <c r="B17" s="175" t="s">
        <v>512</v>
      </c>
      <c r="C17" s="176"/>
      <c r="D17" s="177">
        <v>7.07</v>
      </c>
      <c r="E17" s="178">
        <v>3.1</v>
      </c>
      <c r="F17" s="179">
        <v>218946</v>
      </c>
      <c r="G17" s="179">
        <v>30971</v>
      </c>
      <c r="H17" s="179">
        <v>123883</v>
      </c>
      <c r="I17" s="179">
        <v>95063</v>
      </c>
      <c r="J17" s="176" t="s">
        <v>490</v>
      </c>
    </row>
    <row r="18" spans="1:10" ht="13.95" hidden="1" customHeight="1" outlineLevel="3" x14ac:dyDescent="0.3">
      <c r="A18" s="170" t="s">
        <v>513</v>
      </c>
      <c r="B18" s="170" t="s">
        <v>514</v>
      </c>
      <c r="C18" s="171"/>
      <c r="D18" s="172">
        <v>7.03</v>
      </c>
      <c r="E18" s="173">
        <v>3</v>
      </c>
      <c r="F18" s="174">
        <v>168420</v>
      </c>
      <c r="G18" s="174">
        <v>23969</v>
      </c>
      <c r="H18" s="174">
        <v>95877</v>
      </c>
      <c r="I18" s="174">
        <v>72543</v>
      </c>
      <c r="J18" s="171" t="s">
        <v>490</v>
      </c>
    </row>
    <row r="19" spans="1:10" ht="13.95" hidden="1" customHeight="1" outlineLevel="3" x14ac:dyDescent="0.3">
      <c r="A19" s="175" t="s">
        <v>515</v>
      </c>
      <c r="B19" s="175" t="s">
        <v>516</v>
      </c>
      <c r="C19" s="176"/>
      <c r="D19" s="177">
        <v>6.82</v>
      </c>
      <c r="E19" s="178">
        <v>2.8</v>
      </c>
      <c r="F19" s="179">
        <v>114753</v>
      </c>
      <c r="G19" s="179">
        <v>16816</v>
      </c>
      <c r="H19" s="179">
        <v>67265</v>
      </c>
      <c r="I19" s="179">
        <v>47488</v>
      </c>
      <c r="J19" s="176" t="s">
        <v>490</v>
      </c>
    </row>
    <row r="20" spans="1:10" ht="13.95" hidden="1" customHeight="1" outlineLevel="3" x14ac:dyDescent="0.3">
      <c r="A20" s="170" t="s">
        <v>517</v>
      </c>
      <c r="B20" s="170" t="s">
        <v>518</v>
      </c>
      <c r="C20" s="171"/>
      <c r="D20" s="172">
        <v>6.43</v>
      </c>
      <c r="E20" s="173">
        <v>2.4</v>
      </c>
      <c r="F20" s="174">
        <v>108158</v>
      </c>
      <c r="G20" s="174">
        <v>16816</v>
      </c>
      <c r="H20" s="174">
        <v>67265</v>
      </c>
      <c r="I20" s="174">
        <v>40893</v>
      </c>
      <c r="J20" s="171" t="s">
        <v>490</v>
      </c>
    </row>
    <row r="21" spans="1:10" ht="13.95" hidden="1" customHeight="1" outlineLevel="3" x14ac:dyDescent="0.3">
      <c r="A21" s="175" t="s">
        <v>519</v>
      </c>
      <c r="B21" s="175" t="s">
        <v>520</v>
      </c>
      <c r="C21" s="176"/>
      <c r="D21" s="177">
        <v>5.16</v>
      </c>
      <c r="E21" s="178">
        <v>1.2</v>
      </c>
      <c r="F21" s="179">
        <v>112115</v>
      </c>
      <c r="G21" s="179">
        <v>21728</v>
      </c>
      <c r="H21" s="179">
        <v>86912</v>
      </c>
      <c r="I21" s="179">
        <v>25203</v>
      </c>
      <c r="J21" s="176" t="s">
        <v>490</v>
      </c>
    </row>
    <row r="22" spans="1:10" ht="13.95" hidden="1" customHeight="1" outlineLevel="3" x14ac:dyDescent="0.3">
      <c r="A22" s="170" t="s">
        <v>521</v>
      </c>
      <c r="B22" s="170" t="s">
        <v>522</v>
      </c>
      <c r="C22" s="171"/>
      <c r="D22" s="172">
        <v>4.9800000000000004</v>
      </c>
      <c r="E22" s="173">
        <v>1</v>
      </c>
      <c r="F22" s="174">
        <v>108158</v>
      </c>
      <c r="G22" s="174">
        <v>21728</v>
      </c>
      <c r="H22" s="174">
        <v>86912</v>
      </c>
      <c r="I22" s="174">
        <v>21246</v>
      </c>
      <c r="J22" s="171" t="s">
        <v>490</v>
      </c>
    </row>
    <row r="23" spans="1:10" ht="13.95" hidden="1" customHeight="1" outlineLevel="3" x14ac:dyDescent="0.3">
      <c r="A23" s="175" t="s">
        <v>523</v>
      </c>
      <c r="B23" s="175" t="s">
        <v>524</v>
      </c>
      <c r="C23" s="176"/>
      <c r="D23" s="177">
        <v>4.7699999999999996</v>
      </c>
      <c r="E23" s="178">
        <v>0.8</v>
      </c>
      <c r="F23" s="179">
        <v>94423</v>
      </c>
      <c r="G23" s="179">
        <v>19779</v>
      </c>
      <c r="H23" s="179">
        <v>79115</v>
      </c>
      <c r="I23" s="179">
        <v>15308</v>
      </c>
      <c r="J23" s="176" t="s">
        <v>490</v>
      </c>
    </row>
    <row r="24" spans="1:10" ht="13.95" hidden="1" customHeight="1" outlineLevel="3" x14ac:dyDescent="0.3">
      <c r="A24" s="170" t="s">
        <v>525</v>
      </c>
      <c r="B24" s="170" t="s">
        <v>526</v>
      </c>
      <c r="C24" s="171"/>
      <c r="D24" s="172">
        <v>4.55</v>
      </c>
      <c r="E24" s="173">
        <v>0.6</v>
      </c>
      <c r="F24" s="174">
        <v>98925</v>
      </c>
      <c r="G24" s="174">
        <v>21728</v>
      </c>
      <c r="H24" s="174">
        <v>86912</v>
      </c>
      <c r="I24" s="174">
        <v>12013</v>
      </c>
      <c r="J24" s="171" t="s">
        <v>490</v>
      </c>
    </row>
    <row r="25" spans="1:10" ht="13.95" hidden="1" customHeight="1" outlineLevel="3" x14ac:dyDescent="0.3">
      <c r="A25" s="175" t="s">
        <v>527</v>
      </c>
      <c r="B25" s="175" t="s">
        <v>528</v>
      </c>
      <c r="C25" s="176"/>
      <c r="D25" s="177">
        <v>4.08</v>
      </c>
      <c r="E25" s="178">
        <v>0.1</v>
      </c>
      <c r="F25" s="179">
        <v>68588</v>
      </c>
      <c r="G25" s="179">
        <v>16816</v>
      </c>
      <c r="H25" s="179">
        <v>67265</v>
      </c>
      <c r="I25" s="179">
        <v>1323</v>
      </c>
      <c r="J25" s="176" t="s">
        <v>490</v>
      </c>
    </row>
    <row r="26" spans="1:10" ht="15" hidden="1" customHeight="1" outlineLevel="2" collapsed="1" x14ac:dyDescent="0.3">
      <c r="A26" s="167" t="s">
        <v>529</v>
      </c>
      <c r="B26" s="167"/>
      <c r="C26" s="168">
        <v>9</v>
      </c>
      <c r="D26" s="180"/>
      <c r="E26" s="181"/>
      <c r="F26" s="169">
        <v>173817</v>
      </c>
      <c r="G26" s="169">
        <v>0</v>
      </c>
      <c r="H26" s="169">
        <v>0</v>
      </c>
      <c r="I26" s="169">
        <v>173817</v>
      </c>
      <c r="J26" s="168" t="s">
        <v>530</v>
      </c>
    </row>
    <row r="27" spans="1:10" ht="13.95" hidden="1" customHeight="1" outlineLevel="3" x14ac:dyDescent="0.3">
      <c r="A27" s="170" t="s">
        <v>531</v>
      </c>
      <c r="B27" s="170" t="s">
        <v>532</v>
      </c>
      <c r="C27" s="171"/>
      <c r="D27" s="172">
        <v>99</v>
      </c>
      <c r="E27" s="173">
        <v>95</v>
      </c>
      <c r="F27" s="174">
        <v>10671</v>
      </c>
      <c r="G27" s="174">
        <v>0</v>
      </c>
      <c r="H27" s="174">
        <v>0</v>
      </c>
      <c r="I27" s="174">
        <v>10671</v>
      </c>
      <c r="J27" s="171" t="s">
        <v>490</v>
      </c>
    </row>
    <row r="28" spans="1:10" ht="13.95" hidden="1" customHeight="1" outlineLevel="3" x14ac:dyDescent="0.3">
      <c r="A28" s="175" t="s">
        <v>533</v>
      </c>
      <c r="B28" s="175" t="s">
        <v>532</v>
      </c>
      <c r="C28" s="176"/>
      <c r="D28" s="177">
        <v>99</v>
      </c>
      <c r="E28" s="178">
        <v>95</v>
      </c>
      <c r="F28" s="179">
        <v>10671</v>
      </c>
      <c r="G28" s="179">
        <v>0</v>
      </c>
      <c r="H28" s="179">
        <v>0</v>
      </c>
      <c r="I28" s="179">
        <v>10671</v>
      </c>
      <c r="J28" s="176" t="s">
        <v>490</v>
      </c>
    </row>
    <row r="29" spans="1:10" ht="13.95" hidden="1" customHeight="1" outlineLevel="3" x14ac:dyDescent="0.3">
      <c r="A29" s="170" t="s">
        <v>534</v>
      </c>
      <c r="B29" s="170" t="s">
        <v>535</v>
      </c>
      <c r="C29" s="171"/>
      <c r="D29" s="172">
        <v>99</v>
      </c>
      <c r="E29" s="173">
        <v>95</v>
      </c>
      <c r="F29" s="174">
        <v>15505</v>
      </c>
      <c r="G29" s="174">
        <v>0</v>
      </c>
      <c r="H29" s="174">
        <v>0</v>
      </c>
      <c r="I29" s="174">
        <v>15505</v>
      </c>
      <c r="J29" s="171" t="s">
        <v>490</v>
      </c>
    </row>
    <row r="30" spans="1:10" ht="13.95" hidden="1" customHeight="1" outlineLevel="3" x14ac:dyDescent="0.3">
      <c r="A30" s="175" t="s">
        <v>536</v>
      </c>
      <c r="B30" s="175" t="s">
        <v>535</v>
      </c>
      <c r="C30" s="176"/>
      <c r="D30" s="177">
        <v>99</v>
      </c>
      <c r="E30" s="178">
        <v>95</v>
      </c>
      <c r="F30" s="179">
        <v>15505</v>
      </c>
      <c r="G30" s="179">
        <v>0</v>
      </c>
      <c r="H30" s="179">
        <v>0</v>
      </c>
      <c r="I30" s="179">
        <v>15505</v>
      </c>
      <c r="J30" s="176" t="s">
        <v>490</v>
      </c>
    </row>
    <row r="31" spans="1:10" ht="13.95" hidden="1" customHeight="1" outlineLevel="3" x14ac:dyDescent="0.3">
      <c r="A31" s="170" t="s">
        <v>537</v>
      </c>
      <c r="B31" s="170" t="s">
        <v>538</v>
      </c>
      <c r="C31" s="171"/>
      <c r="D31" s="172">
        <v>99</v>
      </c>
      <c r="E31" s="173">
        <v>95</v>
      </c>
      <c r="F31" s="174">
        <v>22526</v>
      </c>
      <c r="G31" s="174">
        <v>0</v>
      </c>
      <c r="H31" s="174">
        <v>0</v>
      </c>
      <c r="I31" s="174">
        <v>22526</v>
      </c>
      <c r="J31" s="171" t="s">
        <v>490</v>
      </c>
    </row>
    <row r="32" spans="1:10" ht="13.95" hidden="1" customHeight="1" outlineLevel="3" x14ac:dyDescent="0.3">
      <c r="A32" s="175" t="s">
        <v>539</v>
      </c>
      <c r="B32" s="175" t="s">
        <v>538</v>
      </c>
      <c r="C32" s="176"/>
      <c r="D32" s="177">
        <v>99</v>
      </c>
      <c r="E32" s="178">
        <v>95</v>
      </c>
      <c r="F32" s="179">
        <v>28962</v>
      </c>
      <c r="G32" s="179">
        <v>0</v>
      </c>
      <c r="H32" s="179">
        <v>0</v>
      </c>
      <c r="I32" s="179">
        <v>28962</v>
      </c>
      <c r="J32" s="176" t="s">
        <v>490</v>
      </c>
    </row>
    <row r="33" spans="1:10" ht="13.95" hidden="1" customHeight="1" outlineLevel="3" x14ac:dyDescent="0.3">
      <c r="A33" s="170" t="s">
        <v>540</v>
      </c>
      <c r="B33" s="170" t="s">
        <v>541</v>
      </c>
      <c r="C33" s="171"/>
      <c r="D33" s="172">
        <v>99</v>
      </c>
      <c r="E33" s="173">
        <v>95</v>
      </c>
      <c r="F33" s="174">
        <v>9303</v>
      </c>
      <c r="G33" s="174">
        <v>0</v>
      </c>
      <c r="H33" s="174">
        <v>0</v>
      </c>
      <c r="I33" s="174">
        <v>9303</v>
      </c>
      <c r="J33" s="171" t="s">
        <v>490</v>
      </c>
    </row>
    <row r="34" spans="1:10" ht="13.95" hidden="1" customHeight="1" outlineLevel="3" x14ac:dyDescent="0.3">
      <c r="A34" s="175" t="s">
        <v>542</v>
      </c>
      <c r="B34" s="175" t="s">
        <v>541</v>
      </c>
      <c r="C34" s="176"/>
      <c r="D34" s="177">
        <v>99</v>
      </c>
      <c r="E34" s="178">
        <v>95</v>
      </c>
      <c r="F34" s="179">
        <v>12404</v>
      </c>
      <c r="G34" s="179">
        <v>0</v>
      </c>
      <c r="H34" s="179">
        <v>0</v>
      </c>
      <c r="I34" s="179">
        <v>12404</v>
      </c>
      <c r="J34" s="176" t="s">
        <v>490</v>
      </c>
    </row>
    <row r="35" spans="1:10" ht="13.95" hidden="1" customHeight="1" outlineLevel="3" x14ac:dyDescent="0.3">
      <c r="A35" s="170" t="s">
        <v>543</v>
      </c>
      <c r="B35" s="170" t="s">
        <v>544</v>
      </c>
      <c r="C35" s="171"/>
      <c r="D35" s="172">
        <v>99</v>
      </c>
      <c r="E35" s="173">
        <v>95</v>
      </c>
      <c r="F35" s="174">
        <v>48270</v>
      </c>
      <c r="G35" s="174">
        <v>0</v>
      </c>
      <c r="H35" s="174">
        <v>0</v>
      </c>
      <c r="I35" s="174">
        <v>48270</v>
      </c>
      <c r="J35" s="171" t="s">
        <v>490</v>
      </c>
    </row>
    <row r="36" spans="1:10" ht="15" hidden="1" customHeight="1" outlineLevel="2" x14ac:dyDescent="0.3">
      <c r="A36" s="167" t="s">
        <v>545</v>
      </c>
      <c r="B36" s="167"/>
      <c r="C36" s="168">
        <v>1</v>
      </c>
      <c r="D36" s="180"/>
      <c r="E36" s="181"/>
      <c r="F36" s="169">
        <v>11846</v>
      </c>
      <c r="G36" s="169">
        <v>0</v>
      </c>
      <c r="H36" s="169">
        <v>0</v>
      </c>
      <c r="I36" s="169">
        <v>11846</v>
      </c>
      <c r="J36" s="168" t="s">
        <v>546</v>
      </c>
    </row>
    <row r="37" spans="1:10" ht="13.95" hidden="1" customHeight="1" outlineLevel="3" x14ac:dyDescent="0.3">
      <c r="A37" s="170" t="s">
        <v>547</v>
      </c>
      <c r="B37" s="170" t="s">
        <v>548</v>
      </c>
      <c r="C37" s="171"/>
      <c r="D37" s="172">
        <v>99</v>
      </c>
      <c r="E37" s="173">
        <v>95</v>
      </c>
      <c r="F37" s="174">
        <v>11846</v>
      </c>
      <c r="G37" s="174">
        <v>0</v>
      </c>
      <c r="H37" s="174">
        <v>0</v>
      </c>
      <c r="I37" s="174">
        <v>11846</v>
      </c>
      <c r="J37" s="171" t="s">
        <v>490</v>
      </c>
    </row>
    <row r="38" spans="1:10" ht="15" hidden="1" customHeight="1" outlineLevel="2" x14ac:dyDescent="0.3">
      <c r="A38" s="167" t="s">
        <v>549</v>
      </c>
      <c r="B38" s="167"/>
      <c r="C38" s="168">
        <v>2</v>
      </c>
      <c r="D38" s="180"/>
      <c r="E38" s="181"/>
      <c r="F38" s="169">
        <v>29790</v>
      </c>
      <c r="G38" s="169">
        <v>0</v>
      </c>
      <c r="H38" s="169">
        <v>0</v>
      </c>
      <c r="I38" s="169">
        <v>29790</v>
      </c>
      <c r="J38" s="168" t="s">
        <v>550</v>
      </c>
    </row>
    <row r="39" spans="1:10" ht="13.95" hidden="1" customHeight="1" outlineLevel="3" x14ac:dyDescent="0.3">
      <c r="A39" s="170" t="s">
        <v>551</v>
      </c>
      <c r="B39" s="170" t="s">
        <v>552</v>
      </c>
      <c r="C39" s="171"/>
      <c r="D39" s="172">
        <v>99</v>
      </c>
      <c r="E39" s="173">
        <v>95</v>
      </c>
      <c r="F39" s="174">
        <v>9930</v>
      </c>
      <c r="G39" s="174">
        <v>0</v>
      </c>
      <c r="H39" s="174">
        <v>0</v>
      </c>
      <c r="I39" s="174">
        <v>9930</v>
      </c>
      <c r="J39" s="171" t="s">
        <v>490</v>
      </c>
    </row>
    <row r="40" spans="1:10" ht="13.95" hidden="1" customHeight="1" outlineLevel="3" x14ac:dyDescent="0.3">
      <c r="A40" s="175" t="s">
        <v>553</v>
      </c>
      <c r="B40" s="175" t="s">
        <v>552</v>
      </c>
      <c r="C40" s="176"/>
      <c r="D40" s="177">
        <v>99</v>
      </c>
      <c r="E40" s="178">
        <v>95</v>
      </c>
      <c r="F40" s="179">
        <v>19860</v>
      </c>
      <c r="G40" s="179">
        <v>0</v>
      </c>
      <c r="H40" s="179">
        <v>0</v>
      </c>
      <c r="I40" s="179">
        <v>19860</v>
      </c>
      <c r="J40" s="176" t="s">
        <v>490</v>
      </c>
    </row>
    <row r="41" spans="1:10" ht="15" hidden="1" customHeight="1" outlineLevel="1" collapsed="1" x14ac:dyDescent="0.3">
      <c r="A41" s="164" t="s">
        <v>554</v>
      </c>
      <c r="B41" s="164"/>
      <c r="C41" s="165">
        <v>23</v>
      </c>
      <c r="D41" s="182"/>
      <c r="E41" s="183"/>
      <c r="F41" s="166">
        <v>150506249</v>
      </c>
      <c r="G41" s="166">
        <v>7837856</v>
      </c>
      <c r="H41" s="166">
        <v>31351424</v>
      </c>
      <c r="I41" s="166">
        <v>119154825</v>
      </c>
      <c r="J41" s="165" t="s">
        <v>555</v>
      </c>
    </row>
    <row r="42" spans="1:10" ht="15" hidden="1" customHeight="1" outlineLevel="2" collapsed="1" x14ac:dyDescent="0.3">
      <c r="A42" s="167" t="s">
        <v>556</v>
      </c>
      <c r="B42" s="167"/>
      <c r="C42" s="168">
        <v>11</v>
      </c>
      <c r="D42" s="180"/>
      <c r="E42" s="181"/>
      <c r="F42" s="169">
        <v>94554719</v>
      </c>
      <c r="G42" s="169">
        <v>3547999</v>
      </c>
      <c r="H42" s="169">
        <v>14191994</v>
      </c>
      <c r="I42" s="169">
        <v>80362726</v>
      </c>
      <c r="J42" s="168" t="s">
        <v>557</v>
      </c>
    </row>
    <row r="43" spans="1:10" ht="13.95" hidden="1" customHeight="1" outlineLevel="3" x14ac:dyDescent="0.3">
      <c r="A43" s="170" t="s">
        <v>558</v>
      </c>
      <c r="B43" s="170" t="s">
        <v>559</v>
      </c>
      <c r="C43" s="171"/>
      <c r="D43" s="172">
        <v>154.99</v>
      </c>
      <c r="E43" s="173">
        <v>151</v>
      </c>
      <c r="F43" s="174">
        <v>16326450</v>
      </c>
      <c r="G43" s="174">
        <v>105337</v>
      </c>
      <c r="H43" s="174">
        <v>421349</v>
      </c>
      <c r="I43" s="174">
        <v>15905102</v>
      </c>
      <c r="J43" s="171" t="s">
        <v>490</v>
      </c>
    </row>
    <row r="44" spans="1:10" ht="13.95" hidden="1" customHeight="1" outlineLevel="3" x14ac:dyDescent="0.3">
      <c r="A44" s="175" t="s">
        <v>560</v>
      </c>
      <c r="B44" s="175" t="s">
        <v>561</v>
      </c>
      <c r="C44" s="176"/>
      <c r="D44" s="177">
        <v>154.58000000000001</v>
      </c>
      <c r="E44" s="178">
        <v>150.6</v>
      </c>
      <c r="F44" s="179">
        <v>13309602</v>
      </c>
      <c r="G44" s="179">
        <v>86102</v>
      </c>
      <c r="H44" s="179">
        <v>344407</v>
      </c>
      <c r="I44" s="179">
        <v>12965195</v>
      </c>
      <c r="J44" s="176" t="s">
        <v>490</v>
      </c>
    </row>
    <row r="45" spans="1:10" ht="13.95" hidden="1" customHeight="1" outlineLevel="3" x14ac:dyDescent="0.3">
      <c r="A45" s="170" t="s">
        <v>562</v>
      </c>
      <c r="B45" s="170" t="s">
        <v>89</v>
      </c>
      <c r="C45" s="171"/>
      <c r="D45" s="172">
        <v>69.3</v>
      </c>
      <c r="E45" s="173">
        <v>65.3</v>
      </c>
      <c r="F45" s="174">
        <v>9969648</v>
      </c>
      <c r="G45" s="174">
        <v>143855</v>
      </c>
      <c r="H45" s="174">
        <v>575419</v>
      </c>
      <c r="I45" s="174">
        <v>9394229</v>
      </c>
      <c r="J45" s="171" t="s">
        <v>563</v>
      </c>
    </row>
    <row r="46" spans="1:10" ht="13.95" hidden="1" customHeight="1" outlineLevel="3" x14ac:dyDescent="0.3">
      <c r="A46" s="175" t="s">
        <v>564</v>
      </c>
      <c r="B46" s="175" t="s">
        <v>565</v>
      </c>
      <c r="C46" s="176"/>
      <c r="D46" s="177">
        <v>63.19</v>
      </c>
      <c r="E46" s="178">
        <v>59.2</v>
      </c>
      <c r="F46" s="179">
        <v>11256828</v>
      </c>
      <c r="G46" s="179">
        <v>178149</v>
      </c>
      <c r="H46" s="179">
        <v>712598</v>
      </c>
      <c r="I46" s="179">
        <v>10544230</v>
      </c>
      <c r="J46" s="176" t="s">
        <v>490</v>
      </c>
    </row>
    <row r="47" spans="1:10" ht="13.95" hidden="1" customHeight="1" outlineLevel="3" collapsed="1" x14ac:dyDescent="0.3">
      <c r="A47" s="170" t="s">
        <v>566</v>
      </c>
      <c r="B47" s="170" t="s">
        <v>567</v>
      </c>
      <c r="C47" s="171"/>
      <c r="D47" s="172">
        <v>44.64</v>
      </c>
      <c r="E47" s="173">
        <v>40.6</v>
      </c>
      <c r="F47" s="174">
        <v>10249980</v>
      </c>
      <c r="G47" s="174">
        <v>229615</v>
      </c>
      <c r="H47" s="174">
        <v>918459</v>
      </c>
      <c r="I47" s="174">
        <v>9331521</v>
      </c>
      <c r="J47" s="171" t="s">
        <v>490</v>
      </c>
    </row>
    <row r="48" spans="1:10" ht="13.95" hidden="1" customHeight="1" outlineLevel="3" x14ac:dyDescent="0.3">
      <c r="A48" s="175" t="s">
        <v>568</v>
      </c>
      <c r="B48" s="175" t="s">
        <v>569</v>
      </c>
      <c r="C48" s="176"/>
      <c r="D48" s="177">
        <v>36.020000000000003</v>
      </c>
      <c r="E48" s="178">
        <v>32</v>
      </c>
      <c r="F48" s="179">
        <v>12284635</v>
      </c>
      <c r="G48" s="179">
        <v>341007</v>
      </c>
      <c r="H48" s="179">
        <v>1364027</v>
      </c>
      <c r="I48" s="179">
        <v>10920608</v>
      </c>
      <c r="J48" s="176" t="s">
        <v>490</v>
      </c>
    </row>
    <row r="49" spans="1:10" ht="13.95" hidden="1" customHeight="1" outlineLevel="3" x14ac:dyDescent="0.3">
      <c r="A49" s="170" t="s">
        <v>570</v>
      </c>
      <c r="B49" s="170" t="s">
        <v>571</v>
      </c>
      <c r="C49" s="171"/>
      <c r="D49" s="172">
        <v>11.67</v>
      </c>
      <c r="E49" s="173">
        <v>7.7</v>
      </c>
      <c r="F49" s="174">
        <v>5726612</v>
      </c>
      <c r="G49" s="174">
        <v>490901</v>
      </c>
      <c r="H49" s="174">
        <v>1963602</v>
      </c>
      <c r="I49" s="174">
        <v>3763010</v>
      </c>
      <c r="J49" s="171" t="s">
        <v>490</v>
      </c>
    </row>
    <row r="50" spans="1:10" ht="13.95" hidden="1" customHeight="1" outlineLevel="3" x14ac:dyDescent="0.3">
      <c r="A50" s="175" t="s">
        <v>572</v>
      </c>
      <c r="B50" s="175" t="s">
        <v>573</v>
      </c>
      <c r="C50" s="176"/>
      <c r="D50" s="177">
        <v>10</v>
      </c>
      <c r="E50" s="178">
        <v>6</v>
      </c>
      <c r="F50" s="179">
        <v>4884738</v>
      </c>
      <c r="G50" s="179">
        <v>488494</v>
      </c>
      <c r="H50" s="179">
        <v>1953976</v>
      </c>
      <c r="I50" s="179">
        <v>2930762</v>
      </c>
      <c r="J50" s="176" t="s">
        <v>490</v>
      </c>
    </row>
    <row r="51" spans="1:10" ht="13.95" hidden="1" customHeight="1" outlineLevel="3" x14ac:dyDescent="0.3">
      <c r="A51" s="170" t="s">
        <v>574</v>
      </c>
      <c r="B51" s="170" t="s">
        <v>575</v>
      </c>
      <c r="C51" s="171"/>
      <c r="D51" s="172">
        <v>8.01</v>
      </c>
      <c r="E51" s="173">
        <v>4</v>
      </c>
      <c r="F51" s="174">
        <v>4740986</v>
      </c>
      <c r="G51" s="174">
        <v>591645</v>
      </c>
      <c r="H51" s="174">
        <v>2366579</v>
      </c>
      <c r="I51" s="174">
        <v>2374407</v>
      </c>
      <c r="J51" s="171" t="s">
        <v>490</v>
      </c>
    </row>
    <row r="52" spans="1:10" ht="13.95" hidden="1" customHeight="1" outlineLevel="3" x14ac:dyDescent="0.3">
      <c r="A52" s="175" t="s">
        <v>576</v>
      </c>
      <c r="B52" s="175" t="s">
        <v>577</v>
      </c>
      <c r="C52" s="176"/>
      <c r="D52" s="177">
        <v>7.11</v>
      </c>
      <c r="E52" s="178">
        <v>3.1</v>
      </c>
      <c r="F52" s="179">
        <v>4911728</v>
      </c>
      <c r="G52" s="179">
        <v>690759</v>
      </c>
      <c r="H52" s="179">
        <v>2763036</v>
      </c>
      <c r="I52" s="179">
        <v>2148692</v>
      </c>
      <c r="J52" s="176" t="s">
        <v>490</v>
      </c>
    </row>
    <row r="53" spans="1:10" ht="13.95" hidden="1" customHeight="1" outlineLevel="3" x14ac:dyDescent="0.3">
      <c r="A53" s="170" t="s">
        <v>578</v>
      </c>
      <c r="B53" s="170" t="s">
        <v>579</v>
      </c>
      <c r="C53" s="171"/>
      <c r="D53" s="172">
        <v>4.42</v>
      </c>
      <c r="E53" s="173">
        <v>0.4</v>
      </c>
      <c r="F53" s="174">
        <v>893512</v>
      </c>
      <c r="G53" s="174">
        <v>202135</v>
      </c>
      <c r="H53" s="174">
        <v>808542</v>
      </c>
      <c r="I53" s="174">
        <v>84970</v>
      </c>
      <c r="J53" s="171" t="s">
        <v>490</v>
      </c>
    </row>
    <row r="54" spans="1:10" ht="15" hidden="1" customHeight="1" outlineLevel="2" x14ac:dyDescent="0.3">
      <c r="A54" s="167" t="s">
        <v>580</v>
      </c>
      <c r="B54" s="167"/>
      <c r="C54" s="168">
        <v>12</v>
      </c>
      <c r="D54" s="180"/>
      <c r="E54" s="181"/>
      <c r="F54" s="169">
        <v>55951530</v>
      </c>
      <c r="G54" s="169">
        <v>4289857</v>
      </c>
      <c r="H54" s="169">
        <v>17159430</v>
      </c>
      <c r="I54" s="169">
        <v>38792099</v>
      </c>
      <c r="J54" s="168" t="s">
        <v>581</v>
      </c>
    </row>
    <row r="55" spans="1:10" ht="13.95" hidden="1" customHeight="1" outlineLevel="3" x14ac:dyDescent="0.3">
      <c r="A55" s="170" t="s">
        <v>582</v>
      </c>
      <c r="B55" s="170" t="s">
        <v>583</v>
      </c>
      <c r="C55" s="171"/>
      <c r="D55" s="172">
        <v>99</v>
      </c>
      <c r="E55" s="173">
        <v>95</v>
      </c>
      <c r="F55" s="174">
        <v>18868</v>
      </c>
      <c r="G55" s="174">
        <v>0</v>
      </c>
      <c r="H55" s="174">
        <v>0</v>
      </c>
      <c r="I55" s="174">
        <v>18868</v>
      </c>
      <c r="J55" s="171" t="s">
        <v>490</v>
      </c>
    </row>
    <row r="56" spans="1:10" ht="13.95" hidden="1" customHeight="1" outlineLevel="3" collapsed="1" x14ac:dyDescent="0.3">
      <c r="A56" s="175" t="s">
        <v>584</v>
      </c>
      <c r="B56" s="175" t="s">
        <v>358</v>
      </c>
      <c r="C56" s="176"/>
      <c r="D56" s="177">
        <v>99</v>
      </c>
      <c r="E56" s="178">
        <v>95</v>
      </c>
      <c r="F56" s="179">
        <v>132249</v>
      </c>
      <c r="G56" s="179">
        <v>0</v>
      </c>
      <c r="H56" s="179">
        <v>0</v>
      </c>
      <c r="I56" s="179">
        <v>132249</v>
      </c>
      <c r="J56" s="176" t="s">
        <v>490</v>
      </c>
    </row>
    <row r="57" spans="1:10" ht="13.95" hidden="1" customHeight="1" outlineLevel="3" x14ac:dyDescent="0.3">
      <c r="A57" s="170" t="s">
        <v>585</v>
      </c>
      <c r="B57" s="170" t="s">
        <v>586</v>
      </c>
      <c r="C57" s="171"/>
      <c r="D57" s="172">
        <v>99</v>
      </c>
      <c r="E57" s="173">
        <v>95</v>
      </c>
      <c r="F57" s="174">
        <v>92917</v>
      </c>
      <c r="G57" s="174">
        <v>0</v>
      </c>
      <c r="H57" s="174">
        <v>0</v>
      </c>
      <c r="I57" s="174">
        <v>92917</v>
      </c>
      <c r="J57" s="171" t="s">
        <v>490</v>
      </c>
    </row>
    <row r="58" spans="1:10" ht="13.95" hidden="1" customHeight="1" outlineLevel="3" collapsed="1" x14ac:dyDescent="0.3">
      <c r="A58" s="175" t="s">
        <v>587</v>
      </c>
      <c r="B58" s="175" t="s">
        <v>588</v>
      </c>
      <c r="C58" s="176"/>
      <c r="D58" s="177">
        <v>24.58</v>
      </c>
      <c r="E58" s="178">
        <v>20.6</v>
      </c>
      <c r="F58" s="179">
        <v>13403848</v>
      </c>
      <c r="G58" s="179">
        <v>545310</v>
      </c>
      <c r="H58" s="179">
        <v>2181242</v>
      </c>
      <c r="I58" s="179">
        <v>11222606</v>
      </c>
      <c r="J58" s="176" t="s">
        <v>490</v>
      </c>
    </row>
    <row r="59" spans="1:10" ht="13.95" hidden="1" customHeight="1" outlineLevel="3" x14ac:dyDescent="0.3">
      <c r="A59" s="170" t="s">
        <v>589</v>
      </c>
      <c r="B59" s="170" t="s">
        <v>590</v>
      </c>
      <c r="C59" s="171"/>
      <c r="D59" s="172">
        <v>20.239999999999998</v>
      </c>
      <c r="E59" s="173">
        <v>16.2</v>
      </c>
      <c r="F59" s="174">
        <v>15774305</v>
      </c>
      <c r="G59" s="174">
        <v>779189</v>
      </c>
      <c r="H59" s="174">
        <v>3116758</v>
      </c>
      <c r="I59" s="174">
        <v>12657547</v>
      </c>
      <c r="J59" s="171" t="s">
        <v>490</v>
      </c>
    </row>
    <row r="60" spans="1:10" ht="13.95" hidden="1" customHeight="1" outlineLevel="3" x14ac:dyDescent="0.3">
      <c r="A60" s="175" t="s">
        <v>591</v>
      </c>
      <c r="B60" s="175" t="s">
        <v>592</v>
      </c>
      <c r="C60" s="176"/>
      <c r="D60" s="177">
        <v>14.62</v>
      </c>
      <c r="E60" s="178">
        <v>10.6</v>
      </c>
      <c r="F60" s="179">
        <v>13887225</v>
      </c>
      <c r="G60" s="179">
        <v>949561</v>
      </c>
      <c r="H60" s="179">
        <v>3798243</v>
      </c>
      <c r="I60" s="179">
        <v>10088982</v>
      </c>
      <c r="J60" s="176" t="s">
        <v>490</v>
      </c>
    </row>
    <row r="61" spans="1:10" ht="13.95" hidden="1" customHeight="1" outlineLevel="3" x14ac:dyDescent="0.3">
      <c r="A61" s="170" t="s">
        <v>593</v>
      </c>
      <c r="B61" s="170" t="s">
        <v>594</v>
      </c>
      <c r="C61" s="171"/>
      <c r="D61" s="172">
        <v>14.28</v>
      </c>
      <c r="E61" s="173">
        <v>10.3</v>
      </c>
      <c r="F61" s="174">
        <v>1576484</v>
      </c>
      <c r="G61" s="174">
        <v>110383</v>
      </c>
      <c r="H61" s="174">
        <v>441531</v>
      </c>
      <c r="I61" s="174">
        <v>1134953</v>
      </c>
      <c r="J61" s="171" t="s">
        <v>490</v>
      </c>
    </row>
    <row r="62" spans="1:10" ht="13.95" hidden="1" customHeight="1" outlineLevel="3" x14ac:dyDescent="0.3">
      <c r="A62" s="175" t="s">
        <v>595</v>
      </c>
      <c r="B62" s="175" t="s">
        <v>596</v>
      </c>
      <c r="C62" s="176"/>
      <c r="D62" s="177">
        <v>10.45</v>
      </c>
      <c r="E62" s="178">
        <v>6.5</v>
      </c>
      <c r="F62" s="179">
        <v>1519056</v>
      </c>
      <c r="G62" s="179">
        <v>145314</v>
      </c>
      <c r="H62" s="179">
        <v>581256</v>
      </c>
      <c r="I62" s="179">
        <v>937800</v>
      </c>
      <c r="J62" s="176" t="s">
        <v>490</v>
      </c>
    </row>
    <row r="63" spans="1:10" ht="13.95" hidden="1" customHeight="1" outlineLevel="3" x14ac:dyDescent="0.3">
      <c r="A63" s="170" t="s">
        <v>597</v>
      </c>
      <c r="B63" s="170" t="s">
        <v>598</v>
      </c>
      <c r="C63" s="171"/>
      <c r="D63" s="172">
        <v>8.19</v>
      </c>
      <c r="E63" s="173">
        <v>4.2</v>
      </c>
      <c r="F63" s="174">
        <v>2224875</v>
      </c>
      <c r="G63" s="174">
        <v>271765</v>
      </c>
      <c r="H63" s="174">
        <v>1087060</v>
      </c>
      <c r="I63" s="174">
        <v>1137814</v>
      </c>
      <c r="J63" s="171" t="s">
        <v>490</v>
      </c>
    </row>
    <row r="64" spans="1:10" ht="13.95" hidden="1" customHeight="1" outlineLevel="3" x14ac:dyDescent="0.3">
      <c r="A64" s="175" t="s">
        <v>599</v>
      </c>
      <c r="B64" s="175" t="s">
        <v>600</v>
      </c>
      <c r="C64" s="176"/>
      <c r="D64" s="177">
        <v>5.88</v>
      </c>
      <c r="E64" s="178">
        <v>1.9</v>
      </c>
      <c r="F64" s="179">
        <v>751311</v>
      </c>
      <c r="G64" s="179">
        <v>127803</v>
      </c>
      <c r="H64" s="179">
        <v>511212</v>
      </c>
      <c r="I64" s="179">
        <v>240099</v>
      </c>
      <c r="J64" s="176" t="s">
        <v>490</v>
      </c>
    </row>
    <row r="65" spans="1:10" ht="13.95" hidden="1" customHeight="1" outlineLevel="3" x14ac:dyDescent="0.3">
      <c r="A65" s="170" t="s">
        <v>601</v>
      </c>
      <c r="B65" s="170" t="s">
        <v>602</v>
      </c>
      <c r="C65" s="171"/>
      <c r="D65" s="172">
        <v>4.9400000000000004</v>
      </c>
      <c r="E65" s="173">
        <v>0.9</v>
      </c>
      <c r="F65" s="174">
        <v>5838528</v>
      </c>
      <c r="G65" s="174">
        <v>1181608</v>
      </c>
      <c r="H65" s="174">
        <v>4726431</v>
      </c>
      <c r="I65" s="174">
        <v>1112097</v>
      </c>
      <c r="J65" s="171" t="s">
        <v>490</v>
      </c>
    </row>
    <row r="66" spans="1:10" ht="13.95" hidden="1" customHeight="1" outlineLevel="3" x14ac:dyDescent="0.3">
      <c r="A66" s="175" t="s">
        <v>603</v>
      </c>
      <c r="B66" s="175" t="s">
        <v>604</v>
      </c>
      <c r="C66" s="176"/>
      <c r="D66" s="177">
        <v>4.09</v>
      </c>
      <c r="E66" s="178">
        <v>0.1</v>
      </c>
      <c r="F66" s="179">
        <v>731864</v>
      </c>
      <c r="G66" s="179">
        <v>178924</v>
      </c>
      <c r="H66" s="179">
        <v>715697</v>
      </c>
      <c r="I66" s="179">
        <v>16167</v>
      </c>
      <c r="J66" s="176" t="s">
        <v>490</v>
      </c>
    </row>
    <row r="67" spans="1:10" ht="15" hidden="1" customHeight="1" outlineLevel="1" collapsed="1" x14ac:dyDescent="0.3">
      <c r="A67" s="164" t="s">
        <v>605</v>
      </c>
      <c r="B67" s="164"/>
      <c r="C67" s="165">
        <v>1</v>
      </c>
      <c r="D67" s="182"/>
      <c r="E67" s="183"/>
      <c r="F67" s="166">
        <v>38570</v>
      </c>
      <c r="G67" s="166">
        <v>0</v>
      </c>
      <c r="H67" s="166">
        <v>0</v>
      </c>
      <c r="I67" s="166">
        <v>38570</v>
      </c>
      <c r="J67" s="165" t="s">
        <v>546</v>
      </c>
    </row>
    <row r="68" spans="1:10" ht="15" hidden="1" customHeight="1" outlineLevel="2" x14ac:dyDescent="0.3">
      <c r="A68" s="167" t="s">
        <v>606</v>
      </c>
      <c r="B68" s="167"/>
      <c r="C68" s="168">
        <v>1</v>
      </c>
      <c r="D68" s="180"/>
      <c r="E68" s="181"/>
      <c r="F68" s="169">
        <v>38570</v>
      </c>
      <c r="G68" s="169">
        <v>0</v>
      </c>
      <c r="H68" s="169">
        <v>0</v>
      </c>
      <c r="I68" s="169">
        <v>38570</v>
      </c>
      <c r="J68" s="168" t="s">
        <v>546</v>
      </c>
    </row>
    <row r="69" spans="1:10" ht="13.95" hidden="1" customHeight="1" outlineLevel="3" x14ac:dyDescent="0.3">
      <c r="A69" s="170" t="s">
        <v>607</v>
      </c>
      <c r="B69" s="170" t="s">
        <v>608</v>
      </c>
      <c r="C69" s="171"/>
      <c r="D69" s="172">
        <v>99</v>
      </c>
      <c r="E69" s="173">
        <v>95</v>
      </c>
      <c r="F69" s="174">
        <v>38570</v>
      </c>
      <c r="G69" s="174">
        <v>0</v>
      </c>
      <c r="H69" s="174">
        <v>0</v>
      </c>
      <c r="I69" s="174">
        <v>38570</v>
      </c>
      <c r="J69" s="171" t="s">
        <v>490</v>
      </c>
    </row>
    <row r="70" spans="1:10" ht="15" hidden="1" customHeight="1" outlineLevel="1" collapsed="1" x14ac:dyDescent="0.3">
      <c r="A70" s="164" t="s">
        <v>609</v>
      </c>
      <c r="B70" s="164"/>
      <c r="C70" s="165">
        <v>14</v>
      </c>
      <c r="D70" s="182"/>
      <c r="E70" s="183"/>
      <c r="F70" s="166">
        <v>38001319</v>
      </c>
      <c r="G70" s="166">
        <v>6448211</v>
      </c>
      <c r="H70" s="166">
        <v>25792850</v>
      </c>
      <c r="I70" s="166">
        <v>12208469</v>
      </c>
      <c r="J70" s="165" t="s">
        <v>610</v>
      </c>
    </row>
    <row r="71" spans="1:10" ht="15" hidden="1" customHeight="1" outlineLevel="2" x14ac:dyDescent="0.3">
      <c r="A71" s="167" t="s">
        <v>611</v>
      </c>
      <c r="B71" s="167"/>
      <c r="C71" s="168">
        <v>2</v>
      </c>
      <c r="D71" s="180"/>
      <c r="E71" s="181"/>
      <c r="F71" s="169">
        <v>107004</v>
      </c>
      <c r="G71" s="169">
        <v>0</v>
      </c>
      <c r="H71" s="169">
        <v>0</v>
      </c>
      <c r="I71" s="169">
        <v>107004</v>
      </c>
      <c r="J71" s="168" t="s">
        <v>550</v>
      </c>
    </row>
    <row r="72" spans="1:10" ht="13.95" hidden="1" customHeight="1" outlineLevel="3" x14ac:dyDescent="0.3">
      <c r="A72" s="170" t="s">
        <v>612</v>
      </c>
      <c r="B72" s="170" t="s">
        <v>613</v>
      </c>
      <c r="C72" s="171"/>
      <c r="D72" s="172">
        <v>99</v>
      </c>
      <c r="E72" s="173">
        <v>95</v>
      </c>
      <c r="F72" s="174">
        <v>61152</v>
      </c>
      <c r="G72" s="174">
        <v>0</v>
      </c>
      <c r="H72" s="174">
        <v>0</v>
      </c>
      <c r="I72" s="174">
        <v>61152</v>
      </c>
      <c r="J72" s="171" t="s">
        <v>490</v>
      </c>
    </row>
    <row r="73" spans="1:10" ht="13.95" hidden="1" customHeight="1" outlineLevel="3" x14ac:dyDescent="0.3">
      <c r="A73" s="175" t="s">
        <v>614</v>
      </c>
      <c r="B73" s="175" t="s">
        <v>613</v>
      </c>
      <c r="C73" s="176"/>
      <c r="D73" s="177">
        <v>99</v>
      </c>
      <c r="E73" s="178">
        <v>95</v>
      </c>
      <c r="F73" s="179">
        <v>45852</v>
      </c>
      <c r="G73" s="179">
        <v>0</v>
      </c>
      <c r="H73" s="179">
        <v>0</v>
      </c>
      <c r="I73" s="179">
        <v>45852</v>
      </c>
      <c r="J73" s="176" t="s">
        <v>490</v>
      </c>
    </row>
    <row r="74" spans="1:10" ht="15" hidden="1" customHeight="1" outlineLevel="2" x14ac:dyDescent="0.3">
      <c r="A74" s="167" t="s">
        <v>615</v>
      </c>
      <c r="B74" s="167"/>
      <c r="C74" s="168">
        <v>6</v>
      </c>
      <c r="D74" s="180"/>
      <c r="E74" s="181"/>
      <c r="F74" s="169">
        <v>18964346</v>
      </c>
      <c r="G74" s="169">
        <v>3288535</v>
      </c>
      <c r="H74" s="169">
        <v>13154146</v>
      </c>
      <c r="I74" s="169">
        <v>5810200</v>
      </c>
      <c r="J74" s="168" t="s">
        <v>616</v>
      </c>
    </row>
    <row r="75" spans="1:10" ht="13.95" hidden="1" customHeight="1" outlineLevel="3" x14ac:dyDescent="0.3">
      <c r="A75" s="170" t="s">
        <v>617</v>
      </c>
      <c r="B75" s="170" t="s">
        <v>618</v>
      </c>
      <c r="C75" s="171"/>
      <c r="D75" s="172">
        <v>7.32</v>
      </c>
      <c r="E75" s="173">
        <v>3.3</v>
      </c>
      <c r="F75" s="174">
        <v>3670524</v>
      </c>
      <c r="G75" s="174">
        <v>501457</v>
      </c>
      <c r="H75" s="174">
        <v>2005830</v>
      </c>
      <c r="I75" s="174">
        <v>1664694</v>
      </c>
      <c r="J75" s="171" t="s">
        <v>490</v>
      </c>
    </row>
    <row r="76" spans="1:10" ht="13.95" hidden="1" customHeight="1" outlineLevel="3" x14ac:dyDescent="0.3">
      <c r="A76" s="175" t="s">
        <v>619</v>
      </c>
      <c r="B76" s="175" t="s">
        <v>620</v>
      </c>
      <c r="C76" s="176"/>
      <c r="D76" s="177">
        <v>7.19</v>
      </c>
      <c r="E76" s="178">
        <v>3.2</v>
      </c>
      <c r="F76" s="179">
        <v>2601005</v>
      </c>
      <c r="G76" s="179">
        <v>361732</v>
      </c>
      <c r="H76" s="179">
        <v>1446930</v>
      </c>
      <c r="I76" s="179">
        <v>1154075</v>
      </c>
      <c r="J76" s="176" t="s">
        <v>490</v>
      </c>
    </row>
    <row r="77" spans="1:10" ht="13.95" hidden="1" customHeight="1" outlineLevel="3" x14ac:dyDescent="0.3">
      <c r="A77" s="170" t="s">
        <v>621</v>
      </c>
      <c r="B77" s="170" t="s">
        <v>622</v>
      </c>
      <c r="C77" s="171"/>
      <c r="D77" s="172">
        <v>6.64</v>
      </c>
      <c r="E77" s="173">
        <v>2.6</v>
      </c>
      <c r="F77" s="174">
        <v>2909270</v>
      </c>
      <c r="G77" s="174">
        <v>438354</v>
      </c>
      <c r="H77" s="174">
        <v>1753414</v>
      </c>
      <c r="I77" s="174">
        <v>1155856</v>
      </c>
      <c r="J77" s="171" t="s">
        <v>490</v>
      </c>
    </row>
    <row r="78" spans="1:10" ht="13.95" hidden="1" customHeight="1" outlineLevel="3" x14ac:dyDescent="0.3">
      <c r="A78" s="175" t="s">
        <v>623</v>
      </c>
      <c r="B78" s="175" t="s">
        <v>624</v>
      </c>
      <c r="C78" s="176"/>
      <c r="D78" s="177">
        <v>5.94</v>
      </c>
      <c r="E78" s="178">
        <v>1.9</v>
      </c>
      <c r="F78" s="179">
        <v>4354158</v>
      </c>
      <c r="G78" s="179">
        <v>732521</v>
      </c>
      <c r="H78" s="179">
        <v>2930085</v>
      </c>
      <c r="I78" s="179">
        <v>1424073</v>
      </c>
      <c r="J78" s="176" t="s">
        <v>563</v>
      </c>
    </row>
    <row r="79" spans="1:10" ht="13.95" hidden="1" customHeight="1" outlineLevel="3" x14ac:dyDescent="0.3">
      <c r="A79" s="170" t="s">
        <v>625</v>
      </c>
      <c r="B79" s="170" t="s">
        <v>626</v>
      </c>
      <c r="C79" s="171"/>
      <c r="D79" s="172">
        <v>4.46</v>
      </c>
      <c r="E79" s="173">
        <v>0.5</v>
      </c>
      <c r="F79" s="174">
        <v>3928000</v>
      </c>
      <c r="G79" s="174">
        <v>880267</v>
      </c>
      <c r="H79" s="174">
        <v>3521070</v>
      </c>
      <c r="I79" s="174">
        <v>406930</v>
      </c>
      <c r="J79" s="171" t="s">
        <v>490</v>
      </c>
    </row>
    <row r="80" spans="1:10" ht="13.95" hidden="1" customHeight="1" outlineLevel="3" collapsed="1" x14ac:dyDescent="0.3">
      <c r="A80" s="175" t="s">
        <v>627</v>
      </c>
      <c r="B80" s="175" t="s">
        <v>628</v>
      </c>
      <c r="C80" s="176"/>
      <c r="D80" s="177">
        <v>4.01</v>
      </c>
      <c r="E80" s="178">
        <v>0</v>
      </c>
      <c r="F80" s="179">
        <v>1501389</v>
      </c>
      <c r="G80" s="179">
        <v>374204</v>
      </c>
      <c r="H80" s="179">
        <v>1496817</v>
      </c>
      <c r="I80" s="179">
        <v>4572</v>
      </c>
      <c r="J80" s="176" t="s">
        <v>490</v>
      </c>
    </row>
    <row r="81" spans="1:10" ht="15" hidden="1" customHeight="1" outlineLevel="2" collapsed="1" x14ac:dyDescent="0.3">
      <c r="A81" s="167" t="s">
        <v>629</v>
      </c>
      <c r="B81" s="167"/>
      <c r="C81" s="168">
        <v>2</v>
      </c>
      <c r="D81" s="180"/>
      <c r="E81" s="181"/>
      <c r="F81" s="169">
        <v>9032820</v>
      </c>
      <c r="G81" s="169">
        <v>1439265</v>
      </c>
      <c r="H81" s="169">
        <v>5757058</v>
      </c>
      <c r="I81" s="169">
        <v>3275762</v>
      </c>
      <c r="J81" s="168" t="s">
        <v>550</v>
      </c>
    </row>
    <row r="82" spans="1:10" ht="13.95" hidden="1" customHeight="1" outlineLevel="3" x14ac:dyDescent="0.3">
      <c r="A82" s="170" t="s">
        <v>630</v>
      </c>
      <c r="B82" s="170" t="s">
        <v>631</v>
      </c>
      <c r="C82" s="171"/>
      <c r="D82" s="172">
        <v>99</v>
      </c>
      <c r="E82" s="173">
        <v>95</v>
      </c>
      <c r="F82" s="174">
        <v>151635</v>
      </c>
      <c r="G82" s="174">
        <v>0</v>
      </c>
      <c r="H82" s="174">
        <v>0</v>
      </c>
      <c r="I82" s="174">
        <v>151635</v>
      </c>
      <c r="J82" s="171" t="s">
        <v>490</v>
      </c>
    </row>
    <row r="83" spans="1:10" ht="13.95" hidden="1" customHeight="1" outlineLevel="3" collapsed="1" x14ac:dyDescent="0.3">
      <c r="A83" s="175" t="s">
        <v>632</v>
      </c>
      <c r="B83" s="175" t="s">
        <v>633</v>
      </c>
      <c r="C83" s="176"/>
      <c r="D83" s="177">
        <v>6.17</v>
      </c>
      <c r="E83" s="178">
        <v>2.2000000000000002</v>
      </c>
      <c r="F83" s="179">
        <v>8881185</v>
      </c>
      <c r="G83" s="179">
        <v>1439265</v>
      </c>
      <c r="H83" s="179">
        <v>5757058</v>
      </c>
      <c r="I83" s="179">
        <v>3124127</v>
      </c>
      <c r="J83" s="176" t="s">
        <v>490</v>
      </c>
    </row>
    <row r="84" spans="1:10" ht="15" hidden="1" customHeight="1" outlineLevel="2" collapsed="1" x14ac:dyDescent="0.3">
      <c r="A84" s="167" t="s">
        <v>634</v>
      </c>
      <c r="B84" s="167"/>
      <c r="C84" s="168">
        <v>2</v>
      </c>
      <c r="D84" s="180"/>
      <c r="E84" s="181"/>
      <c r="F84" s="169">
        <v>5927741</v>
      </c>
      <c r="G84" s="169">
        <v>1169187</v>
      </c>
      <c r="H84" s="169">
        <v>4676751</v>
      </c>
      <c r="I84" s="169">
        <v>1250990</v>
      </c>
      <c r="J84" s="168" t="s">
        <v>635</v>
      </c>
    </row>
    <row r="85" spans="1:10" ht="13.95" hidden="1" customHeight="1" outlineLevel="3" collapsed="1" x14ac:dyDescent="0.3">
      <c r="A85" s="170" t="s">
        <v>636</v>
      </c>
      <c r="B85" s="170" t="s">
        <v>637</v>
      </c>
      <c r="C85" s="171"/>
      <c r="D85" s="172">
        <v>5.34</v>
      </c>
      <c r="E85" s="173">
        <v>1.3</v>
      </c>
      <c r="F85" s="174">
        <v>3650648</v>
      </c>
      <c r="G85" s="174">
        <v>684070</v>
      </c>
      <c r="H85" s="174">
        <v>2736281</v>
      </c>
      <c r="I85" s="174">
        <v>914367</v>
      </c>
      <c r="J85" s="171" t="s">
        <v>490</v>
      </c>
    </row>
    <row r="86" spans="1:10" ht="13.95" hidden="1" customHeight="1" outlineLevel="3" x14ac:dyDescent="0.3">
      <c r="A86" s="175" t="s">
        <v>638</v>
      </c>
      <c r="B86" s="175" t="s">
        <v>639</v>
      </c>
      <c r="C86" s="176"/>
      <c r="D86" s="177">
        <v>4.6900000000000004</v>
      </c>
      <c r="E86" s="178">
        <v>0.7</v>
      </c>
      <c r="F86" s="179">
        <v>2277093</v>
      </c>
      <c r="G86" s="179">
        <v>485117</v>
      </c>
      <c r="H86" s="179">
        <v>1940470</v>
      </c>
      <c r="I86" s="179">
        <v>336623</v>
      </c>
      <c r="J86" s="176" t="s">
        <v>563</v>
      </c>
    </row>
    <row r="87" spans="1:10" ht="15" hidden="1" customHeight="1" outlineLevel="2" x14ac:dyDescent="0.3">
      <c r="A87" s="167" t="s">
        <v>640</v>
      </c>
      <c r="B87" s="167"/>
      <c r="C87" s="168">
        <v>2</v>
      </c>
      <c r="D87" s="180"/>
      <c r="E87" s="181"/>
      <c r="F87" s="169">
        <v>3969408</v>
      </c>
      <c r="G87" s="169">
        <v>551224</v>
      </c>
      <c r="H87" s="169">
        <v>2204895</v>
      </c>
      <c r="I87" s="169">
        <v>1764513</v>
      </c>
      <c r="J87" s="168" t="s">
        <v>550</v>
      </c>
    </row>
    <row r="88" spans="1:10" ht="13.95" hidden="1" customHeight="1" outlineLevel="3" x14ac:dyDescent="0.3">
      <c r="A88" s="170" t="s">
        <v>641</v>
      </c>
      <c r="B88" s="170" t="s">
        <v>642</v>
      </c>
      <c r="C88" s="171"/>
      <c r="D88" s="172">
        <v>9.5399999999999991</v>
      </c>
      <c r="E88" s="173">
        <v>5.5</v>
      </c>
      <c r="F88" s="174">
        <v>2361600</v>
      </c>
      <c r="G88" s="174">
        <v>247624</v>
      </c>
      <c r="H88" s="174">
        <v>990495</v>
      </c>
      <c r="I88" s="174">
        <v>1371105</v>
      </c>
      <c r="J88" s="171" t="s">
        <v>490</v>
      </c>
    </row>
    <row r="89" spans="1:10" ht="13.95" hidden="1" customHeight="1" outlineLevel="3" x14ac:dyDescent="0.3">
      <c r="A89" s="175" t="s">
        <v>643</v>
      </c>
      <c r="B89" s="175" t="s">
        <v>642</v>
      </c>
      <c r="C89" s="176"/>
      <c r="D89" s="177">
        <v>5.3</v>
      </c>
      <c r="E89" s="178">
        <v>1.3</v>
      </c>
      <c r="F89" s="179">
        <v>1607808</v>
      </c>
      <c r="G89" s="179">
        <v>303600</v>
      </c>
      <c r="H89" s="179">
        <v>1214400</v>
      </c>
      <c r="I89" s="179">
        <v>393408</v>
      </c>
      <c r="J89" s="176" t="s">
        <v>490</v>
      </c>
    </row>
    <row r="90" spans="1:10" ht="15" hidden="1" customHeight="1" outlineLevel="1" collapsed="1" x14ac:dyDescent="0.3">
      <c r="A90" s="164" t="s">
        <v>644</v>
      </c>
      <c r="B90" s="164"/>
      <c r="C90" s="165">
        <v>30</v>
      </c>
      <c r="D90" s="182"/>
      <c r="E90" s="183"/>
      <c r="F90" s="166">
        <v>15787538</v>
      </c>
      <c r="G90" s="166">
        <v>2934328</v>
      </c>
      <c r="H90" s="166">
        <v>11737314</v>
      </c>
      <c r="I90" s="166">
        <v>4050225</v>
      </c>
      <c r="J90" s="165" t="s">
        <v>645</v>
      </c>
    </row>
    <row r="91" spans="1:10" ht="15" hidden="1" customHeight="1" outlineLevel="2" x14ac:dyDescent="0.3">
      <c r="A91" s="167" t="s">
        <v>646</v>
      </c>
      <c r="B91" s="167"/>
      <c r="C91" s="168">
        <v>21</v>
      </c>
      <c r="D91" s="180"/>
      <c r="E91" s="181"/>
      <c r="F91" s="169">
        <v>10821623</v>
      </c>
      <c r="G91" s="169">
        <v>2268770</v>
      </c>
      <c r="H91" s="169">
        <v>9075087</v>
      </c>
      <c r="I91" s="169">
        <v>1746536</v>
      </c>
      <c r="J91" s="168" t="s">
        <v>647</v>
      </c>
    </row>
    <row r="92" spans="1:10" ht="13.95" hidden="1" customHeight="1" outlineLevel="3" x14ac:dyDescent="0.3">
      <c r="A92" s="170" t="s">
        <v>648</v>
      </c>
      <c r="B92" s="170" t="s">
        <v>649</v>
      </c>
      <c r="C92" s="171"/>
      <c r="D92" s="172">
        <v>99</v>
      </c>
      <c r="E92" s="173">
        <v>95</v>
      </c>
      <c r="F92" s="174">
        <v>19710</v>
      </c>
      <c r="G92" s="174">
        <v>0</v>
      </c>
      <c r="H92" s="174">
        <v>0</v>
      </c>
      <c r="I92" s="174">
        <v>19710</v>
      </c>
      <c r="J92" s="171" t="s">
        <v>490</v>
      </c>
    </row>
    <row r="93" spans="1:10" ht="13.95" hidden="1" customHeight="1" outlineLevel="3" x14ac:dyDescent="0.3">
      <c r="A93" s="175" t="s">
        <v>650</v>
      </c>
      <c r="B93" s="175" t="s">
        <v>651</v>
      </c>
      <c r="C93" s="176"/>
      <c r="D93" s="177">
        <v>99</v>
      </c>
      <c r="E93" s="178">
        <v>95</v>
      </c>
      <c r="F93" s="179">
        <v>8076</v>
      </c>
      <c r="G93" s="179">
        <v>0</v>
      </c>
      <c r="H93" s="179">
        <v>0</v>
      </c>
      <c r="I93" s="179">
        <v>8076</v>
      </c>
      <c r="J93" s="176" t="s">
        <v>490</v>
      </c>
    </row>
    <row r="94" spans="1:10" ht="13.95" hidden="1" customHeight="1" outlineLevel="3" x14ac:dyDescent="0.3">
      <c r="A94" s="170" t="s">
        <v>652</v>
      </c>
      <c r="B94" s="170" t="s">
        <v>653</v>
      </c>
      <c r="C94" s="171"/>
      <c r="D94" s="172">
        <v>99</v>
      </c>
      <c r="E94" s="173">
        <v>95</v>
      </c>
      <c r="F94" s="174">
        <v>8068</v>
      </c>
      <c r="G94" s="174">
        <v>0</v>
      </c>
      <c r="H94" s="174">
        <v>0</v>
      </c>
      <c r="I94" s="174">
        <v>8068</v>
      </c>
      <c r="J94" s="171" t="s">
        <v>490</v>
      </c>
    </row>
    <row r="95" spans="1:10" ht="13.95" hidden="1" customHeight="1" outlineLevel="3" collapsed="1" x14ac:dyDescent="0.3">
      <c r="A95" s="175" t="s">
        <v>654</v>
      </c>
      <c r="B95" s="175" t="s">
        <v>655</v>
      </c>
      <c r="C95" s="176"/>
      <c r="D95" s="177">
        <v>99</v>
      </c>
      <c r="E95" s="178">
        <v>95</v>
      </c>
      <c r="F95" s="179">
        <v>18736</v>
      </c>
      <c r="G95" s="179">
        <v>0</v>
      </c>
      <c r="H95" s="179">
        <v>0</v>
      </c>
      <c r="I95" s="179">
        <v>18736</v>
      </c>
      <c r="J95" s="176" t="s">
        <v>490</v>
      </c>
    </row>
    <row r="96" spans="1:10" ht="13.95" hidden="1" customHeight="1" outlineLevel="3" collapsed="1" x14ac:dyDescent="0.3">
      <c r="A96" s="170" t="s">
        <v>656</v>
      </c>
      <c r="B96" s="170" t="s">
        <v>368</v>
      </c>
      <c r="C96" s="171"/>
      <c r="D96" s="172">
        <v>99</v>
      </c>
      <c r="E96" s="173">
        <v>95</v>
      </c>
      <c r="F96" s="174">
        <v>10468</v>
      </c>
      <c r="G96" s="174">
        <v>0</v>
      </c>
      <c r="H96" s="174">
        <v>0</v>
      </c>
      <c r="I96" s="174">
        <v>10468</v>
      </c>
      <c r="J96" s="171" t="s">
        <v>490</v>
      </c>
    </row>
    <row r="97" spans="1:10" ht="13.95" hidden="1" customHeight="1" outlineLevel="3" x14ac:dyDescent="0.3">
      <c r="A97" s="175" t="s">
        <v>657</v>
      </c>
      <c r="B97" s="175" t="s">
        <v>658</v>
      </c>
      <c r="C97" s="176"/>
      <c r="D97" s="177">
        <v>99</v>
      </c>
      <c r="E97" s="178">
        <v>95</v>
      </c>
      <c r="F97" s="179">
        <v>49322</v>
      </c>
      <c r="G97" s="179">
        <v>0</v>
      </c>
      <c r="H97" s="179">
        <v>0</v>
      </c>
      <c r="I97" s="179">
        <v>49322</v>
      </c>
      <c r="J97" s="176" t="s">
        <v>490</v>
      </c>
    </row>
    <row r="98" spans="1:10" ht="13.95" hidden="1" customHeight="1" outlineLevel="3" collapsed="1" x14ac:dyDescent="0.3">
      <c r="A98" s="170" t="s">
        <v>659</v>
      </c>
      <c r="B98" s="170" t="s">
        <v>660</v>
      </c>
      <c r="C98" s="171"/>
      <c r="D98" s="172">
        <v>99</v>
      </c>
      <c r="E98" s="173">
        <v>95</v>
      </c>
      <c r="F98" s="174">
        <v>15176</v>
      </c>
      <c r="G98" s="174">
        <v>0</v>
      </c>
      <c r="H98" s="174">
        <v>0</v>
      </c>
      <c r="I98" s="174">
        <v>15176</v>
      </c>
      <c r="J98" s="171" t="s">
        <v>490</v>
      </c>
    </row>
    <row r="99" spans="1:10" ht="13.95" hidden="1" customHeight="1" outlineLevel="3" collapsed="1" x14ac:dyDescent="0.3">
      <c r="A99" s="175" t="s">
        <v>661</v>
      </c>
      <c r="B99" s="175" t="s">
        <v>662</v>
      </c>
      <c r="C99" s="176"/>
      <c r="D99" s="177">
        <v>99</v>
      </c>
      <c r="E99" s="178">
        <v>95</v>
      </c>
      <c r="F99" s="179">
        <v>37940</v>
      </c>
      <c r="G99" s="179">
        <v>0</v>
      </c>
      <c r="H99" s="179">
        <v>0</v>
      </c>
      <c r="I99" s="179">
        <v>37940</v>
      </c>
      <c r="J99" s="176" t="s">
        <v>490</v>
      </c>
    </row>
    <row r="100" spans="1:10" ht="13.95" hidden="1" customHeight="1" outlineLevel="3" collapsed="1" x14ac:dyDescent="0.3">
      <c r="A100" s="170" t="s">
        <v>663</v>
      </c>
      <c r="B100" s="170" t="s">
        <v>664</v>
      </c>
      <c r="C100" s="171"/>
      <c r="D100" s="172">
        <v>37.76</v>
      </c>
      <c r="E100" s="173">
        <v>33.799999999999997</v>
      </c>
      <c r="F100" s="174">
        <v>156338</v>
      </c>
      <c r="G100" s="174">
        <v>4140</v>
      </c>
      <c r="H100" s="174">
        <v>16560</v>
      </c>
      <c r="I100" s="174">
        <v>139778</v>
      </c>
      <c r="J100" s="171" t="s">
        <v>490</v>
      </c>
    </row>
    <row r="101" spans="1:10" ht="13.95" hidden="1" customHeight="1" outlineLevel="3" collapsed="1" x14ac:dyDescent="0.3">
      <c r="A101" s="175" t="s">
        <v>665</v>
      </c>
      <c r="B101" s="175" t="s">
        <v>184</v>
      </c>
      <c r="C101" s="176"/>
      <c r="D101" s="177">
        <v>5.8</v>
      </c>
      <c r="E101" s="178">
        <v>1.8</v>
      </c>
      <c r="F101" s="179">
        <v>278235</v>
      </c>
      <c r="G101" s="179">
        <v>47990</v>
      </c>
      <c r="H101" s="179">
        <v>191958</v>
      </c>
      <c r="I101" s="179">
        <v>86277</v>
      </c>
      <c r="J101" s="176" t="s">
        <v>563</v>
      </c>
    </row>
    <row r="102" spans="1:10" ht="13.95" hidden="1" customHeight="1" outlineLevel="3" x14ac:dyDescent="0.3">
      <c r="A102" s="170" t="s">
        <v>666</v>
      </c>
      <c r="B102" s="170" t="s">
        <v>667</v>
      </c>
      <c r="C102" s="171"/>
      <c r="D102" s="172">
        <v>5.7</v>
      </c>
      <c r="E102" s="173">
        <v>1.7</v>
      </c>
      <c r="F102" s="174">
        <v>588224</v>
      </c>
      <c r="G102" s="174">
        <v>103241</v>
      </c>
      <c r="H102" s="174">
        <v>412965</v>
      </c>
      <c r="I102" s="174">
        <v>175259</v>
      </c>
      <c r="J102" s="171" t="s">
        <v>490</v>
      </c>
    </row>
    <row r="103" spans="1:10" ht="13.95" hidden="1" customHeight="1" outlineLevel="3" x14ac:dyDescent="0.3">
      <c r="A103" s="175" t="s">
        <v>668</v>
      </c>
      <c r="B103" s="175" t="s">
        <v>178</v>
      </c>
      <c r="C103" s="176"/>
      <c r="D103" s="177">
        <v>5.31</v>
      </c>
      <c r="E103" s="178">
        <v>1.3</v>
      </c>
      <c r="F103" s="179">
        <v>456956</v>
      </c>
      <c r="G103" s="179">
        <v>86112</v>
      </c>
      <c r="H103" s="179">
        <v>344448</v>
      </c>
      <c r="I103" s="179">
        <v>112508</v>
      </c>
      <c r="J103" s="176" t="s">
        <v>563</v>
      </c>
    </row>
    <row r="104" spans="1:10" ht="13.95" hidden="1" customHeight="1" outlineLevel="3" x14ac:dyDescent="0.3">
      <c r="A104" s="170" t="s">
        <v>669</v>
      </c>
      <c r="B104" s="170" t="s">
        <v>670</v>
      </c>
      <c r="C104" s="171"/>
      <c r="D104" s="172">
        <v>5.14</v>
      </c>
      <c r="E104" s="173">
        <v>1.1000000000000001</v>
      </c>
      <c r="F104" s="174">
        <v>1785888</v>
      </c>
      <c r="G104" s="174">
        <v>347449</v>
      </c>
      <c r="H104" s="174">
        <v>1389798</v>
      </c>
      <c r="I104" s="174">
        <v>396090</v>
      </c>
      <c r="J104" s="171" t="s">
        <v>490</v>
      </c>
    </row>
    <row r="105" spans="1:10" ht="13.95" hidden="1" customHeight="1" outlineLevel="3" x14ac:dyDescent="0.3">
      <c r="A105" s="175" t="s">
        <v>671</v>
      </c>
      <c r="B105" s="175" t="s">
        <v>672</v>
      </c>
      <c r="C105" s="176"/>
      <c r="D105" s="177">
        <v>4.9800000000000004</v>
      </c>
      <c r="E105" s="178">
        <v>1</v>
      </c>
      <c r="F105" s="179">
        <v>854108</v>
      </c>
      <c r="G105" s="179">
        <v>171396</v>
      </c>
      <c r="H105" s="179">
        <v>685584</v>
      </c>
      <c r="I105" s="179">
        <v>168524</v>
      </c>
      <c r="J105" s="176" t="s">
        <v>490</v>
      </c>
    </row>
    <row r="106" spans="1:10" ht="13.95" hidden="1" customHeight="1" outlineLevel="3" x14ac:dyDescent="0.3">
      <c r="A106" s="170" t="s">
        <v>673</v>
      </c>
      <c r="B106" s="170" t="s">
        <v>182</v>
      </c>
      <c r="C106" s="171"/>
      <c r="D106" s="172">
        <v>4.75</v>
      </c>
      <c r="E106" s="173">
        <v>0.7</v>
      </c>
      <c r="F106" s="174">
        <v>341775</v>
      </c>
      <c r="G106" s="174">
        <v>71967</v>
      </c>
      <c r="H106" s="174">
        <v>287868</v>
      </c>
      <c r="I106" s="174">
        <v>53907</v>
      </c>
      <c r="J106" s="171" t="s">
        <v>563</v>
      </c>
    </row>
    <row r="107" spans="1:10" ht="13.95" hidden="1" customHeight="1" outlineLevel="3" x14ac:dyDescent="0.3">
      <c r="A107" s="175" t="s">
        <v>674</v>
      </c>
      <c r="B107" s="175" t="s">
        <v>675</v>
      </c>
      <c r="C107" s="176"/>
      <c r="D107" s="177">
        <v>4.49</v>
      </c>
      <c r="E107" s="178">
        <v>0.5</v>
      </c>
      <c r="F107" s="179">
        <v>1128048</v>
      </c>
      <c r="G107" s="179">
        <v>251039</v>
      </c>
      <c r="H107" s="179">
        <v>1004157</v>
      </c>
      <c r="I107" s="179">
        <v>123891</v>
      </c>
      <c r="J107" s="176" t="s">
        <v>490</v>
      </c>
    </row>
    <row r="108" spans="1:10" ht="13.95" hidden="1" customHeight="1" outlineLevel="3" x14ac:dyDescent="0.3">
      <c r="A108" s="170" t="s">
        <v>676</v>
      </c>
      <c r="B108" s="170" t="s">
        <v>677</v>
      </c>
      <c r="C108" s="171"/>
      <c r="D108" s="172">
        <v>4.49</v>
      </c>
      <c r="E108" s="173">
        <v>0.5</v>
      </c>
      <c r="F108" s="174">
        <v>435381</v>
      </c>
      <c r="G108" s="174">
        <v>96876</v>
      </c>
      <c r="H108" s="174">
        <v>387504</v>
      </c>
      <c r="I108" s="174">
        <v>47877</v>
      </c>
      <c r="J108" s="171" t="s">
        <v>490</v>
      </c>
    </row>
    <row r="109" spans="1:10" ht="13.95" hidden="1" customHeight="1" outlineLevel="3" x14ac:dyDescent="0.3">
      <c r="A109" s="175" t="s">
        <v>678</v>
      </c>
      <c r="B109" s="175" t="s">
        <v>679</v>
      </c>
      <c r="C109" s="176"/>
      <c r="D109" s="177">
        <v>4.49</v>
      </c>
      <c r="E109" s="178">
        <v>0.5</v>
      </c>
      <c r="F109" s="179">
        <v>398520</v>
      </c>
      <c r="G109" s="179">
        <v>88751</v>
      </c>
      <c r="H109" s="179">
        <v>355005</v>
      </c>
      <c r="I109" s="179">
        <v>43515</v>
      </c>
      <c r="J109" s="176" t="s">
        <v>490</v>
      </c>
    </row>
    <row r="110" spans="1:10" ht="13.95" hidden="1" customHeight="1" outlineLevel="3" x14ac:dyDescent="0.3">
      <c r="A110" s="170" t="s">
        <v>680</v>
      </c>
      <c r="B110" s="170" t="s">
        <v>681</v>
      </c>
      <c r="C110" s="171"/>
      <c r="D110" s="172">
        <v>4.45</v>
      </c>
      <c r="E110" s="173">
        <v>0.5</v>
      </c>
      <c r="F110" s="174">
        <v>988530</v>
      </c>
      <c r="G110" s="174">
        <v>222007</v>
      </c>
      <c r="H110" s="174">
        <v>888030</v>
      </c>
      <c r="I110" s="174">
        <v>100500</v>
      </c>
      <c r="J110" s="171" t="s">
        <v>490</v>
      </c>
    </row>
    <row r="111" spans="1:10" ht="13.95" hidden="1" customHeight="1" outlineLevel="3" x14ac:dyDescent="0.3">
      <c r="A111" s="175" t="s">
        <v>682</v>
      </c>
      <c r="B111" s="175" t="s">
        <v>683</v>
      </c>
      <c r="C111" s="176"/>
      <c r="D111" s="177">
        <v>4.41</v>
      </c>
      <c r="E111" s="178">
        <v>0.4</v>
      </c>
      <c r="F111" s="179">
        <v>891192</v>
      </c>
      <c r="G111" s="179">
        <v>202135</v>
      </c>
      <c r="H111" s="179">
        <v>808542</v>
      </c>
      <c r="I111" s="179">
        <v>82650</v>
      </c>
      <c r="J111" s="176" t="s">
        <v>490</v>
      </c>
    </row>
    <row r="112" spans="1:10" ht="13.95" hidden="1" customHeight="1" outlineLevel="3" x14ac:dyDescent="0.3">
      <c r="A112" s="170" t="s">
        <v>684</v>
      </c>
      <c r="B112" s="170" t="s">
        <v>685</v>
      </c>
      <c r="C112" s="171"/>
      <c r="D112" s="172">
        <v>4.08</v>
      </c>
      <c r="E112" s="173">
        <v>0.1</v>
      </c>
      <c r="F112" s="174">
        <v>2350932</v>
      </c>
      <c r="G112" s="174">
        <v>575667</v>
      </c>
      <c r="H112" s="174">
        <v>2302668</v>
      </c>
      <c r="I112" s="174">
        <v>48264</v>
      </c>
      <c r="J112" s="171" t="s">
        <v>490</v>
      </c>
    </row>
    <row r="113" spans="1:10" ht="15" hidden="1" customHeight="1" outlineLevel="2" x14ac:dyDescent="0.3">
      <c r="A113" s="167" t="s">
        <v>686</v>
      </c>
      <c r="B113" s="167"/>
      <c r="C113" s="168">
        <v>8</v>
      </c>
      <c r="D113" s="180"/>
      <c r="E113" s="181"/>
      <c r="F113" s="169">
        <v>2806191</v>
      </c>
      <c r="G113" s="169">
        <v>462607</v>
      </c>
      <c r="H113" s="169">
        <v>1850425</v>
      </c>
      <c r="I113" s="169">
        <v>955767</v>
      </c>
      <c r="J113" s="168" t="s">
        <v>687</v>
      </c>
    </row>
    <row r="114" spans="1:10" ht="13.95" hidden="1" customHeight="1" outlineLevel="3" x14ac:dyDescent="0.3">
      <c r="A114" s="170" t="s">
        <v>688</v>
      </c>
      <c r="B114" s="170" t="s">
        <v>689</v>
      </c>
      <c r="C114" s="171"/>
      <c r="D114" s="172">
        <v>99</v>
      </c>
      <c r="E114" s="173">
        <v>95</v>
      </c>
      <c r="F114" s="174">
        <v>2867</v>
      </c>
      <c r="G114" s="174">
        <v>0</v>
      </c>
      <c r="H114" s="174">
        <v>0</v>
      </c>
      <c r="I114" s="174">
        <v>2867</v>
      </c>
      <c r="J114" s="171" t="s">
        <v>490</v>
      </c>
    </row>
    <row r="115" spans="1:10" ht="13.95" hidden="1" customHeight="1" outlineLevel="3" x14ac:dyDescent="0.3">
      <c r="A115" s="175" t="s">
        <v>690</v>
      </c>
      <c r="B115" s="175" t="s">
        <v>691</v>
      </c>
      <c r="C115" s="176"/>
      <c r="D115" s="177">
        <v>99</v>
      </c>
      <c r="E115" s="178">
        <v>95</v>
      </c>
      <c r="F115" s="179">
        <v>80416</v>
      </c>
      <c r="G115" s="179">
        <v>0</v>
      </c>
      <c r="H115" s="179">
        <v>0</v>
      </c>
      <c r="I115" s="179">
        <v>80416</v>
      </c>
      <c r="J115" s="176" t="s">
        <v>490</v>
      </c>
    </row>
    <row r="116" spans="1:10" ht="13.95" hidden="1" customHeight="1" outlineLevel="3" x14ac:dyDescent="0.3">
      <c r="A116" s="170" t="s">
        <v>692</v>
      </c>
      <c r="B116" s="170" t="s">
        <v>693</v>
      </c>
      <c r="C116" s="171"/>
      <c r="D116" s="172">
        <v>99</v>
      </c>
      <c r="E116" s="173">
        <v>95</v>
      </c>
      <c r="F116" s="174">
        <v>8568</v>
      </c>
      <c r="G116" s="174">
        <v>0</v>
      </c>
      <c r="H116" s="174">
        <v>0</v>
      </c>
      <c r="I116" s="174">
        <v>8568</v>
      </c>
      <c r="J116" s="171" t="s">
        <v>490</v>
      </c>
    </row>
    <row r="117" spans="1:10" ht="13.95" hidden="1" customHeight="1" outlineLevel="3" x14ac:dyDescent="0.3">
      <c r="A117" s="175" t="s">
        <v>694</v>
      </c>
      <c r="B117" s="175" t="s">
        <v>695</v>
      </c>
      <c r="C117" s="176"/>
      <c r="D117" s="177">
        <v>12.34</v>
      </c>
      <c r="E117" s="178">
        <v>8.3000000000000007</v>
      </c>
      <c r="F117" s="179">
        <v>622661</v>
      </c>
      <c r="G117" s="179">
        <v>50456</v>
      </c>
      <c r="H117" s="179">
        <v>201825</v>
      </c>
      <c r="I117" s="179">
        <v>420836</v>
      </c>
      <c r="J117" s="176" t="s">
        <v>490</v>
      </c>
    </row>
    <row r="118" spans="1:10" ht="13.95" hidden="1" customHeight="1" outlineLevel="3" x14ac:dyDescent="0.3">
      <c r="A118" s="170" t="s">
        <v>696</v>
      </c>
      <c r="B118" s="170" t="s">
        <v>697</v>
      </c>
      <c r="C118" s="171"/>
      <c r="D118" s="172">
        <v>7.67</v>
      </c>
      <c r="E118" s="173">
        <v>3.7</v>
      </c>
      <c r="F118" s="174">
        <v>560945</v>
      </c>
      <c r="G118" s="174">
        <v>73097</v>
      </c>
      <c r="H118" s="174">
        <v>292388</v>
      </c>
      <c r="I118" s="174">
        <v>268558</v>
      </c>
      <c r="J118" s="171" t="s">
        <v>490</v>
      </c>
    </row>
    <row r="119" spans="1:10" ht="13.95" hidden="1" customHeight="1" outlineLevel="3" x14ac:dyDescent="0.3">
      <c r="A119" s="175" t="s">
        <v>698</v>
      </c>
      <c r="B119" s="175" t="s">
        <v>699</v>
      </c>
      <c r="C119" s="176"/>
      <c r="D119" s="177">
        <v>5.94</v>
      </c>
      <c r="E119" s="178">
        <v>1.9</v>
      </c>
      <c r="F119" s="179">
        <v>407022</v>
      </c>
      <c r="G119" s="179">
        <v>68569</v>
      </c>
      <c r="H119" s="179">
        <v>274275</v>
      </c>
      <c r="I119" s="179">
        <v>132747</v>
      </c>
      <c r="J119" s="176" t="s">
        <v>490</v>
      </c>
    </row>
    <row r="120" spans="1:10" ht="13.95" hidden="1" customHeight="1" outlineLevel="3" collapsed="1" x14ac:dyDescent="0.3">
      <c r="A120" s="170" t="s">
        <v>700</v>
      </c>
      <c r="B120" s="170" t="s">
        <v>701</v>
      </c>
      <c r="C120" s="171"/>
      <c r="D120" s="172">
        <v>4.24</v>
      </c>
      <c r="E120" s="173">
        <v>0.2</v>
      </c>
      <c r="F120" s="174">
        <v>677026</v>
      </c>
      <c r="G120" s="174">
        <v>159494</v>
      </c>
      <c r="H120" s="174">
        <v>637974</v>
      </c>
      <c r="I120" s="174">
        <v>39052</v>
      </c>
      <c r="J120" s="171" t="s">
        <v>490</v>
      </c>
    </row>
    <row r="121" spans="1:10" ht="13.95" hidden="1" customHeight="1" outlineLevel="3" x14ac:dyDescent="0.3">
      <c r="A121" s="175" t="s">
        <v>702</v>
      </c>
      <c r="B121" s="175" t="s">
        <v>703</v>
      </c>
      <c r="C121" s="176"/>
      <c r="D121" s="177">
        <v>4.0199999999999996</v>
      </c>
      <c r="E121" s="178">
        <v>0</v>
      </c>
      <c r="F121" s="179">
        <v>446686</v>
      </c>
      <c r="G121" s="179">
        <v>110991</v>
      </c>
      <c r="H121" s="179">
        <v>443963</v>
      </c>
      <c r="I121" s="179">
        <v>2723</v>
      </c>
      <c r="J121" s="176" t="s">
        <v>490</v>
      </c>
    </row>
    <row r="122" spans="1:10" ht="15" hidden="1" customHeight="1" outlineLevel="2" x14ac:dyDescent="0.3">
      <c r="A122" s="167" t="s">
        <v>704</v>
      </c>
      <c r="B122" s="167"/>
      <c r="C122" s="168">
        <v>1</v>
      </c>
      <c r="D122" s="180"/>
      <c r="E122" s="181"/>
      <c r="F122" s="169">
        <v>2159724</v>
      </c>
      <c r="G122" s="169">
        <v>202951</v>
      </c>
      <c r="H122" s="169">
        <v>811802</v>
      </c>
      <c r="I122" s="169">
        <v>1347922</v>
      </c>
      <c r="J122" s="168" t="s">
        <v>546</v>
      </c>
    </row>
    <row r="123" spans="1:10" ht="13.95" hidden="1" customHeight="1" outlineLevel="3" x14ac:dyDescent="0.3">
      <c r="A123" s="170" t="s">
        <v>705</v>
      </c>
      <c r="B123" s="170" t="s">
        <v>706</v>
      </c>
      <c r="C123" s="171"/>
      <c r="D123" s="172">
        <v>10.64</v>
      </c>
      <c r="E123" s="173">
        <v>6.6</v>
      </c>
      <c r="F123" s="174">
        <v>2159724</v>
      </c>
      <c r="G123" s="174">
        <v>202951</v>
      </c>
      <c r="H123" s="174">
        <v>811802</v>
      </c>
      <c r="I123" s="174">
        <v>1347922</v>
      </c>
      <c r="J123" s="171" t="s">
        <v>490</v>
      </c>
    </row>
    <row r="124" spans="1:10" ht="15" hidden="1" customHeight="1" outlineLevel="1" collapsed="1" x14ac:dyDescent="0.3">
      <c r="A124" s="164" t="s">
        <v>707</v>
      </c>
      <c r="B124" s="164"/>
      <c r="C124" s="165">
        <v>12</v>
      </c>
      <c r="D124" s="182"/>
      <c r="E124" s="183"/>
      <c r="F124" s="166">
        <v>16657091</v>
      </c>
      <c r="G124" s="166">
        <v>2315845</v>
      </c>
      <c r="H124" s="166">
        <v>9263379</v>
      </c>
      <c r="I124" s="166">
        <v>7393712</v>
      </c>
      <c r="J124" s="165" t="s">
        <v>581</v>
      </c>
    </row>
    <row r="125" spans="1:10" ht="15" hidden="1" customHeight="1" outlineLevel="2" x14ac:dyDescent="0.3">
      <c r="A125" s="167" t="s">
        <v>708</v>
      </c>
      <c r="B125" s="167"/>
      <c r="C125" s="168">
        <v>1</v>
      </c>
      <c r="D125" s="180"/>
      <c r="E125" s="181"/>
      <c r="F125" s="169">
        <v>653700</v>
      </c>
      <c r="G125" s="169">
        <v>117835</v>
      </c>
      <c r="H125" s="169">
        <v>471339</v>
      </c>
      <c r="I125" s="169">
        <v>182361</v>
      </c>
      <c r="J125" s="168" t="s">
        <v>546</v>
      </c>
    </row>
    <row r="126" spans="1:10" ht="13.95" hidden="1" customHeight="1" outlineLevel="3" collapsed="1" x14ac:dyDescent="0.3">
      <c r="A126" s="170" t="s">
        <v>709</v>
      </c>
      <c r="B126" s="170" t="s">
        <v>710</v>
      </c>
      <c r="C126" s="171"/>
      <c r="D126" s="172">
        <v>5.55</v>
      </c>
      <c r="E126" s="173">
        <v>1.5</v>
      </c>
      <c r="F126" s="174">
        <v>653700</v>
      </c>
      <c r="G126" s="174">
        <v>117835</v>
      </c>
      <c r="H126" s="174">
        <v>471339</v>
      </c>
      <c r="I126" s="174">
        <v>182361</v>
      </c>
      <c r="J126" s="171" t="s">
        <v>490</v>
      </c>
    </row>
    <row r="127" spans="1:10" ht="15" hidden="1" customHeight="1" outlineLevel="2" x14ac:dyDescent="0.3">
      <c r="A127" s="167" t="s">
        <v>711</v>
      </c>
      <c r="B127" s="167"/>
      <c r="C127" s="168">
        <v>11</v>
      </c>
      <c r="D127" s="180"/>
      <c r="E127" s="181"/>
      <c r="F127" s="169">
        <v>16003391</v>
      </c>
      <c r="G127" s="169">
        <v>2198010</v>
      </c>
      <c r="H127" s="169">
        <v>8792040</v>
      </c>
      <c r="I127" s="169">
        <v>7211351</v>
      </c>
      <c r="J127" s="168" t="s">
        <v>712</v>
      </c>
    </row>
    <row r="128" spans="1:10" ht="13.95" hidden="1" customHeight="1" outlineLevel="3" x14ac:dyDescent="0.3">
      <c r="A128" s="170" t="s">
        <v>713</v>
      </c>
      <c r="B128" s="170" t="s">
        <v>714</v>
      </c>
      <c r="C128" s="171"/>
      <c r="D128" s="172">
        <v>99</v>
      </c>
      <c r="E128" s="173">
        <v>95</v>
      </c>
      <c r="F128" s="174">
        <v>42580</v>
      </c>
      <c r="G128" s="174">
        <v>0</v>
      </c>
      <c r="H128" s="174">
        <v>0</v>
      </c>
      <c r="I128" s="174">
        <v>42580</v>
      </c>
      <c r="J128" s="171" t="s">
        <v>490</v>
      </c>
    </row>
    <row r="129" spans="1:10" ht="13.95" hidden="1" customHeight="1" outlineLevel="3" x14ac:dyDescent="0.3">
      <c r="A129" s="175" t="s">
        <v>715</v>
      </c>
      <c r="B129" s="175" t="s">
        <v>716</v>
      </c>
      <c r="C129" s="176"/>
      <c r="D129" s="177">
        <v>99</v>
      </c>
      <c r="E129" s="178">
        <v>95</v>
      </c>
      <c r="F129" s="179">
        <v>1382407</v>
      </c>
      <c r="G129" s="179">
        <v>0</v>
      </c>
      <c r="H129" s="179">
        <v>0</v>
      </c>
      <c r="I129" s="179">
        <v>1382407</v>
      </c>
      <c r="J129" s="176" t="s">
        <v>490</v>
      </c>
    </row>
    <row r="130" spans="1:10" ht="13.95" hidden="1" customHeight="1" outlineLevel="3" collapsed="1" x14ac:dyDescent="0.3">
      <c r="A130" s="170" t="s">
        <v>717</v>
      </c>
      <c r="B130" s="170" t="s">
        <v>718</v>
      </c>
      <c r="C130" s="171"/>
      <c r="D130" s="172">
        <v>99</v>
      </c>
      <c r="E130" s="173">
        <v>95</v>
      </c>
      <c r="F130" s="174">
        <v>737173</v>
      </c>
      <c r="G130" s="174">
        <v>0</v>
      </c>
      <c r="H130" s="174">
        <v>0</v>
      </c>
      <c r="I130" s="174">
        <v>737173</v>
      </c>
      <c r="J130" s="171" t="s">
        <v>490</v>
      </c>
    </row>
    <row r="131" spans="1:10" ht="13.95" hidden="1" customHeight="1" outlineLevel="3" x14ac:dyDescent="0.3">
      <c r="A131" s="175" t="s">
        <v>719</v>
      </c>
      <c r="B131" s="175" t="s">
        <v>720</v>
      </c>
      <c r="C131" s="176"/>
      <c r="D131" s="177">
        <v>99</v>
      </c>
      <c r="E131" s="178">
        <v>95</v>
      </c>
      <c r="F131" s="179">
        <v>61538</v>
      </c>
      <c r="G131" s="179">
        <v>0</v>
      </c>
      <c r="H131" s="179">
        <v>0</v>
      </c>
      <c r="I131" s="179">
        <v>61538</v>
      </c>
      <c r="J131" s="176" t="s">
        <v>490</v>
      </c>
    </row>
    <row r="132" spans="1:10" ht="13.95" hidden="1" customHeight="1" outlineLevel="3" x14ac:dyDescent="0.3">
      <c r="A132" s="170" t="s">
        <v>721</v>
      </c>
      <c r="B132" s="170" t="s">
        <v>722</v>
      </c>
      <c r="C132" s="171"/>
      <c r="D132" s="172">
        <v>99</v>
      </c>
      <c r="E132" s="173">
        <v>95</v>
      </c>
      <c r="F132" s="174">
        <v>263328</v>
      </c>
      <c r="G132" s="174">
        <v>0</v>
      </c>
      <c r="H132" s="174">
        <v>0</v>
      </c>
      <c r="I132" s="174">
        <v>263328</v>
      </c>
      <c r="J132" s="171" t="s">
        <v>490</v>
      </c>
    </row>
    <row r="133" spans="1:10" ht="13.95" hidden="1" customHeight="1" outlineLevel="3" x14ac:dyDescent="0.3">
      <c r="A133" s="175" t="s">
        <v>723</v>
      </c>
      <c r="B133" s="175" t="s">
        <v>724</v>
      </c>
      <c r="C133" s="176"/>
      <c r="D133" s="177">
        <v>99</v>
      </c>
      <c r="E133" s="178">
        <v>95</v>
      </c>
      <c r="F133" s="179">
        <v>123882</v>
      </c>
      <c r="G133" s="179">
        <v>0</v>
      </c>
      <c r="H133" s="179">
        <v>0</v>
      </c>
      <c r="I133" s="179">
        <v>123882</v>
      </c>
      <c r="J133" s="176" t="s">
        <v>490</v>
      </c>
    </row>
    <row r="134" spans="1:10" ht="13.95" hidden="1" customHeight="1" outlineLevel="3" x14ac:dyDescent="0.3">
      <c r="A134" s="170" t="s">
        <v>725</v>
      </c>
      <c r="B134" s="170" t="s">
        <v>726</v>
      </c>
      <c r="C134" s="171"/>
      <c r="D134" s="172">
        <v>99</v>
      </c>
      <c r="E134" s="173">
        <v>95</v>
      </c>
      <c r="F134" s="174">
        <v>464604</v>
      </c>
      <c r="G134" s="174">
        <v>0</v>
      </c>
      <c r="H134" s="174">
        <v>0</v>
      </c>
      <c r="I134" s="174">
        <v>464604</v>
      </c>
      <c r="J134" s="171" t="s">
        <v>490</v>
      </c>
    </row>
    <row r="135" spans="1:10" ht="13.95" hidden="1" customHeight="1" outlineLevel="3" collapsed="1" x14ac:dyDescent="0.3">
      <c r="A135" s="175" t="s">
        <v>727</v>
      </c>
      <c r="B135" s="175" t="s">
        <v>728</v>
      </c>
      <c r="C135" s="176"/>
      <c r="D135" s="177">
        <v>99</v>
      </c>
      <c r="E135" s="178">
        <v>95</v>
      </c>
      <c r="F135" s="179">
        <v>66915</v>
      </c>
      <c r="G135" s="179">
        <v>0</v>
      </c>
      <c r="H135" s="179">
        <v>0</v>
      </c>
      <c r="I135" s="179">
        <v>66915</v>
      </c>
      <c r="J135" s="176" t="s">
        <v>490</v>
      </c>
    </row>
    <row r="136" spans="1:10" ht="13.95" hidden="1" customHeight="1" outlineLevel="3" collapsed="1" x14ac:dyDescent="0.3">
      <c r="A136" s="170" t="s">
        <v>729</v>
      </c>
      <c r="B136" s="170" t="s">
        <v>728</v>
      </c>
      <c r="C136" s="171"/>
      <c r="D136" s="172">
        <v>99</v>
      </c>
      <c r="E136" s="173">
        <v>95</v>
      </c>
      <c r="F136" s="174">
        <v>65310</v>
      </c>
      <c r="G136" s="174">
        <v>0</v>
      </c>
      <c r="H136" s="174">
        <v>0</v>
      </c>
      <c r="I136" s="174">
        <v>65310</v>
      </c>
      <c r="J136" s="171" t="s">
        <v>490</v>
      </c>
    </row>
    <row r="137" spans="1:10" ht="13.95" hidden="1" customHeight="1" outlineLevel="3" collapsed="1" x14ac:dyDescent="0.3">
      <c r="A137" s="175" t="s">
        <v>730</v>
      </c>
      <c r="B137" s="175" t="s">
        <v>731</v>
      </c>
      <c r="C137" s="176"/>
      <c r="D137" s="177">
        <v>5.94</v>
      </c>
      <c r="E137" s="178">
        <v>1.9</v>
      </c>
      <c r="F137" s="179">
        <v>4920546</v>
      </c>
      <c r="G137" s="179">
        <v>828569</v>
      </c>
      <c r="H137" s="179">
        <v>3314277</v>
      </c>
      <c r="I137" s="179">
        <v>1606269</v>
      </c>
      <c r="J137" s="176" t="s">
        <v>490</v>
      </c>
    </row>
    <row r="138" spans="1:10" ht="13.95" hidden="1" customHeight="1" outlineLevel="3" x14ac:dyDescent="0.3">
      <c r="A138" s="170" t="s">
        <v>732</v>
      </c>
      <c r="B138" s="170" t="s">
        <v>733</v>
      </c>
      <c r="C138" s="171"/>
      <c r="D138" s="172">
        <v>5.75</v>
      </c>
      <c r="E138" s="173">
        <v>1.8</v>
      </c>
      <c r="F138" s="174">
        <v>7875108</v>
      </c>
      <c r="G138" s="174">
        <v>1369441</v>
      </c>
      <c r="H138" s="174">
        <v>5477763</v>
      </c>
      <c r="I138" s="174">
        <v>2397345</v>
      </c>
      <c r="J138" s="171" t="s">
        <v>490</v>
      </c>
    </row>
    <row r="139" spans="1:10" ht="15" hidden="1" customHeight="1" outlineLevel="1" collapsed="1" x14ac:dyDescent="0.3">
      <c r="A139" s="164" t="s">
        <v>734</v>
      </c>
      <c r="B139" s="164"/>
      <c r="C139" s="165">
        <v>116</v>
      </c>
      <c r="D139" s="182"/>
      <c r="E139" s="183"/>
      <c r="F139" s="166">
        <v>38432067</v>
      </c>
      <c r="G139" s="166">
        <v>1375590</v>
      </c>
      <c r="H139" s="166">
        <v>5502371</v>
      </c>
      <c r="I139" s="166">
        <v>32929696</v>
      </c>
      <c r="J139" s="165" t="s">
        <v>735</v>
      </c>
    </row>
    <row r="140" spans="1:10" ht="15" hidden="1" customHeight="1" outlineLevel="2" collapsed="1" x14ac:dyDescent="0.3">
      <c r="A140" s="167" t="s">
        <v>736</v>
      </c>
      <c r="B140" s="167"/>
      <c r="C140" s="168">
        <v>13</v>
      </c>
      <c r="D140" s="180"/>
      <c r="E140" s="181"/>
      <c r="F140" s="169">
        <v>1477413</v>
      </c>
      <c r="G140" s="169">
        <v>95014</v>
      </c>
      <c r="H140" s="169">
        <v>380052</v>
      </c>
      <c r="I140" s="169">
        <v>1097361</v>
      </c>
      <c r="J140" s="168" t="s">
        <v>737</v>
      </c>
    </row>
    <row r="141" spans="1:10" ht="13.95" hidden="1" customHeight="1" outlineLevel="3" x14ac:dyDescent="0.3">
      <c r="A141" s="170" t="s">
        <v>738</v>
      </c>
      <c r="B141" s="170" t="s">
        <v>739</v>
      </c>
      <c r="C141" s="171"/>
      <c r="D141" s="172">
        <v>99</v>
      </c>
      <c r="E141" s="173">
        <v>95</v>
      </c>
      <c r="F141" s="174">
        <v>94660</v>
      </c>
      <c r="G141" s="174">
        <v>0</v>
      </c>
      <c r="H141" s="174">
        <v>0</v>
      </c>
      <c r="I141" s="174">
        <v>94660</v>
      </c>
      <c r="J141" s="171" t="s">
        <v>490</v>
      </c>
    </row>
    <row r="142" spans="1:10" ht="13.95" hidden="1" customHeight="1" outlineLevel="3" x14ac:dyDescent="0.3">
      <c r="A142" s="175" t="s">
        <v>740</v>
      </c>
      <c r="B142" s="175" t="s">
        <v>739</v>
      </c>
      <c r="C142" s="176"/>
      <c r="D142" s="177">
        <v>99</v>
      </c>
      <c r="E142" s="178">
        <v>95</v>
      </c>
      <c r="F142" s="179">
        <v>217718</v>
      </c>
      <c r="G142" s="179">
        <v>0</v>
      </c>
      <c r="H142" s="179">
        <v>0</v>
      </c>
      <c r="I142" s="179">
        <v>217718</v>
      </c>
      <c r="J142" s="176" t="s">
        <v>490</v>
      </c>
    </row>
    <row r="143" spans="1:10" ht="13.95" hidden="1" customHeight="1" outlineLevel="3" x14ac:dyDescent="0.3">
      <c r="A143" s="170" t="s">
        <v>741</v>
      </c>
      <c r="B143" s="170" t="s">
        <v>739</v>
      </c>
      <c r="C143" s="171"/>
      <c r="D143" s="172">
        <v>99</v>
      </c>
      <c r="E143" s="173">
        <v>95</v>
      </c>
      <c r="F143" s="174">
        <v>73624</v>
      </c>
      <c r="G143" s="174">
        <v>0</v>
      </c>
      <c r="H143" s="174">
        <v>0</v>
      </c>
      <c r="I143" s="174">
        <v>73624</v>
      </c>
      <c r="J143" s="171" t="s">
        <v>490</v>
      </c>
    </row>
    <row r="144" spans="1:10" ht="13.95" hidden="1" customHeight="1" outlineLevel="3" x14ac:dyDescent="0.3">
      <c r="A144" s="175" t="s">
        <v>742</v>
      </c>
      <c r="B144" s="175" t="s">
        <v>739</v>
      </c>
      <c r="C144" s="176"/>
      <c r="D144" s="177">
        <v>99</v>
      </c>
      <c r="E144" s="178">
        <v>95</v>
      </c>
      <c r="F144" s="179">
        <v>18592</v>
      </c>
      <c r="G144" s="179">
        <v>0</v>
      </c>
      <c r="H144" s="179">
        <v>0</v>
      </c>
      <c r="I144" s="179">
        <v>18592</v>
      </c>
      <c r="J144" s="176" t="s">
        <v>490</v>
      </c>
    </row>
    <row r="145" spans="1:10" ht="13.95" hidden="1" customHeight="1" outlineLevel="3" x14ac:dyDescent="0.3">
      <c r="A145" s="170" t="s">
        <v>743</v>
      </c>
      <c r="B145" s="170" t="s">
        <v>739</v>
      </c>
      <c r="C145" s="171"/>
      <c r="D145" s="172">
        <v>99</v>
      </c>
      <c r="E145" s="173">
        <v>95</v>
      </c>
      <c r="F145" s="174">
        <v>102256</v>
      </c>
      <c r="G145" s="174">
        <v>0</v>
      </c>
      <c r="H145" s="174">
        <v>0</v>
      </c>
      <c r="I145" s="174">
        <v>102256</v>
      </c>
      <c r="J145" s="171" t="s">
        <v>490</v>
      </c>
    </row>
    <row r="146" spans="1:10" ht="13.95" hidden="1" customHeight="1" outlineLevel="3" collapsed="1" x14ac:dyDescent="0.3">
      <c r="A146" s="175" t="s">
        <v>744</v>
      </c>
      <c r="B146" s="175" t="s">
        <v>745</v>
      </c>
      <c r="C146" s="176"/>
      <c r="D146" s="177">
        <v>99</v>
      </c>
      <c r="E146" s="178">
        <v>95</v>
      </c>
      <c r="F146" s="179">
        <v>175149</v>
      </c>
      <c r="G146" s="179">
        <v>0</v>
      </c>
      <c r="H146" s="179">
        <v>0</v>
      </c>
      <c r="I146" s="179">
        <v>175149</v>
      </c>
      <c r="J146" s="176" t="s">
        <v>490</v>
      </c>
    </row>
    <row r="147" spans="1:10" ht="13.95" hidden="1" customHeight="1" outlineLevel="3" x14ac:dyDescent="0.3">
      <c r="A147" s="170" t="s">
        <v>746</v>
      </c>
      <c r="B147" s="170" t="s">
        <v>745</v>
      </c>
      <c r="C147" s="171"/>
      <c r="D147" s="172">
        <v>99</v>
      </c>
      <c r="E147" s="173">
        <v>95</v>
      </c>
      <c r="F147" s="174">
        <v>113652</v>
      </c>
      <c r="G147" s="174">
        <v>0</v>
      </c>
      <c r="H147" s="174">
        <v>0</v>
      </c>
      <c r="I147" s="174">
        <v>113652</v>
      </c>
      <c r="J147" s="171" t="s">
        <v>490</v>
      </c>
    </row>
    <row r="148" spans="1:10" ht="13.95" hidden="1" customHeight="1" outlineLevel="3" x14ac:dyDescent="0.3">
      <c r="A148" s="175" t="s">
        <v>747</v>
      </c>
      <c r="B148" s="175" t="s">
        <v>739</v>
      </c>
      <c r="C148" s="176"/>
      <c r="D148" s="177">
        <v>16.54</v>
      </c>
      <c r="E148" s="178">
        <v>12.5</v>
      </c>
      <c r="F148" s="179">
        <v>220872</v>
      </c>
      <c r="G148" s="179">
        <v>13352</v>
      </c>
      <c r="H148" s="179">
        <v>53406</v>
      </c>
      <c r="I148" s="179">
        <v>167466</v>
      </c>
      <c r="J148" s="176" t="s">
        <v>490</v>
      </c>
    </row>
    <row r="149" spans="1:10" ht="13.95" hidden="1" customHeight="1" outlineLevel="3" collapsed="1" x14ac:dyDescent="0.3">
      <c r="A149" s="170" t="s">
        <v>748</v>
      </c>
      <c r="B149" s="170" t="s">
        <v>745</v>
      </c>
      <c r="C149" s="171"/>
      <c r="D149" s="172">
        <v>7.26</v>
      </c>
      <c r="E149" s="173">
        <v>3.3</v>
      </c>
      <c r="F149" s="174">
        <v>66460</v>
      </c>
      <c r="G149" s="174">
        <v>9160</v>
      </c>
      <c r="H149" s="174">
        <v>36639</v>
      </c>
      <c r="I149" s="174">
        <v>29821</v>
      </c>
      <c r="J149" s="171" t="s">
        <v>490</v>
      </c>
    </row>
    <row r="150" spans="1:10" ht="13.95" hidden="1" customHeight="1" outlineLevel="3" x14ac:dyDescent="0.3">
      <c r="A150" s="175" t="s">
        <v>749</v>
      </c>
      <c r="B150" s="175" t="s">
        <v>745</v>
      </c>
      <c r="C150" s="176"/>
      <c r="D150" s="177">
        <v>6.27</v>
      </c>
      <c r="E150" s="178">
        <v>2.2999999999999998</v>
      </c>
      <c r="F150" s="179">
        <v>57402</v>
      </c>
      <c r="G150" s="179">
        <v>9160</v>
      </c>
      <c r="H150" s="179">
        <v>36639</v>
      </c>
      <c r="I150" s="179">
        <v>20763</v>
      </c>
      <c r="J150" s="176" t="s">
        <v>490</v>
      </c>
    </row>
    <row r="151" spans="1:10" ht="13.95" hidden="1" customHeight="1" outlineLevel="3" x14ac:dyDescent="0.3">
      <c r="A151" s="170" t="s">
        <v>750</v>
      </c>
      <c r="B151" s="170" t="s">
        <v>739</v>
      </c>
      <c r="C151" s="171"/>
      <c r="D151" s="172">
        <v>5.51</v>
      </c>
      <c r="E151" s="173">
        <v>1.5</v>
      </c>
      <c r="F151" s="174">
        <v>147248</v>
      </c>
      <c r="G151" s="174">
        <v>26703</v>
      </c>
      <c r="H151" s="174">
        <v>106812</v>
      </c>
      <c r="I151" s="174">
        <v>40436</v>
      </c>
      <c r="J151" s="171" t="s">
        <v>490</v>
      </c>
    </row>
    <row r="152" spans="1:10" ht="13.95" hidden="1" customHeight="1" outlineLevel="3" x14ac:dyDescent="0.3">
      <c r="A152" s="175" t="s">
        <v>751</v>
      </c>
      <c r="B152" s="175" t="s">
        <v>745</v>
      </c>
      <c r="C152" s="176"/>
      <c r="D152" s="177">
        <v>5.51</v>
      </c>
      <c r="E152" s="178">
        <v>1.5</v>
      </c>
      <c r="F152" s="179">
        <v>151536</v>
      </c>
      <c r="G152" s="179">
        <v>27479</v>
      </c>
      <c r="H152" s="179">
        <v>109917</v>
      </c>
      <c r="I152" s="179">
        <v>41619</v>
      </c>
      <c r="J152" s="176" t="s">
        <v>490</v>
      </c>
    </row>
    <row r="153" spans="1:10" ht="13.95" hidden="1" customHeight="1" outlineLevel="3" collapsed="1" x14ac:dyDescent="0.3">
      <c r="A153" s="170" t="s">
        <v>752</v>
      </c>
      <c r="B153" s="170" t="s">
        <v>745</v>
      </c>
      <c r="C153" s="171"/>
      <c r="D153" s="172">
        <v>4.18</v>
      </c>
      <c r="E153" s="173">
        <v>0.2</v>
      </c>
      <c r="F153" s="174">
        <v>38244</v>
      </c>
      <c r="G153" s="174">
        <v>9160</v>
      </c>
      <c r="H153" s="174">
        <v>36639</v>
      </c>
      <c r="I153" s="174">
        <v>1605</v>
      </c>
      <c r="J153" s="171" t="s">
        <v>490</v>
      </c>
    </row>
    <row r="154" spans="1:10" ht="15" hidden="1" customHeight="1" outlineLevel="2" x14ac:dyDescent="0.3">
      <c r="A154" s="167" t="s">
        <v>753</v>
      </c>
      <c r="B154" s="167"/>
      <c r="C154" s="168">
        <v>20</v>
      </c>
      <c r="D154" s="180"/>
      <c r="E154" s="181"/>
      <c r="F154" s="169">
        <v>2972808</v>
      </c>
      <c r="G154" s="169">
        <v>311196</v>
      </c>
      <c r="H154" s="169">
        <v>1244795</v>
      </c>
      <c r="I154" s="169">
        <v>1728013</v>
      </c>
      <c r="J154" s="168" t="s">
        <v>487</v>
      </c>
    </row>
    <row r="155" spans="1:10" ht="13.95" hidden="1" customHeight="1" outlineLevel="3" x14ac:dyDescent="0.3">
      <c r="A155" s="170" t="s">
        <v>754</v>
      </c>
      <c r="B155" s="170" t="s">
        <v>755</v>
      </c>
      <c r="C155" s="171"/>
      <c r="D155" s="172">
        <v>99</v>
      </c>
      <c r="E155" s="173">
        <v>95</v>
      </c>
      <c r="F155" s="174">
        <v>175294</v>
      </c>
      <c r="G155" s="174">
        <v>0</v>
      </c>
      <c r="H155" s="174">
        <v>0</v>
      </c>
      <c r="I155" s="174">
        <v>175294</v>
      </c>
      <c r="J155" s="171" t="s">
        <v>490</v>
      </c>
    </row>
    <row r="156" spans="1:10" ht="13.95" hidden="1" customHeight="1" outlineLevel="3" collapsed="1" x14ac:dyDescent="0.3">
      <c r="A156" s="175" t="s">
        <v>756</v>
      </c>
      <c r="B156" s="175" t="s">
        <v>755</v>
      </c>
      <c r="C156" s="176"/>
      <c r="D156" s="177">
        <v>99</v>
      </c>
      <c r="E156" s="178">
        <v>95</v>
      </c>
      <c r="F156" s="179">
        <v>12521</v>
      </c>
      <c r="G156" s="179">
        <v>0</v>
      </c>
      <c r="H156" s="179">
        <v>0</v>
      </c>
      <c r="I156" s="179">
        <v>12521</v>
      </c>
      <c r="J156" s="176" t="s">
        <v>490</v>
      </c>
    </row>
    <row r="157" spans="1:10" ht="13.95" hidden="1" customHeight="1" outlineLevel="3" collapsed="1" x14ac:dyDescent="0.3">
      <c r="A157" s="170" t="s">
        <v>757</v>
      </c>
      <c r="B157" s="170" t="s">
        <v>758</v>
      </c>
      <c r="C157" s="171"/>
      <c r="D157" s="172">
        <v>99</v>
      </c>
      <c r="E157" s="173">
        <v>95</v>
      </c>
      <c r="F157" s="174">
        <v>119206</v>
      </c>
      <c r="G157" s="174">
        <v>0</v>
      </c>
      <c r="H157" s="174">
        <v>0</v>
      </c>
      <c r="I157" s="174">
        <v>119206</v>
      </c>
      <c r="J157" s="171" t="s">
        <v>490</v>
      </c>
    </row>
    <row r="158" spans="1:10" ht="13.95" hidden="1" customHeight="1" outlineLevel="3" x14ac:dyDescent="0.3">
      <c r="A158" s="175" t="s">
        <v>759</v>
      </c>
      <c r="B158" s="175" t="s">
        <v>758</v>
      </c>
      <c r="C158" s="176"/>
      <c r="D158" s="177">
        <v>99</v>
      </c>
      <c r="E158" s="178">
        <v>95</v>
      </c>
      <c r="F158" s="179">
        <v>115900</v>
      </c>
      <c r="G158" s="179">
        <v>0</v>
      </c>
      <c r="H158" s="179">
        <v>0</v>
      </c>
      <c r="I158" s="179">
        <v>115900</v>
      </c>
      <c r="J158" s="176" t="s">
        <v>490</v>
      </c>
    </row>
    <row r="159" spans="1:10" ht="13.95" hidden="1" customHeight="1" outlineLevel="3" collapsed="1" x14ac:dyDescent="0.3">
      <c r="A159" s="170" t="s">
        <v>760</v>
      </c>
      <c r="B159" s="170" t="s">
        <v>758</v>
      </c>
      <c r="C159" s="171"/>
      <c r="D159" s="172">
        <v>99</v>
      </c>
      <c r="E159" s="173">
        <v>95</v>
      </c>
      <c r="F159" s="174">
        <v>43162</v>
      </c>
      <c r="G159" s="174">
        <v>0</v>
      </c>
      <c r="H159" s="174">
        <v>0</v>
      </c>
      <c r="I159" s="174">
        <v>43162</v>
      </c>
      <c r="J159" s="171" t="s">
        <v>490</v>
      </c>
    </row>
    <row r="160" spans="1:10" ht="13.95" hidden="1" customHeight="1" outlineLevel="3" collapsed="1" x14ac:dyDescent="0.3">
      <c r="A160" s="175" t="s">
        <v>761</v>
      </c>
      <c r="B160" s="175" t="s">
        <v>762</v>
      </c>
      <c r="C160" s="176"/>
      <c r="D160" s="177">
        <v>99</v>
      </c>
      <c r="E160" s="178">
        <v>95</v>
      </c>
      <c r="F160" s="179">
        <v>127560</v>
      </c>
      <c r="G160" s="179">
        <v>0</v>
      </c>
      <c r="H160" s="179">
        <v>0</v>
      </c>
      <c r="I160" s="179">
        <v>127560</v>
      </c>
      <c r="J160" s="176" t="s">
        <v>490</v>
      </c>
    </row>
    <row r="161" spans="1:10" ht="13.95" hidden="1" customHeight="1" outlineLevel="3" collapsed="1" x14ac:dyDescent="0.3">
      <c r="A161" s="170" t="s">
        <v>763</v>
      </c>
      <c r="B161" s="170" t="s">
        <v>764</v>
      </c>
      <c r="C161" s="171"/>
      <c r="D161" s="172">
        <v>99</v>
      </c>
      <c r="E161" s="173">
        <v>95</v>
      </c>
      <c r="F161" s="174">
        <v>155504</v>
      </c>
      <c r="G161" s="174">
        <v>0</v>
      </c>
      <c r="H161" s="174">
        <v>0</v>
      </c>
      <c r="I161" s="174">
        <v>155504</v>
      </c>
      <c r="J161" s="171" t="s">
        <v>490</v>
      </c>
    </row>
    <row r="162" spans="1:10" ht="13.95" hidden="1" customHeight="1" outlineLevel="3" collapsed="1" x14ac:dyDescent="0.3">
      <c r="A162" s="175" t="s">
        <v>765</v>
      </c>
      <c r="B162" s="175" t="s">
        <v>764</v>
      </c>
      <c r="C162" s="176"/>
      <c r="D162" s="177">
        <v>99</v>
      </c>
      <c r="E162" s="178">
        <v>95</v>
      </c>
      <c r="F162" s="179">
        <v>19438</v>
      </c>
      <c r="G162" s="179">
        <v>0</v>
      </c>
      <c r="H162" s="179">
        <v>0</v>
      </c>
      <c r="I162" s="179">
        <v>19438</v>
      </c>
      <c r="J162" s="176" t="s">
        <v>490</v>
      </c>
    </row>
    <row r="163" spans="1:10" ht="13.95" hidden="1" customHeight="1" outlineLevel="3" collapsed="1" x14ac:dyDescent="0.3">
      <c r="A163" s="170" t="s">
        <v>766</v>
      </c>
      <c r="B163" s="170" t="s">
        <v>764</v>
      </c>
      <c r="C163" s="171"/>
      <c r="D163" s="172">
        <v>99</v>
      </c>
      <c r="E163" s="173">
        <v>95</v>
      </c>
      <c r="F163" s="174">
        <v>19438</v>
      </c>
      <c r="G163" s="174">
        <v>0</v>
      </c>
      <c r="H163" s="174">
        <v>0</v>
      </c>
      <c r="I163" s="174">
        <v>19438</v>
      </c>
      <c r="J163" s="171" t="s">
        <v>490</v>
      </c>
    </row>
    <row r="164" spans="1:10" ht="13.95" hidden="1" customHeight="1" outlineLevel="3" collapsed="1" x14ac:dyDescent="0.3">
      <c r="A164" s="175" t="s">
        <v>767</v>
      </c>
      <c r="B164" s="175" t="s">
        <v>764</v>
      </c>
      <c r="C164" s="176"/>
      <c r="D164" s="177">
        <v>99</v>
      </c>
      <c r="E164" s="178">
        <v>95</v>
      </c>
      <c r="F164" s="179">
        <v>19437</v>
      </c>
      <c r="G164" s="179">
        <v>0</v>
      </c>
      <c r="H164" s="179">
        <v>0</v>
      </c>
      <c r="I164" s="179">
        <v>19437</v>
      </c>
      <c r="J164" s="176" t="s">
        <v>490</v>
      </c>
    </row>
    <row r="165" spans="1:10" ht="13.95" hidden="1" customHeight="1" outlineLevel="3" x14ac:dyDescent="0.3">
      <c r="A165" s="170" t="s">
        <v>768</v>
      </c>
      <c r="B165" s="170" t="s">
        <v>758</v>
      </c>
      <c r="C165" s="171"/>
      <c r="D165" s="172">
        <v>22.06</v>
      </c>
      <c r="E165" s="173">
        <v>18.100000000000001</v>
      </c>
      <c r="F165" s="174">
        <v>195200</v>
      </c>
      <c r="G165" s="174">
        <v>8849</v>
      </c>
      <c r="H165" s="174">
        <v>35397</v>
      </c>
      <c r="I165" s="174">
        <v>159803</v>
      </c>
      <c r="J165" s="171" t="s">
        <v>490</v>
      </c>
    </row>
    <row r="166" spans="1:10" ht="13.95" hidden="1" customHeight="1" outlineLevel="3" collapsed="1" x14ac:dyDescent="0.3">
      <c r="A166" s="175" t="s">
        <v>769</v>
      </c>
      <c r="B166" s="175" t="s">
        <v>758</v>
      </c>
      <c r="C166" s="176"/>
      <c r="D166" s="177">
        <v>20.68</v>
      </c>
      <c r="E166" s="178">
        <v>16.7</v>
      </c>
      <c r="F166" s="179">
        <v>183000</v>
      </c>
      <c r="G166" s="179">
        <v>8849</v>
      </c>
      <c r="H166" s="179">
        <v>35397</v>
      </c>
      <c r="I166" s="179">
        <v>147603</v>
      </c>
      <c r="J166" s="176" t="s">
        <v>490</v>
      </c>
    </row>
    <row r="167" spans="1:10" ht="13.95" hidden="1" customHeight="1" outlineLevel="3" x14ac:dyDescent="0.3">
      <c r="A167" s="170" t="s">
        <v>770</v>
      </c>
      <c r="B167" s="170" t="s">
        <v>755</v>
      </c>
      <c r="C167" s="171"/>
      <c r="D167" s="172">
        <v>17.23</v>
      </c>
      <c r="E167" s="173">
        <v>13.2</v>
      </c>
      <c r="F167" s="174">
        <v>313025</v>
      </c>
      <c r="G167" s="174">
        <v>18164</v>
      </c>
      <c r="H167" s="174">
        <v>72657</v>
      </c>
      <c r="I167" s="174">
        <v>240368</v>
      </c>
      <c r="J167" s="171" t="s">
        <v>490</v>
      </c>
    </row>
    <row r="168" spans="1:10" ht="13.95" hidden="1" customHeight="1" outlineLevel="3" x14ac:dyDescent="0.3">
      <c r="A168" s="175" t="s">
        <v>771</v>
      </c>
      <c r="B168" s="175" t="s">
        <v>755</v>
      </c>
      <c r="C168" s="176"/>
      <c r="D168" s="177">
        <v>8.9600000000000009</v>
      </c>
      <c r="E168" s="178">
        <v>5</v>
      </c>
      <c r="F168" s="179">
        <v>162773</v>
      </c>
      <c r="G168" s="179">
        <v>18164</v>
      </c>
      <c r="H168" s="179">
        <v>72657</v>
      </c>
      <c r="I168" s="179">
        <v>90116</v>
      </c>
      <c r="J168" s="176" t="s">
        <v>490</v>
      </c>
    </row>
    <row r="169" spans="1:10" ht="13.95" hidden="1" customHeight="1" outlineLevel="3" x14ac:dyDescent="0.3">
      <c r="A169" s="170" t="s">
        <v>772</v>
      </c>
      <c r="B169" s="170" t="s">
        <v>758</v>
      </c>
      <c r="C169" s="171"/>
      <c r="D169" s="172">
        <v>8.36</v>
      </c>
      <c r="E169" s="173">
        <v>4.4000000000000004</v>
      </c>
      <c r="F169" s="174">
        <v>147982</v>
      </c>
      <c r="G169" s="174">
        <v>17698</v>
      </c>
      <c r="H169" s="174">
        <v>70794</v>
      </c>
      <c r="I169" s="174">
        <v>77188</v>
      </c>
      <c r="J169" s="171" t="s">
        <v>490</v>
      </c>
    </row>
    <row r="170" spans="1:10" ht="13.95" hidden="1" customHeight="1" outlineLevel="3" collapsed="1" x14ac:dyDescent="0.3">
      <c r="A170" s="175" t="s">
        <v>773</v>
      </c>
      <c r="B170" s="175" t="s">
        <v>762</v>
      </c>
      <c r="C170" s="176"/>
      <c r="D170" s="177">
        <v>6.89</v>
      </c>
      <c r="E170" s="178">
        <v>2.9</v>
      </c>
      <c r="F170" s="179">
        <v>159450</v>
      </c>
      <c r="G170" s="179">
        <v>23132</v>
      </c>
      <c r="H170" s="179">
        <v>92529</v>
      </c>
      <c r="I170" s="179">
        <v>66921</v>
      </c>
      <c r="J170" s="176" t="s">
        <v>490</v>
      </c>
    </row>
    <row r="171" spans="1:10" ht="13.95" hidden="1" customHeight="1" outlineLevel="3" collapsed="1" x14ac:dyDescent="0.3">
      <c r="A171" s="170" t="s">
        <v>774</v>
      </c>
      <c r="B171" s="170" t="s">
        <v>764</v>
      </c>
      <c r="C171" s="171"/>
      <c r="D171" s="172">
        <v>5.05</v>
      </c>
      <c r="E171" s="173">
        <v>1</v>
      </c>
      <c r="F171" s="174">
        <v>466488</v>
      </c>
      <c r="G171" s="174">
        <v>92451</v>
      </c>
      <c r="H171" s="174">
        <v>369806</v>
      </c>
      <c r="I171" s="174">
        <v>96682</v>
      </c>
      <c r="J171" s="171" t="s">
        <v>490</v>
      </c>
    </row>
    <row r="172" spans="1:10" ht="13.95" hidden="1" customHeight="1" outlineLevel="3" collapsed="1" x14ac:dyDescent="0.3">
      <c r="A172" s="175" t="s">
        <v>775</v>
      </c>
      <c r="B172" s="175" t="s">
        <v>755</v>
      </c>
      <c r="C172" s="176"/>
      <c r="D172" s="177">
        <v>4.83</v>
      </c>
      <c r="E172" s="178">
        <v>0.8</v>
      </c>
      <c r="F172" s="179">
        <v>87647</v>
      </c>
      <c r="G172" s="179">
        <v>18164</v>
      </c>
      <c r="H172" s="179">
        <v>72657</v>
      </c>
      <c r="I172" s="179">
        <v>14990</v>
      </c>
      <c r="J172" s="176" t="s">
        <v>490</v>
      </c>
    </row>
    <row r="173" spans="1:10" ht="13.95" hidden="1" customHeight="1" outlineLevel="3" x14ac:dyDescent="0.3">
      <c r="A173" s="170" t="s">
        <v>776</v>
      </c>
      <c r="B173" s="170" t="s">
        <v>755</v>
      </c>
      <c r="C173" s="171"/>
      <c r="D173" s="172">
        <v>4.4800000000000004</v>
      </c>
      <c r="E173" s="173">
        <v>0.5</v>
      </c>
      <c r="F173" s="174">
        <v>162773</v>
      </c>
      <c r="G173" s="174">
        <v>36328</v>
      </c>
      <c r="H173" s="174">
        <v>145314</v>
      </c>
      <c r="I173" s="174">
        <v>17459</v>
      </c>
      <c r="J173" s="171" t="s">
        <v>490</v>
      </c>
    </row>
    <row r="174" spans="1:10" ht="13.95" hidden="1" customHeight="1" outlineLevel="3" x14ac:dyDescent="0.3">
      <c r="A174" s="175" t="s">
        <v>777</v>
      </c>
      <c r="B174" s="175" t="s">
        <v>762</v>
      </c>
      <c r="C174" s="176"/>
      <c r="D174" s="177">
        <v>4.1399999999999997</v>
      </c>
      <c r="E174" s="178">
        <v>0.1</v>
      </c>
      <c r="F174" s="179">
        <v>287010</v>
      </c>
      <c r="G174" s="179">
        <v>69397</v>
      </c>
      <c r="H174" s="179">
        <v>277587</v>
      </c>
      <c r="I174" s="179">
        <v>9423</v>
      </c>
      <c r="J174" s="176" t="s">
        <v>490</v>
      </c>
    </row>
    <row r="175" spans="1:10" ht="15" hidden="1" customHeight="1" outlineLevel="2" collapsed="1" x14ac:dyDescent="0.3">
      <c r="A175" s="167" t="s">
        <v>778</v>
      </c>
      <c r="B175" s="167"/>
      <c r="C175" s="168">
        <v>13</v>
      </c>
      <c r="D175" s="180"/>
      <c r="E175" s="181"/>
      <c r="F175" s="169">
        <v>5143482</v>
      </c>
      <c r="G175" s="169">
        <v>43470</v>
      </c>
      <c r="H175" s="169">
        <v>173880</v>
      </c>
      <c r="I175" s="169">
        <v>4969602</v>
      </c>
      <c r="J175" s="168" t="s">
        <v>737</v>
      </c>
    </row>
    <row r="176" spans="1:10" ht="13.95" hidden="1" customHeight="1" outlineLevel="3" x14ac:dyDescent="0.3">
      <c r="A176" s="170" t="s">
        <v>779</v>
      </c>
      <c r="B176" s="170" t="s">
        <v>780</v>
      </c>
      <c r="C176" s="171"/>
      <c r="D176" s="172">
        <v>99</v>
      </c>
      <c r="E176" s="173">
        <v>95</v>
      </c>
      <c r="F176" s="174">
        <v>45006</v>
      </c>
      <c r="G176" s="174">
        <v>0</v>
      </c>
      <c r="H176" s="174">
        <v>0</v>
      </c>
      <c r="I176" s="174">
        <v>45006</v>
      </c>
      <c r="J176" s="171" t="s">
        <v>490</v>
      </c>
    </row>
    <row r="177" spans="1:10" ht="13.95" hidden="1" customHeight="1" outlineLevel="3" x14ac:dyDescent="0.3">
      <c r="A177" s="175" t="s">
        <v>781</v>
      </c>
      <c r="B177" s="175" t="s">
        <v>780</v>
      </c>
      <c r="C177" s="176"/>
      <c r="D177" s="177">
        <v>99</v>
      </c>
      <c r="E177" s="178">
        <v>95</v>
      </c>
      <c r="F177" s="179">
        <v>1222365</v>
      </c>
      <c r="G177" s="179">
        <v>0</v>
      </c>
      <c r="H177" s="179">
        <v>0</v>
      </c>
      <c r="I177" s="179">
        <v>1222365</v>
      </c>
      <c r="J177" s="176" t="s">
        <v>490</v>
      </c>
    </row>
    <row r="178" spans="1:10" ht="13.95" hidden="1" customHeight="1" outlineLevel="3" collapsed="1" x14ac:dyDescent="0.3">
      <c r="A178" s="170" t="s">
        <v>782</v>
      </c>
      <c r="B178" s="170" t="s">
        <v>780</v>
      </c>
      <c r="C178" s="171"/>
      <c r="D178" s="172">
        <v>99</v>
      </c>
      <c r="E178" s="173">
        <v>95</v>
      </c>
      <c r="F178" s="174">
        <v>600460</v>
      </c>
      <c r="G178" s="174">
        <v>0</v>
      </c>
      <c r="H178" s="174">
        <v>0</v>
      </c>
      <c r="I178" s="174">
        <v>600460</v>
      </c>
      <c r="J178" s="171" t="s">
        <v>490</v>
      </c>
    </row>
    <row r="179" spans="1:10" ht="13.95" hidden="1" customHeight="1" outlineLevel="3" x14ac:dyDescent="0.3">
      <c r="A179" s="175" t="s">
        <v>783</v>
      </c>
      <c r="B179" s="175" t="s">
        <v>780</v>
      </c>
      <c r="C179" s="176"/>
      <c r="D179" s="177">
        <v>99</v>
      </c>
      <c r="E179" s="178">
        <v>95</v>
      </c>
      <c r="F179" s="179">
        <v>514680</v>
      </c>
      <c r="G179" s="179">
        <v>0</v>
      </c>
      <c r="H179" s="179">
        <v>0</v>
      </c>
      <c r="I179" s="179">
        <v>514680</v>
      </c>
      <c r="J179" s="176" t="s">
        <v>490</v>
      </c>
    </row>
    <row r="180" spans="1:10" ht="13.95" hidden="1" customHeight="1" outlineLevel="3" x14ac:dyDescent="0.3">
      <c r="A180" s="170" t="s">
        <v>784</v>
      </c>
      <c r="B180" s="170" t="s">
        <v>780</v>
      </c>
      <c r="C180" s="171"/>
      <c r="D180" s="172">
        <v>99</v>
      </c>
      <c r="E180" s="173">
        <v>95</v>
      </c>
      <c r="F180" s="174">
        <v>257340</v>
      </c>
      <c r="G180" s="174">
        <v>0</v>
      </c>
      <c r="H180" s="174">
        <v>0</v>
      </c>
      <c r="I180" s="174">
        <v>257340</v>
      </c>
      <c r="J180" s="171" t="s">
        <v>490</v>
      </c>
    </row>
    <row r="181" spans="1:10" ht="13.95" hidden="1" customHeight="1" outlineLevel="3" collapsed="1" x14ac:dyDescent="0.3">
      <c r="A181" s="175" t="s">
        <v>785</v>
      </c>
      <c r="B181" s="175" t="s">
        <v>786</v>
      </c>
      <c r="C181" s="176"/>
      <c r="D181" s="177">
        <v>99</v>
      </c>
      <c r="E181" s="178">
        <v>95</v>
      </c>
      <c r="F181" s="179">
        <v>1567051</v>
      </c>
      <c r="G181" s="179">
        <v>0</v>
      </c>
      <c r="H181" s="179">
        <v>0</v>
      </c>
      <c r="I181" s="179">
        <v>1567051</v>
      </c>
      <c r="J181" s="176" t="s">
        <v>490</v>
      </c>
    </row>
    <row r="182" spans="1:10" ht="13.95" hidden="1" customHeight="1" outlineLevel="3" x14ac:dyDescent="0.3">
      <c r="A182" s="170" t="s">
        <v>787</v>
      </c>
      <c r="B182" s="170" t="s">
        <v>786</v>
      </c>
      <c r="C182" s="171"/>
      <c r="D182" s="172">
        <v>99</v>
      </c>
      <c r="E182" s="173">
        <v>95</v>
      </c>
      <c r="F182" s="174">
        <v>206962</v>
      </c>
      <c r="G182" s="174">
        <v>0</v>
      </c>
      <c r="H182" s="174">
        <v>0</v>
      </c>
      <c r="I182" s="174">
        <v>206962</v>
      </c>
      <c r="J182" s="171" t="s">
        <v>490</v>
      </c>
    </row>
    <row r="183" spans="1:10" ht="13.95" hidden="1" customHeight="1" outlineLevel="3" x14ac:dyDescent="0.3">
      <c r="A183" s="175" t="s">
        <v>788</v>
      </c>
      <c r="B183" s="175" t="s">
        <v>786</v>
      </c>
      <c r="C183" s="176"/>
      <c r="D183" s="177">
        <v>99</v>
      </c>
      <c r="E183" s="178">
        <v>95</v>
      </c>
      <c r="F183" s="179">
        <v>59132</v>
      </c>
      <c r="G183" s="179">
        <v>0</v>
      </c>
      <c r="H183" s="179">
        <v>0</v>
      </c>
      <c r="I183" s="179">
        <v>59132</v>
      </c>
      <c r="J183" s="176" t="s">
        <v>490</v>
      </c>
    </row>
    <row r="184" spans="1:10" ht="13.95" hidden="1" customHeight="1" outlineLevel="3" x14ac:dyDescent="0.3">
      <c r="A184" s="170" t="s">
        <v>789</v>
      </c>
      <c r="B184" s="170" t="s">
        <v>786</v>
      </c>
      <c r="C184" s="171"/>
      <c r="D184" s="172">
        <v>99</v>
      </c>
      <c r="E184" s="173">
        <v>95</v>
      </c>
      <c r="F184" s="174">
        <v>147835</v>
      </c>
      <c r="G184" s="174">
        <v>0</v>
      </c>
      <c r="H184" s="174">
        <v>0</v>
      </c>
      <c r="I184" s="174">
        <v>147835</v>
      </c>
      <c r="J184" s="171" t="s">
        <v>490</v>
      </c>
    </row>
    <row r="185" spans="1:10" ht="13.95" hidden="1" customHeight="1" outlineLevel="3" x14ac:dyDescent="0.3">
      <c r="A185" s="175" t="s">
        <v>790</v>
      </c>
      <c r="B185" s="175" t="s">
        <v>791</v>
      </c>
      <c r="C185" s="176"/>
      <c r="D185" s="177">
        <v>99</v>
      </c>
      <c r="E185" s="178">
        <v>95</v>
      </c>
      <c r="F185" s="179">
        <v>56404</v>
      </c>
      <c r="G185" s="179">
        <v>0</v>
      </c>
      <c r="H185" s="179">
        <v>0</v>
      </c>
      <c r="I185" s="179">
        <v>56404</v>
      </c>
      <c r="J185" s="176" t="s">
        <v>490</v>
      </c>
    </row>
    <row r="186" spans="1:10" ht="13.95" hidden="1" customHeight="1" outlineLevel="3" x14ac:dyDescent="0.3">
      <c r="A186" s="170" t="s">
        <v>792</v>
      </c>
      <c r="B186" s="170" t="s">
        <v>791</v>
      </c>
      <c r="C186" s="171"/>
      <c r="D186" s="172">
        <v>99</v>
      </c>
      <c r="E186" s="173">
        <v>95</v>
      </c>
      <c r="F186" s="174">
        <v>56404</v>
      </c>
      <c r="G186" s="174">
        <v>0</v>
      </c>
      <c r="H186" s="174">
        <v>0</v>
      </c>
      <c r="I186" s="174">
        <v>56404</v>
      </c>
      <c r="J186" s="171" t="s">
        <v>490</v>
      </c>
    </row>
    <row r="187" spans="1:10" ht="13.95" hidden="1" customHeight="1" outlineLevel="3" collapsed="1" x14ac:dyDescent="0.3">
      <c r="A187" s="175" t="s">
        <v>793</v>
      </c>
      <c r="B187" s="175" t="s">
        <v>791</v>
      </c>
      <c r="C187" s="176"/>
      <c r="D187" s="177">
        <v>99</v>
      </c>
      <c r="E187" s="178">
        <v>95</v>
      </c>
      <c r="F187" s="179">
        <v>84606</v>
      </c>
      <c r="G187" s="179">
        <v>0</v>
      </c>
      <c r="H187" s="179">
        <v>0</v>
      </c>
      <c r="I187" s="179">
        <v>84606</v>
      </c>
      <c r="J187" s="176" t="s">
        <v>490</v>
      </c>
    </row>
    <row r="188" spans="1:10" ht="13.95" hidden="1" customHeight="1" outlineLevel="3" collapsed="1" x14ac:dyDescent="0.3">
      <c r="A188" s="170" t="s">
        <v>794</v>
      </c>
      <c r="B188" s="170" t="s">
        <v>786</v>
      </c>
      <c r="C188" s="171"/>
      <c r="D188" s="172">
        <v>7.48</v>
      </c>
      <c r="E188" s="173">
        <v>3.5</v>
      </c>
      <c r="F188" s="174">
        <v>325237</v>
      </c>
      <c r="G188" s="174">
        <v>43470</v>
      </c>
      <c r="H188" s="174">
        <v>173880</v>
      </c>
      <c r="I188" s="174">
        <v>151357</v>
      </c>
      <c r="J188" s="171" t="s">
        <v>490</v>
      </c>
    </row>
    <row r="189" spans="1:10" ht="15" hidden="1" customHeight="1" outlineLevel="2" x14ac:dyDescent="0.3">
      <c r="A189" s="167" t="s">
        <v>795</v>
      </c>
      <c r="B189" s="167"/>
      <c r="C189" s="168">
        <v>40</v>
      </c>
      <c r="D189" s="180"/>
      <c r="E189" s="181"/>
      <c r="F189" s="169">
        <v>20829490</v>
      </c>
      <c r="G189" s="169">
        <v>584981</v>
      </c>
      <c r="H189" s="169">
        <v>2339928</v>
      </c>
      <c r="I189" s="169">
        <v>18489562</v>
      </c>
      <c r="J189" s="168" t="s">
        <v>796</v>
      </c>
    </row>
    <row r="190" spans="1:10" ht="13.95" hidden="1" customHeight="1" outlineLevel="3" collapsed="1" x14ac:dyDescent="0.3">
      <c r="A190" s="170" t="s">
        <v>797</v>
      </c>
      <c r="B190" s="170" t="s">
        <v>798</v>
      </c>
      <c r="C190" s="171"/>
      <c r="D190" s="172">
        <v>99</v>
      </c>
      <c r="E190" s="173">
        <v>95</v>
      </c>
      <c r="F190" s="174">
        <v>9096</v>
      </c>
      <c r="G190" s="174">
        <v>0</v>
      </c>
      <c r="H190" s="174">
        <v>0</v>
      </c>
      <c r="I190" s="174">
        <v>9096</v>
      </c>
      <c r="J190" s="171" t="s">
        <v>490</v>
      </c>
    </row>
    <row r="191" spans="1:10" ht="13.95" hidden="1" customHeight="1" outlineLevel="3" collapsed="1" x14ac:dyDescent="0.3">
      <c r="A191" s="175" t="s">
        <v>799</v>
      </c>
      <c r="B191" s="175" t="s">
        <v>798</v>
      </c>
      <c r="C191" s="176"/>
      <c r="D191" s="177">
        <v>99</v>
      </c>
      <c r="E191" s="178">
        <v>95</v>
      </c>
      <c r="F191" s="179">
        <v>9096</v>
      </c>
      <c r="G191" s="179">
        <v>0</v>
      </c>
      <c r="H191" s="179">
        <v>0</v>
      </c>
      <c r="I191" s="179">
        <v>9096</v>
      </c>
      <c r="J191" s="176" t="s">
        <v>490</v>
      </c>
    </row>
    <row r="192" spans="1:10" ht="13.95" hidden="1" customHeight="1" outlineLevel="3" collapsed="1" x14ac:dyDescent="0.3">
      <c r="A192" s="170" t="s">
        <v>800</v>
      </c>
      <c r="B192" s="170" t="s">
        <v>801</v>
      </c>
      <c r="C192" s="171"/>
      <c r="D192" s="172">
        <v>99</v>
      </c>
      <c r="E192" s="173">
        <v>95</v>
      </c>
      <c r="F192" s="174">
        <v>111189</v>
      </c>
      <c r="G192" s="174">
        <v>0</v>
      </c>
      <c r="H192" s="174">
        <v>0</v>
      </c>
      <c r="I192" s="174">
        <v>111189</v>
      </c>
      <c r="J192" s="171" t="s">
        <v>490</v>
      </c>
    </row>
    <row r="193" spans="1:10" ht="13.95" hidden="1" customHeight="1" outlineLevel="3" x14ac:dyDescent="0.3">
      <c r="A193" s="175" t="s">
        <v>802</v>
      </c>
      <c r="B193" s="175" t="s">
        <v>801</v>
      </c>
      <c r="C193" s="176"/>
      <c r="D193" s="177">
        <v>99</v>
      </c>
      <c r="E193" s="178">
        <v>95</v>
      </c>
      <c r="F193" s="179">
        <v>51318</v>
      </c>
      <c r="G193" s="179">
        <v>0</v>
      </c>
      <c r="H193" s="179">
        <v>0</v>
      </c>
      <c r="I193" s="179">
        <v>51318</v>
      </c>
      <c r="J193" s="176" t="s">
        <v>490</v>
      </c>
    </row>
    <row r="194" spans="1:10" ht="13.95" hidden="1" customHeight="1" outlineLevel="3" x14ac:dyDescent="0.3">
      <c r="A194" s="170" t="s">
        <v>803</v>
      </c>
      <c r="B194" s="170" t="s">
        <v>801</v>
      </c>
      <c r="C194" s="171"/>
      <c r="D194" s="172">
        <v>99</v>
      </c>
      <c r="E194" s="173">
        <v>95</v>
      </c>
      <c r="F194" s="174">
        <v>17108</v>
      </c>
      <c r="G194" s="174">
        <v>0</v>
      </c>
      <c r="H194" s="174">
        <v>0</v>
      </c>
      <c r="I194" s="174">
        <v>17108</v>
      </c>
      <c r="J194" s="171" t="s">
        <v>490</v>
      </c>
    </row>
    <row r="195" spans="1:10" ht="13.95" hidden="1" customHeight="1" outlineLevel="3" x14ac:dyDescent="0.3">
      <c r="A195" s="175" t="s">
        <v>804</v>
      </c>
      <c r="B195" s="175" t="s">
        <v>805</v>
      </c>
      <c r="C195" s="176"/>
      <c r="D195" s="177">
        <v>99</v>
      </c>
      <c r="E195" s="178">
        <v>95</v>
      </c>
      <c r="F195" s="179">
        <v>991047</v>
      </c>
      <c r="G195" s="179">
        <v>0</v>
      </c>
      <c r="H195" s="179">
        <v>0</v>
      </c>
      <c r="I195" s="179">
        <v>991047</v>
      </c>
      <c r="J195" s="176" t="s">
        <v>490</v>
      </c>
    </row>
    <row r="196" spans="1:10" ht="13.95" hidden="1" customHeight="1" outlineLevel="3" x14ac:dyDescent="0.3">
      <c r="A196" s="170" t="s">
        <v>806</v>
      </c>
      <c r="B196" s="170" t="s">
        <v>805</v>
      </c>
      <c r="C196" s="171"/>
      <c r="D196" s="172">
        <v>99</v>
      </c>
      <c r="E196" s="173">
        <v>95</v>
      </c>
      <c r="F196" s="174">
        <v>387801</v>
      </c>
      <c r="G196" s="174">
        <v>0</v>
      </c>
      <c r="H196" s="174">
        <v>0</v>
      </c>
      <c r="I196" s="174">
        <v>387801</v>
      </c>
      <c r="J196" s="171" t="s">
        <v>490</v>
      </c>
    </row>
    <row r="197" spans="1:10" ht="13.95" hidden="1" customHeight="1" outlineLevel="3" collapsed="1" x14ac:dyDescent="0.3">
      <c r="A197" s="175" t="s">
        <v>807</v>
      </c>
      <c r="B197" s="175" t="s">
        <v>805</v>
      </c>
      <c r="C197" s="176"/>
      <c r="D197" s="177">
        <v>99</v>
      </c>
      <c r="E197" s="178">
        <v>95</v>
      </c>
      <c r="F197" s="179">
        <v>430890</v>
      </c>
      <c r="G197" s="179">
        <v>0</v>
      </c>
      <c r="H197" s="179">
        <v>0</v>
      </c>
      <c r="I197" s="179">
        <v>430890</v>
      </c>
      <c r="J197" s="176" t="s">
        <v>490</v>
      </c>
    </row>
    <row r="198" spans="1:10" ht="13.95" hidden="1" customHeight="1" outlineLevel="3" x14ac:dyDescent="0.3">
      <c r="A198" s="170" t="s">
        <v>808</v>
      </c>
      <c r="B198" s="170" t="s">
        <v>805</v>
      </c>
      <c r="C198" s="171"/>
      <c r="D198" s="172">
        <v>99</v>
      </c>
      <c r="E198" s="173">
        <v>95</v>
      </c>
      <c r="F198" s="174">
        <v>14376</v>
      </c>
      <c r="G198" s="174">
        <v>0</v>
      </c>
      <c r="H198" s="174">
        <v>0</v>
      </c>
      <c r="I198" s="174">
        <v>14376</v>
      </c>
      <c r="J198" s="171" t="s">
        <v>490</v>
      </c>
    </row>
    <row r="199" spans="1:10" ht="13.95" hidden="1" customHeight="1" outlineLevel="3" collapsed="1" x14ac:dyDescent="0.3">
      <c r="A199" s="175" t="s">
        <v>809</v>
      </c>
      <c r="B199" s="175" t="s">
        <v>805</v>
      </c>
      <c r="C199" s="176"/>
      <c r="D199" s="177">
        <v>99</v>
      </c>
      <c r="E199" s="178">
        <v>95</v>
      </c>
      <c r="F199" s="179">
        <v>14363</v>
      </c>
      <c r="G199" s="179">
        <v>0</v>
      </c>
      <c r="H199" s="179">
        <v>0</v>
      </c>
      <c r="I199" s="179">
        <v>14363</v>
      </c>
      <c r="J199" s="176" t="s">
        <v>490</v>
      </c>
    </row>
    <row r="200" spans="1:10" ht="13.95" hidden="1" customHeight="1" outlineLevel="3" x14ac:dyDescent="0.3">
      <c r="A200" s="170" t="s">
        <v>810</v>
      </c>
      <c r="B200" s="170" t="s">
        <v>811</v>
      </c>
      <c r="C200" s="171"/>
      <c r="D200" s="172">
        <v>99</v>
      </c>
      <c r="E200" s="173">
        <v>95</v>
      </c>
      <c r="F200" s="174">
        <v>680768</v>
      </c>
      <c r="G200" s="174">
        <v>0</v>
      </c>
      <c r="H200" s="174">
        <v>0</v>
      </c>
      <c r="I200" s="174">
        <v>680768</v>
      </c>
      <c r="J200" s="171" t="s">
        <v>490</v>
      </c>
    </row>
    <row r="201" spans="1:10" ht="13.95" hidden="1" customHeight="1" outlineLevel="3" x14ac:dyDescent="0.3">
      <c r="A201" s="175" t="s">
        <v>812</v>
      </c>
      <c r="B201" s="175" t="s">
        <v>811</v>
      </c>
      <c r="C201" s="176"/>
      <c r="D201" s="177">
        <v>99</v>
      </c>
      <c r="E201" s="178">
        <v>95</v>
      </c>
      <c r="F201" s="179">
        <v>402272</v>
      </c>
      <c r="G201" s="179">
        <v>0</v>
      </c>
      <c r="H201" s="179">
        <v>0</v>
      </c>
      <c r="I201" s="179">
        <v>402272</v>
      </c>
      <c r="J201" s="176" t="s">
        <v>490</v>
      </c>
    </row>
    <row r="202" spans="1:10" ht="13.95" hidden="1" customHeight="1" outlineLevel="3" x14ac:dyDescent="0.3">
      <c r="A202" s="170" t="s">
        <v>813</v>
      </c>
      <c r="B202" s="170" t="s">
        <v>811</v>
      </c>
      <c r="C202" s="171"/>
      <c r="D202" s="172">
        <v>99</v>
      </c>
      <c r="E202" s="173">
        <v>95</v>
      </c>
      <c r="F202" s="174">
        <v>804544</v>
      </c>
      <c r="G202" s="174">
        <v>0</v>
      </c>
      <c r="H202" s="174">
        <v>0</v>
      </c>
      <c r="I202" s="174">
        <v>804544</v>
      </c>
      <c r="J202" s="171" t="s">
        <v>490</v>
      </c>
    </row>
    <row r="203" spans="1:10" ht="13.95" hidden="1" customHeight="1" outlineLevel="3" x14ac:dyDescent="0.3">
      <c r="A203" s="175" t="s">
        <v>814</v>
      </c>
      <c r="B203" s="175" t="s">
        <v>811</v>
      </c>
      <c r="C203" s="176"/>
      <c r="D203" s="177">
        <v>99</v>
      </c>
      <c r="E203" s="178">
        <v>95</v>
      </c>
      <c r="F203" s="179">
        <v>433216</v>
      </c>
      <c r="G203" s="179">
        <v>0</v>
      </c>
      <c r="H203" s="179">
        <v>0</v>
      </c>
      <c r="I203" s="179">
        <v>433216</v>
      </c>
      <c r="J203" s="176" t="s">
        <v>490</v>
      </c>
    </row>
    <row r="204" spans="1:10" ht="13.95" hidden="1" customHeight="1" outlineLevel="3" collapsed="1" x14ac:dyDescent="0.3">
      <c r="A204" s="170" t="s">
        <v>815</v>
      </c>
      <c r="B204" s="170" t="s">
        <v>811</v>
      </c>
      <c r="C204" s="171"/>
      <c r="D204" s="172">
        <v>99</v>
      </c>
      <c r="E204" s="173">
        <v>95</v>
      </c>
      <c r="F204" s="174">
        <v>30942</v>
      </c>
      <c r="G204" s="174">
        <v>0</v>
      </c>
      <c r="H204" s="174">
        <v>0</v>
      </c>
      <c r="I204" s="174">
        <v>30942</v>
      </c>
      <c r="J204" s="171" t="s">
        <v>490</v>
      </c>
    </row>
    <row r="205" spans="1:10" ht="13.95" hidden="1" customHeight="1" outlineLevel="3" x14ac:dyDescent="0.3">
      <c r="A205" s="175" t="s">
        <v>816</v>
      </c>
      <c r="B205" s="175" t="s">
        <v>817</v>
      </c>
      <c r="C205" s="176"/>
      <c r="D205" s="177">
        <v>99</v>
      </c>
      <c r="E205" s="178">
        <v>95</v>
      </c>
      <c r="F205" s="179">
        <v>1388097</v>
      </c>
      <c r="G205" s="179">
        <v>0</v>
      </c>
      <c r="H205" s="179">
        <v>0</v>
      </c>
      <c r="I205" s="179">
        <v>1388097</v>
      </c>
      <c r="J205" s="176" t="s">
        <v>490</v>
      </c>
    </row>
    <row r="206" spans="1:10" ht="13.95" hidden="1" customHeight="1" outlineLevel="3" collapsed="1" x14ac:dyDescent="0.3">
      <c r="A206" s="170" t="s">
        <v>818</v>
      </c>
      <c r="B206" s="170" t="s">
        <v>817</v>
      </c>
      <c r="C206" s="171"/>
      <c r="D206" s="172">
        <v>99</v>
      </c>
      <c r="E206" s="173">
        <v>95</v>
      </c>
      <c r="F206" s="174">
        <v>788302</v>
      </c>
      <c r="G206" s="174">
        <v>0</v>
      </c>
      <c r="H206" s="174">
        <v>0</v>
      </c>
      <c r="I206" s="174">
        <v>788302</v>
      </c>
      <c r="J206" s="171" t="s">
        <v>490</v>
      </c>
    </row>
    <row r="207" spans="1:10" ht="13.95" hidden="1" customHeight="1" outlineLevel="3" x14ac:dyDescent="0.3">
      <c r="A207" s="175" t="s">
        <v>819</v>
      </c>
      <c r="B207" s="175" t="s">
        <v>817</v>
      </c>
      <c r="C207" s="176"/>
      <c r="D207" s="177">
        <v>99</v>
      </c>
      <c r="E207" s="178">
        <v>95</v>
      </c>
      <c r="F207" s="179">
        <v>1028220</v>
      </c>
      <c r="G207" s="179">
        <v>0</v>
      </c>
      <c r="H207" s="179">
        <v>0</v>
      </c>
      <c r="I207" s="179">
        <v>1028220</v>
      </c>
      <c r="J207" s="176" t="s">
        <v>490</v>
      </c>
    </row>
    <row r="208" spans="1:10" ht="13.95" hidden="1" customHeight="1" outlineLevel="3" x14ac:dyDescent="0.3">
      <c r="A208" s="170" t="s">
        <v>820</v>
      </c>
      <c r="B208" s="170" t="s">
        <v>817</v>
      </c>
      <c r="C208" s="171"/>
      <c r="D208" s="172">
        <v>99</v>
      </c>
      <c r="E208" s="173">
        <v>95</v>
      </c>
      <c r="F208" s="174">
        <v>582658</v>
      </c>
      <c r="G208" s="174">
        <v>0</v>
      </c>
      <c r="H208" s="174">
        <v>0</v>
      </c>
      <c r="I208" s="174">
        <v>582658</v>
      </c>
      <c r="J208" s="171" t="s">
        <v>490</v>
      </c>
    </row>
    <row r="209" spans="1:10" ht="13.95" hidden="1" customHeight="1" outlineLevel="3" x14ac:dyDescent="0.3">
      <c r="A209" s="175" t="s">
        <v>821</v>
      </c>
      <c r="B209" s="175" t="s">
        <v>822</v>
      </c>
      <c r="C209" s="176"/>
      <c r="D209" s="177">
        <v>99</v>
      </c>
      <c r="E209" s="178">
        <v>95</v>
      </c>
      <c r="F209" s="179">
        <v>944767</v>
      </c>
      <c r="G209" s="179">
        <v>0</v>
      </c>
      <c r="H209" s="179">
        <v>0</v>
      </c>
      <c r="I209" s="179">
        <v>944767</v>
      </c>
      <c r="J209" s="176" t="s">
        <v>490</v>
      </c>
    </row>
    <row r="210" spans="1:10" ht="13.95" hidden="1" customHeight="1" outlineLevel="3" x14ac:dyDescent="0.3">
      <c r="A210" s="170" t="s">
        <v>823</v>
      </c>
      <c r="B210" s="170" t="s">
        <v>822</v>
      </c>
      <c r="C210" s="171"/>
      <c r="D210" s="172">
        <v>99</v>
      </c>
      <c r="E210" s="173">
        <v>95</v>
      </c>
      <c r="F210" s="174">
        <v>408929</v>
      </c>
      <c r="G210" s="174">
        <v>0</v>
      </c>
      <c r="H210" s="174">
        <v>0</v>
      </c>
      <c r="I210" s="174">
        <v>408929</v>
      </c>
      <c r="J210" s="171" t="s">
        <v>490</v>
      </c>
    </row>
    <row r="211" spans="1:10" ht="13.95" hidden="1" customHeight="1" outlineLevel="3" x14ac:dyDescent="0.3">
      <c r="A211" s="175" t="s">
        <v>824</v>
      </c>
      <c r="B211" s="175" t="s">
        <v>822</v>
      </c>
      <c r="C211" s="176"/>
      <c r="D211" s="177">
        <v>99</v>
      </c>
      <c r="E211" s="178">
        <v>95</v>
      </c>
      <c r="F211" s="179">
        <v>84606</v>
      </c>
      <c r="G211" s="179">
        <v>0</v>
      </c>
      <c r="H211" s="179">
        <v>0</v>
      </c>
      <c r="I211" s="179">
        <v>84606</v>
      </c>
      <c r="J211" s="176" t="s">
        <v>490</v>
      </c>
    </row>
    <row r="212" spans="1:10" ht="13.95" hidden="1" customHeight="1" outlineLevel="3" collapsed="1" x14ac:dyDescent="0.3">
      <c r="A212" s="170" t="s">
        <v>825</v>
      </c>
      <c r="B212" s="170" t="s">
        <v>822</v>
      </c>
      <c r="C212" s="171"/>
      <c r="D212" s="172">
        <v>99</v>
      </c>
      <c r="E212" s="173">
        <v>95</v>
      </c>
      <c r="F212" s="174">
        <v>28202</v>
      </c>
      <c r="G212" s="174">
        <v>0</v>
      </c>
      <c r="H212" s="174">
        <v>0</v>
      </c>
      <c r="I212" s="174">
        <v>28202</v>
      </c>
      <c r="J212" s="171" t="s">
        <v>490</v>
      </c>
    </row>
    <row r="213" spans="1:10" ht="13.95" hidden="1" customHeight="1" outlineLevel="3" collapsed="1" x14ac:dyDescent="0.3">
      <c r="A213" s="175" t="s">
        <v>826</v>
      </c>
      <c r="B213" s="175" t="s">
        <v>811</v>
      </c>
      <c r="C213" s="176"/>
      <c r="D213" s="177">
        <v>64.97</v>
      </c>
      <c r="E213" s="178">
        <v>61</v>
      </c>
      <c r="F213" s="179">
        <v>1593616</v>
      </c>
      <c r="G213" s="179">
        <v>24529</v>
      </c>
      <c r="H213" s="179">
        <v>98118</v>
      </c>
      <c r="I213" s="179">
        <v>1495498</v>
      </c>
      <c r="J213" s="176" t="s">
        <v>490</v>
      </c>
    </row>
    <row r="214" spans="1:10" ht="13.95" hidden="1" customHeight="1" outlineLevel="3" x14ac:dyDescent="0.3">
      <c r="A214" s="170" t="s">
        <v>827</v>
      </c>
      <c r="B214" s="170" t="s">
        <v>805</v>
      </c>
      <c r="C214" s="171"/>
      <c r="D214" s="172">
        <v>44.43</v>
      </c>
      <c r="E214" s="173">
        <v>40.4</v>
      </c>
      <c r="F214" s="174">
        <v>1048499</v>
      </c>
      <c r="G214" s="174">
        <v>23598</v>
      </c>
      <c r="H214" s="174">
        <v>94392</v>
      </c>
      <c r="I214" s="174">
        <v>954107</v>
      </c>
      <c r="J214" s="171" t="s">
        <v>490</v>
      </c>
    </row>
    <row r="215" spans="1:10" ht="13.95" hidden="1" customHeight="1" outlineLevel="3" x14ac:dyDescent="0.3">
      <c r="A215" s="175" t="s">
        <v>828</v>
      </c>
      <c r="B215" s="175" t="s">
        <v>822</v>
      </c>
      <c r="C215" s="176"/>
      <c r="D215" s="177">
        <v>41</v>
      </c>
      <c r="E215" s="178">
        <v>37</v>
      </c>
      <c r="F215" s="179">
        <v>916565</v>
      </c>
      <c r="G215" s="179">
        <v>22356</v>
      </c>
      <c r="H215" s="179">
        <v>89424</v>
      </c>
      <c r="I215" s="179">
        <v>827141</v>
      </c>
      <c r="J215" s="176" t="s">
        <v>490</v>
      </c>
    </row>
    <row r="216" spans="1:10" ht="13.95" hidden="1" customHeight="1" outlineLevel="3" x14ac:dyDescent="0.3">
      <c r="A216" s="170" t="s">
        <v>829</v>
      </c>
      <c r="B216" s="170" t="s">
        <v>805</v>
      </c>
      <c r="C216" s="171"/>
      <c r="D216" s="172">
        <v>40.78</v>
      </c>
      <c r="E216" s="173">
        <v>36.799999999999997</v>
      </c>
      <c r="F216" s="174">
        <v>962321</v>
      </c>
      <c r="G216" s="174">
        <v>23598</v>
      </c>
      <c r="H216" s="174">
        <v>94392</v>
      </c>
      <c r="I216" s="174">
        <v>867929</v>
      </c>
      <c r="J216" s="171" t="s">
        <v>490</v>
      </c>
    </row>
    <row r="217" spans="1:10" ht="13.95" hidden="1" customHeight="1" outlineLevel="3" x14ac:dyDescent="0.3">
      <c r="A217" s="175" t="s">
        <v>830</v>
      </c>
      <c r="B217" s="175" t="s">
        <v>805</v>
      </c>
      <c r="C217" s="176"/>
      <c r="D217" s="177">
        <v>31.04</v>
      </c>
      <c r="E217" s="178">
        <v>27</v>
      </c>
      <c r="F217" s="179">
        <v>732564</v>
      </c>
      <c r="G217" s="179">
        <v>23598</v>
      </c>
      <c r="H217" s="179">
        <v>94392</v>
      </c>
      <c r="I217" s="179">
        <v>638172</v>
      </c>
      <c r="J217" s="176" t="s">
        <v>490</v>
      </c>
    </row>
    <row r="218" spans="1:10" ht="13.95" hidden="1" customHeight="1" outlineLevel="3" collapsed="1" x14ac:dyDescent="0.3">
      <c r="A218" s="170" t="s">
        <v>831</v>
      </c>
      <c r="B218" s="170" t="s">
        <v>817</v>
      </c>
      <c r="C218" s="171"/>
      <c r="D218" s="172">
        <v>27.12</v>
      </c>
      <c r="E218" s="173">
        <v>23.1</v>
      </c>
      <c r="F218" s="174">
        <v>1473782</v>
      </c>
      <c r="G218" s="174">
        <v>54338</v>
      </c>
      <c r="H218" s="174">
        <v>217350</v>
      </c>
      <c r="I218" s="174">
        <v>1256432</v>
      </c>
      <c r="J218" s="171" t="s">
        <v>490</v>
      </c>
    </row>
    <row r="219" spans="1:10" ht="13.95" hidden="1" customHeight="1" outlineLevel="3" collapsed="1" x14ac:dyDescent="0.3">
      <c r="A219" s="175" t="s">
        <v>832</v>
      </c>
      <c r="B219" s="175" t="s">
        <v>822</v>
      </c>
      <c r="C219" s="176"/>
      <c r="D219" s="177">
        <v>14.03</v>
      </c>
      <c r="E219" s="178">
        <v>10</v>
      </c>
      <c r="F219" s="179">
        <v>1254989</v>
      </c>
      <c r="G219" s="179">
        <v>89424</v>
      </c>
      <c r="H219" s="179">
        <v>357696</v>
      </c>
      <c r="I219" s="179">
        <v>897293</v>
      </c>
      <c r="J219" s="176" t="s">
        <v>490</v>
      </c>
    </row>
    <row r="220" spans="1:10" ht="13.95" hidden="1" customHeight="1" outlineLevel="3" x14ac:dyDescent="0.3">
      <c r="A220" s="170" t="s">
        <v>833</v>
      </c>
      <c r="B220" s="170" t="s">
        <v>822</v>
      </c>
      <c r="C220" s="171"/>
      <c r="D220" s="172">
        <v>12.61</v>
      </c>
      <c r="E220" s="173">
        <v>8.6</v>
      </c>
      <c r="F220" s="174">
        <v>282020</v>
      </c>
      <c r="G220" s="174">
        <v>22356</v>
      </c>
      <c r="H220" s="174">
        <v>89424</v>
      </c>
      <c r="I220" s="174">
        <v>192596</v>
      </c>
      <c r="J220" s="171" t="s">
        <v>490</v>
      </c>
    </row>
    <row r="221" spans="1:10" ht="13.95" hidden="1" customHeight="1" outlineLevel="3" x14ac:dyDescent="0.3">
      <c r="A221" s="175" t="s">
        <v>834</v>
      </c>
      <c r="B221" s="175" t="s">
        <v>835</v>
      </c>
      <c r="C221" s="176"/>
      <c r="D221" s="177">
        <v>12.2</v>
      </c>
      <c r="E221" s="178">
        <v>8.1999999999999993</v>
      </c>
      <c r="F221" s="179">
        <v>142035</v>
      </c>
      <c r="G221" s="179">
        <v>11644</v>
      </c>
      <c r="H221" s="179">
        <v>46575</v>
      </c>
      <c r="I221" s="179">
        <v>95460</v>
      </c>
      <c r="J221" s="176" t="s">
        <v>490</v>
      </c>
    </row>
    <row r="222" spans="1:10" ht="13.95" hidden="1" customHeight="1" outlineLevel="3" collapsed="1" x14ac:dyDescent="0.3">
      <c r="A222" s="170" t="s">
        <v>836</v>
      </c>
      <c r="B222" s="170" t="s">
        <v>822</v>
      </c>
      <c r="C222" s="171"/>
      <c r="D222" s="172">
        <v>11.56</v>
      </c>
      <c r="E222" s="173">
        <v>7.6</v>
      </c>
      <c r="F222" s="174">
        <v>775555</v>
      </c>
      <c r="G222" s="174">
        <v>67068</v>
      </c>
      <c r="H222" s="174">
        <v>268272</v>
      </c>
      <c r="I222" s="174">
        <v>507283</v>
      </c>
      <c r="J222" s="171" t="s">
        <v>490</v>
      </c>
    </row>
    <row r="223" spans="1:10" ht="13.95" hidden="1" customHeight="1" outlineLevel="3" collapsed="1" x14ac:dyDescent="0.3">
      <c r="A223" s="175" t="s">
        <v>837</v>
      </c>
      <c r="B223" s="175" t="s">
        <v>811</v>
      </c>
      <c r="C223" s="176"/>
      <c r="D223" s="177">
        <v>11.35</v>
      </c>
      <c r="E223" s="178">
        <v>7.4</v>
      </c>
      <c r="F223" s="179">
        <v>278496</v>
      </c>
      <c r="G223" s="179">
        <v>24529</v>
      </c>
      <c r="H223" s="179">
        <v>98118</v>
      </c>
      <c r="I223" s="179">
        <v>180378</v>
      </c>
      <c r="J223" s="176" t="s">
        <v>490</v>
      </c>
    </row>
    <row r="224" spans="1:10" ht="13.95" hidden="1" customHeight="1" outlineLevel="3" x14ac:dyDescent="0.3">
      <c r="A224" s="170" t="s">
        <v>838</v>
      </c>
      <c r="B224" s="170" t="s">
        <v>817</v>
      </c>
      <c r="C224" s="171"/>
      <c r="D224" s="172">
        <v>10.09</v>
      </c>
      <c r="E224" s="173">
        <v>6.1</v>
      </c>
      <c r="F224" s="174">
        <v>274192</v>
      </c>
      <c r="G224" s="174">
        <v>27169</v>
      </c>
      <c r="H224" s="174">
        <v>108675</v>
      </c>
      <c r="I224" s="174">
        <v>165517</v>
      </c>
      <c r="J224" s="171" t="s">
        <v>490</v>
      </c>
    </row>
    <row r="225" spans="1:10" ht="13.95" hidden="1" customHeight="1" outlineLevel="3" collapsed="1" x14ac:dyDescent="0.3">
      <c r="A225" s="175" t="s">
        <v>839</v>
      </c>
      <c r="B225" s="175" t="s">
        <v>840</v>
      </c>
      <c r="C225" s="176"/>
      <c r="D225" s="177">
        <v>10</v>
      </c>
      <c r="E225" s="178">
        <v>6</v>
      </c>
      <c r="F225" s="179">
        <v>232870</v>
      </c>
      <c r="G225" s="179">
        <v>23287</v>
      </c>
      <c r="H225" s="179">
        <v>93150</v>
      </c>
      <c r="I225" s="179">
        <v>139720</v>
      </c>
      <c r="J225" s="176" t="s">
        <v>490</v>
      </c>
    </row>
    <row r="226" spans="1:10" ht="13.95" hidden="1" customHeight="1" outlineLevel="3" x14ac:dyDescent="0.3">
      <c r="A226" s="170" t="s">
        <v>841</v>
      </c>
      <c r="B226" s="170" t="s">
        <v>835</v>
      </c>
      <c r="C226" s="171"/>
      <c r="D226" s="172">
        <v>9.6</v>
      </c>
      <c r="E226" s="173">
        <v>5.6</v>
      </c>
      <c r="F226" s="174">
        <v>335175</v>
      </c>
      <c r="G226" s="174">
        <v>34931</v>
      </c>
      <c r="H226" s="174">
        <v>139725</v>
      </c>
      <c r="I226" s="174">
        <v>195450</v>
      </c>
      <c r="J226" s="171" t="s">
        <v>490</v>
      </c>
    </row>
    <row r="227" spans="1:10" ht="13.95" hidden="1" customHeight="1" outlineLevel="3" x14ac:dyDescent="0.3">
      <c r="A227" s="175" t="s">
        <v>842</v>
      </c>
      <c r="B227" s="175" t="s">
        <v>835</v>
      </c>
      <c r="C227" s="176"/>
      <c r="D227" s="177">
        <v>9.59</v>
      </c>
      <c r="E227" s="178">
        <v>5.6</v>
      </c>
      <c r="F227" s="179">
        <v>335052</v>
      </c>
      <c r="G227" s="179">
        <v>34931</v>
      </c>
      <c r="H227" s="179">
        <v>139725</v>
      </c>
      <c r="I227" s="179">
        <v>195327</v>
      </c>
      <c r="J227" s="176" t="s">
        <v>490</v>
      </c>
    </row>
    <row r="228" spans="1:10" ht="13.95" hidden="1" customHeight="1" outlineLevel="3" collapsed="1" x14ac:dyDescent="0.3">
      <c r="A228" s="170" t="s">
        <v>843</v>
      </c>
      <c r="B228" s="170" t="s">
        <v>817</v>
      </c>
      <c r="C228" s="171"/>
      <c r="D228" s="172">
        <v>8.1999999999999993</v>
      </c>
      <c r="E228" s="173">
        <v>4.2</v>
      </c>
      <c r="F228" s="174">
        <v>445536</v>
      </c>
      <c r="G228" s="174">
        <v>54338</v>
      </c>
      <c r="H228" s="174">
        <v>217350</v>
      </c>
      <c r="I228" s="174">
        <v>228186</v>
      </c>
      <c r="J228" s="171" t="s">
        <v>490</v>
      </c>
    </row>
    <row r="229" spans="1:10" ht="13.95" hidden="1" customHeight="1" outlineLevel="3" collapsed="1" x14ac:dyDescent="0.3">
      <c r="A229" s="175" t="s">
        <v>844</v>
      </c>
      <c r="B229" s="175" t="s">
        <v>840</v>
      </c>
      <c r="C229" s="176"/>
      <c r="D229" s="177">
        <v>4.4800000000000004</v>
      </c>
      <c r="E229" s="178">
        <v>0.5</v>
      </c>
      <c r="F229" s="179">
        <v>104416</v>
      </c>
      <c r="G229" s="179">
        <v>23287</v>
      </c>
      <c r="H229" s="179">
        <v>93150</v>
      </c>
      <c r="I229" s="179">
        <v>11266</v>
      </c>
      <c r="J229" s="176" t="s">
        <v>490</v>
      </c>
    </row>
    <row r="230" spans="1:10" ht="15" hidden="1" customHeight="1" outlineLevel="2" x14ac:dyDescent="0.3">
      <c r="A230" s="167" t="s">
        <v>845</v>
      </c>
      <c r="B230" s="167"/>
      <c r="C230" s="168">
        <v>30</v>
      </c>
      <c r="D230" s="180"/>
      <c r="E230" s="181"/>
      <c r="F230" s="169">
        <v>8008874</v>
      </c>
      <c r="G230" s="169">
        <v>340929</v>
      </c>
      <c r="H230" s="169">
        <v>1363716</v>
      </c>
      <c r="I230" s="169">
        <v>6645158</v>
      </c>
      <c r="J230" s="168" t="s">
        <v>846</v>
      </c>
    </row>
    <row r="231" spans="1:10" ht="13.95" hidden="1" customHeight="1" outlineLevel="3" x14ac:dyDescent="0.3">
      <c r="A231" s="170" t="s">
        <v>847</v>
      </c>
      <c r="B231" s="170" t="s">
        <v>848</v>
      </c>
      <c r="C231" s="171"/>
      <c r="D231" s="172">
        <v>99</v>
      </c>
      <c r="E231" s="173">
        <v>95</v>
      </c>
      <c r="F231" s="174">
        <v>7706</v>
      </c>
      <c r="G231" s="174">
        <v>0</v>
      </c>
      <c r="H231" s="174">
        <v>0</v>
      </c>
      <c r="I231" s="174">
        <v>7706</v>
      </c>
      <c r="J231" s="171" t="s">
        <v>490</v>
      </c>
    </row>
    <row r="232" spans="1:10" ht="13.95" hidden="1" customHeight="1" outlineLevel="3" collapsed="1" x14ac:dyDescent="0.3">
      <c r="A232" s="175" t="s">
        <v>849</v>
      </c>
      <c r="B232" s="175" t="s">
        <v>850</v>
      </c>
      <c r="C232" s="176"/>
      <c r="D232" s="177">
        <v>99</v>
      </c>
      <c r="E232" s="178">
        <v>95</v>
      </c>
      <c r="F232" s="179">
        <v>99000</v>
      </c>
      <c r="G232" s="179">
        <v>0</v>
      </c>
      <c r="H232" s="179">
        <v>0</v>
      </c>
      <c r="I232" s="179">
        <v>99000</v>
      </c>
      <c r="J232" s="176" t="s">
        <v>490</v>
      </c>
    </row>
    <row r="233" spans="1:10" ht="13.95" hidden="1" customHeight="1" outlineLevel="3" collapsed="1" x14ac:dyDescent="0.3">
      <c r="A233" s="170" t="s">
        <v>851</v>
      </c>
      <c r="B233" s="170" t="s">
        <v>852</v>
      </c>
      <c r="C233" s="171"/>
      <c r="D233" s="172">
        <v>99</v>
      </c>
      <c r="E233" s="173">
        <v>95</v>
      </c>
      <c r="F233" s="174">
        <v>124872</v>
      </c>
      <c r="G233" s="174">
        <v>0</v>
      </c>
      <c r="H233" s="174">
        <v>0</v>
      </c>
      <c r="I233" s="174">
        <v>124872</v>
      </c>
      <c r="J233" s="171" t="s">
        <v>490</v>
      </c>
    </row>
    <row r="234" spans="1:10" ht="13.95" hidden="1" customHeight="1" outlineLevel="3" collapsed="1" x14ac:dyDescent="0.3">
      <c r="A234" s="175" t="s">
        <v>853</v>
      </c>
      <c r="B234" s="175" t="s">
        <v>852</v>
      </c>
      <c r="C234" s="176"/>
      <c r="D234" s="177">
        <v>99</v>
      </c>
      <c r="E234" s="178">
        <v>95</v>
      </c>
      <c r="F234" s="179">
        <v>6077</v>
      </c>
      <c r="G234" s="179">
        <v>0</v>
      </c>
      <c r="H234" s="179">
        <v>0</v>
      </c>
      <c r="I234" s="179">
        <v>6077</v>
      </c>
      <c r="J234" s="176" t="s">
        <v>490</v>
      </c>
    </row>
    <row r="235" spans="1:10" ht="13.95" hidden="1" customHeight="1" outlineLevel="3" collapsed="1" x14ac:dyDescent="0.3">
      <c r="A235" s="170" t="s">
        <v>854</v>
      </c>
      <c r="B235" s="170" t="s">
        <v>855</v>
      </c>
      <c r="C235" s="171"/>
      <c r="D235" s="172">
        <v>99</v>
      </c>
      <c r="E235" s="173">
        <v>95</v>
      </c>
      <c r="F235" s="174">
        <v>162409</v>
      </c>
      <c r="G235" s="174">
        <v>0</v>
      </c>
      <c r="H235" s="174">
        <v>0</v>
      </c>
      <c r="I235" s="174">
        <v>162409</v>
      </c>
      <c r="J235" s="171" t="s">
        <v>490</v>
      </c>
    </row>
    <row r="236" spans="1:10" ht="13.95" hidden="1" customHeight="1" outlineLevel="3" x14ac:dyDescent="0.3">
      <c r="A236" s="175" t="s">
        <v>856</v>
      </c>
      <c r="B236" s="175" t="s">
        <v>855</v>
      </c>
      <c r="C236" s="176"/>
      <c r="D236" s="177">
        <v>99</v>
      </c>
      <c r="E236" s="178">
        <v>95</v>
      </c>
      <c r="F236" s="179">
        <v>252576</v>
      </c>
      <c r="G236" s="179">
        <v>0</v>
      </c>
      <c r="H236" s="179">
        <v>0</v>
      </c>
      <c r="I236" s="179">
        <v>252576</v>
      </c>
      <c r="J236" s="176" t="s">
        <v>490</v>
      </c>
    </row>
    <row r="237" spans="1:10" ht="13.95" hidden="1" customHeight="1" outlineLevel="3" x14ac:dyDescent="0.3">
      <c r="A237" s="170" t="s">
        <v>857</v>
      </c>
      <c r="B237" s="170" t="s">
        <v>855</v>
      </c>
      <c r="C237" s="171"/>
      <c r="D237" s="172">
        <v>99</v>
      </c>
      <c r="E237" s="173">
        <v>95</v>
      </c>
      <c r="F237" s="174">
        <v>144585</v>
      </c>
      <c r="G237" s="174">
        <v>0</v>
      </c>
      <c r="H237" s="174">
        <v>0</v>
      </c>
      <c r="I237" s="174">
        <v>144585</v>
      </c>
      <c r="J237" s="171" t="s">
        <v>490</v>
      </c>
    </row>
    <row r="238" spans="1:10" ht="13.95" hidden="1" customHeight="1" outlineLevel="3" x14ac:dyDescent="0.3">
      <c r="A238" s="175" t="s">
        <v>858</v>
      </c>
      <c r="B238" s="175" t="s">
        <v>859</v>
      </c>
      <c r="C238" s="176"/>
      <c r="D238" s="177">
        <v>99</v>
      </c>
      <c r="E238" s="178">
        <v>95</v>
      </c>
      <c r="F238" s="179">
        <v>5137</v>
      </c>
      <c r="G238" s="179">
        <v>0</v>
      </c>
      <c r="H238" s="179">
        <v>0</v>
      </c>
      <c r="I238" s="179">
        <v>5137</v>
      </c>
      <c r="J238" s="176" t="s">
        <v>490</v>
      </c>
    </row>
    <row r="239" spans="1:10" ht="13.95" hidden="1" customHeight="1" outlineLevel="3" x14ac:dyDescent="0.3">
      <c r="A239" s="170" t="s">
        <v>860</v>
      </c>
      <c r="B239" s="170" t="s">
        <v>859</v>
      </c>
      <c r="C239" s="171"/>
      <c r="D239" s="172">
        <v>99</v>
      </c>
      <c r="E239" s="173">
        <v>95</v>
      </c>
      <c r="F239" s="174">
        <v>57057</v>
      </c>
      <c r="G239" s="174">
        <v>0</v>
      </c>
      <c r="H239" s="174">
        <v>0</v>
      </c>
      <c r="I239" s="174">
        <v>57057</v>
      </c>
      <c r="J239" s="171" t="s">
        <v>490</v>
      </c>
    </row>
    <row r="240" spans="1:10" ht="13.95" hidden="1" customHeight="1" outlineLevel="3" x14ac:dyDescent="0.3">
      <c r="A240" s="175" t="s">
        <v>861</v>
      </c>
      <c r="B240" s="175" t="s">
        <v>859</v>
      </c>
      <c r="C240" s="184"/>
      <c r="D240" s="177">
        <v>99</v>
      </c>
      <c r="E240" s="178">
        <v>95</v>
      </c>
      <c r="F240" s="179">
        <v>32046</v>
      </c>
      <c r="G240" s="179">
        <v>0</v>
      </c>
      <c r="H240" s="179">
        <v>0</v>
      </c>
      <c r="I240" s="179">
        <v>32046</v>
      </c>
      <c r="J240" s="176" t="s">
        <v>490</v>
      </c>
    </row>
    <row r="241" spans="1:10" ht="13.95" hidden="1" customHeight="1" outlineLevel="3" collapsed="1" x14ac:dyDescent="0.3">
      <c r="A241" s="170" t="s">
        <v>862</v>
      </c>
      <c r="B241" s="170" t="s">
        <v>863</v>
      </c>
      <c r="C241" s="171"/>
      <c r="D241" s="172">
        <v>99</v>
      </c>
      <c r="E241" s="173">
        <v>95</v>
      </c>
      <c r="F241" s="174">
        <v>216040</v>
      </c>
      <c r="G241" s="174">
        <v>0</v>
      </c>
      <c r="H241" s="174">
        <v>0</v>
      </c>
      <c r="I241" s="174">
        <v>216040</v>
      </c>
      <c r="J241" s="171" t="s">
        <v>490</v>
      </c>
    </row>
    <row r="242" spans="1:10" ht="13.95" hidden="1" customHeight="1" outlineLevel="3" collapsed="1" x14ac:dyDescent="0.3">
      <c r="A242" s="175" t="s">
        <v>864</v>
      </c>
      <c r="B242" s="175" t="s">
        <v>863</v>
      </c>
      <c r="C242" s="176"/>
      <c r="D242" s="177">
        <v>99</v>
      </c>
      <c r="E242" s="178">
        <v>95</v>
      </c>
      <c r="F242" s="179">
        <v>134448</v>
      </c>
      <c r="G242" s="179">
        <v>0</v>
      </c>
      <c r="H242" s="179">
        <v>0</v>
      </c>
      <c r="I242" s="179">
        <v>134448</v>
      </c>
      <c r="J242" s="176" t="s">
        <v>490</v>
      </c>
    </row>
    <row r="243" spans="1:10" ht="13.95" hidden="1" customHeight="1" outlineLevel="3" x14ac:dyDescent="0.3">
      <c r="A243" s="170" t="s">
        <v>865</v>
      </c>
      <c r="B243" s="170" t="s">
        <v>863</v>
      </c>
      <c r="C243" s="171"/>
      <c r="D243" s="172">
        <v>99</v>
      </c>
      <c r="E243" s="173">
        <v>95</v>
      </c>
      <c r="F243" s="174">
        <v>62689</v>
      </c>
      <c r="G243" s="174">
        <v>0</v>
      </c>
      <c r="H243" s="174">
        <v>0</v>
      </c>
      <c r="I243" s="174">
        <v>62689</v>
      </c>
      <c r="J243" s="171" t="s">
        <v>490</v>
      </c>
    </row>
    <row r="244" spans="1:10" ht="13.95" hidden="1" customHeight="1" outlineLevel="3" x14ac:dyDescent="0.3">
      <c r="A244" s="175" t="s">
        <v>866</v>
      </c>
      <c r="B244" s="175" t="s">
        <v>867</v>
      </c>
      <c r="C244" s="176"/>
      <c r="D244" s="177">
        <v>99</v>
      </c>
      <c r="E244" s="178">
        <v>95</v>
      </c>
      <c r="F244" s="179">
        <v>1151598</v>
      </c>
      <c r="G244" s="179">
        <v>0</v>
      </c>
      <c r="H244" s="179">
        <v>0</v>
      </c>
      <c r="I244" s="179">
        <v>1151598</v>
      </c>
      <c r="J244" s="176" t="s">
        <v>490</v>
      </c>
    </row>
    <row r="245" spans="1:10" ht="13.95" hidden="1" customHeight="1" outlineLevel="3" collapsed="1" x14ac:dyDescent="0.3">
      <c r="A245" s="170" t="s">
        <v>868</v>
      </c>
      <c r="B245" s="170" t="s">
        <v>869</v>
      </c>
      <c r="C245" s="171"/>
      <c r="D245" s="172">
        <v>99</v>
      </c>
      <c r="E245" s="173">
        <v>95</v>
      </c>
      <c r="F245" s="174">
        <v>105750</v>
      </c>
      <c r="G245" s="174">
        <v>0</v>
      </c>
      <c r="H245" s="174">
        <v>0</v>
      </c>
      <c r="I245" s="174">
        <v>105750</v>
      </c>
      <c r="J245" s="171" t="s">
        <v>490</v>
      </c>
    </row>
    <row r="246" spans="1:10" ht="13.95" hidden="1" customHeight="1" outlineLevel="3" collapsed="1" x14ac:dyDescent="0.3">
      <c r="A246" s="175" t="s">
        <v>870</v>
      </c>
      <c r="B246" s="175" t="s">
        <v>869</v>
      </c>
      <c r="C246" s="176"/>
      <c r="D246" s="177">
        <v>99</v>
      </c>
      <c r="E246" s="178">
        <v>95</v>
      </c>
      <c r="F246" s="179">
        <v>170375</v>
      </c>
      <c r="G246" s="179">
        <v>0</v>
      </c>
      <c r="H246" s="179">
        <v>0</v>
      </c>
      <c r="I246" s="179">
        <v>170375</v>
      </c>
      <c r="J246" s="176" t="s">
        <v>490</v>
      </c>
    </row>
    <row r="247" spans="1:10" ht="13.95" hidden="1" customHeight="1" outlineLevel="3" collapsed="1" x14ac:dyDescent="0.3">
      <c r="A247" s="170" t="s">
        <v>871</v>
      </c>
      <c r="B247" s="170" t="s">
        <v>867</v>
      </c>
      <c r="C247" s="171"/>
      <c r="D247" s="172">
        <v>43.67</v>
      </c>
      <c r="E247" s="173">
        <v>39.700000000000003</v>
      </c>
      <c r="F247" s="174">
        <v>1175100</v>
      </c>
      <c r="G247" s="174">
        <v>26910</v>
      </c>
      <c r="H247" s="174">
        <v>107640</v>
      </c>
      <c r="I247" s="174">
        <v>1067460</v>
      </c>
      <c r="J247" s="171" t="s">
        <v>490</v>
      </c>
    </row>
    <row r="248" spans="1:10" ht="13.95" hidden="1" customHeight="1" outlineLevel="3" x14ac:dyDescent="0.3">
      <c r="A248" s="175" t="s">
        <v>872</v>
      </c>
      <c r="B248" s="175" t="s">
        <v>852</v>
      </c>
      <c r="C248" s="176"/>
      <c r="D248" s="177">
        <v>31.62</v>
      </c>
      <c r="E248" s="178">
        <v>27.6</v>
      </c>
      <c r="F248" s="179">
        <v>235664</v>
      </c>
      <c r="G248" s="179">
        <v>7452</v>
      </c>
      <c r="H248" s="179">
        <v>29808</v>
      </c>
      <c r="I248" s="179">
        <v>205856</v>
      </c>
      <c r="J248" s="176" t="s">
        <v>490</v>
      </c>
    </row>
    <row r="249" spans="1:10" ht="13.95" hidden="1" customHeight="1" outlineLevel="3" x14ac:dyDescent="0.3">
      <c r="A249" s="170" t="s">
        <v>873</v>
      </c>
      <c r="B249" s="170" t="s">
        <v>852</v>
      </c>
      <c r="C249" s="171"/>
      <c r="D249" s="172">
        <v>23.08</v>
      </c>
      <c r="E249" s="173">
        <v>19.100000000000001</v>
      </c>
      <c r="F249" s="174">
        <v>171988</v>
      </c>
      <c r="G249" s="174">
        <v>7452</v>
      </c>
      <c r="H249" s="174">
        <v>29808</v>
      </c>
      <c r="I249" s="174">
        <v>142180</v>
      </c>
      <c r="J249" s="171" t="s">
        <v>490</v>
      </c>
    </row>
    <row r="250" spans="1:10" ht="13.95" hidden="1" customHeight="1" outlineLevel="3" x14ac:dyDescent="0.3">
      <c r="A250" s="175" t="s">
        <v>874</v>
      </c>
      <c r="B250" s="175" t="s">
        <v>863</v>
      </c>
      <c r="C250" s="176"/>
      <c r="D250" s="177">
        <v>19.399999999999999</v>
      </c>
      <c r="E250" s="178">
        <v>15.4</v>
      </c>
      <c r="F250" s="179">
        <v>144534</v>
      </c>
      <c r="G250" s="179">
        <v>7452</v>
      </c>
      <c r="H250" s="179">
        <v>29808</v>
      </c>
      <c r="I250" s="179">
        <v>114726</v>
      </c>
      <c r="J250" s="176" t="s">
        <v>490</v>
      </c>
    </row>
    <row r="251" spans="1:10" ht="13.95" hidden="1" customHeight="1" outlineLevel="3" x14ac:dyDescent="0.3">
      <c r="A251" s="170" t="s">
        <v>875</v>
      </c>
      <c r="B251" s="170" t="s">
        <v>850</v>
      </c>
      <c r="C251" s="171"/>
      <c r="D251" s="172">
        <v>18.05</v>
      </c>
      <c r="E251" s="173">
        <v>14.1</v>
      </c>
      <c r="F251" s="174">
        <v>134525</v>
      </c>
      <c r="G251" s="174">
        <v>7452</v>
      </c>
      <c r="H251" s="174">
        <v>29808</v>
      </c>
      <c r="I251" s="174">
        <v>104717</v>
      </c>
      <c r="J251" s="171" t="s">
        <v>490</v>
      </c>
    </row>
    <row r="252" spans="1:10" ht="13.95" hidden="1" customHeight="1" outlineLevel="3" collapsed="1" x14ac:dyDescent="0.3">
      <c r="A252" s="175" t="s">
        <v>876</v>
      </c>
      <c r="B252" s="175" t="s">
        <v>869</v>
      </c>
      <c r="C252" s="176"/>
      <c r="D252" s="177">
        <v>17.03</v>
      </c>
      <c r="E252" s="178">
        <v>13</v>
      </c>
      <c r="F252" s="179">
        <v>158625</v>
      </c>
      <c r="G252" s="179">
        <v>9315</v>
      </c>
      <c r="H252" s="179">
        <v>37260</v>
      </c>
      <c r="I252" s="179">
        <v>121365</v>
      </c>
      <c r="J252" s="176" t="s">
        <v>490</v>
      </c>
    </row>
    <row r="253" spans="1:10" ht="13.95" hidden="1" customHeight="1" outlineLevel="3" collapsed="1" x14ac:dyDescent="0.3">
      <c r="A253" s="170" t="s">
        <v>877</v>
      </c>
      <c r="B253" s="170" t="s">
        <v>869</v>
      </c>
      <c r="C253" s="171"/>
      <c r="D253" s="172">
        <v>17.03</v>
      </c>
      <c r="E253" s="173">
        <v>13</v>
      </c>
      <c r="F253" s="174">
        <v>158625</v>
      </c>
      <c r="G253" s="174">
        <v>9315</v>
      </c>
      <c r="H253" s="174">
        <v>37260</v>
      </c>
      <c r="I253" s="174">
        <v>121365</v>
      </c>
      <c r="J253" s="171" t="s">
        <v>490</v>
      </c>
    </row>
    <row r="254" spans="1:10" ht="13.95" hidden="1" customHeight="1" outlineLevel="3" collapsed="1" x14ac:dyDescent="0.3">
      <c r="A254" s="175" t="s">
        <v>878</v>
      </c>
      <c r="B254" s="175" t="s">
        <v>867</v>
      </c>
      <c r="C254" s="176"/>
      <c r="D254" s="177">
        <v>16.649999999999999</v>
      </c>
      <c r="E254" s="178">
        <v>12.7</v>
      </c>
      <c r="F254" s="179">
        <v>1378784</v>
      </c>
      <c r="G254" s="179">
        <v>82800</v>
      </c>
      <c r="H254" s="179">
        <v>331200</v>
      </c>
      <c r="I254" s="179">
        <v>1047584</v>
      </c>
      <c r="J254" s="176" t="s">
        <v>490</v>
      </c>
    </row>
    <row r="255" spans="1:10" ht="13.95" hidden="1" customHeight="1" outlineLevel="3" collapsed="1" x14ac:dyDescent="0.3">
      <c r="A255" s="170" t="s">
        <v>879</v>
      </c>
      <c r="B255" s="170" t="s">
        <v>848</v>
      </c>
      <c r="C255" s="171"/>
      <c r="D255" s="172">
        <v>11.72</v>
      </c>
      <c r="E255" s="173">
        <v>7.7</v>
      </c>
      <c r="F255" s="174">
        <v>65501</v>
      </c>
      <c r="G255" s="174">
        <v>5589</v>
      </c>
      <c r="H255" s="174">
        <v>22356</v>
      </c>
      <c r="I255" s="174">
        <v>43145</v>
      </c>
      <c r="J255" s="171" t="s">
        <v>490</v>
      </c>
    </row>
    <row r="256" spans="1:10" ht="13.95" hidden="1" customHeight="1" outlineLevel="3" collapsed="1" x14ac:dyDescent="0.3">
      <c r="A256" s="175" t="s">
        <v>880</v>
      </c>
      <c r="B256" s="175" t="s">
        <v>869</v>
      </c>
      <c r="C256" s="176"/>
      <c r="D256" s="177">
        <v>10.72</v>
      </c>
      <c r="E256" s="178">
        <v>6.7</v>
      </c>
      <c r="F256" s="179">
        <v>99875</v>
      </c>
      <c r="G256" s="179">
        <v>9315</v>
      </c>
      <c r="H256" s="179">
        <v>37260</v>
      </c>
      <c r="I256" s="179">
        <v>62615</v>
      </c>
      <c r="J256" s="176" t="s">
        <v>490</v>
      </c>
    </row>
    <row r="257" spans="1:10" ht="13.95" hidden="1" customHeight="1" outlineLevel="3" collapsed="1" x14ac:dyDescent="0.3">
      <c r="A257" s="170" t="s">
        <v>881</v>
      </c>
      <c r="B257" s="170" t="s">
        <v>867</v>
      </c>
      <c r="C257" s="171"/>
      <c r="D257" s="172">
        <v>10.46</v>
      </c>
      <c r="E257" s="173">
        <v>6.5</v>
      </c>
      <c r="F257" s="174">
        <v>1190768</v>
      </c>
      <c r="G257" s="174">
        <v>113850</v>
      </c>
      <c r="H257" s="174">
        <v>455400</v>
      </c>
      <c r="I257" s="174">
        <v>735368</v>
      </c>
      <c r="J257" s="171" t="s">
        <v>490</v>
      </c>
    </row>
    <row r="258" spans="1:10" ht="13.95" hidden="1" customHeight="1" outlineLevel="3" x14ac:dyDescent="0.3">
      <c r="A258" s="175" t="s">
        <v>882</v>
      </c>
      <c r="B258" s="175" t="s">
        <v>855</v>
      </c>
      <c r="C258" s="176"/>
      <c r="D258" s="177">
        <v>9.23</v>
      </c>
      <c r="E258" s="178">
        <v>5.2</v>
      </c>
      <c r="F258" s="179">
        <v>68770</v>
      </c>
      <c r="G258" s="179">
        <v>7452</v>
      </c>
      <c r="H258" s="179">
        <v>29808</v>
      </c>
      <c r="I258" s="179">
        <v>38962</v>
      </c>
      <c r="J258" s="176" t="s">
        <v>490</v>
      </c>
    </row>
    <row r="259" spans="1:10" ht="13.95" hidden="1" customHeight="1" outlineLevel="3" x14ac:dyDescent="0.3">
      <c r="A259" s="170" t="s">
        <v>883</v>
      </c>
      <c r="B259" s="170" t="s">
        <v>869</v>
      </c>
      <c r="C259" s="171"/>
      <c r="D259" s="172">
        <v>6.31</v>
      </c>
      <c r="E259" s="173">
        <v>2.2999999999999998</v>
      </c>
      <c r="F259" s="174">
        <v>176250</v>
      </c>
      <c r="G259" s="174">
        <v>27945</v>
      </c>
      <c r="H259" s="174">
        <v>111780</v>
      </c>
      <c r="I259" s="174">
        <v>64470</v>
      </c>
      <c r="J259" s="171" t="s">
        <v>490</v>
      </c>
    </row>
    <row r="260" spans="1:10" ht="13.95" hidden="1" customHeight="1" outlineLevel="3" collapsed="1" x14ac:dyDescent="0.3">
      <c r="A260" s="175" t="s">
        <v>884</v>
      </c>
      <c r="B260" s="175" t="s">
        <v>869</v>
      </c>
      <c r="C260" s="176"/>
      <c r="D260" s="177">
        <v>6.31</v>
      </c>
      <c r="E260" s="178">
        <v>2.2999999999999998</v>
      </c>
      <c r="F260" s="179">
        <v>117500</v>
      </c>
      <c r="G260" s="179">
        <v>18630</v>
      </c>
      <c r="H260" s="179">
        <v>74520</v>
      </c>
      <c r="I260" s="179">
        <v>42980</v>
      </c>
      <c r="J260" s="176" t="s">
        <v>490</v>
      </c>
    </row>
    <row r="261" spans="1:10" ht="15" hidden="1" customHeight="1" outlineLevel="1" collapsed="1" x14ac:dyDescent="0.3">
      <c r="A261" s="164" t="s">
        <v>885</v>
      </c>
      <c r="B261" s="164"/>
      <c r="C261" s="165">
        <v>1</v>
      </c>
      <c r="D261" s="182"/>
      <c r="E261" s="183"/>
      <c r="F261" s="166">
        <v>5517710</v>
      </c>
      <c r="G261" s="166">
        <v>1116299</v>
      </c>
      <c r="H261" s="166">
        <v>4465197</v>
      </c>
      <c r="I261" s="166">
        <v>1052513</v>
      </c>
      <c r="J261" s="165" t="s">
        <v>546</v>
      </c>
    </row>
    <row r="262" spans="1:10" ht="15" hidden="1" customHeight="1" outlineLevel="2" collapsed="1" x14ac:dyDescent="0.3">
      <c r="A262" s="167" t="s">
        <v>886</v>
      </c>
      <c r="B262" s="167"/>
      <c r="C262" s="168">
        <v>1</v>
      </c>
      <c r="D262" s="180"/>
      <c r="E262" s="181"/>
      <c r="F262" s="169">
        <v>5517710</v>
      </c>
      <c r="G262" s="169">
        <v>1116299</v>
      </c>
      <c r="H262" s="169">
        <v>4465197</v>
      </c>
      <c r="I262" s="169">
        <v>1052513</v>
      </c>
      <c r="J262" s="168" t="s">
        <v>546</v>
      </c>
    </row>
    <row r="263" spans="1:10" ht="13.95" hidden="1" customHeight="1" outlineLevel="3" collapsed="1" x14ac:dyDescent="0.3">
      <c r="A263" s="170" t="s">
        <v>887</v>
      </c>
      <c r="B263" s="170" t="s">
        <v>888</v>
      </c>
      <c r="C263" s="171"/>
      <c r="D263" s="172">
        <v>4.9400000000000004</v>
      </c>
      <c r="E263" s="173">
        <v>0.9</v>
      </c>
      <c r="F263" s="174">
        <v>5517710</v>
      </c>
      <c r="G263" s="174">
        <v>1116299</v>
      </c>
      <c r="H263" s="174">
        <v>4465197</v>
      </c>
      <c r="I263" s="174">
        <v>1052513</v>
      </c>
      <c r="J263" s="171" t="s">
        <v>490</v>
      </c>
    </row>
    <row r="264" spans="1:10" ht="16.05" customHeight="1" collapsed="1" x14ac:dyDescent="0.3">
      <c r="A264" s="160" t="s">
        <v>889</v>
      </c>
      <c r="B264" s="161"/>
      <c r="C264" s="162">
        <v>51</v>
      </c>
      <c r="D264" s="185"/>
      <c r="E264" s="186"/>
      <c r="F264" s="163">
        <v>75915555</v>
      </c>
      <c r="G264" s="163">
        <v>10917120</v>
      </c>
      <c r="H264" s="163">
        <v>43668473</v>
      </c>
      <c r="I264" s="163">
        <v>32247080</v>
      </c>
      <c r="J264" s="162" t="s">
        <v>890</v>
      </c>
    </row>
    <row r="265" spans="1:10" ht="15" hidden="1" customHeight="1" outlineLevel="1" collapsed="1" x14ac:dyDescent="0.3">
      <c r="A265" s="164" t="s">
        <v>891</v>
      </c>
      <c r="B265" s="164"/>
      <c r="C265" s="165">
        <v>13</v>
      </c>
      <c r="D265" s="182"/>
      <c r="E265" s="183"/>
      <c r="F265" s="166">
        <v>16305610</v>
      </c>
      <c r="G265" s="166">
        <v>1848737</v>
      </c>
      <c r="H265" s="166">
        <v>7394951</v>
      </c>
      <c r="I265" s="166">
        <v>8910659</v>
      </c>
      <c r="J265" s="165" t="s">
        <v>892</v>
      </c>
    </row>
    <row r="266" spans="1:10" ht="15" hidden="1" customHeight="1" outlineLevel="2" collapsed="1" x14ac:dyDescent="0.3">
      <c r="A266" s="167" t="s">
        <v>893</v>
      </c>
      <c r="B266" s="167"/>
      <c r="C266" s="168">
        <v>2</v>
      </c>
      <c r="D266" s="180"/>
      <c r="E266" s="181"/>
      <c r="F266" s="169">
        <v>1224912</v>
      </c>
      <c r="G266" s="169">
        <v>132014</v>
      </c>
      <c r="H266" s="169">
        <v>528057</v>
      </c>
      <c r="I266" s="169">
        <v>696855</v>
      </c>
      <c r="J266" s="168" t="s">
        <v>550</v>
      </c>
    </row>
    <row r="267" spans="1:10" ht="13.95" hidden="1" customHeight="1" outlineLevel="3" x14ac:dyDescent="0.3">
      <c r="A267" s="170" t="s">
        <v>894</v>
      </c>
      <c r="B267" s="170" t="s">
        <v>895</v>
      </c>
      <c r="C267" s="171"/>
      <c r="D267" s="172">
        <v>15.09</v>
      </c>
      <c r="E267" s="173">
        <v>11.1</v>
      </c>
      <c r="F267" s="174">
        <v>656904</v>
      </c>
      <c r="G267" s="174">
        <v>43522</v>
      </c>
      <c r="H267" s="174">
        <v>174087</v>
      </c>
      <c r="I267" s="174">
        <v>482817</v>
      </c>
      <c r="J267" s="171" t="s">
        <v>490</v>
      </c>
    </row>
    <row r="268" spans="1:10" ht="13.95" hidden="1" customHeight="1" outlineLevel="3" x14ac:dyDescent="0.3">
      <c r="A268" s="175" t="s">
        <v>896</v>
      </c>
      <c r="B268" s="175" t="s">
        <v>897</v>
      </c>
      <c r="C268" s="176"/>
      <c r="D268" s="177">
        <v>6.42</v>
      </c>
      <c r="E268" s="178">
        <v>2.4</v>
      </c>
      <c r="F268" s="179">
        <v>568008</v>
      </c>
      <c r="G268" s="179">
        <v>88492</v>
      </c>
      <c r="H268" s="179">
        <v>353970</v>
      </c>
      <c r="I268" s="179">
        <v>214038</v>
      </c>
      <c r="J268" s="176" t="s">
        <v>490</v>
      </c>
    </row>
    <row r="269" spans="1:10" ht="15" hidden="1" customHeight="1" outlineLevel="2" x14ac:dyDescent="0.3">
      <c r="A269" s="167" t="s">
        <v>898</v>
      </c>
      <c r="B269" s="167"/>
      <c r="C269" s="168">
        <v>2</v>
      </c>
      <c r="D269" s="180"/>
      <c r="E269" s="181"/>
      <c r="F269" s="169">
        <v>2772412</v>
      </c>
      <c r="G269" s="169">
        <v>208863</v>
      </c>
      <c r="H269" s="169">
        <v>835452</v>
      </c>
      <c r="I269" s="169">
        <v>1936960</v>
      </c>
      <c r="J269" s="168" t="s">
        <v>550</v>
      </c>
    </row>
    <row r="270" spans="1:10" ht="13.95" hidden="1" customHeight="1" outlineLevel="3" collapsed="1" x14ac:dyDescent="0.3">
      <c r="A270" s="170" t="s">
        <v>899</v>
      </c>
      <c r="B270" s="170" t="s">
        <v>900</v>
      </c>
      <c r="C270" s="171"/>
      <c r="D270" s="172">
        <v>21.84</v>
      </c>
      <c r="E270" s="173">
        <v>17.8</v>
      </c>
      <c r="F270" s="174">
        <v>2079356</v>
      </c>
      <c r="G270" s="174">
        <v>95199</v>
      </c>
      <c r="H270" s="174">
        <v>380797</v>
      </c>
      <c r="I270" s="174">
        <v>1698559</v>
      </c>
      <c r="J270" s="171" t="s">
        <v>490</v>
      </c>
    </row>
    <row r="271" spans="1:10" ht="13.95" hidden="1" customHeight="1" outlineLevel="3" collapsed="1" x14ac:dyDescent="0.3">
      <c r="A271" s="175" t="s">
        <v>901</v>
      </c>
      <c r="B271" s="175" t="s">
        <v>902</v>
      </c>
      <c r="C271" s="176"/>
      <c r="D271" s="177">
        <v>6.1</v>
      </c>
      <c r="E271" s="178">
        <v>2.1</v>
      </c>
      <c r="F271" s="179">
        <v>693056</v>
      </c>
      <c r="G271" s="179">
        <v>113664</v>
      </c>
      <c r="H271" s="179">
        <v>454655</v>
      </c>
      <c r="I271" s="179">
        <v>238401</v>
      </c>
      <c r="J271" s="176" t="s">
        <v>490</v>
      </c>
    </row>
    <row r="272" spans="1:10" ht="15" hidden="1" customHeight="1" outlineLevel="2" x14ac:dyDescent="0.3">
      <c r="A272" s="167" t="s">
        <v>903</v>
      </c>
      <c r="B272" s="167"/>
      <c r="C272" s="168">
        <v>9</v>
      </c>
      <c r="D272" s="180"/>
      <c r="E272" s="181"/>
      <c r="F272" s="169">
        <v>12308286</v>
      </c>
      <c r="G272" s="169">
        <v>1507860</v>
      </c>
      <c r="H272" s="169">
        <v>6031442</v>
      </c>
      <c r="I272" s="169">
        <v>6276844</v>
      </c>
      <c r="J272" s="168" t="s">
        <v>904</v>
      </c>
    </row>
    <row r="273" spans="1:10" ht="13.95" hidden="1" customHeight="1" outlineLevel="3" x14ac:dyDescent="0.3">
      <c r="A273" s="170" t="s">
        <v>905</v>
      </c>
      <c r="B273" s="170" t="s">
        <v>906</v>
      </c>
      <c r="C273" s="171"/>
      <c r="D273" s="172">
        <v>18.829999999999998</v>
      </c>
      <c r="E273" s="173">
        <v>14.8</v>
      </c>
      <c r="F273" s="174">
        <v>2863030</v>
      </c>
      <c r="G273" s="174">
        <v>152021</v>
      </c>
      <c r="H273" s="174">
        <v>608083</v>
      </c>
      <c r="I273" s="174">
        <v>2254947</v>
      </c>
      <c r="J273" s="171" t="s">
        <v>490</v>
      </c>
    </row>
    <row r="274" spans="1:10" ht="13.95" hidden="1" customHeight="1" outlineLevel="3" x14ac:dyDescent="0.3">
      <c r="A274" s="175" t="s">
        <v>907</v>
      </c>
      <c r="B274" s="175" t="s">
        <v>188</v>
      </c>
      <c r="C274" s="176"/>
      <c r="D274" s="177">
        <v>18.36</v>
      </c>
      <c r="E274" s="178">
        <v>14.4</v>
      </c>
      <c r="F274" s="179">
        <v>1505280</v>
      </c>
      <c r="G274" s="179">
        <v>81972</v>
      </c>
      <c r="H274" s="179">
        <v>327888</v>
      </c>
      <c r="I274" s="179">
        <v>1177392</v>
      </c>
      <c r="J274" s="176" t="s">
        <v>563</v>
      </c>
    </row>
    <row r="275" spans="1:10" ht="13.95" hidden="1" customHeight="1" outlineLevel="3" collapsed="1" x14ac:dyDescent="0.3">
      <c r="A275" s="170" t="s">
        <v>908</v>
      </c>
      <c r="B275" s="170" t="s">
        <v>909</v>
      </c>
      <c r="C275" s="171"/>
      <c r="D275" s="172">
        <v>11.58</v>
      </c>
      <c r="E275" s="173">
        <v>7.6</v>
      </c>
      <c r="F275" s="174">
        <v>927442</v>
      </c>
      <c r="G275" s="174">
        <v>80109</v>
      </c>
      <c r="H275" s="174">
        <v>320436</v>
      </c>
      <c r="I275" s="174">
        <v>607006</v>
      </c>
      <c r="J275" s="171" t="s">
        <v>490</v>
      </c>
    </row>
    <row r="276" spans="1:10" ht="13.95" hidden="1" customHeight="1" outlineLevel="3" collapsed="1" x14ac:dyDescent="0.3">
      <c r="A276" s="175" t="s">
        <v>910</v>
      </c>
      <c r="B276" s="175" t="s">
        <v>911</v>
      </c>
      <c r="C276" s="176"/>
      <c r="D276" s="177">
        <v>10.64</v>
      </c>
      <c r="E276" s="178">
        <v>6.6</v>
      </c>
      <c r="F276" s="179">
        <v>1022400</v>
      </c>
      <c r="G276" s="179">
        <v>96048</v>
      </c>
      <c r="H276" s="179">
        <v>384192</v>
      </c>
      <c r="I276" s="179">
        <v>638208</v>
      </c>
      <c r="J276" s="176" t="s">
        <v>490</v>
      </c>
    </row>
    <row r="277" spans="1:10" ht="13.95" hidden="1" customHeight="1" outlineLevel="3" collapsed="1" x14ac:dyDescent="0.3">
      <c r="A277" s="170" t="s">
        <v>912</v>
      </c>
      <c r="B277" s="170" t="s">
        <v>913</v>
      </c>
      <c r="C277" s="171"/>
      <c r="D277" s="172">
        <v>6.34</v>
      </c>
      <c r="E277" s="173">
        <v>2.2999999999999998</v>
      </c>
      <c r="F277" s="174">
        <v>2193104</v>
      </c>
      <c r="G277" s="174">
        <v>345848</v>
      </c>
      <c r="H277" s="174">
        <v>1383391</v>
      </c>
      <c r="I277" s="174">
        <v>809713</v>
      </c>
      <c r="J277" s="171" t="s">
        <v>490</v>
      </c>
    </row>
    <row r="278" spans="1:10" ht="13.95" hidden="1" customHeight="1" outlineLevel="3" x14ac:dyDescent="0.3">
      <c r="A278" s="175" t="s">
        <v>914</v>
      </c>
      <c r="B278" s="175" t="s">
        <v>915</v>
      </c>
      <c r="C278" s="176"/>
      <c r="D278" s="177">
        <v>5.26</v>
      </c>
      <c r="E278" s="178">
        <v>1.3</v>
      </c>
      <c r="F278" s="179">
        <v>1066780</v>
      </c>
      <c r="G278" s="179">
        <v>202879</v>
      </c>
      <c r="H278" s="179">
        <v>811518</v>
      </c>
      <c r="I278" s="179">
        <v>255262</v>
      </c>
      <c r="J278" s="176" t="s">
        <v>490</v>
      </c>
    </row>
    <row r="279" spans="1:10" ht="13.95" hidden="1" customHeight="1" outlineLevel="3" x14ac:dyDescent="0.3">
      <c r="A279" s="170" t="s">
        <v>916</v>
      </c>
      <c r="B279" s="170" t="s">
        <v>917</v>
      </c>
      <c r="C279" s="171"/>
      <c r="D279" s="172">
        <v>5.17</v>
      </c>
      <c r="E279" s="173">
        <v>1.2</v>
      </c>
      <c r="F279" s="174">
        <v>1935531</v>
      </c>
      <c r="G279" s="174">
        <v>374676</v>
      </c>
      <c r="H279" s="174">
        <v>1498706</v>
      </c>
      <c r="I279" s="174">
        <v>436825</v>
      </c>
      <c r="J279" s="171" t="s">
        <v>490</v>
      </c>
    </row>
    <row r="280" spans="1:10" ht="13.95" hidden="1" customHeight="1" outlineLevel="3" collapsed="1" x14ac:dyDescent="0.3">
      <c r="A280" s="175" t="s">
        <v>918</v>
      </c>
      <c r="B280" s="175" t="s">
        <v>919</v>
      </c>
      <c r="C280" s="176"/>
      <c r="D280" s="177">
        <v>5.08</v>
      </c>
      <c r="E280" s="178">
        <v>1.1000000000000001</v>
      </c>
      <c r="F280" s="179">
        <v>338770</v>
      </c>
      <c r="G280" s="179">
        <v>66719</v>
      </c>
      <c r="H280" s="179">
        <v>266875</v>
      </c>
      <c r="I280" s="179">
        <v>71895</v>
      </c>
      <c r="J280" s="176" t="s">
        <v>490</v>
      </c>
    </row>
    <row r="281" spans="1:10" ht="13.95" hidden="1" customHeight="1" outlineLevel="3" x14ac:dyDescent="0.3">
      <c r="A281" s="170" t="s">
        <v>920</v>
      </c>
      <c r="B281" s="170" t="s">
        <v>921</v>
      </c>
      <c r="C281" s="171"/>
      <c r="D281" s="172">
        <v>4.24</v>
      </c>
      <c r="E281" s="173">
        <v>0.2</v>
      </c>
      <c r="F281" s="174">
        <v>455949</v>
      </c>
      <c r="G281" s="174">
        <v>107588</v>
      </c>
      <c r="H281" s="174">
        <v>430353</v>
      </c>
      <c r="I281" s="174">
        <v>25596</v>
      </c>
      <c r="J281" s="171" t="s">
        <v>490</v>
      </c>
    </row>
    <row r="282" spans="1:10" ht="15" hidden="1" customHeight="1" outlineLevel="1" collapsed="1" x14ac:dyDescent="0.3">
      <c r="A282" s="164" t="s">
        <v>922</v>
      </c>
      <c r="B282" s="164"/>
      <c r="C282" s="165">
        <v>11</v>
      </c>
      <c r="D282" s="182"/>
      <c r="E282" s="183"/>
      <c r="F282" s="166">
        <v>10729928</v>
      </c>
      <c r="G282" s="166">
        <v>1630499</v>
      </c>
      <c r="H282" s="166">
        <v>6521989</v>
      </c>
      <c r="I282" s="166">
        <v>4207937</v>
      </c>
      <c r="J282" s="165" t="s">
        <v>923</v>
      </c>
    </row>
    <row r="283" spans="1:10" ht="15" hidden="1" customHeight="1" outlineLevel="2" collapsed="1" x14ac:dyDescent="0.3">
      <c r="A283" s="167" t="s">
        <v>924</v>
      </c>
      <c r="B283" s="167"/>
      <c r="C283" s="168">
        <v>3</v>
      </c>
      <c r="D283" s="180"/>
      <c r="E283" s="181"/>
      <c r="F283" s="169">
        <v>2051485</v>
      </c>
      <c r="G283" s="169">
        <v>74427</v>
      </c>
      <c r="H283" s="169">
        <v>297707</v>
      </c>
      <c r="I283" s="169">
        <v>1753778</v>
      </c>
      <c r="J283" s="168" t="s">
        <v>925</v>
      </c>
    </row>
    <row r="284" spans="1:10" ht="13.95" hidden="1" customHeight="1" outlineLevel="3" x14ac:dyDescent="0.3">
      <c r="A284" s="170" t="s">
        <v>926</v>
      </c>
      <c r="B284" s="170" t="s">
        <v>927</v>
      </c>
      <c r="C284" s="171"/>
      <c r="D284" s="172">
        <v>99</v>
      </c>
      <c r="E284" s="173">
        <v>95</v>
      </c>
      <c r="F284" s="174">
        <v>1281480</v>
      </c>
      <c r="G284" s="174">
        <v>0</v>
      </c>
      <c r="H284" s="174">
        <v>0</v>
      </c>
      <c r="I284" s="174">
        <v>1281480</v>
      </c>
      <c r="J284" s="171" t="s">
        <v>490</v>
      </c>
    </row>
    <row r="285" spans="1:10" ht="13.95" hidden="1" customHeight="1" outlineLevel="3" x14ac:dyDescent="0.3">
      <c r="A285" s="175" t="s">
        <v>928</v>
      </c>
      <c r="B285" s="175" t="s">
        <v>929</v>
      </c>
      <c r="C285" s="176"/>
      <c r="D285" s="177">
        <v>99</v>
      </c>
      <c r="E285" s="178">
        <v>95</v>
      </c>
      <c r="F285" s="179">
        <v>161337</v>
      </c>
      <c r="G285" s="179">
        <v>0</v>
      </c>
      <c r="H285" s="179">
        <v>0</v>
      </c>
      <c r="I285" s="179">
        <v>161337</v>
      </c>
      <c r="J285" s="176" t="s">
        <v>490</v>
      </c>
    </row>
    <row r="286" spans="1:10" ht="13.95" hidden="1" customHeight="1" outlineLevel="3" collapsed="1" x14ac:dyDescent="0.3">
      <c r="A286" s="170" t="s">
        <v>930</v>
      </c>
      <c r="B286" s="170" t="s">
        <v>931</v>
      </c>
      <c r="C286" s="171"/>
      <c r="D286" s="172">
        <v>8.18</v>
      </c>
      <c r="E286" s="173">
        <v>4.2</v>
      </c>
      <c r="F286" s="174">
        <v>608668</v>
      </c>
      <c r="G286" s="174">
        <v>74427</v>
      </c>
      <c r="H286" s="174">
        <v>297707</v>
      </c>
      <c r="I286" s="174">
        <v>310961</v>
      </c>
      <c r="J286" s="171" t="s">
        <v>490</v>
      </c>
    </row>
    <row r="287" spans="1:10" ht="15" hidden="1" customHeight="1" outlineLevel="2" collapsed="1" x14ac:dyDescent="0.3">
      <c r="A287" s="167" t="s">
        <v>932</v>
      </c>
      <c r="B287" s="167"/>
      <c r="C287" s="168">
        <v>4</v>
      </c>
      <c r="D287" s="180"/>
      <c r="E287" s="181"/>
      <c r="F287" s="169">
        <v>7741864</v>
      </c>
      <c r="G287" s="169">
        <v>1363271</v>
      </c>
      <c r="H287" s="169">
        <v>5453078</v>
      </c>
      <c r="I287" s="169">
        <v>2288784</v>
      </c>
      <c r="J287" s="168" t="s">
        <v>933</v>
      </c>
    </row>
    <row r="288" spans="1:10" ht="13.95" hidden="1" customHeight="1" outlineLevel="3" collapsed="1" x14ac:dyDescent="0.3">
      <c r="A288" s="170" t="s">
        <v>934</v>
      </c>
      <c r="B288" s="170" t="s">
        <v>935</v>
      </c>
      <c r="C288" s="171"/>
      <c r="D288" s="172">
        <v>8.6999999999999993</v>
      </c>
      <c r="E288" s="173">
        <v>4.7</v>
      </c>
      <c r="F288" s="174">
        <v>638517</v>
      </c>
      <c r="G288" s="174">
        <v>73356</v>
      </c>
      <c r="H288" s="174">
        <v>293422</v>
      </c>
      <c r="I288" s="174">
        <v>345094</v>
      </c>
      <c r="J288" s="171" t="s">
        <v>490</v>
      </c>
    </row>
    <row r="289" spans="1:10" ht="13.95" hidden="1" customHeight="1" outlineLevel="3" collapsed="1" x14ac:dyDescent="0.3">
      <c r="A289" s="175" t="s">
        <v>936</v>
      </c>
      <c r="B289" s="175" t="s">
        <v>937</v>
      </c>
      <c r="C289" s="176"/>
      <c r="D289" s="177">
        <v>6.48</v>
      </c>
      <c r="E289" s="178">
        <v>2.5</v>
      </c>
      <c r="F289" s="179">
        <v>979076</v>
      </c>
      <c r="G289" s="179">
        <v>151026</v>
      </c>
      <c r="H289" s="179">
        <v>604104</v>
      </c>
      <c r="I289" s="179">
        <v>374972</v>
      </c>
      <c r="J289" s="176" t="s">
        <v>490</v>
      </c>
    </row>
    <row r="290" spans="1:10" ht="13.95" hidden="1" customHeight="1" outlineLevel="3" x14ac:dyDescent="0.3">
      <c r="A290" s="170" t="s">
        <v>938</v>
      </c>
      <c r="B290" s="170" t="s">
        <v>939</v>
      </c>
      <c r="C290" s="171"/>
      <c r="D290" s="172">
        <v>5.57</v>
      </c>
      <c r="E290" s="173">
        <v>1.6</v>
      </c>
      <c r="F290" s="174">
        <v>5542911</v>
      </c>
      <c r="G290" s="174">
        <v>995541</v>
      </c>
      <c r="H290" s="174">
        <v>3982162</v>
      </c>
      <c r="I290" s="174">
        <v>1560748</v>
      </c>
      <c r="J290" s="171" t="s">
        <v>490</v>
      </c>
    </row>
    <row r="291" spans="1:10" ht="13.95" hidden="1" customHeight="1" outlineLevel="3" collapsed="1" x14ac:dyDescent="0.3">
      <c r="A291" s="175" t="s">
        <v>940</v>
      </c>
      <c r="B291" s="175" t="s">
        <v>186</v>
      </c>
      <c r="C291" s="176"/>
      <c r="D291" s="177">
        <v>4.0599999999999996</v>
      </c>
      <c r="E291" s="178">
        <v>0.1</v>
      </c>
      <c r="F291" s="179">
        <v>581360</v>
      </c>
      <c r="G291" s="179">
        <v>143348</v>
      </c>
      <c r="H291" s="179">
        <v>573390</v>
      </c>
      <c r="I291" s="179">
        <v>7970</v>
      </c>
      <c r="J291" s="176" t="s">
        <v>563</v>
      </c>
    </row>
    <row r="292" spans="1:10" ht="15" hidden="1" customHeight="1" outlineLevel="2" collapsed="1" x14ac:dyDescent="0.3">
      <c r="A292" s="167" t="s">
        <v>941</v>
      </c>
      <c r="B292" s="167"/>
      <c r="C292" s="168">
        <v>1</v>
      </c>
      <c r="D292" s="180"/>
      <c r="E292" s="181"/>
      <c r="F292" s="169">
        <v>813120</v>
      </c>
      <c r="G292" s="169">
        <v>175413</v>
      </c>
      <c r="H292" s="169">
        <v>701652</v>
      </c>
      <c r="I292" s="169">
        <v>111468</v>
      </c>
      <c r="J292" s="168" t="s">
        <v>942</v>
      </c>
    </row>
    <row r="293" spans="1:10" ht="13.95" hidden="1" customHeight="1" outlineLevel="3" collapsed="1" x14ac:dyDescent="0.3">
      <c r="A293" s="170" t="s">
        <v>943</v>
      </c>
      <c r="B293" s="170" t="s">
        <v>264</v>
      </c>
      <c r="C293" s="171"/>
      <c r="D293" s="172">
        <v>4.6399999999999997</v>
      </c>
      <c r="E293" s="173">
        <v>0.6</v>
      </c>
      <c r="F293" s="174">
        <v>813120</v>
      </c>
      <c r="G293" s="174">
        <v>175413</v>
      </c>
      <c r="H293" s="174">
        <v>701652</v>
      </c>
      <c r="I293" s="174">
        <v>111468</v>
      </c>
      <c r="J293" s="171" t="s">
        <v>563</v>
      </c>
    </row>
    <row r="294" spans="1:10" ht="15" hidden="1" customHeight="1" outlineLevel="2" collapsed="1" x14ac:dyDescent="0.3">
      <c r="A294" s="167" t="s">
        <v>944</v>
      </c>
      <c r="B294" s="167"/>
      <c r="C294" s="168">
        <v>3</v>
      </c>
      <c r="D294" s="180"/>
      <c r="E294" s="181"/>
      <c r="F294" s="169">
        <v>123459</v>
      </c>
      <c r="G294" s="169">
        <v>17388</v>
      </c>
      <c r="H294" s="169">
        <v>69552</v>
      </c>
      <c r="I294" s="169">
        <v>53907</v>
      </c>
      <c r="J294" s="168" t="s">
        <v>925</v>
      </c>
    </row>
    <row r="295" spans="1:10" ht="13.95" hidden="1" customHeight="1" outlineLevel="3" collapsed="1" x14ac:dyDescent="0.3">
      <c r="A295" s="170" t="s">
        <v>945</v>
      </c>
      <c r="B295" s="170" t="s">
        <v>946</v>
      </c>
      <c r="C295" s="171"/>
      <c r="D295" s="172">
        <v>99</v>
      </c>
      <c r="E295" s="173">
        <v>95</v>
      </c>
      <c r="F295" s="174">
        <v>42469</v>
      </c>
      <c r="G295" s="174">
        <v>0</v>
      </c>
      <c r="H295" s="174">
        <v>0</v>
      </c>
      <c r="I295" s="174">
        <v>42469</v>
      </c>
      <c r="J295" s="171" t="s">
        <v>490</v>
      </c>
    </row>
    <row r="296" spans="1:10" ht="13.95" hidden="1" customHeight="1" outlineLevel="3" collapsed="1" x14ac:dyDescent="0.3">
      <c r="A296" s="175" t="s">
        <v>947</v>
      </c>
      <c r="B296" s="175" t="s">
        <v>948</v>
      </c>
      <c r="C296" s="176"/>
      <c r="D296" s="177">
        <v>99</v>
      </c>
      <c r="E296" s="178">
        <v>95</v>
      </c>
      <c r="F296" s="179">
        <v>7634</v>
      </c>
      <c r="G296" s="179">
        <v>0</v>
      </c>
      <c r="H296" s="179">
        <v>0</v>
      </c>
      <c r="I296" s="179">
        <v>7634</v>
      </c>
      <c r="J296" s="176" t="s">
        <v>490</v>
      </c>
    </row>
    <row r="297" spans="1:10" ht="13.95" hidden="1" customHeight="1" outlineLevel="3" collapsed="1" x14ac:dyDescent="0.3">
      <c r="A297" s="170" t="s">
        <v>949</v>
      </c>
      <c r="B297" s="170" t="s">
        <v>950</v>
      </c>
      <c r="C297" s="171"/>
      <c r="D297" s="172">
        <v>4.22</v>
      </c>
      <c r="E297" s="173">
        <v>0.2</v>
      </c>
      <c r="F297" s="174">
        <v>73356</v>
      </c>
      <c r="G297" s="174">
        <v>17388</v>
      </c>
      <c r="H297" s="174">
        <v>69552</v>
      </c>
      <c r="I297" s="174">
        <v>3804</v>
      </c>
      <c r="J297" s="171" t="s">
        <v>490</v>
      </c>
    </row>
    <row r="298" spans="1:10" ht="15" hidden="1" customHeight="1" outlineLevel="1" collapsed="1" x14ac:dyDescent="0.3">
      <c r="A298" s="164" t="s">
        <v>951</v>
      </c>
      <c r="B298" s="164"/>
      <c r="C298" s="165">
        <v>4</v>
      </c>
      <c r="D298" s="182"/>
      <c r="E298" s="183"/>
      <c r="F298" s="166">
        <v>1583953</v>
      </c>
      <c r="G298" s="166">
        <v>346926</v>
      </c>
      <c r="H298" s="166">
        <v>1387702</v>
      </c>
      <c r="I298" s="166">
        <v>196251</v>
      </c>
      <c r="J298" s="165" t="s">
        <v>952</v>
      </c>
    </row>
    <row r="299" spans="1:10" ht="15" hidden="1" customHeight="1" outlineLevel="2" collapsed="1" x14ac:dyDescent="0.3">
      <c r="A299" s="167" t="s">
        <v>953</v>
      </c>
      <c r="B299" s="167"/>
      <c r="C299" s="168">
        <v>1</v>
      </c>
      <c r="D299" s="180"/>
      <c r="E299" s="181"/>
      <c r="F299" s="169">
        <v>1520730</v>
      </c>
      <c r="G299" s="169">
        <v>346926</v>
      </c>
      <c r="H299" s="169">
        <v>1387702</v>
      </c>
      <c r="I299" s="169">
        <v>133028</v>
      </c>
      <c r="J299" s="168" t="s">
        <v>546</v>
      </c>
    </row>
    <row r="300" spans="1:10" ht="13.95" hidden="1" customHeight="1" outlineLevel="3" collapsed="1" x14ac:dyDescent="0.3">
      <c r="A300" s="170" t="s">
        <v>954</v>
      </c>
      <c r="B300" s="170" t="s">
        <v>955</v>
      </c>
      <c r="C300" s="171"/>
      <c r="D300" s="172">
        <v>4.38</v>
      </c>
      <c r="E300" s="173">
        <v>0.4</v>
      </c>
      <c r="F300" s="174">
        <v>1520730</v>
      </c>
      <c r="G300" s="174">
        <v>346926</v>
      </c>
      <c r="H300" s="174">
        <v>1387702</v>
      </c>
      <c r="I300" s="174">
        <v>133028</v>
      </c>
      <c r="J300" s="171" t="s">
        <v>490</v>
      </c>
    </row>
    <row r="301" spans="1:10" ht="15" hidden="1" customHeight="1" outlineLevel="2" x14ac:dyDescent="0.3">
      <c r="A301" s="167" t="s">
        <v>704</v>
      </c>
      <c r="B301" s="167"/>
      <c r="C301" s="168">
        <v>3</v>
      </c>
      <c r="D301" s="180"/>
      <c r="E301" s="181"/>
      <c r="F301" s="169">
        <v>63223</v>
      </c>
      <c r="G301" s="169">
        <v>0</v>
      </c>
      <c r="H301" s="169">
        <v>0</v>
      </c>
      <c r="I301" s="169">
        <v>63223</v>
      </c>
      <c r="J301" s="168" t="s">
        <v>925</v>
      </c>
    </row>
    <row r="302" spans="1:10" ht="13.95" hidden="1" customHeight="1" outlineLevel="3" collapsed="1" x14ac:dyDescent="0.3">
      <c r="A302" s="170" t="s">
        <v>956</v>
      </c>
      <c r="B302" s="170" t="s">
        <v>957</v>
      </c>
      <c r="C302" s="171"/>
      <c r="D302" s="172">
        <v>99</v>
      </c>
      <c r="E302" s="173">
        <v>95</v>
      </c>
      <c r="F302" s="174">
        <v>18116</v>
      </c>
      <c r="G302" s="174">
        <v>0</v>
      </c>
      <c r="H302" s="174">
        <v>0</v>
      </c>
      <c r="I302" s="174">
        <v>18116</v>
      </c>
      <c r="J302" s="171" t="s">
        <v>490</v>
      </c>
    </row>
    <row r="303" spans="1:10" ht="13.95" hidden="1" customHeight="1" outlineLevel="3" collapsed="1" x14ac:dyDescent="0.3">
      <c r="A303" s="175" t="s">
        <v>958</v>
      </c>
      <c r="B303" s="175" t="s">
        <v>959</v>
      </c>
      <c r="C303" s="176"/>
      <c r="D303" s="177">
        <v>99</v>
      </c>
      <c r="E303" s="178">
        <v>95</v>
      </c>
      <c r="F303" s="179">
        <v>26117</v>
      </c>
      <c r="G303" s="179">
        <v>0</v>
      </c>
      <c r="H303" s="179">
        <v>0</v>
      </c>
      <c r="I303" s="179">
        <v>26117</v>
      </c>
      <c r="J303" s="176" t="s">
        <v>490</v>
      </c>
    </row>
    <row r="304" spans="1:10" ht="13.95" hidden="1" customHeight="1" outlineLevel="3" collapsed="1" x14ac:dyDescent="0.3">
      <c r="A304" s="170" t="s">
        <v>960</v>
      </c>
      <c r="B304" s="170" t="s">
        <v>959</v>
      </c>
      <c r="C304" s="171"/>
      <c r="D304" s="172">
        <v>99</v>
      </c>
      <c r="E304" s="173">
        <v>95</v>
      </c>
      <c r="F304" s="174">
        <v>18990</v>
      </c>
      <c r="G304" s="174">
        <v>0</v>
      </c>
      <c r="H304" s="174">
        <v>0</v>
      </c>
      <c r="I304" s="174">
        <v>18990</v>
      </c>
      <c r="J304" s="171" t="s">
        <v>490</v>
      </c>
    </row>
    <row r="305" spans="1:10" ht="15" hidden="1" customHeight="1" outlineLevel="1" collapsed="1" x14ac:dyDescent="0.3">
      <c r="A305" s="164" t="s">
        <v>961</v>
      </c>
      <c r="B305" s="164"/>
      <c r="C305" s="165">
        <v>15</v>
      </c>
      <c r="D305" s="182"/>
      <c r="E305" s="183"/>
      <c r="F305" s="166">
        <v>40143170</v>
      </c>
      <c r="G305" s="166">
        <v>5599598</v>
      </c>
      <c r="H305" s="166">
        <v>22398395</v>
      </c>
      <c r="I305" s="166">
        <v>17744775</v>
      </c>
      <c r="J305" s="165" t="s">
        <v>962</v>
      </c>
    </row>
    <row r="306" spans="1:10" ht="15" hidden="1" customHeight="1" outlineLevel="2" x14ac:dyDescent="0.3">
      <c r="A306" s="167" t="s">
        <v>963</v>
      </c>
      <c r="B306" s="167"/>
      <c r="C306" s="168">
        <v>2</v>
      </c>
      <c r="D306" s="180"/>
      <c r="E306" s="181"/>
      <c r="F306" s="169">
        <v>11263272</v>
      </c>
      <c r="G306" s="169">
        <v>1572217</v>
      </c>
      <c r="H306" s="169">
        <v>6288867</v>
      </c>
      <c r="I306" s="169">
        <v>4974405</v>
      </c>
      <c r="J306" s="168" t="s">
        <v>550</v>
      </c>
    </row>
    <row r="307" spans="1:10" ht="13.95" hidden="1" customHeight="1" outlineLevel="3" x14ac:dyDescent="0.3">
      <c r="A307" s="170" t="s">
        <v>964</v>
      </c>
      <c r="B307" s="170" t="s">
        <v>965</v>
      </c>
      <c r="C307" s="171"/>
      <c r="D307" s="172">
        <v>8.18</v>
      </c>
      <c r="E307" s="173">
        <v>4.2</v>
      </c>
      <c r="F307" s="174">
        <v>5018580</v>
      </c>
      <c r="G307" s="174">
        <v>613548</v>
      </c>
      <c r="H307" s="174">
        <v>2454192</v>
      </c>
      <c r="I307" s="174">
        <v>2564388</v>
      </c>
      <c r="J307" s="171" t="s">
        <v>490</v>
      </c>
    </row>
    <row r="308" spans="1:10" ht="13.95" hidden="1" customHeight="1" outlineLevel="3" collapsed="1" x14ac:dyDescent="0.3">
      <c r="A308" s="175" t="s">
        <v>966</v>
      </c>
      <c r="B308" s="175" t="s">
        <v>967</v>
      </c>
      <c r="C308" s="176"/>
      <c r="D308" s="177">
        <v>6.51</v>
      </c>
      <c r="E308" s="178">
        <v>2.5</v>
      </c>
      <c r="F308" s="179">
        <v>6244692</v>
      </c>
      <c r="G308" s="179">
        <v>958669</v>
      </c>
      <c r="H308" s="179">
        <v>3834675</v>
      </c>
      <c r="I308" s="179">
        <v>2410017</v>
      </c>
      <c r="J308" s="176" t="s">
        <v>490</v>
      </c>
    </row>
    <row r="309" spans="1:10" ht="15" hidden="1" customHeight="1" outlineLevel="2" x14ac:dyDescent="0.3">
      <c r="A309" s="167" t="s">
        <v>968</v>
      </c>
      <c r="B309" s="167"/>
      <c r="C309" s="168">
        <v>10</v>
      </c>
      <c r="D309" s="180"/>
      <c r="E309" s="181"/>
      <c r="F309" s="169">
        <v>10791327</v>
      </c>
      <c r="G309" s="169">
        <v>1777214</v>
      </c>
      <c r="H309" s="169">
        <v>7108857</v>
      </c>
      <c r="I309" s="169">
        <v>3682470</v>
      </c>
      <c r="J309" s="168" t="s">
        <v>969</v>
      </c>
    </row>
    <row r="310" spans="1:10" ht="13.95" hidden="1" customHeight="1" outlineLevel="3" collapsed="1" x14ac:dyDescent="0.3">
      <c r="A310" s="170" t="s">
        <v>970</v>
      </c>
      <c r="B310" s="170" t="s">
        <v>971</v>
      </c>
      <c r="C310" s="171"/>
      <c r="D310" s="172">
        <v>99</v>
      </c>
      <c r="E310" s="173">
        <v>95</v>
      </c>
      <c r="F310" s="174">
        <v>11386</v>
      </c>
      <c r="G310" s="174">
        <v>0</v>
      </c>
      <c r="H310" s="174">
        <v>0</v>
      </c>
      <c r="I310" s="174">
        <v>11386</v>
      </c>
      <c r="J310" s="171" t="s">
        <v>490</v>
      </c>
    </row>
    <row r="311" spans="1:10" ht="13.95" hidden="1" customHeight="1" outlineLevel="3" collapsed="1" x14ac:dyDescent="0.3">
      <c r="A311" s="175" t="s">
        <v>972</v>
      </c>
      <c r="B311" s="175" t="s">
        <v>973</v>
      </c>
      <c r="C311" s="176"/>
      <c r="D311" s="177">
        <v>19</v>
      </c>
      <c r="E311" s="178">
        <v>15</v>
      </c>
      <c r="F311" s="179">
        <v>730010</v>
      </c>
      <c r="G311" s="179">
        <v>38419</v>
      </c>
      <c r="H311" s="179">
        <v>153677</v>
      </c>
      <c r="I311" s="179">
        <v>576333</v>
      </c>
      <c r="J311" s="176" t="s">
        <v>490</v>
      </c>
    </row>
    <row r="312" spans="1:10" ht="13.95" hidden="1" customHeight="1" outlineLevel="3" x14ac:dyDescent="0.3">
      <c r="A312" s="170" t="s">
        <v>974</v>
      </c>
      <c r="B312" s="170" t="s">
        <v>975</v>
      </c>
      <c r="C312" s="171"/>
      <c r="D312" s="172">
        <v>18.41</v>
      </c>
      <c r="E312" s="173">
        <v>14.4</v>
      </c>
      <c r="F312" s="174">
        <v>762125</v>
      </c>
      <c r="G312" s="174">
        <v>41400</v>
      </c>
      <c r="H312" s="174">
        <v>165600</v>
      </c>
      <c r="I312" s="174">
        <v>596525</v>
      </c>
      <c r="J312" s="171" t="s">
        <v>490</v>
      </c>
    </row>
    <row r="313" spans="1:10" ht="13.95" hidden="1" customHeight="1" outlineLevel="3" x14ac:dyDescent="0.3">
      <c r="A313" s="175" t="s">
        <v>976</v>
      </c>
      <c r="B313" s="175" t="s">
        <v>973</v>
      </c>
      <c r="C313" s="176"/>
      <c r="D313" s="177">
        <v>9.9</v>
      </c>
      <c r="E313" s="178">
        <v>5.9</v>
      </c>
      <c r="F313" s="179">
        <v>330320</v>
      </c>
      <c r="G313" s="179">
        <v>33368</v>
      </c>
      <c r="H313" s="179">
        <v>133474</v>
      </c>
      <c r="I313" s="179">
        <v>196846</v>
      </c>
      <c r="J313" s="176" t="s">
        <v>490</v>
      </c>
    </row>
    <row r="314" spans="1:10" ht="13.95" hidden="1" customHeight="1" outlineLevel="3" collapsed="1" x14ac:dyDescent="0.3">
      <c r="A314" s="170" t="s">
        <v>977</v>
      </c>
      <c r="B314" s="170" t="s">
        <v>978</v>
      </c>
      <c r="C314" s="171"/>
      <c r="D314" s="172">
        <v>8.16</v>
      </c>
      <c r="E314" s="173">
        <v>4.2</v>
      </c>
      <c r="F314" s="174">
        <v>1509423</v>
      </c>
      <c r="G314" s="174">
        <v>184903</v>
      </c>
      <c r="H314" s="174">
        <v>739611</v>
      </c>
      <c r="I314" s="174">
        <v>769812</v>
      </c>
      <c r="J314" s="171" t="s">
        <v>490</v>
      </c>
    </row>
    <row r="315" spans="1:10" ht="13.95" hidden="1" customHeight="1" outlineLevel="3" collapsed="1" x14ac:dyDescent="0.3">
      <c r="A315" s="175" t="s">
        <v>979</v>
      </c>
      <c r="B315" s="175" t="s">
        <v>980</v>
      </c>
      <c r="C315" s="176"/>
      <c r="D315" s="177">
        <v>6.59</v>
      </c>
      <c r="E315" s="178">
        <v>2.6</v>
      </c>
      <c r="F315" s="179">
        <v>256312</v>
      </c>
      <c r="G315" s="179">
        <v>38906</v>
      </c>
      <c r="H315" s="179">
        <v>155623</v>
      </c>
      <c r="I315" s="179">
        <v>100689</v>
      </c>
      <c r="J315" s="176" t="s">
        <v>490</v>
      </c>
    </row>
    <row r="316" spans="1:10" ht="13.95" hidden="1" customHeight="1" outlineLevel="3" x14ac:dyDescent="0.3">
      <c r="A316" s="170" t="s">
        <v>981</v>
      </c>
      <c r="B316" s="170" t="s">
        <v>980</v>
      </c>
      <c r="C316" s="171"/>
      <c r="D316" s="172">
        <v>5.79</v>
      </c>
      <c r="E316" s="173">
        <v>1.8</v>
      </c>
      <c r="F316" s="174">
        <v>212775</v>
      </c>
      <c r="G316" s="174">
        <v>36732</v>
      </c>
      <c r="H316" s="174">
        <v>146929</v>
      </c>
      <c r="I316" s="174">
        <v>65846</v>
      </c>
      <c r="J316" s="171" t="s">
        <v>490</v>
      </c>
    </row>
    <row r="317" spans="1:10" ht="13.95" hidden="1" customHeight="1" outlineLevel="3" x14ac:dyDescent="0.3">
      <c r="A317" s="175" t="s">
        <v>982</v>
      </c>
      <c r="B317" s="175" t="s">
        <v>983</v>
      </c>
      <c r="C317" s="176"/>
      <c r="D317" s="177">
        <v>5.41</v>
      </c>
      <c r="E317" s="178">
        <v>1.4</v>
      </c>
      <c r="F317" s="179">
        <v>1619853</v>
      </c>
      <c r="G317" s="179">
        <v>299400</v>
      </c>
      <c r="H317" s="179">
        <v>1197598</v>
      </c>
      <c r="I317" s="179">
        <v>422255</v>
      </c>
      <c r="J317" s="176" t="s">
        <v>490</v>
      </c>
    </row>
    <row r="318" spans="1:10" ht="13.95" hidden="1" customHeight="1" outlineLevel="3" x14ac:dyDescent="0.3">
      <c r="A318" s="170" t="s">
        <v>984</v>
      </c>
      <c r="B318" s="170" t="s">
        <v>985</v>
      </c>
      <c r="C318" s="171"/>
      <c r="D318" s="172">
        <v>4.97</v>
      </c>
      <c r="E318" s="173">
        <v>1</v>
      </c>
      <c r="F318" s="174">
        <v>910027</v>
      </c>
      <c r="G318" s="174">
        <v>182988</v>
      </c>
      <c r="H318" s="174">
        <v>731952</v>
      </c>
      <c r="I318" s="174">
        <v>178075</v>
      </c>
      <c r="J318" s="171" t="s">
        <v>490</v>
      </c>
    </row>
    <row r="319" spans="1:10" ht="13.95" hidden="1" customHeight="1" outlineLevel="3" x14ac:dyDescent="0.3">
      <c r="A319" s="175" t="s">
        <v>986</v>
      </c>
      <c r="B319" s="175" t="s">
        <v>987</v>
      </c>
      <c r="C319" s="176"/>
      <c r="D319" s="177">
        <v>4.83</v>
      </c>
      <c r="E319" s="178">
        <v>0.8</v>
      </c>
      <c r="F319" s="179">
        <v>4449096</v>
      </c>
      <c r="G319" s="179">
        <v>921098</v>
      </c>
      <c r="H319" s="179">
        <v>3684393</v>
      </c>
      <c r="I319" s="179">
        <v>764703</v>
      </c>
      <c r="J319" s="176" t="s">
        <v>490</v>
      </c>
    </row>
    <row r="320" spans="1:10" ht="15" hidden="1" customHeight="1" outlineLevel="2" collapsed="1" x14ac:dyDescent="0.3">
      <c r="A320" s="167" t="s">
        <v>988</v>
      </c>
      <c r="B320" s="167"/>
      <c r="C320" s="168">
        <v>3</v>
      </c>
      <c r="D320" s="180"/>
      <c r="E320" s="181"/>
      <c r="F320" s="169">
        <v>18088571</v>
      </c>
      <c r="G320" s="169">
        <v>2250167</v>
      </c>
      <c r="H320" s="169">
        <v>9000671</v>
      </c>
      <c r="I320" s="169">
        <v>9087900</v>
      </c>
      <c r="J320" s="168" t="s">
        <v>925</v>
      </c>
    </row>
    <row r="321" spans="1:10" ht="13.95" hidden="1" customHeight="1" outlineLevel="3" collapsed="1" x14ac:dyDescent="0.3">
      <c r="A321" s="170" t="s">
        <v>989</v>
      </c>
      <c r="B321" s="170" t="s">
        <v>990</v>
      </c>
      <c r="C321" s="171"/>
      <c r="D321" s="172">
        <v>10.5</v>
      </c>
      <c r="E321" s="173">
        <v>6.5</v>
      </c>
      <c r="F321" s="174">
        <v>9329930</v>
      </c>
      <c r="G321" s="174">
        <v>888159</v>
      </c>
      <c r="H321" s="174">
        <v>3552638</v>
      </c>
      <c r="I321" s="174">
        <v>5777292</v>
      </c>
      <c r="J321" s="171" t="s">
        <v>490</v>
      </c>
    </row>
    <row r="322" spans="1:10" ht="13.95" hidden="1" customHeight="1" outlineLevel="3" x14ac:dyDescent="0.3">
      <c r="A322" s="175" t="s">
        <v>991</v>
      </c>
      <c r="B322" s="175" t="s">
        <v>992</v>
      </c>
      <c r="C322" s="176"/>
      <c r="D322" s="177">
        <v>8.64</v>
      </c>
      <c r="E322" s="178">
        <v>4.5999999999999996</v>
      </c>
      <c r="F322" s="179">
        <v>6150816</v>
      </c>
      <c r="G322" s="179">
        <v>712209</v>
      </c>
      <c r="H322" s="179">
        <v>2848838</v>
      </c>
      <c r="I322" s="179">
        <v>3301978</v>
      </c>
      <c r="J322" s="176" t="s">
        <v>490</v>
      </c>
    </row>
    <row r="323" spans="1:10" ht="13.95" hidden="1" customHeight="1" outlineLevel="3" collapsed="1" x14ac:dyDescent="0.3">
      <c r="A323" s="170" t="s">
        <v>993</v>
      </c>
      <c r="B323" s="170" t="s">
        <v>407</v>
      </c>
      <c r="C323" s="171"/>
      <c r="D323" s="172">
        <v>4.01</v>
      </c>
      <c r="E323" s="173">
        <v>0</v>
      </c>
      <c r="F323" s="174">
        <v>2607825</v>
      </c>
      <c r="G323" s="174">
        <v>649799</v>
      </c>
      <c r="H323" s="174">
        <v>2599195</v>
      </c>
      <c r="I323" s="174">
        <v>8630</v>
      </c>
      <c r="J323" s="171" t="s">
        <v>490</v>
      </c>
    </row>
    <row r="324" spans="1:10" ht="15" hidden="1" customHeight="1" outlineLevel="1" collapsed="1" x14ac:dyDescent="0.3">
      <c r="A324" s="164" t="s">
        <v>994</v>
      </c>
      <c r="B324" s="164"/>
      <c r="C324" s="165">
        <v>8</v>
      </c>
      <c r="D324" s="182"/>
      <c r="E324" s="183"/>
      <c r="F324" s="166">
        <v>7152894</v>
      </c>
      <c r="G324" s="166">
        <v>1491360</v>
      </c>
      <c r="H324" s="166">
        <v>5965436</v>
      </c>
      <c r="I324" s="166">
        <v>1187458</v>
      </c>
      <c r="J324" s="165" t="s">
        <v>995</v>
      </c>
    </row>
    <row r="325" spans="1:10" ht="15" hidden="1" customHeight="1" outlineLevel="2" collapsed="1" x14ac:dyDescent="0.3">
      <c r="A325" s="167" t="s">
        <v>996</v>
      </c>
      <c r="B325" s="167"/>
      <c r="C325" s="168">
        <v>1</v>
      </c>
      <c r="D325" s="180"/>
      <c r="E325" s="181"/>
      <c r="F325" s="169">
        <v>32000</v>
      </c>
      <c r="G325" s="169">
        <v>0</v>
      </c>
      <c r="H325" s="169">
        <v>0</v>
      </c>
      <c r="I325" s="169">
        <v>32000</v>
      </c>
      <c r="J325" s="168" t="s">
        <v>546</v>
      </c>
    </row>
    <row r="326" spans="1:10" ht="13.95" hidden="1" customHeight="1" outlineLevel="3" x14ac:dyDescent="0.3">
      <c r="A326" s="170" t="s">
        <v>997</v>
      </c>
      <c r="B326" s="170" t="s">
        <v>998</v>
      </c>
      <c r="C326" s="171"/>
      <c r="D326" s="172">
        <v>99</v>
      </c>
      <c r="E326" s="173">
        <v>95</v>
      </c>
      <c r="F326" s="174">
        <v>32000</v>
      </c>
      <c r="G326" s="174">
        <v>0</v>
      </c>
      <c r="H326" s="174">
        <v>0</v>
      </c>
      <c r="I326" s="174">
        <v>32000</v>
      </c>
      <c r="J326" s="171" t="s">
        <v>490</v>
      </c>
    </row>
    <row r="327" spans="1:10" ht="15" hidden="1" customHeight="1" outlineLevel="2" x14ac:dyDescent="0.3">
      <c r="A327" s="167" t="s">
        <v>999</v>
      </c>
      <c r="B327" s="167"/>
      <c r="C327" s="168">
        <v>3</v>
      </c>
      <c r="D327" s="180"/>
      <c r="E327" s="181"/>
      <c r="F327" s="169">
        <v>5427270</v>
      </c>
      <c r="G327" s="169">
        <v>1278303</v>
      </c>
      <c r="H327" s="169">
        <v>5113210</v>
      </c>
      <c r="I327" s="169">
        <v>314060</v>
      </c>
      <c r="J327" s="168" t="s">
        <v>925</v>
      </c>
    </row>
    <row r="328" spans="1:10" ht="13.95" hidden="1" customHeight="1" outlineLevel="3" collapsed="1" x14ac:dyDescent="0.3">
      <c r="A328" s="170" t="s">
        <v>1000</v>
      </c>
      <c r="B328" s="170" t="s">
        <v>1001</v>
      </c>
      <c r="C328" s="171"/>
      <c r="D328" s="172">
        <v>99</v>
      </c>
      <c r="E328" s="173">
        <v>95</v>
      </c>
      <c r="F328" s="174">
        <v>41040</v>
      </c>
      <c r="G328" s="174">
        <v>0</v>
      </c>
      <c r="H328" s="174">
        <v>0</v>
      </c>
      <c r="I328" s="174">
        <v>41040</v>
      </c>
      <c r="J328" s="171" t="s">
        <v>490</v>
      </c>
    </row>
    <row r="329" spans="1:10" ht="13.95" hidden="1" customHeight="1" outlineLevel="3" collapsed="1" x14ac:dyDescent="0.3">
      <c r="A329" s="175" t="s">
        <v>1002</v>
      </c>
      <c r="B329" s="175" t="s">
        <v>1003</v>
      </c>
      <c r="C329" s="176"/>
      <c r="D329" s="177">
        <v>99</v>
      </c>
      <c r="E329" s="178">
        <v>95</v>
      </c>
      <c r="F329" s="179">
        <v>33078</v>
      </c>
      <c r="G329" s="179">
        <v>0</v>
      </c>
      <c r="H329" s="179">
        <v>0</v>
      </c>
      <c r="I329" s="179">
        <v>33078</v>
      </c>
      <c r="J329" s="176" t="s">
        <v>490</v>
      </c>
    </row>
    <row r="330" spans="1:10" ht="13.95" hidden="1" customHeight="1" outlineLevel="3" collapsed="1" x14ac:dyDescent="0.3">
      <c r="A330" s="170" t="s">
        <v>1004</v>
      </c>
      <c r="B330" s="170" t="s">
        <v>1005</v>
      </c>
      <c r="C330" s="171"/>
      <c r="D330" s="172">
        <v>4.1900000000000004</v>
      </c>
      <c r="E330" s="173">
        <v>0.2</v>
      </c>
      <c r="F330" s="174">
        <v>5353152</v>
      </c>
      <c r="G330" s="174">
        <v>1278303</v>
      </c>
      <c r="H330" s="174">
        <v>5113210</v>
      </c>
      <c r="I330" s="174">
        <v>239942</v>
      </c>
      <c r="J330" s="171" t="s">
        <v>490</v>
      </c>
    </row>
    <row r="331" spans="1:10" ht="15" hidden="1" customHeight="1" outlineLevel="2" collapsed="1" x14ac:dyDescent="0.3">
      <c r="A331" s="167" t="s">
        <v>1006</v>
      </c>
      <c r="B331" s="167"/>
      <c r="C331" s="168">
        <v>4</v>
      </c>
      <c r="D331" s="180"/>
      <c r="E331" s="181"/>
      <c r="F331" s="169">
        <v>1693624</v>
      </c>
      <c r="G331" s="169">
        <v>213057</v>
      </c>
      <c r="H331" s="169">
        <v>852226</v>
      </c>
      <c r="I331" s="169">
        <v>841398</v>
      </c>
      <c r="J331" s="168" t="s">
        <v>933</v>
      </c>
    </row>
    <row r="332" spans="1:10" ht="13.95" hidden="1" customHeight="1" outlineLevel="3" x14ac:dyDescent="0.3">
      <c r="A332" s="170" t="s">
        <v>1007</v>
      </c>
      <c r="B332" s="170" t="s">
        <v>1008</v>
      </c>
      <c r="C332" s="171"/>
      <c r="D332" s="172">
        <v>99</v>
      </c>
      <c r="E332" s="173">
        <v>95</v>
      </c>
      <c r="F332" s="174">
        <v>21450</v>
      </c>
      <c r="G332" s="174">
        <v>0</v>
      </c>
      <c r="H332" s="174">
        <v>0</v>
      </c>
      <c r="I332" s="174">
        <v>21450</v>
      </c>
      <c r="J332" s="171" t="s">
        <v>490</v>
      </c>
    </row>
    <row r="333" spans="1:10" ht="13.95" hidden="1" customHeight="1" outlineLevel="3" x14ac:dyDescent="0.3">
      <c r="A333" s="175" t="s">
        <v>1009</v>
      </c>
      <c r="B333" s="175" t="s">
        <v>1010</v>
      </c>
      <c r="C333" s="176"/>
      <c r="D333" s="177">
        <v>17.57</v>
      </c>
      <c r="E333" s="178">
        <v>13.6</v>
      </c>
      <c r="F333" s="179">
        <v>816264</v>
      </c>
      <c r="G333" s="179">
        <v>46451</v>
      </c>
      <c r="H333" s="179">
        <v>185803</v>
      </c>
      <c r="I333" s="179">
        <v>630461</v>
      </c>
      <c r="J333" s="176" t="s">
        <v>490</v>
      </c>
    </row>
    <row r="334" spans="1:10" ht="13.95" hidden="1" customHeight="1" outlineLevel="3" collapsed="1" x14ac:dyDescent="0.3">
      <c r="A334" s="170" t="s">
        <v>1011</v>
      </c>
      <c r="B334" s="170" t="s">
        <v>1012</v>
      </c>
      <c r="C334" s="171"/>
      <c r="D334" s="172">
        <v>5.54</v>
      </c>
      <c r="E334" s="173">
        <v>1.5</v>
      </c>
      <c r="F334" s="174">
        <v>520156</v>
      </c>
      <c r="G334" s="174">
        <v>93840</v>
      </c>
      <c r="H334" s="174">
        <v>375360</v>
      </c>
      <c r="I334" s="174">
        <v>144796</v>
      </c>
      <c r="J334" s="171" t="s">
        <v>490</v>
      </c>
    </row>
    <row r="335" spans="1:10" ht="13.95" hidden="1" customHeight="1" outlineLevel="3" collapsed="1" x14ac:dyDescent="0.3">
      <c r="A335" s="175" t="s">
        <v>1013</v>
      </c>
      <c r="B335" s="175" t="s">
        <v>87</v>
      </c>
      <c r="C335" s="176"/>
      <c r="D335" s="177">
        <v>4.6100000000000003</v>
      </c>
      <c r="E335" s="178">
        <v>0.6</v>
      </c>
      <c r="F335" s="179">
        <v>335754</v>
      </c>
      <c r="G335" s="179">
        <v>72766</v>
      </c>
      <c r="H335" s="179">
        <v>291063</v>
      </c>
      <c r="I335" s="179">
        <v>44691</v>
      </c>
      <c r="J335" s="176" t="s">
        <v>563</v>
      </c>
    </row>
    <row r="336" spans="1:10" ht="16.05" customHeight="1" collapsed="1" x14ac:dyDescent="0.3">
      <c r="A336" s="160" t="s">
        <v>1014</v>
      </c>
      <c r="B336" s="161"/>
      <c r="C336" s="162">
        <v>24</v>
      </c>
      <c r="D336" s="185"/>
      <c r="E336" s="186"/>
      <c r="F336" s="163">
        <v>46799428</v>
      </c>
      <c r="G336" s="163">
        <v>8478606</v>
      </c>
      <c r="H336" s="163">
        <v>33914422</v>
      </c>
      <c r="I336" s="163">
        <v>12885006</v>
      </c>
      <c r="J336" s="162" t="s">
        <v>1015</v>
      </c>
    </row>
    <row r="337" spans="1:10" ht="15" hidden="1" customHeight="1" outlineLevel="1" collapsed="1" x14ac:dyDescent="0.3">
      <c r="A337" s="164" t="s">
        <v>1016</v>
      </c>
      <c r="B337" s="164"/>
      <c r="C337" s="165">
        <v>7</v>
      </c>
      <c r="D337" s="182"/>
      <c r="E337" s="183"/>
      <c r="F337" s="166">
        <v>2166239</v>
      </c>
      <c r="G337" s="166">
        <v>342141</v>
      </c>
      <c r="H337" s="166">
        <v>1368562</v>
      </c>
      <c r="I337" s="166">
        <v>797677</v>
      </c>
      <c r="J337" s="165" t="s">
        <v>1017</v>
      </c>
    </row>
    <row r="338" spans="1:10" ht="15" hidden="1" customHeight="1" outlineLevel="2" x14ac:dyDescent="0.3">
      <c r="A338" s="167" t="s">
        <v>1018</v>
      </c>
      <c r="B338" s="167"/>
      <c r="C338" s="168">
        <v>1</v>
      </c>
      <c r="D338" s="180"/>
      <c r="E338" s="181"/>
      <c r="F338" s="169">
        <v>74415</v>
      </c>
      <c r="G338" s="169">
        <v>16008</v>
      </c>
      <c r="H338" s="169">
        <v>64032</v>
      </c>
      <c r="I338" s="169">
        <v>10383</v>
      </c>
      <c r="J338" s="168" t="s">
        <v>546</v>
      </c>
    </row>
    <row r="339" spans="1:10" ht="13.95" hidden="1" customHeight="1" outlineLevel="3" x14ac:dyDescent="0.3">
      <c r="A339" s="170" t="s">
        <v>1019</v>
      </c>
      <c r="B339" s="170" t="s">
        <v>1020</v>
      </c>
      <c r="C339" s="171"/>
      <c r="D339" s="172">
        <v>4.6500000000000004</v>
      </c>
      <c r="E339" s="173">
        <v>0.6</v>
      </c>
      <c r="F339" s="174">
        <v>74415</v>
      </c>
      <c r="G339" s="174">
        <v>16008</v>
      </c>
      <c r="H339" s="174">
        <v>64032</v>
      </c>
      <c r="I339" s="174">
        <v>10383</v>
      </c>
      <c r="J339" s="171" t="s">
        <v>490</v>
      </c>
    </row>
    <row r="340" spans="1:10" ht="15" hidden="1" customHeight="1" outlineLevel="2" x14ac:dyDescent="0.3">
      <c r="A340" s="167" t="s">
        <v>1021</v>
      </c>
      <c r="B340" s="167"/>
      <c r="C340" s="168">
        <v>2</v>
      </c>
      <c r="D340" s="180"/>
      <c r="E340" s="181"/>
      <c r="F340" s="169">
        <v>794125</v>
      </c>
      <c r="G340" s="169">
        <v>161051</v>
      </c>
      <c r="H340" s="169">
        <v>644201</v>
      </c>
      <c r="I340" s="169">
        <v>149924</v>
      </c>
      <c r="J340" s="168" t="s">
        <v>550</v>
      </c>
    </row>
    <row r="341" spans="1:10" ht="13.95" hidden="1" customHeight="1" outlineLevel="3" collapsed="1" x14ac:dyDescent="0.3">
      <c r="A341" s="170" t="s">
        <v>1022</v>
      </c>
      <c r="B341" s="170" t="s">
        <v>1023</v>
      </c>
      <c r="C341" s="171"/>
      <c r="D341" s="172">
        <v>5.74</v>
      </c>
      <c r="E341" s="173">
        <v>1.7</v>
      </c>
      <c r="F341" s="174">
        <v>265597</v>
      </c>
      <c r="G341" s="174">
        <v>46252</v>
      </c>
      <c r="H341" s="174">
        <v>185006</v>
      </c>
      <c r="I341" s="174">
        <v>80591</v>
      </c>
      <c r="J341" s="171" t="s">
        <v>490</v>
      </c>
    </row>
    <row r="342" spans="1:10" ht="13.95" hidden="1" customHeight="1" outlineLevel="3" x14ac:dyDescent="0.3">
      <c r="A342" s="175" t="s">
        <v>1024</v>
      </c>
      <c r="B342" s="175" t="s">
        <v>1025</v>
      </c>
      <c r="C342" s="176"/>
      <c r="D342" s="177">
        <v>4.5999999999999996</v>
      </c>
      <c r="E342" s="178">
        <v>0.6</v>
      </c>
      <c r="F342" s="179">
        <v>528528</v>
      </c>
      <c r="G342" s="179">
        <v>114799</v>
      </c>
      <c r="H342" s="179">
        <v>459195</v>
      </c>
      <c r="I342" s="179">
        <v>69333</v>
      </c>
      <c r="J342" s="176" t="s">
        <v>490</v>
      </c>
    </row>
    <row r="343" spans="1:10" ht="15" hidden="1" customHeight="1" outlineLevel="2" collapsed="1" x14ac:dyDescent="0.3">
      <c r="A343" s="167" t="s">
        <v>1026</v>
      </c>
      <c r="B343" s="167"/>
      <c r="C343" s="168">
        <v>3</v>
      </c>
      <c r="D343" s="180"/>
      <c r="E343" s="181"/>
      <c r="F343" s="169">
        <v>998354</v>
      </c>
      <c r="G343" s="169">
        <v>108028</v>
      </c>
      <c r="H343" s="169">
        <v>432112</v>
      </c>
      <c r="I343" s="169">
        <v>566242</v>
      </c>
      <c r="J343" s="168" t="s">
        <v>925</v>
      </c>
    </row>
    <row r="344" spans="1:10" ht="13.95" hidden="1" customHeight="1" outlineLevel="3" x14ac:dyDescent="0.3">
      <c r="A344" s="170" t="s">
        <v>1027</v>
      </c>
      <c r="B344" s="170" t="s">
        <v>1028</v>
      </c>
      <c r="C344" s="171"/>
      <c r="D344" s="172">
        <v>16.38</v>
      </c>
      <c r="E344" s="173">
        <v>12.4</v>
      </c>
      <c r="F344" s="174">
        <v>333782</v>
      </c>
      <c r="G344" s="174">
        <v>20377</v>
      </c>
      <c r="H344" s="174">
        <v>81506</v>
      </c>
      <c r="I344" s="174">
        <v>252276</v>
      </c>
      <c r="J344" s="171" t="s">
        <v>490</v>
      </c>
    </row>
    <row r="345" spans="1:10" ht="13.95" hidden="1" customHeight="1" outlineLevel="3" x14ac:dyDescent="0.3">
      <c r="A345" s="175" t="s">
        <v>1029</v>
      </c>
      <c r="B345" s="175" t="s">
        <v>1030</v>
      </c>
      <c r="C345" s="176"/>
      <c r="D345" s="177">
        <v>11.95</v>
      </c>
      <c r="E345" s="178">
        <v>8</v>
      </c>
      <c r="F345" s="179">
        <v>444612</v>
      </c>
      <c r="G345" s="179">
        <v>37195</v>
      </c>
      <c r="H345" s="179">
        <v>148781</v>
      </c>
      <c r="I345" s="179">
        <v>295831</v>
      </c>
      <c r="J345" s="176" t="s">
        <v>490</v>
      </c>
    </row>
    <row r="346" spans="1:10" ht="13.95" hidden="1" customHeight="1" outlineLevel="3" x14ac:dyDescent="0.3">
      <c r="A346" s="170" t="s">
        <v>1031</v>
      </c>
      <c r="B346" s="170" t="s">
        <v>1032</v>
      </c>
      <c r="C346" s="171"/>
      <c r="D346" s="172">
        <v>4.3600000000000003</v>
      </c>
      <c r="E346" s="173">
        <v>0.4</v>
      </c>
      <c r="F346" s="174">
        <v>219960</v>
      </c>
      <c r="G346" s="174">
        <v>50456</v>
      </c>
      <c r="H346" s="174">
        <v>201825</v>
      </c>
      <c r="I346" s="174">
        <v>18135</v>
      </c>
      <c r="J346" s="171" t="s">
        <v>490</v>
      </c>
    </row>
    <row r="347" spans="1:10" ht="15" hidden="1" customHeight="1" outlineLevel="2" collapsed="1" x14ac:dyDescent="0.3">
      <c r="A347" s="167" t="s">
        <v>1033</v>
      </c>
      <c r="B347" s="167"/>
      <c r="C347" s="168">
        <v>1</v>
      </c>
      <c r="D347" s="180"/>
      <c r="E347" s="181"/>
      <c r="F347" s="169">
        <v>299345</v>
      </c>
      <c r="G347" s="169">
        <v>57054</v>
      </c>
      <c r="H347" s="169">
        <v>228217</v>
      </c>
      <c r="I347" s="169">
        <v>71128</v>
      </c>
      <c r="J347" s="168" t="s">
        <v>546</v>
      </c>
    </row>
    <row r="348" spans="1:10" ht="13.95" hidden="1" customHeight="1" outlineLevel="3" collapsed="1" x14ac:dyDescent="0.3">
      <c r="A348" s="170" t="s">
        <v>1034</v>
      </c>
      <c r="B348" s="170" t="s">
        <v>1035</v>
      </c>
      <c r="C348" s="171"/>
      <c r="D348" s="172">
        <v>5.25</v>
      </c>
      <c r="E348" s="173">
        <v>1.2</v>
      </c>
      <c r="F348" s="174">
        <v>299345</v>
      </c>
      <c r="G348" s="174">
        <v>57054</v>
      </c>
      <c r="H348" s="174">
        <v>228217</v>
      </c>
      <c r="I348" s="174">
        <v>71128</v>
      </c>
      <c r="J348" s="171" t="s">
        <v>490</v>
      </c>
    </row>
    <row r="349" spans="1:10" ht="15" hidden="1" customHeight="1" outlineLevel="1" collapsed="1" x14ac:dyDescent="0.3">
      <c r="A349" s="164" t="s">
        <v>1036</v>
      </c>
      <c r="B349" s="164"/>
      <c r="C349" s="165">
        <v>6</v>
      </c>
      <c r="D349" s="182"/>
      <c r="E349" s="183"/>
      <c r="F349" s="166">
        <v>2928656</v>
      </c>
      <c r="G349" s="166">
        <v>258207</v>
      </c>
      <c r="H349" s="166">
        <v>1032826</v>
      </c>
      <c r="I349" s="166">
        <v>1895830</v>
      </c>
      <c r="J349" s="165" t="s">
        <v>1037</v>
      </c>
    </row>
    <row r="350" spans="1:10" ht="15" hidden="1" customHeight="1" outlineLevel="2" x14ac:dyDescent="0.3">
      <c r="A350" s="167" t="s">
        <v>1038</v>
      </c>
      <c r="B350" s="167"/>
      <c r="C350" s="168">
        <v>1</v>
      </c>
      <c r="D350" s="180"/>
      <c r="E350" s="181"/>
      <c r="F350" s="169">
        <v>31844</v>
      </c>
      <c r="G350" s="169">
        <v>0</v>
      </c>
      <c r="H350" s="169">
        <v>0</v>
      </c>
      <c r="I350" s="169">
        <v>31844</v>
      </c>
      <c r="J350" s="168" t="s">
        <v>546</v>
      </c>
    </row>
    <row r="351" spans="1:10" ht="13.95" hidden="1" customHeight="1" outlineLevel="3" x14ac:dyDescent="0.3">
      <c r="A351" s="170" t="s">
        <v>1039</v>
      </c>
      <c r="B351" s="170" t="s">
        <v>1040</v>
      </c>
      <c r="C351" s="171"/>
      <c r="D351" s="172">
        <v>99</v>
      </c>
      <c r="E351" s="173">
        <v>95</v>
      </c>
      <c r="F351" s="174">
        <v>31844</v>
      </c>
      <c r="G351" s="174">
        <v>0</v>
      </c>
      <c r="H351" s="174">
        <v>0</v>
      </c>
      <c r="I351" s="174">
        <v>31844</v>
      </c>
      <c r="J351" s="171" t="s">
        <v>490</v>
      </c>
    </row>
    <row r="352" spans="1:10" ht="15" hidden="1" customHeight="1" outlineLevel="2" collapsed="1" x14ac:dyDescent="0.3">
      <c r="A352" s="167" t="s">
        <v>634</v>
      </c>
      <c r="B352" s="167"/>
      <c r="C352" s="168">
        <v>5</v>
      </c>
      <c r="D352" s="180"/>
      <c r="E352" s="181"/>
      <c r="F352" s="169">
        <v>2896812</v>
      </c>
      <c r="G352" s="169">
        <v>258207</v>
      </c>
      <c r="H352" s="169">
        <v>1032826</v>
      </c>
      <c r="I352" s="169">
        <v>1863986</v>
      </c>
      <c r="J352" s="168" t="s">
        <v>1041</v>
      </c>
    </row>
    <row r="353" spans="1:10" ht="13.95" hidden="1" customHeight="1" outlineLevel="3" collapsed="1" x14ac:dyDescent="0.3">
      <c r="A353" s="170" t="s">
        <v>1042</v>
      </c>
      <c r="B353" s="170" t="s">
        <v>1043</v>
      </c>
      <c r="C353" s="171"/>
      <c r="D353" s="172">
        <v>99</v>
      </c>
      <c r="E353" s="173">
        <v>95</v>
      </c>
      <c r="F353" s="174">
        <v>17332</v>
      </c>
      <c r="G353" s="174">
        <v>0</v>
      </c>
      <c r="H353" s="174">
        <v>0</v>
      </c>
      <c r="I353" s="174">
        <v>17332</v>
      </c>
      <c r="J353" s="171" t="s">
        <v>490</v>
      </c>
    </row>
    <row r="354" spans="1:10" ht="13.95" hidden="1" customHeight="1" outlineLevel="3" x14ac:dyDescent="0.3">
      <c r="A354" s="175" t="s">
        <v>1044</v>
      </c>
      <c r="B354" s="175" t="s">
        <v>1045</v>
      </c>
      <c r="C354" s="176"/>
      <c r="D354" s="177">
        <v>99</v>
      </c>
      <c r="E354" s="178">
        <v>95</v>
      </c>
      <c r="F354" s="179">
        <v>8609</v>
      </c>
      <c r="G354" s="179">
        <v>0</v>
      </c>
      <c r="H354" s="179">
        <v>0</v>
      </c>
      <c r="I354" s="179">
        <v>8609</v>
      </c>
      <c r="J354" s="176" t="s">
        <v>490</v>
      </c>
    </row>
    <row r="355" spans="1:10" ht="13.95" hidden="1" customHeight="1" outlineLevel="3" x14ac:dyDescent="0.3">
      <c r="A355" s="170" t="s">
        <v>1046</v>
      </c>
      <c r="B355" s="170" t="s">
        <v>1047</v>
      </c>
      <c r="C355" s="171"/>
      <c r="D355" s="172">
        <v>99</v>
      </c>
      <c r="E355" s="173">
        <v>95</v>
      </c>
      <c r="F355" s="174">
        <v>8775</v>
      </c>
      <c r="G355" s="174">
        <v>0</v>
      </c>
      <c r="H355" s="174">
        <v>0</v>
      </c>
      <c r="I355" s="174">
        <v>8775</v>
      </c>
      <c r="J355" s="171" t="s">
        <v>490</v>
      </c>
    </row>
    <row r="356" spans="1:10" ht="13.95" hidden="1" customHeight="1" outlineLevel="3" collapsed="1" x14ac:dyDescent="0.3">
      <c r="A356" s="175" t="s">
        <v>1048</v>
      </c>
      <c r="B356" s="175" t="s">
        <v>1049</v>
      </c>
      <c r="C356" s="176"/>
      <c r="D356" s="177">
        <v>15.55</v>
      </c>
      <c r="E356" s="178">
        <v>11.6</v>
      </c>
      <c r="F356" s="179">
        <v>1532628</v>
      </c>
      <c r="G356" s="179">
        <v>98532</v>
      </c>
      <c r="H356" s="179">
        <v>394128</v>
      </c>
      <c r="I356" s="179">
        <v>1138500</v>
      </c>
      <c r="J356" s="176" t="s">
        <v>490</v>
      </c>
    </row>
    <row r="357" spans="1:10" ht="13.95" hidden="1" customHeight="1" outlineLevel="3" collapsed="1" x14ac:dyDescent="0.3">
      <c r="A357" s="170" t="s">
        <v>1050</v>
      </c>
      <c r="B357" s="170" t="s">
        <v>1051</v>
      </c>
      <c r="C357" s="171"/>
      <c r="D357" s="172">
        <v>8.33</v>
      </c>
      <c r="E357" s="173">
        <v>4.3</v>
      </c>
      <c r="F357" s="174">
        <v>1329468</v>
      </c>
      <c r="G357" s="174">
        <v>159675</v>
      </c>
      <c r="H357" s="174">
        <v>638698</v>
      </c>
      <c r="I357" s="174">
        <v>690770</v>
      </c>
      <c r="J357" s="171" t="s">
        <v>490</v>
      </c>
    </row>
    <row r="358" spans="1:10" ht="15" hidden="1" customHeight="1" outlineLevel="1" collapsed="1" x14ac:dyDescent="0.3">
      <c r="A358" s="164" t="s">
        <v>1052</v>
      </c>
      <c r="B358" s="164"/>
      <c r="C358" s="165">
        <v>1</v>
      </c>
      <c r="D358" s="182"/>
      <c r="E358" s="183"/>
      <c r="F358" s="166">
        <v>241165</v>
      </c>
      <c r="G358" s="166">
        <v>0</v>
      </c>
      <c r="H358" s="166">
        <v>0</v>
      </c>
      <c r="I358" s="166">
        <v>241165</v>
      </c>
      <c r="J358" s="165" t="s">
        <v>546</v>
      </c>
    </row>
    <row r="359" spans="1:10" ht="15" hidden="1" customHeight="1" outlineLevel="2" x14ac:dyDescent="0.3">
      <c r="A359" s="167" t="s">
        <v>1053</v>
      </c>
      <c r="B359" s="167"/>
      <c r="C359" s="168">
        <v>1</v>
      </c>
      <c r="D359" s="180"/>
      <c r="E359" s="181"/>
      <c r="F359" s="169">
        <v>241165</v>
      </c>
      <c r="G359" s="169">
        <v>0</v>
      </c>
      <c r="H359" s="169">
        <v>0</v>
      </c>
      <c r="I359" s="169">
        <v>241165</v>
      </c>
      <c r="J359" s="168" t="s">
        <v>546</v>
      </c>
    </row>
    <row r="360" spans="1:10" ht="13.95" hidden="1" customHeight="1" outlineLevel="3" x14ac:dyDescent="0.3">
      <c r="A360" s="170" t="s">
        <v>1054</v>
      </c>
      <c r="B360" s="170" t="s">
        <v>1055</v>
      </c>
      <c r="C360" s="171"/>
      <c r="D360" s="172">
        <v>99</v>
      </c>
      <c r="E360" s="173">
        <v>95</v>
      </c>
      <c r="F360" s="174">
        <v>241165</v>
      </c>
      <c r="G360" s="174">
        <v>0</v>
      </c>
      <c r="H360" s="174">
        <v>0</v>
      </c>
      <c r="I360" s="174">
        <v>241165</v>
      </c>
      <c r="J360" s="171" t="s">
        <v>490</v>
      </c>
    </row>
    <row r="361" spans="1:10" ht="15" hidden="1" customHeight="1" outlineLevel="1" collapsed="1" x14ac:dyDescent="0.3">
      <c r="A361" s="164" t="s">
        <v>1056</v>
      </c>
      <c r="B361" s="164"/>
      <c r="C361" s="165">
        <v>5</v>
      </c>
      <c r="D361" s="182"/>
      <c r="E361" s="183"/>
      <c r="F361" s="166">
        <v>26939010</v>
      </c>
      <c r="G361" s="166">
        <v>5237876</v>
      </c>
      <c r="H361" s="166">
        <v>20951505</v>
      </c>
      <c r="I361" s="166">
        <v>5987505</v>
      </c>
      <c r="J361" s="165" t="s">
        <v>1041</v>
      </c>
    </row>
    <row r="362" spans="1:10" ht="15" hidden="1" customHeight="1" outlineLevel="2" x14ac:dyDescent="0.3">
      <c r="A362" s="167" t="s">
        <v>1057</v>
      </c>
      <c r="B362" s="167"/>
      <c r="C362" s="168">
        <v>3</v>
      </c>
      <c r="D362" s="180"/>
      <c r="E362" s="181"/>
      <c r="F362" s="169">
        <v>20512317</v>
      </c>
      <c r="G362" s="169">
        <v>4637162</v>
      </c>
      <c r="H362" s="169">
        <v>18548649</v>
      </c>
      <c r="I362" s="169">
        <v>1963668</v>
      </c>
      <c r="J362" s="168" t="s">
        <v>925</v>
      </c>
    </row>
    <row r="363" spans="1:10" ht="13.95" hidden="1" customHeight="1" outlineLevel="3" x14ac:dyDescent="0.3">
      <c r="A363" s="170" t="s">
        <v>1058</v>
      </c>
      <c r="B363" s="170" t="s">
        <v>1059</v>
      </c>
      <c r="C363" s="171"/>
      <c r="D363" s="172">
        <v>8.18</v>
      </c>
      <c r="E363" s="173">
        <v>4.2</v>
      </c>
      <c r="F363" s="174">
        <v>1093227</v>
      </c>
      <c r="G363" s="174">
        <v>133670</v>
      </c>
      <c r="H363" s="174">
        <v>534681</v>
      </c>
      <c r="I363" s="174">
        <v>558546</v>
      </c>
      <c r="J363" s="171" t="s">
        <v>490</v>
      </c>
    </row>
    <row r="364" spans="1:10" ht="13.95" hidden="1" customHeight="1" outlineLevel="3" collapsed="1" x14ac:dyDescent="0.3">
      <c r="A364" s="175" t="s">
        <v>1060</v>
      </c>
      <c r="B364" s="175" t="s">
        <v>1061</v>
      </c>
      <c r="C364" s="176"/>
      <c r="D364" s="177">
        <v>5.01</v>
      </c>
      <c r="E364" s="178">
        <v>1</v>
      </c>
      <c r="F364" s="179">
        <v>1372410</v>
      </c>
      <c r="G364" s="179">
        <v>274094</v>
      </c>
      <c r="H364" s="179">
        <v>1096376</v>
      </c>
      <c r="I364" s="179">
        <v>276034</v>
      </c>
      <c r="J364" s="176" t="s">
        <v>490</v>
      </c>
    </row>
    <row r="365" spans="1:10" ht="13.95" hidden="1" customHeight="1" outlineLevel="3" x14ac:dyDescent="0.3">
      <c r="A365" s="170" t="s">
        <v>1062</v>
      </c>
      <c r="B365" s="170" t="s">
        <v>1063</v>
      </c>
      <c r="C365" s="171"/>
      <c r="D365" s="172">
        <v>4.2699999999999996</v>
      </c>
      <c r="E365" s="173">
        <v>0.3</v>
      </c>
      <c r="F365" s="174">
        <v>18046680</v>
      </c>
      <c r="G365" s="174">
        <v>4229398</v>
      </c>
      <c r="H365" s="174">
        <v>16917592</v>
      </c>
      <c r="I365" s="174">
        <v>1129088</v>
      </c>
      <c r="J365" s="171" t="s">
        <v>490</v>
      </c>
    </row>
    <row r="366" spans="1:10" ht="15" hidden="1" customHeight="1" outlineLevel="2" x14ac:dyDescent="0.3">
      <c r="A366" s="167" t="s">
        <v>1064</v>
      </c>
      <c r="B366" s="167"/>
      <c r="C366" s="168">
        <v>2</v>
      </c>
      <c r="D366" s="180"/>
      <c r="E366" s="181"/>
      <c r="F366" s="169">
        <v>6426693</v>
      </c>
      <c r="G366" s="169">
        <v>600714</v>
      </c>
      <c r="H366" s="169">
        <v>2402856</v>
      </c>
      <c r="I366" s="169">
        <v>4023837</v>
      </c>
      <c r="J366" s="168" t="s">
        <v>550</v>
      </c>
    </row>
    <row r="367" spans="1:10" ht="13.95" hidden="1" customHeight="1" outlineLevel="3" collapsed="1" x14ac:dyDescent="0.3">
      <c r="A367" s="170" t="s">
        <v>1065</v>
      </c>
      <c r="B367" s="170" t="s">
        <v>1066</v>
      </c>
      <c r="C367" s="171"/>
      <c r="D367" s="172">
        <v>12.47</v>
      </c>
      <c r="E367" s="173">
        <v>8.5</v>
      </c>
      <c r="F367" s="174">
        <v>3798423</v>
      </c>
      <c r="G367" s="174">
        <v>304704</v>
      </c>
      <c r="H367" s="174">
        <v>1218816</v>
      </c>
      <c r="I367" s="174">
        <v>2579607</v>
      </c>
      <c r="J367" s="171" t="s">
        <v>490</v>
      </c>
    </row>
    <row r="368" spans="1:10" ht="13.95" hidden="1" customHeight="1" outlineLevel="3" x14ac:dyDescent="0.3">
      <c r="A368" s="175" t="s">
        <v>1067</v>
      </c>
      <c r="B368" s="175" t="s">
        <v>1068</v>
      </c>
      <c r="C368" s="176"/>
      <c r="D368" s="177">
        <v>8.8800000000000008</v>
      </c>
      <c r="E368" s="178">
        <v>4.9000000000000004</v>
      </c>
      <c r="F368" s="179">
        <v>2628270</v>
      </c>
      <c r="G368" s="179">
        <v>296010</v>
      </c>
      <c r="H368" s="179">
        <v>1184040</v>
      </c>
      <c r="I368" s="179">
        <v>1444230</v>
      </c>
      <c r="J368" s="176" t="s">
        <v>490</v>
      </c>
    </row>
    <row r="369" spans="1:10" ht="15" hidden="1" customHeight="1" outlineLevel="1" collapsed="1" x14ac:dyDescent="0.3">
      <c r="A369" s="164" t="s">
        <v>1069</v>
      </c>
      <c r="B369" s="164"/>
      <c r="C369" s="165">
        <v>1</v>
      </c>
      <c r="D369" s="182"/>
      <c r="E369" s="183"/>
      <c r="F369" s="166">
        <v>935748</v>
      </c>
      <c r="G369" s="166">
        <v>174000</v>
      </c>
      <c r="H369" s="166">
        <v>696001</v>
      </c>
      <c r="I369" s="166">
        <v>239747</v>
      </c>
      <c r="J369" s="165" t="s">
        <v>546</v>
      </c>
    </row>
    <row r="370" spans="1:10" ht="15" hidden="1" customHeight="1" outlineLevel="2" x14ac:dyDescent="0.3">
      <c r="A370" s="167" t="s">
        <v>1070</v>
      </c>
      <c r="B370" s="167"/>
      <c r="C370" s="168">
        <v>1</v>
      </c>
      <c r="D370" s="180"/>
      <c r="E370" s="181"/>
      <c r="F370" s="169">
        <v>935748</v>
      </c>
      <c r="G370" s="169">
        <v>174000</v>
      </c>
      <c r="H370" s="169">
        <v>696001</v>
      </c>
      <c r="I370" s="169">
        <v>239747</v>
      </c>
      <c r="J370" s="168" t="s">
        <v>546</v>
      </c>
    </row>
    <row r="371" spans="1:10" ht="13.95" hidden="1" customHeight="1" outlineLevel="3" collapsed="1" x14ac:dyDescent="0.3">
      <c r="A371" s="170" t="s">
        <v>1071</v>
      </c>
      <c r="B371" s="170" t="s">
        <v>1072</v>
      </c>
      <c r="C371" s="171"/>
      <c r="D371" s="172">
        <v>5.38</v>
      </c>
      <c r="E371" s="173">
        <v>1.4</v>
      </c>
      <c r="F371" s="174">
        <v>935748</v>
      </c>
      <c r="G371" s="174">
        <v>174000</v>
      </c>
      <c r="H371" s="174">
        <v>696001</v>
      </c>
      <c r="I371" s="174">
        <v>239747</v>
      </c>
      <c r="J371" s="171" t="s">
        <v>490</v>
      </c>
    </row>
    <row r="372" spans="1:10" ht="15" hidden="1" customHeight="1" outlineLevel="1" collapsed="1" x14ac:dyDescent="0.3">
      <c r="A372" s="164" t="s">
        <v>1073</v>
      </c>
      <c r="B372" s="164"/>
      <c r="C372" s="165">
        <v>2</v>
      </c>
      <c r="D372" s="182"/>
      <c r="E372" s="183"/>
      <c r="F372" s="166">
        <v>4715027</v>
      </c>
      <c r="G372" s="166">
        <v>885031</v>
      </c>
      <c r="H372" s="166">
        <v>3540125</v>
      </c>
      <c r="I372" s="166">
        <v>1174902</v>
      </c>
      <c r="J372" s="165" t="s">
        <v>550</v>
      </c>
    </row>
    <row r="373" spans="1:10" ht="15" hidden="1" customHeight="1" outlineLevel="2" x14ac:dyDescent="0.3">
      <c r="A373" s="167" t="s">
        <v>1074</v>
      </c>
      <c r="B373" s="167"/>
      <c r="C373" s="168">
        <v>2</v>
      </c>
      <c r="D373" s="180"/>
      <c r="E373" s="181"/>
      <c r="F373" s="169">
        <v>4715027</v>
      </c>
      <c r="G373" s="169">
        <v>885031</v>
      </c>
      <c r="H373" s="169">
        <v>3540125</v>
      </c>
      <c r="I373" s="169">
        <v>1174902</v>
      </c>
      <c r="J373" s="168" t="s">
        <v>550</v>
      </c>
    </row>
    <row r="374" spans="1:10" ht="13.95" hidden="1" customHeight="1" outlineLevel="3" x14ac:dyDescent="0.3">
      <c r="A374" s="170" t="s">
        <v>1075</v>
      </c>
      <c r="B374" s="170" t="s">
        <v>1076</v>
      </c>
      <c r="C374" s="171"/>
      <c r="D374" s="172">
        <v>6.17</v>
      </c>
      <c r="E374" s="173">
        <v>2.2000000000000002</v>
      </c>
      <c r="F374" s="174">
        <v>1869920</v>
      </c>
      <c r="G374" s="174">
        <v>303296</v>
      </c>
      <c r="H374" s="174">
        <v>1213186</v>
      </c>
      <c r="I374" s="174">
        <v>656734</v>
      </c>
      <c r="J374" s="171" t="s">
        <v>490</v>
      </c>
    </row>
    <row r="375" spans="1:10" ht="13.95" hidden="1" customHeight="1" outlineLevel="3" collapsed="1" x14ac:dyDescent="0.3">
      <c r="A375" s="175" t="s">
        <v>1077</v>
      </c>
      <c r="B375" s="175" t="s">
        <v>1078</v>
      </c>
      <c r="C375" s="176"/>
      <c r="D375" s="177">
        <v>4.8899999999999997</v>
      </c>
      <c r="E375" s="178">
        <v>0.9</v>
      </c>
      <c r="F375" s="179">
        <v>2845107</v>
      </c>
      <c r="G375" s="179">
        <v>581735</v>
      </c>
      <c r="H375" s="179">
        <v>2326939</v>
      </c>
      <c r="I375" s="179">
        <v>518168</v>
      </c>
      <c r="J375" s="176" t="s">
        <v>490</v>
      </c>
    </row>
    <row r="376" spans="1:10" ht="15" hidden="1" customHeight="1" outlineLevel="1" collapsed="1" x14ac:dyDescent="0.3">
      <c r="A376" s="164" t="s">
        <v>1079</v>
      </c>
      <c r="B376" s="164"/>
      <c r="C376" s="165">
        <v>2</v>
      </c>
      <c r="D376" s="182"/>
      <c r="E376" s="183"/>
      <c r="F376" s="166">
        <v>8873583</v>
      </c>
      <c r="G376" s="166">
        <v>1581351</v>
      </c>
      <c r="H376" s="166">
        <v>6325403</v>
      </c>
      <c r="I376" s="166">
        <v>2548180</v>
      </c>
      <c r="J376" s="165" t="s">
        <v>550</v>
      </c>
    </row>
    <row r="377" spans="1:10" ht="15" hidden="1" customHeight="1" outlineLevel="2" x14ac:dyDescent="0.3">
      <c r="A377" s="167" t="s">
        <v>1080</v>
      </c>
      <c r="B377" s="167"/>
      <c r="C377" s="168">
        <v>2</v>
      </c>
      <c r="D377" s="180"/>
      <c r="E377" s="181"/>
      <c r="F377" s="169">
        <v>8873583</v>
      </c>
      <c r="G377" s="169">
        <v>1581351</v>
      </c>
      <c r="H377" s="169">
        <v>6325403</v>
      </c>
      <c r="I377" s="169">
        <v>2548180</v>
      </c>
      <c r="J377" s="168" t="s">
        <v>550</v>
      </c>
    </row>
    <row r="378" spans="1:10" ht="13.95" hidden="1" customHeight="1" outlineLevel="3" x14ac:dyDescent="0.3">
      <c r="A378" s="170" t="s">
        <v>1081</v>
      </c>
      <c r="B378" s="170" t="s">
        <v>1082</v>
      </c>
      <c r="C378" s="171"/>
      <c r="D378" s="172">
        <v>9.7100000000000009</v>
      </c>
      <c r="E378" s="173">
        <v>5.7</v>
      </c>
      <c r="F378" s="174">
        <v>2498848</v>
      </c>
      <c r="G378" s="174">
        <v>257327</v>
      </c>
      <c r="H378" s="174">
        <v>1029308</v>
      </c>
      <c r="I378" s="174">
        <v>1469540</v>
      </c>
      <c r="J378" s="171" t="s">
        <v>490</v>
      </c>
    </row>
    <row r="379" spans="1:10" ht="13.95" hidden="1" customHeight="1" outlineLevel="3" x14ac:dyDescent="0.3">
      <c r="A379" s="175" t="s">
        <v>1083</v>
      </c>
      <c r="B379" s="175" t="s">
        <v>1084</v>
      </c>
      <c r="C379" s="176"/>
      <c r="D379" s="177">
        <v>4.8099999999999996</v>
      </c>
      <c r="E379" s="178">
        <v>0.8</v>
      </c>
      <c r="F379" s="179">
        <v>6374735</v>
      </c>
      <c r="G379" s="179">
        <v>1324024</v>
      </c>
      <c r="H379" s="179">
        <v>5296095</v>
      </c>
      <c r="I379" s="179">
        <v>1078640</v>
      </c>
      <c r="J379" s="176" t="s">
        <v>490</v>
      </c>
    </row>
    <row r="380" spans="1:10" ht="16.05" customHeight="1" collapsed="1" x14ac:dyDescent="0.3">
      <c r="A380" s="160" t="s">
        <v>1085</v>
      </c>
      <c r="B380" s="161"/>
      <c r="C380" s="162">
        <v>6</v>
      </c>
      <c r="D380" s="162"/>
      <c r="E380" s="162"/>
      <c r="F380" s="163">
        <v>11465042</v>
      </c>
      <c r="G380" s="163">
        <v>1123136</v>
      </c>
      <c r="H380" s="163">
        <v>4492546</v>
      </c>
      <c r="I380" s="163">
        <v>6972496</v>
      </c>
      <c r="J380" s="162" t="s">
        <v>1086</v>
      </c>
    </row>
    <row r="381" spans="1:10" ht="15" hidden="1" customHeight="1" outlineLevel="1" collapsed="1" x14ac:dyDescent="0.3">
      <c r="A381" s="164" t="s">
        <v>1087</v>
      </c>
      <c r="B381" s="164"/>
      <c r="C381" s="165">
        <v>2</v>
      </c>
      <c r="D381" s="182"/>
      <c r="E381" s="183"/>
      <c r="F381" s="166">
        <v>797094</v>
      </c>
      <c r="G381" s="166">
        <v>138560</v>
      </c>
      <c r="H381" s="166">
        <v>554242</v>
      </c>
      <c r="I381" s="166">
        <v>242852</v>
      </c>
      <c r="J381" s="165" t="s">
        <v>550</v>
      </c>
    </row>
    <row r="382" spans="1:10" ht="15" hidden="1" customHeight="1" outlineLevel="2" x14ac:dyDescent="0.3">
      <c r="A382" s="167" t="s">
        <v>1088</v>
      </c>
      <c r="B382" s="167"/>
      <c r="C382" s="168">
        <v>2</v>
      </c>
      <c r="D382" s="180"/>
      <c r="E382" s="181"/>
      <c r="F382" s="169">
        <v>797094</v>
      </c>
      <c r="G382" s="169">
        <v>138560</v>
      </c>
      <c r="H382" s="169">
        <v>554242</v>
      </c>
      <c r="I382" s="169">
        <v>242852</v>
      </c>
      <c r="J382" s="168" t="s">
        <v>550</v>
      </c>
    </row>
    <row r="383" spans="1:10" ht="13.95" hidden="1" customHeight="1" outlineLevel="3" x14ac:dyDescent="0.3">
      <c r="A383" s="170" t="s">
        <v>1089</v>
      </c>
      <c r="B383" s="170" t="s">
        <v>1090</v>
      </c>
      <c r="C383" s="171"/>
      <c r="D383" s="172">
        <v>7.63</v>
      </c>
      <c r="E383" s="173">
        <v>3.6</v>
      </c>
      <c r="F383" s="174">
        <v>391104</v>
      </c>
      <c r="G383" s="174">
        <v>51232</v>
      </c>
      <c r="H383" s="174">
        <v>204930</v>
      </c>
      <c r="I383" s="174">
        <v>186174</v>
      </c>
      <c r="J383" s="171" t="s">
        <v>490</v>
      </c>
    </row>
    <row r="384" spans="1:10" ht="13.95" hidden="1" customHeight="1" outlineLevel="3" x14ac:dyDescent="0.3">
      <c r="A384" s="175" t="s">
        <v>1091</v>
      </c>
      <c r="B384" s="175" t="s">
        <v>1092</v>
      </c>
      <c r="C384" s="176"/>
      <c r="D384" s="177">
        <v>4.6500000000000004</v>
      </c>
      <c r="E384" s="178">
        <v>0.6</v>
      </c>
      <c r="F384" s="179">
        <v>405990</v>
      </c>
      <c r="G384" s="179">
        <v>87328</v>
      </c>
      <c r="H384" s="179">
        <v>349312</v>
      </c>
      <c r="I384" s="179">
        <v>56678</v>
      </c>
      <c r="J384" s="176" t="s">
        <v>490</v>
      </c>
    </row>
    <row r="385" spans="1:10" ht="15" hidden="1" customHeight="1" outlineLevel="1" collapsed="1" x14ac:dyDescent="0.3">
      <c r="A385" s="164" t="s">
        <v>1093</v>
      </c>
      <c r="B385" s="164"/>
      <c r="C385" s="165">
        <v>3</v>
      </c>
      <c r="D385" s="182"/>
      <c r="E385" s="183"/>
      <c r="F385" s="166">
        <v>10493590</v>
      </c>
      <c r="G385" s="166">
        <v>984576</v>
      </c>
      <c r="H385" s="166">
        <v>3938304</v>
      </c>
      <c r="I385" s="166">
        <v>6555286</v>
      </c>
      <c r="J385" s="165" t="s">
        <v>925</v>
      </c>
    </row>
    <row r="386" spans="1:10" ht="15" hidden="1" customHeight="1" outlineLevel="2" collapsed="1" x14ac:dyDescent="0.3">
      <c r="A386" s="167" t="s">
        <v>1094</v>
      </c>
      <c r="B386" s="167"/>
      <c r="C386" s="168">
        <v>2</v>
      </c>
      <c r="D386" s="180"/>
      <c r="E386" s="181"/>
      <c r="F386" s="169">
        <v>10486213</v>
      </c>
      <c r="G386" s="169">
        <v>984576</v>
      </c>
      <c r="H386" s="169">
        <v>3938304</v>
      </c>
      <c r="I386" s="169">
        <v>6547909</v>
      </c>
      <c r="J386" s="168" t="s">
        <v>550</v>
      </c>
    </row>
    <row r="387" spans="1:10" ht="13.95" hidden="1" customHeight="1" outlineLevel="3" x14ac:dyDescent="0.3">
      <c r="A387" s="170" t="s">
        <v>1095</v>
      </c>
      <c r="B387" s="170" t="s">
        <v>1096</v>
      </c>
      <c r="C387" s="171"/>
      <c r="D387" s="172">
        <v>12.84</v>
      </c>
      <c r="E387" s="173">
        <v>8.8000000000000007</v>
      </c>
      <c r="F387" s="174">
        <v>5276229</v>
      </c>
      <c r="G387" s="174">
        <v>410830</v>
      </c>
      <c r="H387" s="174">
        <v>1643321</v>
      </c>
      <c r="I387" s="174">
        <v>3632908</v>
      </c>
      <c r="J387" s="171" t="s">
        <v>490</v>
      </c>
    </row>
    <row r="388" spans="1:10" ht="13.95" hidden="1" customHeight="1" outlineLevel="3" x14ac:dyDescent="0.3">
      <c r="A388" s="175" t="s">
        <v>1097</v>
      </c>
      <c r="B388" s="175" t="s">
        <v>1098</v>
      </c>
      <c r="C388" s="176"/>
      <c r="D388" s="177">
        <v>9.08</v>
      </c>
      <c r="E388" s="178">
        <v>5.0999999999999996</v>
      </c>
      <c r="F388" s="179">
        <v>5209984</v>
      </c>
      <c r="G388" s="179">
        <v>573746</v>
      </c>
      <c r="H388" s="179">
        <v>2294983</v>
      </c>
      <c r="I388" s="179">
        <v>2915001</v>
      </c>
      <c r="J388" s="176" t="s">
        <v>490</v>
      </c>
    </row>
    <row r="389" spans="1:10" ht="15" hidden="1" customHeight="1" outlineLevel="2" collapsed="1" x14ac:dyDescent="0.3">
      <c r="A389" s="167" t="s">
        <v>1099</v>
      </c>
      <c r="B389" s="167"/>
      <c r="C389" s="168">
        <v>1</v>
      </c>
      <c r="D389" s="168"/>
      <c r="E389" s="168"/>
      <c r="F389" s="169">
        <v>7377</v>
      </c>
      <c r="G389" s="169">
        <v>0</v>
      </c>
      <c r="H389" s="169">
        <v>0</v>
      </c>
      <c r="I389" s="169">
        <v>7377</v>
      </c>
      <c r="J389" s="168" t="s">
        <v>546</v>
      </c>
    </row>
    <row r="390" spans="1:10" ht="13.95" hidden="1" customHeight="1" outlineLevel="3" collapsed="1" x14ac:dyDescent="0.3">
      <c r="A390" s="170" t="s">
        <v>1100</v>
      </c>
      <c r="B390" s="170" t="s">
        <v>438</v>
      </c>
      <c r="C390" s="171"/>
      <c r="D390" s="172">
        <v>99</v>
      </c>
      <c r="E390" s="173">
        <v>95</v>
      </c>
      <c r="F390" s="174">
        <v>7377</v>
      </c>
      <c r="G390" s="174">
        <v>0</v>
      </c>
      <c r="H390" s="174">
        <v>0</v>
      </c>
      <c r="I390" s="174">
        <v>7377</v>
      </c>
      <c r="J390" s="171" t="s">
        <v>490</v>
      </c>
    </row>
    <row r="391" spans="1:10" ht="15" hidden="1" customHeight="1" outlineLevel="1" collapsed="1" x14ac:dyDescent="0.3">
      <c r="A391" s="164" t="s">
        <v>1101</v>
      </c>
      <c r="B391" s="164"/>
      <c r="C391" s="165">
        <v>1</v>
      </c>
      <c r="D391" s="182"/>
      <c r="E391" s="183"/>
      <c r="F391" s="166">
        <v>174358</v>
      </c>
      <c r="G391" s="166">
        <v>0</v>
      </c>
      <c r="H391" s="166">
        <v>0</v>
      </c>
      <c r="I391" s="166">
        <v>174358</v>
      </c>
      <c r="J391" s="165" t="s">
        <v>546</v>
      </c>
    </row>
    <row r="392" spans="1:10" ht="15" hidden="1" customHeight="1" outlineLevel="2" x14ac:dyDescent="0.3">
      <c r="A392" s="167" t="s">
        <v>1102</v>
      </c>
      <c r="B392" s="167"/>
      <c r="C392" s="168">
        <v>1</v>
      </c>
      <c r="D392" s="180"/>
      <c r="E392" s="181"/>
      <c r="F392" s="169">
        <v>174358</v>
      </c>
      <c r="G392" s="169">
        <v>0</v>
      </c>
      <c r="H392" s="169">
        <v>0</v>
      </c>
      <c r="I392" s="169">
        <v>174358</v>
      </c>
      <c r="J392" s="168" t="s">
        <v>546</v>
      </c>
    </row>
    <row r="393" spans="1:10" ht="13.95" hidden="1" customHeight="1" outlineLevel="3" x14ac:dyDescent="0.3">
      <c r="A393" s="170" t="s">
        <v>1103</v>
      </c>
      <c r="B393" s="170" t="s">
        <v>442</v>
      </c>
      <c r="C393" s="171"/>
      <c r="D393" s="172">
        <v>99</v>
      </c>
      <c r="E393" s="173">
        <v>95</v>
      </c>
      <c r="F393" s="174">
        <v>174358</v>
      </c>
      <c r="G393" s="174">
        <v>0</v>
      </c>
      <c r="H393" s="174">
        <v>0</v>
      </c>
      <c r="I393" s="174">
        <v>174358</v>
      </c>
      <c r="J393" s="171" t="s">
        <v>490</v>
      </c>
    </row>
    <row r="394" spans="1:10" ht="16.05" customHeight="1" collapsed="1" x14ac:dyDescent="0.3">
      <c r="A394" s="160" t="s">
        <v>1104</v>
      </c>
      <c r="B394" s="161"/>
      <c r="C394" s="162">
        <v>3</v>
      </c>
      <c r="D394" s="185"/>
      <c r="E394" s="186"/>
      <c r="F394" s="163">
        <v>7605536</v>
      </c>
      <c r="G394" s="163">
        <v>1270074</v>
      </c>
      <c r="H394" s="163">
        <v>5080297</v>
      </c>
      <c r="I394" s="163">
        <v>2525239</v>
      </c>
      <c r="J394" s="162" t="s">
        <v>1105</v>
      </c>
    </row>
    <row r="395" spans="1:10" ht="15" hidden="1" customHeight="1" outlineLevel="1" collapsed="1" x14ac:dyDescent="0.3">
      <c r="A395" s="164" t="s">
        <v>1106</v>
      </c>
      <c r="B395" s="164"/>
      <c r="C395" s="165">
        <v>3</v>
      </c>
      <c r="D395" s="182"/>
      <c r="E395" s="183"/>
      <c r="F395" s="166">
        <v>7605536</v>
      </c>
      <c r="G395" s="166">
        <v>1270074</v>
      </c>
      <c r="H395" s="166">
        <v>5080297</v>
      </c>
      <c r="I395" s="166">
        <v>2525239</v>
      </c>
      <c r="J395" s="165" t="s">
        <v>1107</v>
      </c>
    </row>
    <row r="396" spans="1:10" ht="15" hidden="1" customHeight="1" outlineLevel="2" collapsed="1" x14ac:dyDescent="0.3">
      <c r="A396" s="167" t="s">
        <v>1108</v>
      </c>
      <c r="B396" s="167"/>
      <c r="C396" s="168">
        <v>1</v>
      </c>
      <c r="D396" s="168"/>
      <c r="E396" s="168"/>
      <c r="F396" s="169">
        <v>130220</v>
      </c>
      <c r="G396" s="169">
        <v>0</v>
      </c>
      <c r="H396" s="169">
        <v>0</v>
      </c>
      <c r="I396" s="169">
        <v>130220</v>
      </c>
      <c r="J396" s="168" t="s">
        <v>546</v>
      </c>
    </row>
    <row r="397" spans="1:10" ht="13.95" hidden="1" customHeight="1" outlineLevel="3" collapsed="1" x14ac:dyDescent="0.3">
      <c r="A397" s="170" t="s">
        <v>1109</v>
      </c>
      <c r="B397" s="170" t="s">
        <v>1110</v>
      </c>
      <c r="C397" s="171"/>
      <c r="D397" s="172">
        <v>99</v>
      </c>
      <c r="E397" s="173">
        <v>95</v>
      </c>
      <c r="F397" s="174">
        <v>130220</v>
      </c>
      <c r="G397" s="174">
        <v>0</v>
      </c>
      <c r="H397" s="174">
        <v>0</v>
      </c>
      <c r="I397" s="174">
        <v>130220</v>
      </c>
      <c r="J397" s="171" t="s">
        <v>490</v>
      </c>
    </row>
    <row r="398" spans="1:10" ht="15" hidden="1" customHeight="1" outlineLevel="2" x14ac:dyDescent="0.3">
      <c r="A398" s="167" t="s">
        <v>1111</v>
      </c>
      <c r="B398" s="167"/>
      <c r="C398" s="168">
        <v>2</v>
      </c>
      <c r="D398" s="168"/>
      <c r="E398" s="168"/>
      <c r="F398" s="169">
        <v>7475316</v>
      </c>
      <c r="G398" s="169">
        <v>1270074</v>
      </c>
      <c r="H398" s="169">
        <v>5080297</v>
      </c>
      <c r="I398" s="169">
        <v>2395019</v>
      </c>
      <c r="J398" s="168" t="s">
        <v>635</v>
      </c>
    </row>
    <row r="399" spans="1:10" ht="13.95" hidden="1" customHeight="1" outlineLevel="3" x14ac:dyDescent="0.3">
      <c r="A399" s="170" t="s">
        <v>1112</v>
      </c>
      <c r="B399" s="170" t="s">
        <v>1113</v>
      </c>
      <c r="C399" s="171"/>
      <c r="D399" s="172">
        <v>7.28</v>
      </c>
      <c r="E399" s="173">
        <v>3.3</v>
      </c>
      <c r="F399" s="174">
        <v>5178816</v>
      </c>
      <c r="G399" s="174">
        <v>711174</v>
      </c>
      <c r="H399" s="174">
        <v>2844697</v>
      </c>
      <c r="I399" s="174">
        <v>2334119</v>
      </c>
      <c r="J399" s="171" t="s">
        <v>490</v>
      </c>
    </row>
    <row r="400" spans="1:10" ht="13.95" hidden="1" customHeight="1" outlineLevel="3" collapsed="1" x14ac:dyDescent="0.3">
      <c r="A400" s="175" t="s">
        <v>1114</v>
      </c>
      <c r="B400" s="175" t="s">
        <v>1115</v>
      </c>
      <c r="C400" s="176"/>
      <c r="D400" s="177">
        <v>4.1100000000000003</v>
      </c>
      <c r="E400" s="178">
        <v>0.1</v>
      </c>
      <c r="F400" s="179">
        <v>2296500</v>
      </c>
      <c r="G400" s="179">
        <v>558900</v>
      </c>
      <c r="H400" s="179">
        <v>2235600</v>
      </c>
      <c r="I400" s="179">
        <v>60900</v>
      </c>
      <c r="J400" s="176" t="s">
        <v>563</v>
      </c>
    </row>
    <row r="401" spans="1:10" ht="16.05" customHeight="1" collapsed="1" x14ac:dyDescent="0.3">
      <c r="A401" s="160" t="s">
        <v>1116</v>
      </c>
      <c r="B401" s="161"/>
      <c r="C401" s="162">
        <v>7</v>
      </c>
      <c r="D401" s="185"/>
      <c r="E401" s="186"/>
      <c r="F401" s="163">
        <v>5858943</v>
      </c>
      <c r="G401" s="163">
        <v>676783</v>
      </c>
      <c r="H401" s="163">
        <v>2707131</v>
      </c>
      <c r="I401" s="163">
        <v>3151812</v>
      </c>
      <c r="J401" s="162" t="s">
        <v>1117</v>
      </c>
    </row>
    <row r="402" spans="1:10" ht="15" hidden="1" customHeight="1" outlineLevel="1" collapsed="1" x14ac:dyDescent="0.3">
      <c r="A402" s="164" t="s">
        <v>1118</v>
      </c>
      <c r="B402" s="164"/>
      <c r="C402" s="165">
        <v>1</v>
      </c>
      <c r="D402" s="182"/>
      <c r="E402" s="183"/>
      <c r="F402" s="166">
        <v>199781</v>
      </c>
      <c r="G402" s="166">
        <v>26910</v>
      </c>
      <c r="H402" s="166">
        <v>107640</v>
      </c>
      <c r="I402" s="166">
        <v>92141</v>
      </c>
      <c r="J402" s="165" t="s">
        <v>546</v>
      </c>
    </row>
    <row r="403" spans="1:10" ht="15" hidden="1" customHeight="1" outlineLevel="2" collapsed="1" x14ac:dyDescent="0.3">
      <c r="A403" s="167" t="s">
        <v>1119</v>
      </c>
      <c r="B403" s="167"/>
      <c r="C403" s="168">
        <v>1</v>
      </c>
      <c r="D403" s="168"/>
      <c r="E403" s="168"/>
      <c r="F403" s="169">
        <v>199781</v>
      </c>
      <c r="G403" s="169">
        <v>26910</v>
      </c>
      <c r="H403" s="169">
        <v>107640</v>
      </c>
      <c r="I403" s="169">
        <v>92141</v>
      </c>
      <c r="J403" s="168" t="s">
        <v>546</v>
      </c>
    </row>
    <row r="404" spans="1:10" ht="13.95" hidden="1" customHeight="1" outlineLevel="3" x14ac:dyDescent="0.3">
      <c r="A404" s="170" t="s">
        <v>1120</v>
      </c>
      <c r="B404" s="170" t="s">
        <v>1121</v>
      </c>
      <c r="C404" s="171"/>
      <c r="D404" s="172">
        <v>7.42</v>
      </c>
      <c r="E404" s="173">
        <v>3.4</v>
      </c>
      <c r="F404" s="174">
        <v>199781</v>
      </c>
      <c r="G404" s="174">
        <v>26910</v>
      </c>
      <c r="H404" s="174">
        <v>107640</v>
      </c>
      <c r="I404" s="174">
        <v>92141</v>
      </c>
      <c r="J404" s="171" t="s">
        <v>490</v>
      </c>
    </row>
    <row r="405" spans="1:10" ht="15" hidden="1" customHeight="1" outlineLevel="1" collapsed="1" x14ac:dyDescent="0.3">
      <c r="A405" s="164" t="s">
        <v>1122</v>
      </c>
      <c r="B405" s="164"/>
      <c r="C405" s="165">
        <v>6</v>
      </c>
      <c r="D405" s="182"/>
      <c r="E405" s="183"/>
      <c r="F405" s="166">
        <v>5659162</v>
      </c>
      <c r="G405" s="166">
        <v>649873</v>
      </c>
      <c r="H405" s="166">
        <v>2599491</v>
      </c>
      <c r="I405" s="166">
        <v>3059671</v>
      </c>
      <c r="J405" s="165" t="s">
        <v>1037</v>
      </c>
    </row>
    <row r="406" spans="1:10" ht="15" hidden="1" customHeight="1" outlineLevel="2" x14ac:dyDescent="0.3">
      <c r="A406" s="167" t="s">
        <v>1123</v>
      </c>
      <c r="B406" s="167"/>
      <c r="C406" s="168">
        <v>6</v>
      </c>
      <c r="D406" s="180"/>
      <c r="E406" s="181"/>
      <c r="F406" s="169">
        <v>5659162</v>
      </c>
      <c r="G406" s="169">
        <v>649873</v>
      </c>
      <c r="H406" s="169">
        <v>2599491</v>
      </c>
      <c r="I406" s="169">
        <v>3059671</v>
      </c>
      <c r="J406" s="168" t="s">
        <v>1037</v>
      </c>
    </row>
    <row r="407" spans="1:10" ht="13.95" hidden="1" customHeight="1" outlineLevel="3" x14ac:dyDescent="0.3">
      <c r="A407" s="170" t="s">
        <v>1124</v>
      </c>
      <c r="B407" s="170" t="s">
        <v>1125</v>
      </c>
      <c r="C407" s="171"/>
      <c r="D407" s="172">
        <v>15.23</v>
      </c>
      <c r="E407" s="173">
        <v>11.2</v>
      </c>
      <c r="F407" s="174">
        <v>2192058</v>
      </c>
      <c r="G407" s="174">
        <v>143891</v>
      </c>
      <c r="H407" s="174">
        <v>575564</v>
      </c>
      <c r="I407" s="174">
        <v>1616494</v>
      </c>
      <c r="J407" s="171" t="s">
        <v>490</v>
      </c>
    </row>
    <row r="408" spans="1:10" ht="13.95" hidden="1" customHeight="1" outlineLevel="3" x14ac:dyDescent="0.3">
      <c r="A408" s="175" t="s">
        <v>1126</v>
      </c>
      <c r="B408" s="175" t="s">
        <v>1127</v>
      </c>
      <c r="C408" s="176"/>
      <c r="D408" s="177">
        <v>10.76</v>
      </c>
      <c r="E408" s="178">
        <v>6.8</v>
      </c>
      <c r="F408" s="179">
        <v>1401068</v>
      </c>
      <c r="G408" s="179">
        <v>130203</v>
      </c>
      <c r="H408" s="179">
        <v>520812</v>
      </c>
      <c r="I408" s="179">
        <v>880256</v>
      </c>
      <c r="J408" s="176" t="s">
        <v>490</v>
      </c>
    </row>
    <row r="409" spans="1:10" ht="13.95" hidden="1" customHeight="1" outlineLevel="3" x14ac:dyDescent="0.3">
      <c r="A409" s="170" t="s">
        <v>1128</v>
      </c>
      <c r="B409" s="170" t="s">
        <v>1129</v>
      </c>
      <c r="C409" s="171"/>
      <c r="D409" s="172">
        <v>7.99</v>
      </c>
      <c r="E409" s="173">
        <v>4</v>
      </c>
      <c r="F409" s="174">
        <v>567250</v>
      </c>
      <c r="G409" s="174">
        <v>70980</v>
      </c>
      <c r="H409" s="174">
        <v>283921</v>
      </c>
      <c r="I409" s="174">
        <v>283329</v>
      </c>
      <c r="J409" s="171" t="s">
        <v>490</v>
      </c>
    </row>
    <row r="410" spans="1:10" ht="13.95" hidden="1" customHeight="1" outlineLevel="3" x14ac:dyDescent="0.3">
      <c r="A410" s="175" t="s">
        <v>1130</v>
      </c>
      <c r="B410" s="175" t="s">
        <v>1131</v>
      </c>
      <c r="C410" s="176"/>
      <c r="D410" s="177">
        <v>7.83</v>
      </c>
      <c r="E410" s="178">
        <v>3.8</v>
      </c>
      <c r="F410" s="179">
        <v>164110</v>
      </c>
      <c r="G410" s="179">
        <v>20959</v>
      </c>
      <c r="H410" s="179">
        <v>83835</v>
      </c>
      <c r="I410" s="179">
        <v>80275</v>
      </c>
      <c r="J410" s="176" t="s">
        <v>490</v>
      </c>
    </row>
    <row r="411" spans="1:10" ht="13.95" hidden="1" customHeight="1" outlineLevel="3" collapsed="1" x14ac:dyDescent="0.3">
      <c r="A411" s="170" t="s">
        <v>1132</v>
      </c>
      <c r="B411" s="170" t="s">
        <v>1133</v>
      </c>
      <c r="C411" s="171"/>
      <c r="D411" s="172">
        <v>4.8</v>
      </c>
      <c r="E411" s="173">
        <v>0.8</v>
      </c>
      <c r="F411" s="174">
        <v>1082151</v>
      </c>
      <c r="G411" s="174">
        <v>225259</v>
      </c>
      <c r="H411" s="174">
        <v>901035</v>
      </c>
      <c r="I411" s="174">
        <v>181116</v>
      </c>
      <c r="J411" s="171" t="s">
        <v>490</v>
      </c>
    </row>
    <row r="412" spans="1:10" ht="13.95" hidden="1" customHeight="1" outlineLevel="3" collapsed="1" x14ac:dyDescent="0.3">
      <c r="A412" s="175" t="s">
        <v>1134</v>
      </c>
      <c r="B412" s="175" t="s">
        <v>1135</v>
      </c>
      <c r="C412" s="176"/>
      <c r="D412" s="177">
        <v>4.3099999999999996</v>
      </c>
      <c r="E412" s="178">
        <v>0.3</v>
      </c>
      <c r="F412" s="179">
        <v>252525</v>
      </c>
      <c r="G412" s="179">
        <v>58581</v>
      </c>
      <c r="H412" s="179">
        <v>234324</v>
      </c>
      <c r="I412" s="179">
        <v>18201</v>
      </c>
      <c r="J412" s="176" t="s">
        <v>490</v>
      </c>
    </row>
    <row r="413" spans="1:10" ht="16.05" customHeight="1" collapsed="1" x14ac:dyDescent="0.3">
      <c r="A413" s="160" t="s">
        <v>1136</v>
      </c>
      <c r="B413" s="161"/>
      <c r="C413" s="162">
        <v>1</v>
      </c>
      <c r="D413" s="185"/>
      <c r="E413" s="186"/>
      <c r="F413" s="163">
        <v>100298</v>
      </c>
      <c r="G413" s="163">
        <v>0</v>
      </c>
      <c r="H413" s="163">
        <v>0</v>
      </c>
      <c r="I413" s="163">
        <v>100298</v>
      </c>
      <c r="J413" s="162" t="s">
        <v>1137</v>
      </c>
    </row>
    <row r="414" spans="1:10" ht="15" hidden="1" customHeight="1" outlineLevel="1" collapsed="1" x14ac:dyDescent="0.3">
      <c r="A414" s="164" t="s">
        <v>1138</v>
      </c>
      <c r="B414" s="164"/>
      <c r="C414" s="165">
        <v>1</v>
      </c>
      <c r="D414" s="165"/>
      <c r="E414" s="165"/>
      <c r="F414" s="166">
        <v>100298</v>
      </c>
      <c r="G414" s="166">
        <v>0</v>
      </c>
      <c r="H414" s="166">
        <v>0</v>
      </c>
      <c r="I414" s="166">
        <v>100298</v>
      </c>
      <c r="J414" s="165" t="s">
        <v>546</v>
      </c>
    </row>
    <row r="415" spans="1:10" ht="15" hidden="1" customHeight="1" outlineLevel="2" x14ac:dyDescent="0.3">
      <c r="A415" s="167" t="s">
        <v>1139</v>
      </c>
      <c r="B415" s="167"/>
      <c r="C415" s="168">
        <v>1</v>
      </c>
      <c r="D415" s="168"/>
      <c r="E415" s="168"/>
      <c r="F415" s="169">
        <v>100298</v>
      </c>
      <c r="G415" s="169">
        <v>0</v>
      </c>
      <c r="H415" s="169">
        <v>0</v>
      </c>
      <c r="I415" s="169">
        <v>100298</v>
      </c>
      <c r="J415" s="168" t="s">
        <v>546</v>
      </c>
    </row>
    <row r="416" spans="1:10" ht="13.95" hidden="1" customHeight="1" outlineLevel="3" x14ac:dyDescent="0.3">
      <c r="A416" s="170" t="s">
        <v>1140</v>
      </c>
      <c r="B416" s="170" t="s">
        <v>1141</v>
      </c>
      <c r="C416" s="171"/>
      <c r="D416" s="172">
        <v>99</v>
      </c>
      <c r="E416" s="173">
        <v>95</v>
      </c>
      <c r="F416" s="174">
        <v>100298</v>
      </c>
      <c r="G416" s="174">
        <v>0</v>
      </c>
      <c r="H416" s="174">
        <v>0</v>
      </c>
      <c r="I416" s="174">
        <v>100298</v>
      </c>
      <c r="J416" s="171" t="s">
        <v>490</v>
      </c>
    </row>
    <row r="417" spans="1:10" ht="18" customHeight="1" x14ac:dyDescent="0.3">
      <c r="A417" s="236" t="s">
        <v>1142</v>
      </c>
      <c r="B417" s="237"/>
      <c r="C417" s="237"/>
      <c r="D417" s="237"/>
      <c r="E417" s="237"/>
      <c r="F417" s="187">
        <v>416276888</v>
      </c>
      <c r="G417" s="187">
        <v>44946562</v>
      </c>
      <c r="H417" s="187">
        <v>179786266</v>
      </c>
      <c r="I417" s="187">
        <v>236490621</v>
      </c>
      <c r="J417" s="221"/>
    </row>
  </sheetData>
  <mergeCells count="2">
    <mergeCell ref="A1:J1"/>
    <mergeCell ref="A417:E4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231"/>
  <sheetViews>
    <sheetView workbookViewId="0">
      <pane ySplit="2" topLeftCell="A3" activePane="bottomLeft" state="frozen"/>
      <selection pane="bottomLeft" activeCell="A115" sqref="A115:XFD129"/>
    </sheetView>
  </sheetViews>
  <sheetFormatPr baseColWidth="10" defaultColWidth="8.88671875" defaultRowHeight="14.4" outlineLevelRow="1" x14ac:dyDescent="0.3"/>
  <cols>
    <col min="1" max="1" width="22" customWidth="1"/>
    <col min="2" max="2" width="34.5546875" customWidth="1"/>
    <col min="3" max="3" width="14" customWidth="1"/>
    <col min="4" max="4" width="12" customWidth="1"/>
    <col min="5" max="5" width="30.44140625" bestFit="1" customWidth="1"/>
    <col min="6" max="8" width="11" customWidth="1"/>
    <col min="9" max="10" width="14" customWidth="1"/>
    <col min="11" max="11" width="13" customWidth="1"/>
  </cols>
  <sheetData>
    <row r="1" spans="1:11" ht="24" customHeight="1" x14ac:dyDescent="0.3">
      <c r="A1" s="225" t="s">
        <v>0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</row>
    <row r="2" spans="1:11" ht="37.950000000000003" customHeight="1" x14ac:dyDescent="0.3">
      <c r="A2" s="188" t="s">
        <v>1</v>
      </c>
      <c r="B2" s="188" t="s">
        <v>2</v>
      </c>
      <c r="C2" s="140" t="s">
        <v>3</v>
      </c>
      <c r="D2" s="140" t="s">
        <v>4</v>
      </c>
      <c r="E2" s="188" t="s">
        <v>5</v>
      </c>
      <c r="F2" s="140" t="s">
        <v>6</v>
      </c>
      <c r="G2" s="140" t="s">
        <v>7</v>
      </c>
      <c r="H2" s="140" t="s">
        <v>8</v>
      </c>
      <c r="I2" s="140" t="s">
        <v>9</v>
      </c>
      <c r="J2" s="140" t="s">
        <v>10</v>
      </c>
      <c r="K2" s="140" t="s">
        <v>11</v>
      </c>
    </row>
    <row r="3" spans="1:11" ht="16.05" customHeight="1" collapsed="1" x14ac:dyDescent="0.3">
      <c r="A3" s="189" t="s">
        <v>12</v>
      </c>
      <c r="B3" s="189" t="s">
        <v>13</v>
      </c>
      <c r="C3" s="190" t="s">
        <v>14</v>
      </c>
      <c r="D3" s="190" t="s">
        <v>15</v>
      </c>
      <c r="E3" s="189" t="s">
        <v>16</v>
      </c>
      <c r="F3" s="190">
        <v>15</v>
      </c>
      <c r="G3" s="190">
        <v>10</v>
      </c>
      <c r="H3" s="190">
        <v>2</v>
      </c>
      <c r="I3" s="191">
        <v>4888</v>
      </c>
      <c r="J3" s="192">
        <v>86412.24</v>
      </c>
      <c r="K3" s="190" t="s">
        <v>17</v>
      </c>
    </row>
    <row r="4" spans="1:11" ht="13.95" hidden="1" customHeight="1" outlineLevel="1" x14ac:dyDescent="0.3">
      <c r="A4" s="193" t="s">
        <v>18</v>
      </c>
      <c r="B4" s="193" t="s">
        <v>19</v>
      </c>
      <c r="C4" s="194" t="s">
        <v>14</v>
      </c>
      <c r="D4" s="194" t="s">
        <v>15</v>
      </c>
      <c r="E4" s="37"/>
      <c r="F4" s="37"/>
      <c r="G4" s="190" t="s">
        <v>20</v>
      </c>
      <c r="H4" s="37"/>
      <c r="I4" s="195">
        <v>500</v>
      </c>
      <c r="J4" s="196">
        <v>1990</v>
      </c>
      <c r="K4" s="76"/>
    </row>
    <row r="5" spans="1:11" ht="13.95" hidden="1" customHeight="1" outlineLevel="1" x14ac:dyDescent="0.3">
      <c r="A5" s="193" t="s">
        <v>21</v>
      </c>
      <c r="B5" s="193" t="s">
        <v>22</v>
      </c>
      <c r="C5" s="194" t="s">
        <v>14</v>
      </c>
      <c r="D5" s="194" t="s">
        <v>15</v>
      </c>
      <c r="E5" s="37"/>
      <c r="F5" s="37"/>
      <c r="G5" s="190" t="s">
        <v>20</v>
      </c>
      <c r="H5" s="37"/>
      <c r="I5" s="195">
        <v>500</v>
      </c>
      <c r="J5" s="196">
        <v>1990</v>
      </c>
      <c r="K5" s="76"/>
    </row>
    <row r="6" spans="1:11" ht="13.95" hidden="1" customHeight="1" outlineLevel="1" x14ac:dyDescent="0.3">
      <c r="A6" s="193" t="s">
        <v>23</v>
      </c>
      <c r="B6" s="193" t="s">
        <v>24</v>
      </c>
      <c r="C6" s="194" t="s">
        <v>14</v>
      </c>
      <c r="D6" s="194" t="s">
        <v>15</v>
      </c>
      <c r="E6" s="37"/>
      <c r="F6" s="37"/>
      <c r="G6" s="190" t="s">
        <v>20</v>
      </c>
      <c r="H6" s="37"/>
      <c r="I6" s="195">
        <v>30</v>
      </c>
      <c r="J6" s="196">
        <v>420</v>
      </c>
      <c r="K6" s="76"/>
    </row>
    <row r="7" spans="1:11" ht="13.95" hidden="1" customHeight="1" outlineLevel="1" x14ac:dyDescent="0.3">
      <c r="A7" s="193" t="s">
        <v>25</v>
      </c>
      <c r="B7" s="193" t="s">
        <v>26</v>
      </c>
      <c r="C7" s="194" t="s">
        <v>14</v>
      </c>
      <c r="D7" s="194" t="s">
        <v>15</v>
      </c>
      <c r="E7" s="37"/>
      <c r="F7" s="37"/>
      <c r="G7" s="190">
        <v>0.02</v>
      </c>
      <c r="H7" s="37"/>
      <c r="I7" s="195">
        <v>2004</v>
      </c>
      <c r="J7" s="196">
        <v>48096</v>
      </c>
      <c r="K7" s="76"/>
    </row>
    <row r="8" spans="1:11" ht="13.95" hidden="1" customHeight="1" outlineLevel="1" x14ac:dyDescent="0.3">
      <c r="A8" s="193" t="s">
        <v>27</v>
      </c>
      <c r="B8" s="193" t="s">
        <v>28</v>
      </c>
      <c r="C8" s="194" t="s">
        <v>14</v>
      </c>
      <c r="D8" s="194" t="s">
        <v>15</v>
      </c>
      <c r="E8" s="37"/>
      <c r="F8" s="37"/>
      <c r="G8" s="190">
        <v>0.04</v>
      </c>
      <c r="H8" s="37"/>
      <c r="I8" s="195">
        <v>80</v>
      </c>
      <c r="J8" s="196">
        <v>416</v>
      </c>
      <c r="K8" s="76"/>
    </row>
    <row r="9" spans="1:11" ht="13.95" hidden="1" customHeight="1" outlineLevel="1" x14ac:dyDescent="0.3">
      <c r="A9" s="193" t="s">
        <v>29</v>
      </c>
      <c r="B9" s="193" t="s">
        <v>30</v>
      </c>
      <c r="C9" s="194" t="s">
        <v>14</v>
      </c>
      <c r="D9" s="194" t="s">
        <v>15</v>
      </c>
      <c r="E9" s="37"/>
      <c r="F9" s="37"/>
      <c r="G9" s="190">
        <v>0.05</v>
      </c>
      <c r="H9" s="37"/>
      <c r="I9" s="195">
        <v>1002</v>
      </c>
      <c r="J9" s="196">
        <v>24048</v>
      </c>
      <c r="K9" s="76"/>
    </row>
    <row r="10" spans="1:11" ht="13.95" hidden="1" customHeight="1" outlineLevel="1" x14ac:dyDescent="0.3">
      <c r="A10" s="193" t="s">
        <v>31</v>
      </c>
      <c r="B10" s="193" t="s">
        <v>32</v>
      </c>
      <c r="C10" s="194" t="s">
        <v>14</v>
      </c>
      <c r="D10" s="194" t="s">
        <v>15</v>
      </c>
      <c r="E10" s="37"/>
      <c r="F10" s="37"/>
      <c r="G10" s="190">
        <v>0.18</v>
      </c>
      <c r="H10" s="37"/>
      <c r="I10" s="195">
        <v>50</v>
      </c>
      <c r="J10" s="196">
        <v>1447.5</v>
      </c>
      <c r="K10" s="76"/>
    </row>
    <row r="11" spans="1:11" ht="13.95" hidden="1" customHeight="1" outlineLevel="1" x14ac:dyDescent="0.3">
      <c r="A11" s="193" t="s">
        <v>33</v>
      </c>
      <c r="B11" s="193" t="s">
        <v>34</v>
      </c>
      <c r="C11" s="194" t="s">
        <v>14</v>
      </c>
      <c r="D11" s="194" t="s">
        <v>15</v>
      </c>
      <c r="E11" s="37"/>
      <c r="F11" s="37"/>
      <c r="G11" s="190">
        <v>0.2</v>
      </c>
      <c r="H11" s="37"/>
      <c r="I11" s="195">
        <v>20</v>
      </c>
      <c r="J11" s="196">
        <v>220</v>
      </c>
      <c r="K11" s="76"/>
    </row>
    <row r="12" spans="1:11" ht="13.95" hidden="1" customHeight="1" outlineLevel="1" x14ac:dyDescent="0.3">
      <c r="A12" s="193" t="s">
        <v>35</v>
      </c>
      <c r="B12" s="193" t="s">
        <v>36</v>
      </c>
      <c r="C12" s="194" t="s">
        <v>14</v>
      </c>
      <c r="D12" s="194" t="s">
        <v>15</v>
      </c>
      <c r="E12" s="37"/>
      <c r="F12" s="37"/>
      <c r="G12" s="190">
        <v>0.33</v>
      </c>
      <c r="H12" s="37"/>
      <c r="I12" s="195">
        <v>80</v>
      </c>
      <c r="J12" s="196">
        <v>1918.4</v>
      </c>
      <c r="K12" s="76"/>
    </row>
    <row r="13" spans="1:11" ht="13.95" hidden="1" customHeight="1" outlineLevel="1" x14ac:dyDescent="0.3">
      <c r="A13" s="193" t="s">
        <v>37</v>
      </c>
      <c r="B13" s="193" t="s">
        <v>38</v>
      </c>
      <c r="C13" s="194" t="s">
        <v>14</v>
      </c>
      <c r="D13" s="194" t="s">
        <v>15</v>
      </c>
      <c r="E13" s="37"/>
      <c r="F13" s="37"/>
      <c r="G13" s="190">
        <v>0.73</v>
      </c>
      <c r="H13" s="37"/>
      <c r="I13" s="195">
        <v>500</v>
      </c>
      <c r="J13" s="196">
        <v>2925</v>
      </c>
      <c r="K13" s="76"/>
    </row>
    <row r="14" spans="1:11" ht="13.95" hidden="1" customHeight="1" outlineLevel="1" x14ac:dyDescent="0.3">
      <c r="A14" s="197" t="s">
        <v>39</v>
      </c>
      <c r="B14" s="197" t="s">
        <v>40</v>
      </c>
      <c r="C14" s="198" t="s">
        <v>14</v>
      </c>
      <c r="D14" s="198" t="s">
        <v>15</v>
      </c>
      <c r="E14" s="80"/>
      <c r="F14" s="80"/>
      <c r="G14" s="198">
        <v>1.1200000000000001</v>
      </c>
      <c r="H14" s="80"/>
      <c r="I14" s="199">
        <v>15</v>
      </c>
      <c r="J14" s="200">
        <v>324.89999999999998</v>
      </c>
      <c r="K14" s="78"/>
    </row>
    <row r="15" spans="1:11" ht="13.95" hidden="1" customHeight="1" outlineLevel="1" x14ac:dyDescent="0.3">
      <c r="A15" s="197" t="s">
        <v>41</v>
      </c>
      <c r="B15" s="197" t="s">
        <v>42</v>
      </c>
      <c r="C15" s="198" t="s">
        <v>14</v>
      </c>
      <c r="D15" s="198" t="s">
        <v>15</v>
      </c>
      <c r="E15" s="80"/>
      <c r="F15" s="80"/>
      <c r="G15" s="198">
        <v>1.9</v>
      </c>
      <c r="H15" s="80"/>
      <c r="I15" s="199">
        <v>30</v>
      </c>
      <c r="J15" s="200">
        <v>884.69999999999993</v>
      </c>
      <c r="K15" s="78"/>
    </row>
    <row r="16" spans="1:11" ht="13.95" hidden="1" customHeight="1" outlineLevel="1" x14ac:dyDescent="0.3">
      <c r="A16" s="197" t="s">
        <v>43</v>
      </c>
      <c r="B16" s="197" t="s">
        <v>44</v>
      </c>
      <c r="C16" s="198" t="s">
        <v>14</v>
      </c>
      <c r="D16" s="198" t="s">
        <v>15</v>
      </c>
      <c r="E16" s="80"/>
      <c r="F16" s="80"/>
      <c r="G16" s="198">
        <v>2.42</v>
      </c>
      <c r="H16" s="80"/>
      <c r="I16" s="199">
        <v>30</v>
      </c>
      <c r="J16" s="200">
        <v>960.3</v>
      </c>
      <c r="K16" s="78"/>
    </row>
    <row r="17" spans="1:11" ht="16.05" hidden="1" customHeight="1" outlineLevel="1" collapsed="1" x14ac:dyDescent="0.3">
      <c r="A17" s="197" t="s">
        <v>45</v>
      </c>
      <c r="B17" s="197" t="s">
        <v>46</v>
      </c>
      <c r="C17" s="198" t="s">
        <v>14</v>
      </c>
      <c r="D17" s="198" t="s">
        <v>15</v>
      </c>
      <c r="E17" s="80"/>
      <c r="F17" s="82"/>
      <c r="G17" s="198">
        <v>3.5</v>
      </c>
      <c r="H17" s="82"/>
      <c r="I17" s="199">
        <v>15</v>
      </c>
      <c r="J17" s="200">
        <v>270</v>
      </c>
      <c r="K17" s="110"/>
    </row>
    <row r="18" spans="1:11" ht="13.95" hidden="1" customHeight="1" outlineLevel="1" x14ac:dyDescent="0.3">
      <c r="A18" s="197" t="s">
        <v>47</v>
      </c>
      <c r="B18" s="197" t="s">
        <v>48</v>
      </c>
      <c r="C18" s="198" t="s">
        <v>14</v>
      </c>
      <c r="D18" s="198" t="s">
        <v>15</v>
      </c>
      <c r="E18" s="39"/>
      <c r="F18" s="39"/>
      <c r="G18" s="198">
        <v>4.17</v>
      </c>
      <c r="H18" s="39"/>
      <c r="I18" s="199">
        <v>32</v>
      </c>
      <c r="J18" s="200">
        <v>501.44</v>
      </c>
      <c r="K18" s="78"/>
    </row>
    <row r="19" spans="1:11" ht="13.95" customHeight="1" collapsed="1" x14ac:dyDescent="0.3">
      <c r="A19" s="189" t="s">
        <v>49</v>
      </c>
      <c r="B19" s="189" t="s">
        <v>50</v>
      </c>
      <c r="C19" s="190" t="s">
        <v>51</v>
      </c>
      <c r="D19" s="190" t="s">
        <v>15</v>
      </c>
      <c r="E19" s="189" t="s">
        <v>52</v>
      </c>
      <c r="F19" s="190">
        <v>7</v>
      </c>
      <c r="G19" s="190">
        <v>5</v>
      </c>
      <c r="H19" s="190">
        <v>1</v>
      </c>
      <c r="I19" s="191">
        <v>1253</v>
      </c>
      <c r="J19" s="192">
        <v>42442.3</v>
      </c>
      <c r="K19" s="190" t="s">
        <v>17</v>
      </c>
    </row>
    <row r="20" spans="1:11" ht="13.95" hidden="1" customHeight="1" outlineLevel="1" collapsed="1" x14ac:dyDescent="0.3">
      <c r="A20" s="193" t="s">
        <v>53</v>
      </c>
      <c r="B20" s="193" t="s">
        <v>54</v>
      </c>
      <c r="C20" s="194" t="s">
        <v>51</v>
      </c>
      <c r="D20" s="194" t="s">
        <v>15</v>
      </c>
      <c r="E20" s="74"/>
      <c r="F20" s="75"/>
      <c r="G20" s="190" t="s">
        <v>20</v>
      </c>
      <c r="H20" s="75"/>
      <c r="I20" s="195">
        <v>600</v>
      </c>
      <c r="J20" s="196">
        <v>17928</v>
      </c>
      <c r="K20" s="75"/>
    </row>
    <row r="21" spans="1:11" ht="13.95" hidden="1" customHeight="1" outlineLevel="1" x14ac:dyDescent="0.3">
      <c r="A21" s="193" t="s">
        <v>55</v>
      </c>
      <c r="B21" s="193" t="s">
        <v>56</v>
      </c>
      <c r="C21" s="194" t="s">
        <v>51</v>
      </c>
      <c r="D21" s="194" t="s">
        <v>15</v>
      </c>
      <c r="E21" s="77"/>
      <c r="F21" s="77"/>
      <c r="G21" s="190" t="s">
        <v>20</v>
      </c>
      <c r="H21" s="77"/>
      <c r="I21" s="195">
        <v>201</v>
      </c>
      <c r="J21" s="196">
        <v>4723.5</v>
      </c>
      <c r="K21" s="76"/>
    </row>
    <row r="22" spans="1:11" ht="13.95" hidden="1" customHeight="1" outlineLevel="1" x14ac:dyDescent="0.3">
      <c r="A22" s="193" t="s">
        <v>57</v>
      </c>
      <c r="B22" s="193" t="s">
        <v>58</v>
      </c>
      <c r="C22" s="194" t="s">
        <v>51</v>
      </c>
      <c r="D22" s="194" t="s">
        <v>15</v>
      </c>
      <c r="E22" s="77"/>
      <c r="F22" s="77"/>
      <c r="G22" s="190" t="s">
        <v>20</v>
      </c>
      <c r="H22" s="77"/>
      <c r="I22" s="195">
        <v>10</v>
      </c>
      <c r="J22" s="196">
        <v>1650</v>
      </c>
      <c r="K22" s="76"/>
    </row>
    <row r="23" spans="1:11" ht="13.95" hidden="1" customHeight="1" outlineLevel="1" x14ac:dyDescent="0.3">
      <c r="A23" s="193" t="s">
        <v>59</v>
      </c>
      <c r="B23" s="193" t="s">
        <v>60</v>
      </c>
      <c r="C23" s="194" t="s">
        <v>51</v>
      </c>
      <c r="D23" s="194" t="s">
        <v>15</v>
      </c>
      <c r="E23" s="77"/>
      <c r="F23" s="77"/>
      <c r="G23" s="190" t="s">
        <v>20</v>
      </c>
      <c r="H23" s="77"/>
      <c r="I23" s="195">
        <v>101</v>
      </c>
      <c r="J23" s="196">
        <v>7777</v>
      </c>
      <c r="K23" s="76"/>
    </row>
    <row r="24" spans="1:11" ht="13.95" hidden="1" customHeight="1" outlineLevel="1" x14ac:dyDescent="0.3">
      <c r="A24" s="193" t="s">
        <v>61</v>
      </c>
      <c r="B24" s="193" t="s">
        <v>62</v>
      </c>
      <c r="C24" s="194" t="s">
        <v>51</v>
      </c>
      <c r="D24" s="194" t="s">
        <v>15</v>
      </c>
      <c r="E24" s="77"/>
      <c r="F24" s="77"/>
      <c r="G24" s="190">
        <v>0.28999999999999998</v>
      </c>
      <c r="H24" s="77"/>
      <c r="I24" s="195">
        <v>30</v>
      </c>
      <c r="J24" s="196">
        <v>1950</v>
      </c>
      <c r="K24" s="76"/>
    </row>
    <row r="25" spans="1:11" ht="13.95" hidden="1" customHeight="1" outlineLevel="1" x14ac:dyDescent="0.3">
      <c r="A25" s="197" t="s">
        <v>63</v>
      </c>
      <c r="B25" s="197" t="s">
        <v>64</v>
      </c>
      <c r="C25" s="198" t="s">
        <v>51</v>
      </c>
      <c r="D25" s="198" t="s">
        <v>15</v>
      </c>
      <c r="E25" s="39"/>
      <c r="F25" s="39"/>
      <c r="G25" s="198">
        <v>1.1599999999999999</v>
      </c>
      <c r="H25" s="39"/>
      <c r="I25" s="199">
        <v>251</v>
      </c>
      <c r="J25" s="200">
        <v>6475.8</v>
      </c>
      <c r="K25" s="78"/>
    </row>
    <row r="26" spans="1:11" ht="13.95" hidden="1" customHeight="1" outlineLevel="1" x14ac:dyDescent="0.3">
      <c r="A26" s="197" t="s">
        <v>65</v>
      </c>
      <c r="B26" s="197" t="s">
        <v>66</v>
      </c>
      <c r="C26" s="198" t="s">
        <v>51</v>
      </c>
      <c r="D26" s="198" t="s">
        <v>15</v>
      </c>
      <c r="E26" s="39"/>
      <c r="F26" s="39"/>
      <c r="G26" s="198">
        <v>3</v>
      </c>
      <c r="H26" s="39"/>
      <c r="I26" s="199">
        <v>60</v>
      </c>
      <c r="J26" s="200">
        <v>1938</v>
      </c>
      <c r="K26" s="78"/>
    </row>
    <row r="27" spans="1:11" ht="13.95" customHeight="1" collapsed="1" x14ac:dyDescent="0.3">
      <c r="A27" s="189" t="s">
        <v>67</v>
      </c>
      <c r="B27" s="189" t="s">
        <v>68</v>
      </c>
      <c r="C27" s="190" t="s">
        <v>69</v>
      </c>
      <c r="D27" s="190" t="s">
        <v>70</v>
      </c>
      <c r="E27" s="189" t="s">
        <v>71</v>
      </c>
      <c r="F27" s="190">
        <v>10</v>
      </c>
      <c r="G27" s="190">
        <v>3</v>
      </c>
      <c r="H27" s="190">
        <v>2</v>
      </c>
      <c r="I27" s="191">
        <v>4390</v>
      </c>
      <c r="J27" s="192">
        <v>33822.89</v>
      </c>
      <c r="K27" s="190" t="s">
        <v>17</v>
      </c>
    </row>
    <row r="28" spans="1:11" ht="13.95" hidden="1" customHeight="1" outlineLevel="1" x14ac:dyDescent="0.3">
      <c r="A28" s="193" t="s">
        <v>72</v>
      </c>
      <c r="B28" s="193" t="s">
        <v>73</v>
      </c>
      <c r="C28" s="194" t="s">
        <v>69</v>
      </c>
      <c r="D28" s="194" t="s">
        <v>70</v>
      </c>
      <c r="E28" s="77"/>
      <c r="F28" s="77"/>
      <c r="G28" s="190" t="s">
        <v>20</v>
      </c>
      <c r="H28" s="77"/>
      <c r="I28" s="195">
        <v>20</v>
      </c>
      <c r="J28" s="196">
        <v>2910</v>
      </c>
      <c r="K28" s="76"/>
    </row>
    <row r="29" spans="1:11" ht="13.95" hidden="1" customHeight="1" outlineLevel="1" x14ac:dyDescent="0.3">
      <c r="A29" s="193" t="s">
        <v>74</v>
      </c>
      <c r="B29" s="193" t="s">
        <v>75</v>
      </c>
      <c r="C29" s="194" t="s">
        <v>69</v>
      </c>
      <c r="D29" s="194" t="s">
        <v>70</v>
      </c>
      <c r="E29" s="77"/>
      <c r="F29" s="77"/>
      <c r="G29" s="190">
        <v>0.27</v>
      </c>
      <c r="H29" s="77"/>
      <c r="I29" s="195">
        <v>48</v>
      </c>
      <c r="J29" s="196">
        <v>64.800000000000011</v>
      </c>
      <c r="K29" s="76"/>
    </row>
    <row r="30" spans="1:11" ht="13.95" hidden="1" customHeight="1" outlineLevel="1" x14ac:dyDescent="0.3">
      <c r="A30" s="193" t="s">
        <v>74</v>
      </c>
      <c r="B30" s="193" t="s">
        <v>75</v>
      </c>
      <c r="C30" s="194" t="s">
        <v>69</v>
      </c>
      <c r="D30" s="194" t="s">
        <v>70</v>
      </c>
      <c r="E30" s="77"/>
      <c r="F30" s="77"/>
      <c r="G30" s="190">
        <v>0.27</v>
      </c>
      <c r="H30" s="77"/>
      <c r="I30" s="195">
        <v>102</v>
      </c>
      <c r="J30" s="196">
        <v>149.94</v>
      </c>
      <c r="K30" s="76"/>
    </row>
    <row r="31" spans="1:11" ht="13.95" hidden="1" customHeight="1" outlineLevel="1" x14ac:dyDescent="0.3">
      <c r="A31" s="197" t="s">
        <v>76</v>
      </c>
      <c r="B31" s="197" t="s">
        <v>77</v>
      </c>
      <c r="C31" s="198" t="s">
        <v>69</v>
      </c>
      <c r="D31" s="198" t="s">
        <v>70</v>
      </c>
      <c r="E31" s="39"/>
      <c r="F31" s="39"/>
      <c r="G31" s="198">
        <v>1.27</v>
      </c>
      <c r="H31" s="39"/>
      <c r="I31" s="199">
        <v>300</v>
      </c>
      <c r="J31" s="200">
        <v>3450</v>
      </c>
      <c r="K31" s="78"/>
    </row>
    <row r="32" spans="1:11" ht="13.95" hidden="1" customHeight="1" outlineLevel="1" x14ac:dyDescent="0.3">
      <c r="A32" s="197" t="s">
        <v>78</v>
      </c>
      <c r="B32" s="197" t="s">
        <v>79</v>
      </c>
      <c r="C32" s="198" t="s">
        <v>69</v>
      </c>
      <c r="D32" s="198" t="s">
        <v>70</v>
      </c>
      <c r="E32" s="39"/>
      <c r="F32" s="39"/>
      <c r="G32" s="198">
        <v>1.84</v>
      </c>
      <c r="H32" s="39"/>
      <c r="I32" s="199">
        <v>300</v>
      </c>
      <c r="J32" s="200">
        <v>5880</v>
      </c>
      <c r="K32" s="78"/>
    </row>
    <row r="33" spans="1:11" ht="13.95" hidden="1" customHeight="1" outlineLevel="1" x14ac:dyDescent="0.3">
      <c r="A33" s="197" t="s">
        <v>80</v>
      </c>
      <c r="B33" s="197" t="s">
        <v>81</v>
      </c>
      <c r="C33" s="198" t="s">
        <v>69</v>
      </c>
      <c r="D33" s="198" t="s">
        <v>70</v>
      </c>
      <c r="E33" s="39"/>
      <c r="F33" s="39"/>
      <c r="G33" s="198">
        <v>2.02</v>
      </c>
      <c r="H33" s="39"/>
      <c r="I33" s="199">
        <v>1525</v>
      </c>
      <c r="J33" s="200">
        <v>4041.25</v>
      </c>
      <c r="K33" s="78"/>
    </row>
    <row r="34" spans="1:11" ht="13.95" hidden="1" customHeight="1" outlineLevel="1" x14ac:dyDescent="0.3">
      <c r="A34" s="197" t="s">
        <v>82</v>
      </c>
      <c r="B34" s="197" t="s">
        <v>83</v>
      </c>
      <c r="C34" s="198" t="s">
        <v>69</v>
      </c>
      <c r="D34" s="198" t="s">
        <v>70</v>
      </c>
      <c r="E34" s="39"/>
      <c r="F34" s="39"/>
      <c r="G34" s="198">
        <v>2.63</v>
      </c>
      <c r="H34" s="39"/>
      <c r="I34" s="199">
        <v>100</v>
      </c>
      <c r="J34" s="200">
        <v>488.00000000000011</v>
      </c>
      <c r="K34" s="78"/>
    </row>
    <row r="35" spans="1:11" ht="13.95" hidden="1" customHeight="1" outlineLevel="1" x14ac:dyDescent="0.3">
      <c r="A35" s="197" t="s">
        <v>84</v>
      </c>
      <c r="B35" s="197" t="s">
        <v>85</v>
      </c>
      <c r="C35" s="198" t="s">
        <v>69</v>
      </c>
      <c r="D35" s="198" t="s">
        <v>70</v>
      </c>
      <c r="E35" s="39"/>
      <c r="F35" s="39"/>
      <c r="G35" s="198">
        <v>3.29</v>
      </c>
      <c r="H35" s="39"/>
      <c r="I35" s="199">
        <v>893</v>
      </c>
      <c r="J35" s="200">
        <v>14109.4</v>
      </c>
      <c r="K35" s="78"/>
    </row>
    <row r="36" spans="1:11" ht="13.95" hidden="1" customHeight="1" outlineLevel="1" x14ac:dyDescent="0.3">
      <c r="A36" s="197" t="s">
        <v>86</v>
      </c>
      <c r="B36" s="197" t="s">
        <v>87</v>
      </c>
      <c r="C36" s="198" t="s">
        <v>69</v>
      </c>
      <c r="D36" s="198" t="s">
        <v>70</v>
      </c>
      <c r="E36" s="39"/>
      <c r="F36" s="39"/>
      <c r="G36" s="198">
        <v>5.59</v>
      </c>
      <c r="H36" s="39"/>
      <c r="I36" s="199">
        <v>102</v>
      </c>
      <c r="J36" s="200">
        <v>229.5</v>
      </c>
      <c r="K36" s="78"/>
    </row>
    <row r="37" spans="1:11" ht="13.95" hidden="1" customHeight="1" outlineLevel="1" x14ac:dyDescent="0.3">
      <c r="A37" s="197" t="s">
        <v>88</v>
      </c>
      <c r="B37" s="197" t="s">
        <v>89</v>
      </c>
      <c r="C37" s="198" t="s">
        <v>69</v>
      </c>
      <c r="D37" s="198" t="s">
        <v>70</v>
      </c>
      <c r="E37" s="39"/>
      <c r="F37" s="39"/>
      <c r="G37" s="198">
        <v>71.16</v>
      </c>
      <c r="H37" s="39"/>
      <c r="I37" s="199">
        <v>1000</v>
      </c>
      <c r="J37" s="200">
        <v>2500</v>
      </c>
      <c r="K37" s="78"/>
    </row>
    <row r="38" spans="1:11" ht="13.95" customHeight="1" collapsed="1" x14ac:dyDescent="0.3">
      <c r="A38" s="189" t="s">
        <v>90</v>
      </c>
      <c r="B38" s="189" t="s">
        <v>68</v>
      </c>
      <c r="C38" s="190" t="s">
        <v>69</v>
      </c>
      <c r="D38" s="190" t="s">
        <v>70</v>
      </c>
      <c r="E38" s="189" t="s">
        <v>91</v>
      </c>
      <c r="F38" s="190">
        <v>14</v>
      </c>
      <c r="G38" s="190">
        <v>10</v>
      </c>
      <c r="H38" s="190">
        <v>2</v>
      </c>
      <c r="I38" s="191">
        <v>2284</v>
      </c>
      <c r="J38" s="192">
        <v>46724.82</v>
      </c>
      <c r="K38" s="190" t="s">
        <v>17</v>
      </c>
    </row>
    <row r="39" spans="1:11" ht="13.95" hidden="1" customHeight="1" outlineLevel="1" collapsed="1" x14ac:dyDescent="0.3">
      <c r="A39" s="193" t="s">
        <v>92</v>
      </c>
      <c r="B39" s="193" t="s">
        <v>93</v>
      </c>
      <c r="C39" s="194" t="s">
        <v>69</v>
      </c>
      <c r="D39" s="194" t="s">
        <v>70</v>
      </c>
      <c r="E39" s="74"/>
      <c r="F39" s="75"/>
      <c r="G39" s="190" t="s">
        <v>20</v>
      </c>
      <c r="H39" s="75"/>
      <c r="I39" s="195">
        <v>150</v>
      </c>
      <c r="J39" s="196">
        <v>9591</v>
      </c>
      <c r="K39" s="75"/>
    </row>
    <row r="40" spans="1:11" ht="13.95" hidden="1" customHeight="1" outlineLevel="1" collapsed="1" x14ac:dyDescent="0.3">
      <c r="A40" s="193" t="s">
        <v>94</v>
      </c>
      <c r="B40" s="193" t="s">
        <v>95</v>
      </c>
      <c r="C40" s="194" t="s">
        <v>69</v>
      </c>
      <c r="D40" s="194" t="s">
        <v>70</v>
      </c>
      <c r="E40" s="37"/>
      <c r="F40" s="38"/>
      <c r="G40" s="190" t="s">
        <v>20</v>
      </c>
      <c r="H40" s="38"/>
      <c r="I40" s="195">
        <v>150</v>
      </c>
      <c r="J40" s="196">
        <v>100.5</v>
      </c>
      <c r="K40" s="38"/>
    </row>
    <row r="41" spans="1:11" ht="13.95" hidden="1" customHeight="1" outlineLevel="1" collapsed="1" x14ac:dyDescent="0.3">
      <c r="A41" s="193" t="s">
        <v>96</v>
      </c>
      <c r="B41" s="193" t="s">
        <v>97</v>
      </c>
      <c r="C41" s="194" t="s">
        <v>69</v>
      </c>
      <c r="D41" s="194" t="s">
        <v>70</v>
      </c>
      <c r="E41" s="135"/>
      <c r="F41" s="136"/>
      <c r="G41" s="190" t="s">
        <v>20</v>
      </c>
      <c r="H41" s="136"/>
      <c r="I41" s="195">
        <v>150</v>
      </c>
      <c r="J41" s="196">
        <v>100.5</v>
      </c>
      <c r="K41" s="136"/>
    </row>
    <row r="42" spans="1:11" ht="13.95" hidden="1" customHeight="1" outlineLevel="1" x14ac:dyDescent="0.3">
      <c r="A42" s="193" t="s">
        <v>98</v>
      </c>
      <c r="B42" s="193" t="s">
        <v>99</v>
      </c>
      <c r="C42" s="194" t="s">
        <v>69</v>
      </c>
      <c r="D42" s="194" t="s">
        <v>70</v>
      </c>
      <c r="E42" s="37"/>
      <c r="F42" s="37"/>
      <c r="G42" s="190" t="s">
        <v>20</v>
      </c>
      <c r="H42" s="37"/>
      <c r="I42" s="195">
        <v>251</v>
      </c>
      <c r="J42" s="196">
        <v>3564.2</v>
      </c>
      <c r="K42" s="79"/>
    </row>
    <row r="43" spans="1:11" ht="13.95" hidden="1" customHeight="1" outlineLevel="1" x14ac:dyDescent="0.3">
      <c r="A43" s="193" t="s">
        <v>100</v>
      </c>
      <c r="B43" s="193" t="s">
        <v>101</v>
      </c>
      <c r="C43" s="194" t="s">
        <v>69</v>
      </c>
      <c r="D43" s="194" t="s">
        <v>70</v>
      </c>
      <c r="E43" s="37"/>
      <c r="F43" s="37"/>
      <c r="G43" s="190" t="s">
        <v>20</v>
      </c>
      <c r="H43" s="37"/>
      <c r="I43" s="195">
        <v>251</v>
      </c>
      <c r="J43" s="196">
        <v>3564.2</v>
      </c>
      <c r="K43" s="79"/>
    </row>
    <row r="44" spans="1:11" ht="13.95" hidden="1" customHeight="1" outlineLevel="1" x14ac:dyDescent="0.3">
      <c r="A44" s="193" t="s">
        <v>102</v>
      </c>
      <c r="B44" s="193" t="s">
        <v>103</v>
      </c>
      <c r="C44" s="194" t="s">
        <v>69</v>
      </c>
      <c r="D44" s="194" t="s">
        <v>70</v>
      </c>
      <c r="E44" s="37"/>
      <c r="F44" s="37"/>
      <c r="G44" s="190" t="s">
        <v>20</v>
      </c>
      <c r="H44" s="37"/>
      <c r="I44" s="195">
        <v>10</v>
      </c>
      <c r="J44" s="196">
        <v>4220</v>
      </c>
      <c r="K44" s="79"/>
    </row>
    <row r="45" spans="1:11" ht="13.95" hidden="1" customHeight="1" outlineLevel="1" x14ac:dyDescent="0.3">
      <c r="A45" s="193" t="s">
        <v>104</v>
      </c>
      <c r="B45" s="193" t="s">
        <v>105</v>
      </c>
      <c r="C45" s="194" t="s">
        <v>69</v>
      </c>
      <c r="D45" s="194" t="s">
        <v>70</v>
      </c>
      <c r="E45" s="37"/>
      <c r="F45" s="37"/>
      <c r="G45" s="190" t="s">
        <v>20</v>
      </c>
      <c r="H45" s="37"/>
      <c r="I45" s="195">
        <v>200</v>
      </c>
      <c r="J45" s="196">
        <v>7138</v>
      </c>
      <c r="K45" s="79"/>
    </row>
    <row r="46" spans="1:11" ht="13.95" hidden="1" customHeight="1" outlineLevel="1" x14ac:dyDescent="0.3">
      <c r="A46" s="193" t="s">
        <v>106</v>
      </c>
      <c r="B46" s="193" t="s">
        <v>107</v>
      </c>
      <c r="C46" s="194" t="s">
        <v>69</v>
      </c>
      <c r="D46" s="194" t="s">
        <v>70</v>
      </c>
      <c r="E46" s="37"/>
      <c r="F46" s="37"/>
      <c r="G46" s="190">
        <v>0.15</v>
      </c>
      <c r="H46" s="37"/>
      <c r="I46" s="195">
        <v>301</v>
      </c>
      <c r="J46" s="196">
        <v>3762.5</v>
      </c>
      <c r="K46" s="79"/>
    </row>
    <row r="47" spans="1:11" ht="13.95" hidden="1" customHeight="1" outlineLevel="1" x14ac:dyDescent="0.3">
      <c r="A47" s="193" t="s">
        <v>108</v>
      </c>
      <c r="B47" s="193" t="s">
        <v>109</v>
      </c>
      <c r="C47" s="194" t="s">
        <v>69</v>
      </c>
      <c r="D47" s="194" t="s">
        <v>70</v>
      </c>
      <c r="E47" s="37"/>
      <c r="F47" s="37"/>
      <c r="G47" s="190">
        <v>0.21</v>
      </c>
      <c r="H47" s="37"/>
      <c r="I47" s="195">
        <v>303</v>
      </c>
      <c r="J47" s="196">
        <v>3636</v>
      </c>
      <c r="K47" s="79"/>
    </row>
    <row r="48" spans="1:11" ht="13.95" hidden="1" customHeight="1" outlineLevel="1" x14ac:dyDescent="0.3">
      <c r="A48" s="193" t="s">
        <v>110</v>
      </c>
      <c r="B48" s="193" t="s">
        <v>111</v>
      </c>
      <c r="C48" s="194" t="s">
        <v>69</v>
      </c>
      <c r="D48" s="194" t="s">
        <v>70</v>
      </c>
      <c r="E48" s="37"/>
      <c r="F48" s="37"/>
      <c r="G48" s="190">
        <v>0.68</v>
      </c>
      <c r="H48" s="37"/>
      <c r="I48" s="195">
        <v>10</v>
      </c>
      <c r="J48" s="196">
        <v>3670</v>
      </c>
      <c r="K48" s="79"/>
    </row>
    <row r="49" spans="1:11" ht="13.95" hidden="1" customHeight="1" outlineLevel="1" x14ac:dyDescent="0.3">
      <c r="A49" s="197" t="s">
        <v>112</v>
      </c>
      <c r="B49" s="197" t="s">
        <v>113</v>
      </c>
      <c r="C49" s="198" t="s">
        <v>69</v>
      </c>
      <c r="D49" s="198" t="s">
        <v>70</v>
      </c>
      <c r="E49" s="80"/>
      <c r="F49" s="80"/>
      <c r="G49" s="198">
        <v>1.29</v>
      </c>
      <c r="H49" s="80"/>
      <c r="I49" s="199">
        <v>100</v>
      </c>
      <c r="J49" s="200">
        <v>2070</v>
      </c>
      <c r="K49" s="81"/>
    </row>
    <row r="50" spans="1:11" ht="13.95" hidden="1" customHeight="1" outlineLevel="1" x14ac:dyDescent="0.3">
      <c r="A50" s="197" t="s">
        <v>114</v>
      </c>
      <c r="B50" s="197" t="s">
        <v>115</v>
      </c>
      <c r="C50" s="198" t="s">
        <v>69</v>
      </c>
      <c r="D50" s="198" t="s">
        <v>70</v>
      </c>
      <c r="E50" s="80"/>
      <c r="F50" s="80"/>
      <c r="G50" s="198">
        <v>1.39</v>
      </c>
      <c r="H50" s="80"/>
      <c r="I50" s="199">
        <v>300</v>
      </c>
      <c r="J50" s="200">
        <v>1710</v>
      </c>
      <c r="K50" s="81"/>
    </row>
    <row r="51" spans="1:11" ht="16.05" hidden="1" customHeight="1" outlineLevel="1" collapsed="1" x14ac:dyDescent="0.3">
      <c r="A51" s="197" t="s">
        <v>116</v>
      </c>
      <c r="B51" s="197" t="s">
        <v>117</v>
      </c>
      <c r="C51" s="198" t="s">
        <v>69</v>
      </c>
      <c r="D51" s="198" t="s">
        <v>70</v>
      </c>
      <c r="E51" s="80"/>
      <c r="F51" s="82"/>
      <c r="G51" s="198">
        <v>2.02</v>
      </c>
      <c r="H51" s="82"/>
      <c r="I51" s="199">
        <v>8</v>
      </c>
      <c r="J51" s="200">
        <v>247.92</v>
      </c>
      <c r="K51" s="81"/>
    </row>
    <row r="52" spans="1:11" ht="13.95" hidden="1" customHeight="1" outlineLevel="1" x14ac:dyDescent="0.3">
      <c r="A52" s="197" t="s">
        <v>118</v>
      </c>
      <c r="B52" s="197" t="s">
        <v>119</v>
      </c>
      <c r="C52" s="198" t="s">
        <v>69</v>
      </c>
      <c r="D52" s="198" t="s">
        <v>70</v>
      </c>
      <c r="E52" s="80"/>
      <c r="F52" s="80"/>
      <c r="G52" s="198">
        <v>4.49</v>
      </c>
      <c r="H52" s="80"/>
      <c r="I52" s="199">
        <v>100</v>
      </c>
      <c r="J52" s="200">
        <v>3350</v>
      </c>
      <c r="K52" s="81"/>
    </row>
    <row r="53" spans="1:11" ht="13.95" customHeight="1" collapsed="1" x14ac:dyDescent="0.3">
      <c r="A53" s="189" t="s">
        <v>120</v>
      </c>
      <c r="B53" s="189" t="s">
        <v>121</v>
      </c>
      <c r="C53" s="190" t="s">
        <v>122</v>
      </c>
      <c r="D53" s="190" t="s">
        <v>70</v>
      </c>
      <c r="E53" s="189" t="s">
        <v>91</v>
      </c>
      <c r="F53" s="190">
        <v>14</v>
      </c>
      <c r="G53" s="190">
        <v>7</v>
      </c>
      <c r="H53" s="190">
        <v>3</v>
      </c>
      <c r="I53" s="191">
        <v>4835</v>
      </c>
      <c r="J53" s="192">
        <v>49320.94</v>
      </c>
      <c r="K53" s="190" t="s">
        <v>17</v>
      </c>
    </row>
    <row r="54" spans="1:11" ht="13.95" hidden="1" customHeight="1" outlineLevel="1" collapsed="1" x14ac:dyDescent="0.3">
      <c r="A54" s="193" t="s">
        <v>61</v>
      </c>
      <c r="B54" s="193" t="s">
        <v>62</v>
      </c>
      <c r="C54" s="194" t="s">
        <v>122</v>
      </c>
      <c r="D54" s="194" t="s">
        <v>70</v>
      </c>
      <c r="E54" s="74"/>
      <c r="F54" s="75"/>
      <c r="G54" s="190">
        <v>0.28999999999999998</v>
      </c>
      <c r="H54" s="75"/>
      <c r="I54" s="195">
        <v>50</v>
      </c>
      <c r="J54" s="196">
        <v>3250</v>
      </c>
      <c r="K54" s="75"/>
    </row>
    <row r="55" spans="1:11" ht="13.95" hidden="1" customHeight="1" outlineLevel="1" x14ac:dyDescent="0.3">
      <c r="A55" s="193" t="s">
        <v>123</v>
      </c>
      <c r="B55" s="193" t="s">
        <v>124</v>
      </c>
      <c r="C55" s="194" t="s">
        <v>122</v>
      </c>
      <c r="D55" s="194" t="s">
        <v>70</v>
      </c>
      <c r="E55" s="77"/>
      <c r="F55" s="77"/>
      <c r="G55" s="190">
        <v>0.33</v>
      </c>
      <c r="H55" s="77"/>
      <c r="I55" s="195">
        <v>1000</v>
      </c>
      <c r="J55" s="196">
        <v>2900</v>
      </c>
      <c r="K55" s="79"/>
    </row>
    <row r="56" spans="1:11" ht="13.95" hidden="1" customHeight="1" outlineLevel="1" collapsed="1" x14ac:dyDescent="0.3">
      <c r="A56" s="193" t="s">
        <v>125</v>
      </c>
      <c r="B56" s="193" t="s">
        <v>126</v>
      </c>
      <c r="C56" s="194" t="s">
        <v>122</v>
      </c>
      <c r="D56" s="194" t="s">
        <v>70</v>
      </c>
      <c r="E56" s="74"/>
      <c r="F56" s="75"/>
      <c r="G56" s="190">
        <v>0.34</v>
      </c>
      <c r="H56" s="75"/>
      <c r="I56" s="195">
        <v>150</v>
      </c>
      <c r="J56" s="196">
        <v>3375</v>
      </c>
      <c r="K56" s="75"/>
    </row>
    <row r="57" spans="1:11" ht="13.95" hidden="1" customHeight="1" outlineLevel="1" collapsed="1" x14ac:dyDescent="0.3">
      <c r="A57" s="193" t="s">
        <v>127</v>
      </c>
      <c r="B57" s="193" t="s">
        <v>128</v>
      </c>
      <c r="C57" s="194" t="s">
        <v>122</v>
      </c>
      <c r="D57" s="194" t="s">
        <v>70</v>
      </c>
      <c r="E57" s="135"/>
      <c r="F57" s="136"/>
      <c r="G57" s="190">
        <v>0.41</v>
      </c>
      <c r="H57" s="136"/>
      <c r="I57" s="195">
        <v>504</v>
      </c>
      <c r="J57" s="196">
        <v>3805.2</v>
      </c>
      <c r="K57" s="136"/>
    </row>
    <row r="58" spans="1:11" ht="13.95" hidden="1" customHeight="1" outlineLevel="1" x14ac:dyDescent="0.3">
      <c r="A58" s="193" t="s">
        <v>129</v>
      </c>
      <c r="B58" s="193" t="s">
        <v>130</v>
      </c>
      <c r="C58" s="194" t="s">
        <v>122</v>
      </c>
      <c r="D58" s="194" t="s">
        <v>70</v>
      </c>
      <c r="E58" s="37"/>
      <c r="F58" s="37"/>
      <c r="G58" s="190">
        <v>0.46</v>
      </c>
      <c r="H58" s="37"/>
      <c r="I58" s="195">
        <v>300</v>
      </c>
      <c r="J58" s="196">
        <v>750</v>
      </c>
      <c r="K58" s="79"/>
    </row>
    <row r="59" spans="1:11" ht="13.95" hidden="1" customHeight="1" outlineLevel="1" collapsed="1" x14ac:dyDescent="0.3">
      <c r="A59" s="193" t="s">
        <v>131</v>
      </c>
      <c r="B59" s="193" t="s">
        <v>132</v>
      </c>
      <c r="C59" s="194" t="s">
        <v>122</v>
      </c>
      <c r="D59" s="194" t="s">
        <v>70</v>
      </c>
      <c r="E59" s="37"/>
      <c r="F59" s="38"/>
      <c r="G59" s="190">
        <v>0.51</v>
      </c>
      <c r="H59" s="38"/>
      <c r="I59" s="195">
        <v>75</v>
      </c>
      <c r="J59" s="196">
        <v>1575</v>
      </c>
      <c r="K59" s="38"/>
    </row>
    <row r="60" spans="1:11" ht="13.95" hidden="1" customHeight="1" outlineLevel="1" x14ac:dyDescent="0.3">
      <c r="A60" s="193" t="s">
        <v>133</v>
      </c>
      <c r="B60" s="193" t="s">
        <v>134</v>
      </c>
      <c r="C60" s="194" t="s">
        <v>122</v>
      </c>
      <c r="D60" s="194" t="s">
        <v>70</v>
      </c>
      <c r="E60" s="37"/>
      <c r="F60" s="37"/>
      <c r="G60" s="190">
        <v>0.72</v>
      </c>
      <c r="H60" s="37"/>
      <c r="I60" s="195">
        <v>1200</v>
      </c>
      <c r="J60" s="196">
        <v>5880</v>
      </c>
      <c r="K60" s="79"/>
    </row>
    <row r="61" spans="1:11" ht="13.95" hidden="1" customHeight="1" outlineLevel="1" x14ac:dyDescent="0.3">
      <c r="A61" s="197" t="s">
        <v>135</v>
      </c>
      <c r="B61" s="197" t="s">
        <v>136</v>
      </c>
      <c r="C61" s="198" t="s">
        <v>122</v>
      </c>
      <c r="D61" s="198" t="s">
        <v>70</v>
      </c>
      <c r="E61" s="80"/>
      <c r="F61" s="80"/>
      <c r="G61" s="198">
        <v>1.31</v>
      </c>
      <c r="H61" s="80"/>
      <c r="I61" s="199">
        <v>600</v>
      </c>
      <c r="J61" s="200">
        <v>17820</v>
      </c>
      <c r="K61" s="81"/>
    </row>
    <row r="62" spans="1:11" ht="13.95" hidden="1" customHeight="1" outlineLevel="1" x14ac:dyDescent="0.3">
      <c r="A62" s="197" t="s">
        <v>137</v>
      </c>
      <c r="B62" s="197" t="s">
        <v>138</v>
      </c>
      <c r="C62" s="198" t="s">
        <v>122</v>
      </c>
      <c r="D62" s="198" t="s">
        <v>70</v>
      </c>
      <c r="E62" s="80"/>
      <c r="F62" s="80"/>
      <c r="G62" s="198">
        <v>1.39</v>
      </c>
      <c r="H62" s="80"/>
      <c r="I62" s="199">
        <v>70</v>
      </c>
      <c r="J62" s="200">
        <v>1470</v>
      </c>
      <c r="K62" s="81"/>
    </row>
    <row r="63" spans="1:11" ht="13.95" hidden="1" customHeight="1" outlineLevel="1" x14ac:dyDescent="0.3">
      <c r="A63" s="197" t="s">
        <v>139</v>
      </c>
      <c r="B63" s="197" t="s">
        <v>140</v>
      </c>
      <c r="C63" s="198" t="s">
        <v>122</v>
      </c>
      <c r="D63" s="198" t="s">
        <v>70</v>
      </c>
      <c r="E63" s="80"/>
      <c r="F63" s="80"/>
      <c r="G63" s="198">
        <v>1.66</v>
      </c>
      <c r="H63" s="80"/>
      <c r="I63" s="199">
        <v>300</v>
      </c>
      <c r="J63" s="200">
        <v>1470</v>
      </c>
      <c r="K63" s="81"/>
    </row>
    <row r="64" spans="1:11" ht="13.95" hidden="1" customHeight="1" outlineLevel="1" x14ac:dyDescent="0.3">
      <c r="A64" s="197" t="s">
        <v>116</v>
      </c>
      <c r="B64" s="197" t="s">
        <v>117</v>
      </c>
      <c r="C64" s="198" t="s">
        <v>122</v>
      </c>
      <c r="D64" s="198" t="s">
        <v>70</v>
      </c>
      <c r="E64" s="80"/>
      <c r="F64" s="80"/>
      <c r="G64" s="198">
        <v>2.02</v>
      </c>
      <c r="H64" s="80"/>
      <c r="I64" s="199">
        <v>26</v>
      </c>
      <c r="J64" s="200">
        <v>805.74</v>
      </c>
      <c r="K64" s="81"/>
    </row>
    <row r="65" spans="1:11" ht="13.95" hidden="1" customHeight="1" outlineLevel="1" collapsed="1" x14ac:dyDescent="0.3">
      <c r="A65" s="197" t="s">
        <v>141</v>
      </c>
      <c r="B65" s="197" t="s">
        <v>142</v>
      </c>
      <c r="C65" s="198" t="s">
        <v>122</v>
      </c>
      <c r="D65" s="198" t="s">
        <v>70</v>
      </c>
      <c r="E65" s="201"/>
      <c r="F65" s="202"/>
      <c r="G65" s="198">
        <v>2.78</v>
      </c>
      <c r="H65" s="202"/>
      <c r="I65" s="199">
        <v>156</v>
      </c>
      <c r="J65" s="200">
        <v>2145</v>
      </c>
      <c r="K65" s="202"/>
    </row>
    <row r="66" spans="1:11" ht="13.95" hidden="1" customHeight="1" outlineLevel="1" x14ac:dyDescent="0.3">
      <c r="A66" s="197" t="s">
        <v>143</v>
      </c>
      <c r="B66" s="197" t="s">
        <v>144</v>
      </c>
      <c r="C66" s="198" t="s">
        <v>122</v>
      </c>
      <c r="D66" s="198" t="s">
        <v>70</v>
      </c>
      <c r="E66" s="80"/>
      <c r="F66" s="80"/>
      <c r="G66" s="198">
        <v>2.87</v>
      </c>
      <c r="H66" s="80"/>
      <c r="I66" s="199">
        <v>204</v>
      </c>
      <c r="J66" s="200">
        <v>2805</v>
      </c>
      <c r="K66" s="81"/>
    </row>
    <row r="67" spans="1:11" ht="16.05" hidden="1" customHeight="1" outlineLevel="1" collapsed="1" x14ac:dyDescent="0.3">
      <c r="A67" s="197" t="s">
        <v>145</v>
      </c>
      <c r="B67" s="197" t="s">
        <v>146</v>
      </c>
      <c r="C67" s="198" t="s">
        <v>122</v>
      </c>
      <c r="D67" s="198" t="s">
        <v>70</v>
      </c>
      <c r="E67" s="80"/>
      <c r="F67" s="82"/>
      <c r="G67" s="198">
        <v>3.34</v>
      </c>
      <c r="H67" s="82"/>
      <c r="I67" s="199">
        <v>200</v>
      </c>
      <c r="J67" s="200">
        <v>1270</v>
      </c>
      <c r="K67" s="81"/>
    </row>
    <row r="68" spans="1:11" ht="13.95" customHeight="1" collapsed="1" x14ac:dyDescent="0.3">
      <c r="A68" s="189" t="s">
        <v>147</v>
      </c>
      <c r="B68" s="189" t="s">
        <v>148</v>
      </c>
      <c r="C68" s="190" t="s">
        <v>149</v>
      </c>
      <c r="D68" s="190" t="s">
        <v>70</v>
      </c>
      <c r="E68" s="189" t="s">
        <v>150</v>
      </c>
      <c r="F68" s="190">
        <v>21</v>
      </c>
      <c r="G68" s="190">
        <v>7</v>
      </c>
      <c r="H68" s="190">
        <v>2</v>
      </c>
      <c r="I68" s="191">
        <v>4191</v>
      </c>
      <c r="J68" s="192">
        <v>48251.05</v>
      </c>
      <c r="K68" s="190" t="s">
        <v>17</v>
      </c>
    </row>
    <row r="69" spans="1:11" ht="13.95" hidden="1" customHeight="1" outlineLevel="1" x14ac:dyDescent="0.3">
      <c r="A69" s="193" t="s">
        <v>151</v>
      </c>
      <c r="B69" s="193" t="s">
        <v>152</v>
      </c>
      <c r="C69" s="194" t="s">
        <v>149</v>
      </c>
      <c r="D69" s="194" t="s">
        <v>70</v>
      </c>
      <c r="E69" s="37"/>
      <c r="F69" s="37"/>
      <c r="G69" s="190">
        <v>0.17</v>
      </c>
      <c r="H69" s="37"/>
      <c r="I69" s="195">
        <v>300</v>
      </c>
      <c r="J69" s="196">
        <v>2850</v>
      </c>
      <c r="K69" s="79"/>
    </row>
    <row r="70" spans="1:11" ht="13.95" hidden="1" customHeight="1" outlineLevel="1" x14ac:dyDescent="0.3">
      <c r="A70" s="193" t="s">
        <v>153</v>
      </c>
      <c r="B70" s="193" t="s">
        <v>154</v>
      </c>
      <c r="C70" s="194" t="s">
        <v>149</v>
      </c>
      <c r="D70" s="194" t="s">
        <v>70</v>
      </c>
      <c r="E70" s="37"/>
      <c r="F70" s="37"/>
      <c r="G70" s="190">
        <v>0.18</v>
      </c>
      <c r="H70" s="37"/>
      <c r="I70" s="195">
        <v>150</v>
      </c>
      <c r="J70" s="196">
        <v>4200</v>
      </c>
      <c r="K70" s="79"/>
    </row>
    <row r="71" spans="1:11" ht="13.95" hidden="1" customHeight="1" outlineLevel="1" x14ac:dyDescent="0.3">
      <c r="A71" s="193" t="s">
        <v>155</v>
      </c>
      <c r="B71" s="193" t="s">
        <v>156</v>
      </c>
      <c r="C71" s="194" t="s">
        <v>149</v>
      </c>
      <c r="D71" s="194" t="s">
        <v>70</v>
      </c>
      <c r="E71" s="37"/>
      <c r="F71" s="37"/>
      <c r="G71" s="190">
        <v>0.21</v>
      </c>
      <c r="H71" s="37"/>
      <c r="I71" s="195">
        <v>600</v>
      </c>
      <c r="J71" s="196">
        <v>5021.9999999999991</v>
      </c>
      <c r="K71" s="79"/>
    </row>
    <row r="72" spans="1:11" ht="13.95" hidden="1" customHeight="1" outlineLevel="1" x14ac:dyDescent="0.3">
      <c r="A72" s="193" t="s">
        <v>157</v>
      </c>
      <c r="B72" s="193" t="s">
        <v>158</v>
      </c>
      <c r="C72" s="194" t="s">
        <v>149</v>
      </c>
      <c r="D72" s="194" t="s">
        <v>70</v>
      </c>
      <c r="E72" s="37"/>
      <c r="F72" s="37"/>
      <c r="G72" s="190">
        <v>0.36</v>
      </c>
      <c r="H72" s="37"/>
      <c r="I72" s="195">
        <v>300</v>
      </c>
      <c r="J72" s="196">
        <v>6141</v>
      </c>
      <c r="K72" s="79"/>
    </row>
    <row r="73" spans="1:11" ht="13.95" hidden="1" customHeight="1" outlineLevel="1" x14ac:dyDescent="0.3">
      <c r="A73" s="193" t="s">
        <v>159</v>
      </c>
      <c r="B73" s="193" t="s">
        <v>160</v>
      </c>
      <c r="C73" s="194" t="s">
        <v>149</v>
      </c>
      <c r="D73" s="194" t="s">
        <v>70</v>
      </c>
      <c r="E73" s="37"/>
      <c r="F73" s="37"/>
      <c r="G73" s="190">
        <v>0.82</v>
      </c>
      <c r="H73" s="37"/>
      <c r="I73" s="195">
        <v>204</v>
      </c>
      <c r="J73" s="196">
        <v>616.08000000000004</v>
      </c>
      <c r="K73" s="79"/>
    </row>
    <row r="74" spans="1:11" ht="13.95" hidden="1" customHeight="1" outlineLevel="1" x14ac:dyDescent="0.3">
      <c r="A74" s="193" t="s">
        <v>161</v>
      </c>
      <c r="B74" s="193" t="s">
        <v>162</v>
      </c>
      <c r="C74" s="194" t="s">
        <v>149</v>
      </c>
      <c r="D74" s="194" t="s">
        <v>70</v>
      </c>
      <c r="E74" s="37"/>
      <c r="F74" s="37"/>
      <c r="G74" s="190">
        <v>0.86</v>
      </c>
      <c r="H74" s="37"/>
      <c r="I74" s="195">
        <v>204</v>
      </c>
      <c r="J74" s="196">
        <v>856.80000000000007</v>
      </c>
      <c r="K74" s="79"/>
    </row>
    <row r="75" spans="1:11" ht="13.95" hidden="1" customHeight="1" outlineLevel="1" x14ac:dyDescent="0.3">
      <c r="A75" s="193" t="s">
        <v>163</v>
      </c>
      <c r="B75" s="193" t="s">
        <v>164</v>
      </c>
      <c r="C75" s="194" t="s">
        <v>149</v>
      </c>
      <c r="D75" s="194" t="s">
        <v>70</v>
      </c>
      <c r="E75" s="37"/>
      <c r="F75" s="37"/>
      <c r="G75" s="190">
        <v>0.89</v>
      </c>
      <c r="H75" s="37"/>
      <c r="I75" s="195">
        <v>50</v>
      </c>
      <c r="J75" s="196">
        <v>397.5</v>
      </c>
      <c r="K75" s="79"/>
    </row>
    <row r="76" spans="1:11" ht="13.95" hidden="1" customHeight="1" outlineLevel="1" collapsed="1" x14ac:dyDescent="0.3">
      <c r="A76" s="197" t="s">
        <v>165</v>
      </c>
      <c r="B76" s="197" t="s">
        <v>166</v>
      </c>
      <c r="C76" s="198" t="s">
        <v>149</v>
      </c>
      <c r="D76" s="198" t="s">
        <v>70</v>
      </c>
      <c r="E76" s="201"/>
      <c r="F76" s="202"/>
      <c r="G76" s="198">
        <v>1.17</v>
      </c>
      <c r="H76" s="202"/>
      <c r="I76" s="199">
        <v>50</v>
      </c>
      <c r="J76" s="200">
        <v>397.5</v>
      </c>
      <c r="K76" s="202"/>
    </row>
    <row r="77" spans="1:11" ht="13.95" hidden="1" customHeight="1" outlineLevel="1" x14ac:dyDescent="0.3">
      <c r="A77" s="197" t="s">
        <v>78</v>
      </c>
      <c r="B77" s="197" t="s">
        <v>79</v>
      </c>
      <c r="C77" s="198" t="s">
        <v>149</v>
      </c>
      <c r="D77" s="198" t="s">
        <v>70</v>
      </c>
      <c r="E77" s="80"/>
      <c r="F77" s="80"/>
      <c r="G77" s="198">
        <v>1.84</v>
      </c>
      <c r="H77" s="80"/>
      <c r="I77" s="199">
        <v>400</v>
      </c>
      <c r="J77" s="200">
        <v>7840.0000000000009</v>
      </c>
      <c r="K77" s="81"/>
    </row>
    <row r="78" spans="1:11" ht="13.95" hidden="1" customHeight="1" outlineLevel="1" collapsed="1" x14ac:dyDescent="0.3">
      <c r="A78" s="197" t="s">
        <v>116</v>
      </c>
      <c r="B78" s="197" t="s">
        <v>117</v>
      </c>
      <c r="C78" s="198" t="s">
        <v>149</v>
      </c>
      <c r="D78" s="198" t="s">
        <v>70</v>
      </c>
      <c r="E78" s="96"/>
      <c r="F78" s="97"/>
      <c r="G78" s="198">
        <v>2.02</v>
      </c>
      <c r="H78" s="97"/>
      <c r="I78" s="199">
        <v>71</v>
      </c>
      <c r="J78" s="200">
        <v>2200.29</v>
      </c>
      <c r="K78" s="97"/>
    </row>
    <row r="79" spans="1:11" ht="13.95" hidden="1" customHeight="1" outlineLevel="1" x14ac:dyDescent="0.3">
      <c r="A79" s="197" t="s">
        <v>167</v>
      </c>
      <c r="B79" s="197" t="s">
        <v>168</v>
      </c>
      <c r="C79" s="198" t="s">
        <v>149</v>
      </c>
      <c r="D79" s="198" t="s">
        <v>70</v>
      </c>
      <c r="E79" s="80"/>
      <c r="F79" s="80"/>
      <c r="G79" s="198">
        <v>2.57</v>
      </c>
      <c r="H79" s="80"/>
      <c r="I79" s="199">
        <v>20</v>
      </c>
      <c r="J79" s="200">
        <v>626</v>
      </c>
      <c r="K79" s="81"/>
    </row>
    <row r="80" spans="1:11" ht="13.95" hidden="1" customHeight="1" outlineLevel="1" x14ac:dyDescent="0.3">
      <c r="A80" s="197" t="s">
        <v>169</v>
      </c>
      <c r="B80" s="197" t="s">
        <v>170</v>
      </c>
      <c r="C80" s="198" t="s">
        <v>149</v>
      </c>
      <c r="D80" s="198" t="s">
        <v>70</v>
      </c>
      <c r="E80" s="80"/>
      <c r="F80" s="80"/>
      <c r="G80" s="198">
        <v>2.97</v>
      </c>
      <c r="H80" s="80"/>
      <c r="I80" s="199">
        <v>252</v>
      </c>
      <c r="J80" s="200">
        <v>6136.2000000000007</v>
      </c>
      <c r="K80" s="81"/>
    </row>
    <row r="81" spans="1:11" ht="13.95" hidden="1" customHeight="1" outlineLevel="1" collapsed="1" x14ac:dyDescent="0.3">
      <c r="A81" s="197" t="s">
        <v>171</v>
      </c>
      <c r="B81" s="197" t="s">
        <v>172</v>
      </c>
      <c r="C81" s="198" t="s">
        <v>149</v>
      </c>
      <c r="D81" s="198" t="s">
        <v>70</v>
      </c>
      <c r="E81" s="120"/>
      <c r="F81" s="121"/>
      <c r="G81" s="198">
        <v>3.23</v>
      </c>
      <c r="H81" s="121"/>
      <c r="I81" s="199">
        <v>303</v>
      </c>
      <c r="J81" s="200">
        <v>6060</v>
      </c>
      <c r="K81" s="121"/>
    </row>
    <row r="82" spans="1:11" ht="13.95" hidden="1" customHeight="1" outlineLevel="1" x14ac:dyDescent="0.3">
      <c r="A82" s="197" t="s">
        <v>173</v>
      </c>
      <c r="B82" s="197" t="s">
        <v>174</v>
      </c>
      <c r="C82" s="198" t="s">
        <v>149</v>
      </c>
      <c r="D82" s="198" t="s">
        <v>70</v>
      </c>
      <c r="E82" s="80"/>
      <c r="F82" s="80"/>
      <c r="G82" s="198">
        <v>3.26</v>
      </c>
      <c r="H82" s="80"/>
      <c r="I82" s="199">
        <v>100</v>
      </c>
      <c r="J82" s="200">
        <v>455</v>
      </c>
      <c r="K82" s="81"/>
    </row>
    <row r="83" spans="1:11" ht="13.95" hidden="1" customHeight="1" outlineLevel="1" x14ac:dyDescent="0.3">
      <c r="A83" s="197" t="s">
        <v>175</v>
      </c>
      <c r="B83" s="197" t="s">
        <v>176</v>
      </c>
      <c r="C83" s="198" t="s">
        <v>149</v>
      </c>
      <c r="D83" s="198" t="s">
        <v>70</v>
      </c>
      <c r="E83" s="80"/>
      <c r="F83" s="80"/>
      <c r="G83" s="198">
        <v>3.6</v>
      </c>
      <c r="H83" s="80"/>
      <c r="I83" s="199">
        <v>5</v>
      </c>
      <c r="J83" s="200">
        <v>400</v>
      </c>
      <c r="K83" s="81"/>
    </row>
    <row r="84" spans="1:11" ht="13.95" hidden="1" customHeight="1" outlineLevel="1" x14ac:dyDescent="0.3">
      <c r="A84" s="197" t="s">
        <v>177</v>
      </c>
      <c r="B84" s="197" t="s">
        <v>178</v>
      </c>
      <c r="C84" s="198" t="s">
        <v>149</v>
      </c>
      <c r="D84" s="198" t="s">
        <v>70</v>
      </c>
      <c r="E84" s="80"/>
      <c r="F84" s="80"/>
      <c r="G84" s="198">
        <v>3.94</v>
      </c>
      <c r="H84" s="80"/>
      <c r="I84" s="199">
        <v>75</v>
      </c>
      <c r="J84" s="200">
        <v>247.5</v>
      </c>
      <c r="K84" s="81"/>
    </row>
    <row r="85" spans="1:11" ht="13.95" hidden="1" customHeight="1" outlineLevel="1" x14ac:dyDescent="0.3">
      <c r="A85" s="197" t="s">
        <v>179</v>
      </c>
      <c r="B85" s="197" t="s">
        <v>180</v>
      </c>
      <c r="C85" s="198" t="s">
        <v>149</v>
      </c>
      <c r="D85" s="198" t="s">
        <v>70</v>
      </c>
      <c r="E85" s="80"/>
      <c r="F85" s="80"/>
      <c r="G85" s="198">
        <v>3.96</v>
      </c>
      <c r="H85" s="80"/>
      <c r="I85" s="199">
        <v>303</v>
      </c>
      <c r="J85" s="200">
        <v>1424.1</v>
      </c>
      <c r="K85" s="81"/>
    </row>
    <row r="86" spans="1:11" ht="13.95" hidden="1" customHeight="1" outlineLevel="1" x14ac:dyDescent="0.3">
      <c r="A86" s="197" t="s">
        <v>181</v>
      </c>
      <c r="B86" s="197" t="s">
        <v>182</v>
      </c>
      <c r="C86" s="198" t="s">
        <v>149</v>
      </c>
      <c r="D86" s="198" t="s">
        <v>70</v>
      </c>
      <c r="E86" s="80"/>
      <c r="F86" s="80"/>
      <c r="G86" s="198">
        <v>4.2300000000000004</v>
      </c>
      <c r="H86" s="80"/>
      <c r="I86" s="199">
        <v>100</v>
      </c>
      <c r="J86" s="200">
        <v>330</v>
      </c>
      <c r="K86" s="81"/>
    </row>
    <row r="87" spans="1:11" ht="13.95" hidden="1" customHeight="1" outlineLevel="1" x14ac:dyDescent="0.3">
      <c r="A87" s="197" t="s">
        <v>183</v>
      </c>
      <c r="B87" s="197" t="s">
        <v>184</v>
      </c>
      <c r="C87" s="198" t="s">
        <v>149</v>
      </c>
      <c r="D87" s="198" t="s">
        <v>70</v>
      </c>
      <c r="E87" s="80"/>
      <c r="F87" s="80"/>
      <c r="G87" s="198">
        <v>5.01</v>
      </c>
      <c r="H87" s="80"/>
      <c r="I87" s="199">
        <v>100</v>
      </c>
      <c r="J87" s="200">
        <v>330</v>
      </c>
      <c r="K87" s="81"/>
    </row>
    <row r="88" spans="1:11" ht="13.95" hidden="1" customHeight="1" outlineLevel="1" x14ac:dyDescent="0.3">
      <c r="A88" s="197" t="s">
        <v>185</v>
      </c>
      <c r="B88" s="197" t="s">
        <v>186</v>
      </c>
      <c r="C88" s="198" t="s">
        <v>149</v>
      </c>
      <c r="D88" s="198" t="s">
        <v>70</v>
      </c>
      <c r="E88" s="80"/>
      <c r="F88" s="80"/>
      <c r="G88" s="198">
        <v>6.93</v>
      </c>
      <c r="H88" s="80"/>
      <c r="I88" s="199">
        <v>504</v>
      </c>
      <c r="J88" s="200">
        <v>1396.08</v>
      </c>
      <c r="K88" s="81"/>
    </row>
    <row r="89" spans="1:11" ht="13.95" hidden="1" customHeight="1" outlineLevel="1" x14ac:dyDescent="0.3">
      <c r="A89" s="197" t="s">
        <v>187</v>
      </c>
      <c r="B89" s="197" t="s">
        <v>188</v>
      </c>
      <c r="C89" s="198" t="s">
        <v>149</v>
      </c>
      <c r="D89" s="198" t="s">
        <v>70</v>
      </c>
      <c r="E89" s="80"/>
      <c r="F89" s="80"/>
      <c r="G89" s="198">
        <v>12.92</v>
      </c>
      <c r="H89" s="80"/>
      <c r="I89" s="199">
        <v>100</v>
      </c>
      <c r="J89" s="200">
        <v>325</v>
      </c>
      <c r="K89" s="81"/>
    </row>
    <row r="90" spans="1:11" ht="13.95" customHeight="1" collapsed="1" x14ac:dyDescent="0.3">
      <c r="A90" s="189" t="s">
        <v>189</v>
      </c>
      <c r="B90" s="189" t="s">
        <v>190</v>
      </c>
      <c r="C90" s="190" t="s">
        <v>191</v>
      </c>
      <c r="D90" s="190" t="s">
        <v>192</v>
      </c>
      <c r="E90" s="189" t="s">
        <v>193</v>
      </c>
      <c r="F90" s="190">
        <v>23</v>
      </c>
      <c r="G90" s="190">
        <v>15</v>
      </c>
      <c r="H90" s="190">
        <v>2</v>
      </c>
      <c r="I90" s="191">
        <v>9020</v>
      </c>
      <c r="J90" s="192">
        <v>63688.800000000003</v>
      </c>
      <c r="K90" s="190" t="s">
        <v>17</v>
      </c>
    </row>
    <row r="91" spans="1:11" ht="13.95" hidden="1" customHeight="1" outlineLevel="1" collapsed="1" x14ac:dyDescent="0.3">
      <c r="A91" s="193" t="s">
        <v>23</v>
      </c>
      <c r="B91" s="193" t="s">
        <v>24</v>
      </c>
      <c r="C91" s="194" t="s">
        <v>191</v>
      </c>
      <c r="D91" s="194" t="s">
        <v>192</v>
      </c>
      <c r="E91" s="135"/>
      <c r="F91" s="136"/>
      <c r="G91" s="190" t="s">
        <v>20</v>
      </c>
      <c r="H91" s="136"/>
      <c r="I91" s="195">
        <v>100</v>
      </c>
      <c r="J91" s="196">
        <v>1400</v>
      </c>
      <c r="K91" s="136"/>
    </row>
    <row r="92" spans="1:11" ht="13.95" hidden="1" customHeight="1" outlineLevel="1" collapsed="1" x14ac:dyDescent="0.3">
      <c r="A92" s="193" t="s">
        <v>194</v>
      </c>
      <c r="B92" s="193" t="s">
        <v>195</v>
      </c>
      <c r="C92" s="194" t="s">
        <v>191</v>
      </c>
      <c r="D92" s="194" t="s">
        <v>192</v>
      </c>
      <c r="E92" s="74"/>
      <c r="F92" s="75"/>
      <c r="G92" s="190" t="s">
        <v>20</v>
      </c>
      <c r="H92" s="75"/>
      <c r="I92" s="195">
        <v>1110</v>
      </c>
      <c r="J92" s="196">
        <v>4950.6000000000004</v>
      </c>
      <c r="K92" s="75"/>
    </row>
    <row r="93" spans="1:11" ht="13.95" hidden="1" customHeight="1" outlineLevel="1" x14ac:dyDescent="0.3">
      <c r="A93" s="193" t="s">
        <v>196</v>
      </c>
      <c r="B93" s="193" t="s">
        <v>197</v>
      </c>
      <c r="C93" s="194" t="s">
        <v>191</v>
      </c>
      <c r="D93" s="194" t="s">
        <v>192</v>
      </c>
      <c r="E93" s="37"/>
      <c r="F93" s="37"/>
      <c r="G93" s="190" t="s">
        <v>20</v>
      </c>
      <c r="H93" s="37"/>
      <c r="I93" s="195">
        <v>740</v>
      </c>
      <c r="J93" s="196">
        <v>3300.4</v>
      </c>
      <c r="K93" s="79"/>
    </row>
    <row r="94" spans="1:11" ht="13.95" hidden="1" customHeight="1" outlineLevel="1" x14ac:dyDescent="0.3">
      <c r="A94" s="193" t="s">
        <v>198</v>
      </c>
      <c r="B94" s="193" t="s">
        <v>199</v>
      </c>
      <c r="C94" s="194" t="s">
        <v>191</v>
      </c>
      <c r="D94" s="194" t="s">
        <v>192</v>
      </c>
      <c r="E94" s="37"/>
      <c r="F94" s="37"/>
      <c r="G94" s="190" t="s">
        <v>20</v>
      </c>
      <c r="H94" s="37"/>
      <c r="I94" s="195">
        <v>1430</v>
      </c>
      <c r="J94" s="196">
        <v>6277.7</v>
      </c>
      <c r="K94" s="79"/>
    </row>
    <row r="95" spans="1:11" ht="13.95" hidden="1" customHeight="1" outlineLevel="1" collapsed="1" x14ac:dyDescent="0.3">
      <c r="A95" s="193" t="s">
        <v>200</v>
      </c>
      <c r="B95" s="193" t="s">
        <v>201</v>
      </c>
      <c r="C95" s="194" t="s">
        <v>191</v>
      </c>
      <c r="D95" s="194" t="s">
        <v>192</v>
      </c>
      <c r="E95" s="118"/>
      <c r="F95" s="119"/>
      <c r="G95" s="190" t="s">
        <v>20</v>
      </c>
      <c r="H95" s="119"/>
      <c r="I95" s="195">
        <v>1060</v>
      </c>
      <c r="J95" s="196">
        <v>4653.3999999999996</v>
      </c>
      <c r="K95" s="119"/>
    </row>
    <row r="96" spans="1:11" ht="13.95" hidden="1" customHeight="1" outlineLevel="1" x14ac:dyDescent="0.3">
      <c r="A96" s="193" t="s">
        <v>202</v>
      </c>
      <c r="B96" s="193" t="s">
        <v>203</v>
      </c>
      <c r="C96" s="194" t="s">
        <v>191</v>
      </c>
      <c r="D96" s="194" t="s">
        <v>192</v>
      </c>
      <c r="E96" s="37"/>
      <c r="F96" s="37"/>
      <c r="G96" s="190" t="s">
        <v>20</v>
      </c>
      <c r="H96" s="37"/>
      <c r="I96" s="195">
        <v>1110</v>
      </c>
      <c r="J96" s="196">
        <v>4950.6000000000004</v>
      </c>
      <c r="K96" s="79"/>
    </row>
    <row r="97" spans="1:11" ht="13.95" hidden="1" customHeight="1" outlineLevel="1" x14ac:dyDescent="0.3">
      <c r="A97" s="193" t="s">
        <v>204</v>
      </c>
      <c r="B97" s="193" t="s">
        <v>205</v>
      </c>
      <c r="C97" s="194" t="s">
        <v>191</v>
      </c>
      <c r="D97" s="194" t="s">
        <v>192</v>
      </c>
      <c r="E97" s="37"/>
      <c r="F97" s="37"/>
      <c r="G97" s="190" t="s">
        <v>20</v>
      </c>
      <c r="H97" s="37"/>
      <c r="I97" s="195">
        <v>1110</v>
      </c>
      <c r="J97" s="196">
        <v>4872.8999999999996</v>
      </c>
      <c r="K97" s="79"/>
    </row>
    <row r="98" spans="1:11" ht="13.95" hidden="1" customHeight="1" outlineLevel="1" x14ac:dyDescent="0.3">
      <c r="A98" s="193" t="s">
        <v>206</v>
      </c>
      <c r="B98" s="193" t="s">
        <v>207</v>
      </c>
      <c r="C98" s="194" t="s">
        <v>191</v>
      </c>
      <c r="D98" s="194" t="s">
        <v>192</v>
      </c>
      <c r="E98" s="37"/>
      <c r="F98" s="37"/>
      <c r="G98" s="190" t="s">
        <v>20</v>
      </c>
      <c r="H98" s="37"/>
      <c r="I98" s="195">
        <v>790</v>
      </c>
      <c r="J98" s="196">
        <v>3673.5</v>
      </c>
      <c r="K98" s="79"/>
    </row>
    <row r="99" spans="1:11" ht="13.95" hidden="1" customHeight="1" outlineLevel="1" x14ac:dyDescent="0.3">
      <c r="A99" s="193" t="s">
        <v>208</v>
      </c>
      <c r="B99" s="193" t="s">
        <v>209</v>
      </c>
      <c r="C99" s="194" t="s">
        <v>191</v>
      </c>
      <c r="D99" s="194" t="s">
        <v>192</v>
      </c>
      <c r="E99" s="77"/>
      <c r="F99" s="77"/>
      <c r="G99" s="190" t="s">
        <v>20</v>
      </c>
      <c r="H99" s="77"/>
      <c r="I99" s="195">
        <v>40</v>
      </c>
      <c r="J99" s="196">
        <v>1680</v>
      </c>
      <c r="K99" s="79"/>
    </row>
    <row r="100" spans="1:11" ht="13.95" hidden="1" customHeight="1" outlineLevel="1" x14ac:dyDescent="0.3">
      <c r="A100" s="193" t="s">
        <v>210</v>
      </c>
      <c r="B100" s="193" t="s">
        <v>211</v>
      </c>
      <c r="C100" s="194" t="s">
        <v>191</v>
      </c>
      <c r="D100" s="194" t="s">
        <v>192</v>
      </c>
      <c r="E100" s="77"/>
      <c r="F100" s="77"/>
      <c r="G100" s="190" t="s">
        <v>20</v>
      </c>
      <c r="H100" s="77"/>
      <c r="I100" s="195">
        <v>150</v>
      </c>
      <c r="J100" s="196">
        <v>2098.5</v>
      </c>
      <c r="K100" s="79"/>
    </row>
    <row r="101" spans="1:11" ht="13.95" hidden="1" customHeight="1" outlineLevel="1" x14ac:dyDescent="0.3">
      <c r="A101" s="193" t="s">
        <v>212</v>
      </c>
      <c r="B101" s="193" t="s">
        <v>213</v>
      </c>
      <c r="C101" s="194" t="s">
        <v>191</v>
      </c>
      <c r="D101" s="194" t="s">
        <v>192</v>
      </c>
      <c r="E101" s="77"/>
      <c r="F101" s="77"/>
      <c r="G101" s="190" t="s">
        <v>20</v>
      </c>
      <c r="H101" s="77"/>
      <c r="I101" s="195">
        <v>80</v>
      </c>
      <c r="J101" s="196">
        <v>1200</v>
      </c>
      <c r="K101" s="79"/>
    </row>
    <row r="102" spans="1:11" ht="13.95" hidden="1" customHeight="1" outlineLevel="1" x14ac:dyDescent="0.3">
      <c r="A102" s="193" t="s">
        <v>27</v>
      </c>
      <c r="B102" s="193" t="s">
        <v>28</v>
      </c>
      <c r="C102" s="194" t="s">
        <v>191</v>
      </c>
      <c r="D102" s="194" t="s">
        <v>192</v>
      </c>
      <c r="E102" s="77"/>
      <c r="F102" s="77"/>
      <c r="G102" s="190">
        <v>0.04</v>
      </c>
      <c r="H102" s="77"/>
      <c r="I102" s="195">
        <v>200</v>
      </c>
      <c r="J102" s="196">
        <v>1040</v>
      </c>
      <c r="K102" s="79"/>
    </row>
    <row r="103" spans="1:11" ht="13.95" hidden="1" customHeight="1" outlineLevel="1" x14ac:dyDescent="0.3">
      <c r="A103" s="193" t="s">
        <v>31</v>
      </c>
      <c r="B103" s="193" t="s">
        <v>32</v>
      </c>
      <c r="C103" s="194" t="s">
        <v>191</v>
      </c>
      <c r="D103" s="194" t="s">
        <v>192</v>
      </c>
      <c r="E103" s="77"/>
      <c r="F103" s="77"/>
      <c r="G103" s="190">
        <v>0.18</v>
      </c>
      <c r="H103" s="77"/>
      <c r="I103" s="195">
        <v>250</v>
      </c>
      <c r="J103" s="196">
        <v>7237.5</v>
      </c>
      <c r="K103" s="79"/>
    </row>
    <row r="104" spans="1:11" ht="13.95" hidden="1" customHeight="1" outlineLevel="1" x14ac:dyDescent="0.3">
      <c r="A104" s="193" t="s">
        <v>33</v>
      </c>
      <c r="B104" s="193" t="s">
        <v>34</v>
      </c>
      <c r="C104" s="194" t="s">
        <v>191</v>
      </c>
      <c r="D104" s="194" t="s">
        <v>192</v>
      </c>
      <c r="E104" s="77"/>
      <c r="F104" s="77"/>
      <c r="G104" s="190">
        <v>0.2</v>
      </c>
      <c r="H104" s="77"/>
      <c r="I104" s="195">
        <v>100</v>
      </c>
      <c r="J104" s="196">
        <v>1100</v>
      </c>
      <c r="K104" s="79"/>
    </row>
    <row r="105" spans="1:11" ht="13.95" hidden="1" customHeight="1" outlineLevel="1" x14ac:dyDescent="0.3">
      <c r="A105" s="193" t="s">
        <v>35</v>
      </c>
      <c r="B105" s="193" t="s">
        <v>36</v>
      </c>
      <c r="C105" s="194" t="s">
        <v>191</v>
      </c>
      <c r="D105" s="194" t="s">
        <v>192</v>
      </c>
      <c r="E105" s="77"/>
      <c r="F105" s="77"/>
      <c r="G105" s="190">
        <v>0.33</v>
      </c>
      <c r="H105" s="77"/>
      <c r="I105" s="195">
        <v>200</v>
      </c>
      <c r="J105" s="196">
        <v>4796</v>
      </c>
      <c r="K105" s="79"/>
    </row>
    <row r="106" spans="1:11" ht="13.95" hidden="1" customHeight="1" outlineLevel="1" x14ac:dyDescent="0.3">
      <c r="A106" s="197" t="s">
        <v>39</v>
      </c>
      <c r="B106" s="197" t="s">
        <v>40</v>
      </c>
      <c r="C106" s="198" t="s">
        <v>191</v>
      </c>
      <c r="D106" s="198" t="s">
        <v>192</v>
      </c>
      <c r="E106" s="39"/>
      <c r="F106" s="39"/>
      <c r="G106" s="198">
        <v>1.1200000000000001</v>
      </c>
      <c r="H106" s="39"/>
      <c r="I106" s="199">
        <v>50</v>
      </c>
      <c r="J106" s="200">
        <v>1083</v>
      </c>
      <c r="K106" s="81"/>
    </row>
    <row r="107" spans="1:11" ht="13.95" hidden="1" customHeight="1" outlineLevel="1" collapsed="1" x14ac:dyDescent="0.3">
      <c r="A107" s="197" t="s">
        <v>41</v>
      </c>
      <c r="B107" s="197" t="s">
        <v>42</v>
      </c>
      <c r="C107" s="198" t="s">
        <v>191</v>
      </c>
      <c r="D107" s="198" t="s">
        <v>192</v>
      </c>
      <c r="E107" s="96"/>
      <c r="F107" s="97"/>
      <c r="G107" s="198">
        <v>1.9</v>
      </c>
      <c r="H107" s="97"/>
      <c r="I107" s="199">
        <v>30</v>
      </c>
      <c r="J107" s="200">
        <v>884.69999999999993</v>
      </c>
      <c r="K107" s="97"/>
    </row>
    <row r="108" spans="1:11" ht="13.95" hidden="1" customHeight="1" outlineLevel="1" collapsed="1" x14ac:dyDescent="0.3">
      <c r="A108" s="197" t="s">
        <v>43</v>
      </c>
      <c r="B108" s="197" t="s">
        <v>44</v>
      </c>
      <c r="C108" s="198" t="s">
        <v>191</v>
      </c>
      <c r="D108" s="198" t="s">
        <v>192</v>
      </c>
      <c r="E108" s="39"/>
      <c r="F108" s="39"/>
      <c r="G108" s="198">
        <v>2.42</v>
      </c>
      <c r="H108" s="39"/>
      <c r="I108" s="199">
        <v>100</v>
      </c>
      <c r="J108" s="200">
        <v>3201</v>
      </c>
      <c r="K108" s="81"/>
    </row>
    <row r="109" spans="1:11" ht="13.95" hidden="1" customHeight="1" outlineLevel="1" x14ac:dyDescent="0.3">
      <c r="A109" s="197" t="s">
        <v>214</v>
      </c>
      <c r="B109" s="197" t="s">
        <v>215</v>
      </c>
      <c r="C109" s="198" t="s">
        <v>191</v>
      </c>
      <c r="D109" s="198" t="s">
        <v>192</v>
      </c>
      <c r="E109" s="39"/>
      <c r="F109" s="39"/>
      <c r="G109" s="198">
        <v>2.44</v>
      </c>
      <c r="H109" s="39"/>
      <c r="I109" s="199">
        <v>40</v>
      </c>
      <c r="J109" s="200">
        <v>420</v>
      </c>
      <c r="K109" s="81"/>
    </row>
    <row r="110" spans="1:11" ht="13.95" hidden="1" customHeight="1" outlineLevel="1" collapsed="1" x14ac:dyDescent="0.3">
      <c r="A110" s="197" t="s">
        <v>216</v>
      </c>
      <c r="B110" s="197" t="s">
        <v>217</v>
      </c>
      <c r="C110" s="198" t="s">
        <v>191</v>
      </c>
      <c r="D110" s="198" t="s">
        <v>192</v>
      </c>
      <c r="E110" s="39"/>
      <c r="F110" s="39"/>
      <c r="G110" s="198">
        <v>2.5099999999999998</v>
      </c>
      <c r="H110" s="39"/>
      <c r="I110" s="199">
        <v>100</v>
      </c>
      <c r="J110" s="200">
        <v>520</v>
      </c>
      <c r="K110" s="81"/>
    </row>
    <row r="111" spans="1:11" ht="13.95" hidden="1" customHeight="1" outlineLevel="1" collapsed="1" x14ac:dyDescent="0.3">
      <c r="A111" s="197" t="s">
        <v>218</v>
      </c>
      <c r="B111" s="197" t="s">
        <v>219</v>
      </c>
      <c r="C111" s="198" t="s">
        <v>191</v>
      </c>
      <c r="D111" s="198" t="s">
        <v>192</v>
      </c>
      <c r="E111" s="120"/>
      <c r="F111" s="121"/>
      <c r="G111" s="198">
        <v>3.39</v>
      </c>
      <c r="H111" s="121"/>
      <c r="I111" s="199">
        <v>70</v>
      </c>
      <c r="J111" s="200">
        <v>490</v>
      </c>
      <c r="K111" s="121"/>
    </row>
    <row r="112" spans="1:11" ht="13.95" hidden="1" customHeight="1" outlineLevel="1" collapsed="1" x14ac:dyDescent="0.3">
      <c r="A112" s="197" t="s">
        <v>220</v>
      </c>
      <c r="B112" s="197" t="s">
        <v>211</v>
      </c>
      <c r="C112" s="198" t="s">
        <v>191</v>
      </c>
      <c r="D112" s="198" t="s">
        <v>192</v>
      </c>
      <c r="E112" s="80"/>
      <c r="F112" s="82"/>
      <c r="G112" s="198">
        <v>3.6</v>
      </c>
      <c r="H112" s="82"/>
      <c r="I112" s="199">
        <v>100</v>
      </c>
      <c r="J112" s="200">
        <v>1399</v>
      </c>
      <c r="K112" s="82"/>
    </row>
    <row r="113" spans="1:11" ht="13.95" hidden="1" customHeight="1" outlineLevel="1" collapsed="1" x14ac:dyDescent="0.3">
      <c r="A113" s="197" t="s">
        <v>221</v>
      </c>
      <c r="B113" s="197" t="s">
        <v>222</v>
      </c>
      <c r="C113" s="198" t="s">
        <v>191</v>
      </c>
      <c r="D113" s="198" t="s">
        <v>192</v>
      </c>
      <c r="E113" s="201"/>
      <c r="F113" s="202"/>
      <c r="G113" s="198">
        <v>4.22</v>
      </c>
      <c r="H113" s="202"/>
      <c r="I113" s="199">
        <v>60</v>
      </c>
      <c r="J113" s="200">
        <v>2460</v>
      </c>
      <c r="K113" s="202"/>
    </row>
    <row r="114" spans="1:11" ht="13.95" customHeight="1" collapsed="1" x14ac:dyDescent="0.3">
      <c r="A114" s="189" t="s">
        <v>223</v>
      </c>
      <c r="B114" s="189" t="s">
        <v>224</v>
      </c>
      <c r="C114" s="190" t="s">
        <v>225</v>
      </c>
      <c r="D114" s="190" t="s">
        <v>192</v>
      </c>
      <c r="E114" s="189" t="s">
        <v>226</v>
      </c>
      <c r="F114" s="190">
        <v>29</v>
      </c>
      <c r="G114" s="190">
        <v>15</v>
      </c>
      <c r="H114" s="190">
        <v>3</v>
      </c>
      <c r="I114" s="191">
        <v>4227</v>
      </c>
      <c r="J114" s="192">
        <v>75221.2</v>
      </c>
      <c r="K114" s="190" t="s">
        <v>17</v>
      </c>
    </row>
    <row r="115" spans="1:11" ht="13.95" hidden="1" customHeight="1" outlineLevel="1" x14ac:dyDescent="0.3">
      <c r="A115" s="193" t="s">
        <v>227</v>
      </c>
      <c r="B115" s="193" t="s">
        <v>228</v>
      </c>
      <c r="C115" s="194" t="s">
        <v>225</v>
      </c>
      <c r="D115" s="194" t="s">
        <v>192</v>
      </c>
      <c r="E115" s="37"/>
      <c r="F115" s="37"/>
      <c r="G115" s="190" t="s">
        <v>20</v>
      </c>
      <c r="H115" s="37"/>
      <c r="I115" s="195">
        <v>302</v>
      </c>
      <c r="J115" s="196">
        <v>11174</v>
      </c>
      <c r="K115" s="79"/>
    </row>
    <row r="116" spans="1:11" ht="13.95" hidden="1" customHeight="1" outlineLevel="1" x14ac:dyDescent="0.3">
      <c r="A116" s="193" t="s">
        <v>229</v>
      </c>
      <c r="B116" s="193" t="s">
        <v>230</v>
      </c>
      <c r="C116" s="194" t="s">
        <v>225</v>
      </c>
      <c r="D116" s="194" t="s">
        <v>192</v>
      </c>
      <c r="E116" s="37"/>
      <c r="F116" s="37"/>
      <c r="G116" s="190" t="s">
        <v>20</v>
      </c>
      <c r="H116" s="37"/>
      <c r="I116" s="195">
        <v>50</v>
      </c>
      <c r="J116" s="196">
        <v>2730</v>
      </c>
      <c r="K116" s="79"/>
    </row>
    <row r="117" spans="1:11" ht="13.95" hidden="1" customHeight="1" outlineLevel="1" x14ac:dyDescent="0.3">
      <c r="A117" s="193" t="s">
        <v>194</v>
      </c>
      <c r="B117" s="193" t="s">
        <v>195</v>
      </c>
      <c r="C117" s="194" t="s">
        <v>225</v>
      </c>
      <c r="D117" s="194" t="s">
        <v>192</v>
      </c>
      <c r="E117" s="37"/>
      <c r="F117" s="37"/>
      <c r="G117" s="190" t="s">
        <v>20</v>
      </c>
      <c r="H117" s="37"/>
      <c r="I117" s="195">
        <v>4</v>
      </c>
      <c r="J117" s="196">
        <v>98</v>
      </c>
      <c r="K117" s="79"/>
    </row>
    <row r="118" spans="1:11" ht="16.05" hidden="1" customHeight="1" outlineLevel="1" collapsed="1" x14ac:dyDescent="0.3">
      <c r="A118" s="193" t="s">
        <v>196</v>
      </c>
      <c r="B118" s="193" t="s">
        <v>197</v>
      </c>
      <c r="C118" s="194" t="s">
        <v>225</v>
      </c>
      <c r="D118" s="194" t="s">
        <v>192</v>
      </c>
      <c r="E118" s="37"/>
      <c r="F118" s="38"/>
      <c r="G118" s="190" t="s">
        <v>20</v>
      </c>
      <c r="H118" s="38"/>
      <c r="I118" s="195">
        <v>4</v>
      </c>
      <c r="J118" s="196">
        <v>98</v>
      </c>
      <c r="K118" s="79"/>
    </row>
    <row r="119" spans="1:11" ht="13.95" hidden="1" customHeight="1" outlineLevel="1" collapsed="1" x14ac:dyDescent="0.3">
      <c r="A119" s="193" t="s">
        <v>198</v>
      </c>
      <c r="B119" s="193" t="s">
        <v>199</v>
      </c>
      <c r="C119" s="194" t="s">
        <v>225</v>
      </c>
      <c r="D119" s="194" t="s">
        <v>192</v>
      </c>
      <c r="E119" s="118"/>
      <c r="F119" s="119"/>
      <c r="G119" s="190" t="s">
        <v>20</v>
      </c>
      <c r="H119" s="119"/>
      <c r="I119" s="195">
        <v>4</v>
      </c>
      <c r="J119" s="196">
        <v>98</v>
      </c>
      <c r="K119" s="119"/>
    </row>
    <row r="120" spans="1:11" ht="13.95" hidden="1" customHeight="1" outlineLevel="1" x14ac:dyDescent="0.3">
      <c r="A120" s="193" t="s">
        <v>200</v>
      </c>
      <c r="B120" s="193" t="s">
        <v>201</v>
      </c>
      <c r="C120" s="194" t="s">
        <v>225</v>
      </c>
      <c r="D120" s="194" t="s">
        <v>192</v>
      </c>
      <c r="E120" s="37"/>
      <c r="F120" s="37"/>
      <c r="G120" s="190" t="s">
        <v>20</v>
      </c>
      <c r="H120" s="37"/>
      <c r="I120" s="195">
        <v>4</v>
      </c>
      <c r="J120" s="196">
        <v>98</v>
      </c>
      <c r="K120" s="79"/>
    </row>
    <row r="121" spans="1:11" ht="13.95" hidden="1" customHeight="1" outlineLevel="1" x14ac:dyDescent="0.3">
      <c r="A121" s="193" t="s">
        <v>231</v>
      </c>
      <c r="B121" s="193" t="s">
        <v>232</v>
      </c>
      <c r="C121" s="194" t="s">
        <v>225</v>
      </c>
      <c r="D121" s="194" t="s">
        <v>192</v>
      </c>
      <c r="E121" s="37"/>
      <c r="F121" s="37"/>
      <c r="G121" s="190" t="s">
        <v>20</v>
      </c>
      <c r="H121" s="37"/>
      <c r="I121" s="195">
        <v>4</v>
      </c>
      <c r="J121" s="196">
        <v>98</v>
      </c>
      <c r="K121" s="79"/>
    </row>
    <row r="122" spans="1:11" ht="13.95" hidden="1" customHeight="1" outlineLevel="1" x14ac:dyDescent="0.3">
      <c r="A122" s="193" t="s">
        <v>233</v>
      </c>
      <c r="B122" s="193" t="s">
        <v>234</v>
      </c>
      <c r="C122" s="194" t="s">
        <v>225</v>
      </c>
      <c r="D122" s="194" t="s">
        <v>192</v>
      </c>
      <c r="E122" s="37"/>
      <c r="F122" s="37"/>
      <c r="G122" s="190" t="s">
        <v>20</v>
      </c>
      <c r="H122" s="37"/>
      <c r="I122" s="195">
        <v>4</v>
      </c>
      <c r="J122" s="196">
        <v>98</v>
      </c>
      <c r="K122" s="79"/>
    </row>
    <row r="123" spans="1:11" ht="13.95" hidden="1" customHeight="1" outlineLevel="1" x14ac:dyDescent="0.3">
      <c r="A123" s="193" t="s">
        <v>202</v>
      </c>
      <c r="B123" s="193" t="s">
        <v>203</v>
      </c>
      <c r="C123" s="194" t="s">
        <v>225</v>
      </c>
      <c r="D123" s="194" t="s">
        <v>192</v>
      </c>
      <c r="E123" s="37"/>
      <c r="F123" s="37"/>
      <c r="G123" s="190" t="s">
        <v>20</v>
      </c>
      <c r="H123" s="37"/>
      <c r="I123" s="195">
        <v>4</v>
      </c>
      <c r="J123" s="196">
        <v>98</v>
      </c>
      <c r="K123" s="79"/>
    </row>
    <row r="124" spans="1:11" ht="13.95" hidden="1" customHeight="1" outlineLevel="1" x14ac:dyDescent="0.3">
      <c r="A124" s="193" t="s">
        <v>204</v>
      </c>
      <c r="B124" s="193" t="s">
        <v>205</v>
      </c>
      <c r="C124" s="194" t="s">
        <v>225</v>
      </c>
      <c r="D124" s="194" t="s">
        <v>192</v>
      </c>
      <c r="E124" s="37"/>
      <c r="F124" s="37"/>
      <c r="G124" s="190" t="s">
        <v>20</v>
      </c>
      <c r="H124" s="37"/>
      <c r="I124" s="195">
        <v>4</v>
      </c>
      <c r="J124" s="196">
        <v>98</v>
      </c>
      <c r="K124" s="79"/>
    </row>
    <row r="125" spans="1:11" ht="13.95" hidden="1" customHeight="1" outlineLevel="1" x14ac:dyDescent="0.3">
      <c r="A125" s="193" t="s">
        <v>206</v>
      </c>
      <c r="B125" s="193" t="s">
        <v>207</v>
      </c>
      <c r="C125" s="194" t="s">
        <v>225</v>
      </c>
      <c r="D125" s="194" t="s">
        <v>192</v>
      </c>
      <c r="E125" s="37"/>
      <c r="F125" s="37"/>
      <c r="G125" s="190" t="s">
        <v>20</v>
      </c>
      <c r="H125" s="37"/>
      <c r="I125" s="195">
        <v>4</v>
      </c>
      <c r="J125" s="196">
        <v>98</v>
      </c>
      <c r="K125" s="79"/>
    </row>
    <row r="126" spans="1:11" ht="13.95" hidden="1" customHeight="1" outlineLevel="1" x14ac:dyDescent="0.3">
      <c r="A126" s="193" t="s">
        <v>235</v>
      </c>
      <c r="B126" s="193" t="s">
        <v>236</v>
      </c>
      <c r="C126" s="194" t="s">
        <v>225</v>
      </c>
      <c r="D126" s="194" t="s">
        <v>192</v>
      </c>
      <c r="E126" s="37"/>
      <c r="F126" s="37"/>
      <c r="G126" s="190" t="s">
        <v>20</v>
      </c>
      <c r="H126" s="37"/>
      <c r="I126" s="195">
        <v>473</v>
      </c>
      <c r="J126" s="196">
        <v>28380</v>
      </c>
      <c r="K126" s="79"/>
    </row>
    <row r="127" spans="1:11" ht="13.95" hidden="1" customHeight="1" outlineLevel="1" x14ac:dyDescent="0.3">
      <c r="A127" s="193" t="s">
        <v>157</v>
      </c>
      <c r="B127" s="193" t="s">
        <v>158</v>
      </c>
      <c r="C127" s="194" t="s">
        <v>225</v>
      </c>
      <c r="D127" s="194" t="s">
        <v>192</v>
      </c>
      <c r="E127" s="37"/>
      <c r="F127" s="37"/>
      <c r="G127" s="190">
        <v>0.36</v>
      </c>
      <c r="H127" s="37"/>
      <c r="I127" s="195">
        <v>300</v>
      </c>
      <c r="J127" s="196">
        <v>6141</v>
      </c>
      <c r="K127" s="79"/>
    </row>
    <row r="128" spans="1:11" ht="13.95" hidden="1" customHeight="1" outlineLevel="1" collapsed="1" x14ac:dyDescent="0.3">
      <c r="A128" s="193" t="s">
        <v>237</v>
      </c>
      <c r="B128" s="193" t="s">
        <v>238</v>
      </c>
      <c r="C128" s="194" t="s">
        <v>225</v>
      </c>
      <c r="D128" s="194" t="s">
        <v>192</v>
      </c>
      <c r="E128" s="135"/>
      <c r="F128" s="136"/>
      <c r="G128" s="190">
        <v>0.43</v>
      </c>
      <c r="H128" s="136"/>
      <c r="I128" s="195">
        <v>20</v>
      </c>
      <c r="J128" s="196">
        <v>400</v>
      </c>
      <c r="K128" s="136"/>
    </row>
    <row r="129" spans="1:11" ht="13.95" hidden="1" customHeight="1" outlineLevel="1" x14ac:dyDescent="0.3">
      <c r="A129" s="193" t="s">
        <v>239</v>
      </c>
      <c r="B129" s="193" t="s">
        <v>240</v>
      </c>
      <c r="C129" s="194" t="s">
        <v>225</v>
      </c>
      <c r="D129" s="194" t="s">
        <v>192</v>
      </c>
      <c r="E129" s="37"/>
      <c r="F129" s="37"/>
      <c r="G129" s="190">
        <v>0.47</v>
      </c>
      <c r="H129" s="37"/>
      <c r="I129" s="195">
        <v>100</v>
      </c>
      <c r="J129" s="196">
        <v>409.99999999999989</v>
      </c>
      <c r="K129" s="79"/>
    </row>
    <row r="130" spans="1:11" ht="13.95" hidden="1" customHeight="1" outlineLevel="1" collapsed="1" x14ac:dyDescent="0.3">
      <c r="A130" s="197" t="s">
        <v>241</v>
      </c>
      <c r="B130" s="197" t="s">
        <v>242</v>
      </c>
      <c r="C130" s="198" t="s">
        <v>225</v>
      </c>
      <c r="D130" s="198" t="s">
        <v>192</v>
      </c>
      <c r="E130" s="96"/>
      <c r="F130" s="97"/>
      <c r="G130" s="198">
        <v>1.59</v>
      </c>
      <c r="H130" s="97"/>
      <c r="I130" s="199">
        <v>100</v>
      </c>
      <c r="J130" s="200">
        <v>794.99999999999989</v>
      </c>
      <c r="K130" s="97"/>
    </row>
    <row r="131" spans="1:11" ht="13.95" hidden="1" customHeight="1" outlineLevel="1" collapsed="1" x14ac:dyDescent="0.3">
      <c r="A131" s="197" t="s">
        <v>78</v>
      </c>
      <c r="B131" s="197" t="s">
        <v>79</v>
      </c>
      <c r="C131" s="198" t="s">
        <v>225</v>
      </c>
      <c r="D131" s="198" t="s">
        <v>192</v>
      </c>
      <c r="E131" s="96"/>
      <c r="F131" s="97"/>
      <c r="G131" s="198">
        <v>1.84</v>
      </c>
      <c r="H131" s="97"/>
      <c r="I131" s="199">
        <v>300</v>
      </c>
      <c r="J131" s="200">
        <v>5880</v>
      </c>
      <c r="K131" s="97"/>
    </row>
    <row r="132" spans="1:11" ht="13.95" hidden="1" customHeight="1" outlineLevel="1" x14ac:dyDescent="0.3">
      <c r="A132" s="197" t="s">
        <v>243</v>
      </c>
      <c r="B132" s="197" t="s">
        <v>244</v>
      </c>
      <c r="C132" s="198" t="s">
        <v>225</v>
      </c>
      <c r="D132" s="198" t="s">
        <v>192</v>
      </c>
      <c r="E132" s="80"/>
      <c r="F132" s="80"/>
      <c r="G132" s="198">
        <v>1.93</v>
      </c>
      <c r="H132" s="80"/>
      <c r="I132" s="199">
        <v>296</v>
      </c>
      <c r="J132" s="200">
        <v>888</v>
      </c>
      <c r="K132" s="81"/>
    </row>
    <row r="133" spans="1:11" ht="13.95" hidden="1" customHeight="1" outlineLevel="1" x14ac:dyDescent="0.3">
      <c r="A133" s="197" t="s">
        <v>245</v>
      </c>
      <c r="B133" s="197" t="s">
        <v>246</v>
      </c>
      <c r="C133" s="198" t="s">
        <v>225</v>
      </c>
      <c r="D133" s="198" t="s">
        <v>192</v>
      </c>
      <c r="E133" s="80"/>
      <c r="F133" s="80"/>
      <c r="G133" s="198">
        <v>2.4300000000000002</v>
      </c>
      <c r="H133" s="80"/>
      <c r="I133" s="199">
        <v>304</v>
      </c>
      <c r="J133" s="200">
        <v>2112.8000000000002</v>
      </c>
      <c r="K133" s="81"/>
    </row>
    <row r="134" spans="1:11" ht="13.95" hidden="1" customHeight="1" outlineLevel="1" collapsed="1" x14ac:dyDescent="0.3">
      <c r="A134" s="197" t="s">
        <v>247</v>
      </c>
      <c r="B134" s="197" t="s">
        <v>248</v>
      </c>
      <c r="C134" s="198" t="s">
        <v>225</v>
      </c>
      <c r="D134" s="198" t="s">
        <v>192</v>
      </c>
      <c r="E134" s="120"/>
      <c r="F134" s="121"/>
      <c r="G134" s="198">
        <v>2.4700000000000002</v>
      </c>
      <c r="H134" s="121"/>
      <c r="I134" s="199">
        <v>200</v>
      </c>
      <c r="J134" s="200">
        <v>750</v>
      </c>
      <c r="K134" s="121"/>
    </row>
    <row r="135" spans="1:11" ht="13.95" hidden="1" customHeight="1" outlineLevel="1" x14ac:dyDescent="0.3">
      <c r="A135" s="197" t="s">
        <v>249</v>
      </c>
      <c r="B135" s="197" t="s">
        <v>250</v>
      </c>
      <c r="C135" s="198" t="s">
        <v>225</v>
      </c>
      <c r="D135" s="198" t="s">
        <v>192</v>
      </c>
      <c r="E135" s="39"/>
      <c r="F135" s="39"/>
      <c r="G135" s="198">
        <v>2.7</v>
      </c>
      <c r="H135" s="39"/>
      <c r="I135" s="199">
        <v>300</v>
      </c>
      <c r="J135" s="200">
        <v>3210</v>
      </c>
      <c r="K135" s="81"/>
    </row>
    <row r="136" spans="1:11" ht="13.95" hidden="1" customHeight="1" outlineLevel="1" x14ac:dyDescent="0.3">
      <c r="A136" s="197" t="s">
        <v>251</v>
      </c>
      <c r="B136" s="197" t="s">
        <v>252</v>
      </c>
      <c r="C136" s="198" t="s">
        <v>225</v>
      </c>
      <c r="D136" s="198" t="s">
        <v>192</v>
      </c>
      <c r="E136" s="39"/>
      <c r="F136" s="39"/>
      <c r="G136" s="198">
        <v>2.84</v>
      </c>
      <c r="H136" s="39"/>
      <c r="I136" s="199">
        <v>192</v>
      </c>
      <c r="J136" s="200">
        <v>672</v>
      </c>
      <c r="K136" s="81"/>
    </row>
    <row r="137" spans="1:11" ht="13.95" hidden="1" customHeight="1" outlineLevel="1" x14ac:dyDescent="0.3">
      <c r="A137" s="197" t="s">
        <v>253</v>
      </c>
      <c r="B137" s="197" t="s">
        <v>254</v>
      </c>
      <c r="C137" s="198" t="s">
        <v>225</v>
      </c>
      <c r="D137" s="198" t="s">
        <v>192</v>
      </c>
      <c r="E137" s="39"/>
      <c r="F137" s="39"/>
      <c r="G137" s="198">
        <v>3.03</v>
      </c>
      <c r="H137" s="39"/>
      <c r="I137" s="199">
        <v>200</v>
      </c>
      <c r="J137" s="200">
        <v>960</v>
      </c>
      <c r="K137" s="81"/>
    </row>
    <row r="138" spans="1:11" ht="13.95" hidden="1" customHeight="1" outlineLevel="1" collapsed="1" x14ac:dyDescent="0.3">
      <c r="A138" s="197" t="s">
        <v>255</v>
      </c>
      <c r="B138" s="197" t="s">
        <v>256</v>
      </c>
      <c r="C138" s="198" t="s">
        <v>225</v>
      </c>
      <c r="D138" s="198" t="s">
        <v>192</v>
      </c>
      <c r="E138" s="96"/>
      <c r="F138" s="97"/>
      <c r="G138" s="198">
        <v>3.31</v>
      </c>
      <c r="H138" s="97"/>
      <c r="I138" s="199">
        <v>192</v>
      </c>
      <c r="J138" s="200">
        <v>556.79999999999995</v>
      </c>
      <c r="K138" s="97"/>
    </row>
    <row r="139" spans="1:11" ht="13.95" hidden="1" customHeight="1" outlineLevel="1" x14ac:dyDescent="0.3">
      <c r="A139" s="197" t="s">
        <v>257</v>
      </c>
      <c r="B139" s="197" t="s">
        <v>258</v>
      </c>
      <c r="C139" s="198" t="s">
        <v>225</v>
      </c>
      <c r="D139" s="198" t="s">
        <v>192</v>
      </c>
      <c r="E139" s="39"/>
      <c r="F139" s="39"/>
      <c r="G139" s="198">
        <v>3.45</v>
      </c>
      <c r="H139" s="39"/>
      <c r="I139" s="199">
        <v>200</v>
      </c>
      <c r="J139" s="200">
        <v>1380</v>
      </c>
      <c r="K139" s="81"/>
    </row>
    <row r="140" spans="1:11" ht="13.95" hidden="1" customHeight="1" outlineLevel="1" x14ac:dyDescent="0.3">
      <c r="A140" s="197" t="s">
        <v>259</v>
      </c>
      <c r="B140" s="197" t="s">
        <v>260</v>
      </c>
      <c r="C140" s="198" t="s">
        <v>225</v>
      </c>
      <c r="D140" s="198" t="s">
        <v>192</v>
      </c>
      <c r="E140" s="39"/>
      <c r="F140" s="39"/>
      <c r="G140" s="198">
        <v>3.53</v>
      </c>
      <c r="H140" s="39"/>
      <c r="I140" s="199">
        <v>100</v>
      </c>
      <c r="J140" s="200">
        <v>730</v>
      </c>
      <c r="K140" s="81"/>
    </row>
    <row r="141" spans="1:11" ht="13.95" hidden="1" customHeight="1" outlineLevel="1" x14ac:dyDescent="0.3">
      <c r="A141" s="197" t="s">
        <v>175</v>
      </c>
      <c r="B141" s="197" t="s">
        <v>176</v>
      </c>
      <c r="C141" s="198" t="s">
        <v>225</v>
      </c>
      <c r="D141" s="198" t="s">
        <v>192</v>
      </c>
      <c r="E141" s="39"/>
      <c r="F141" s="39"/>
      <c r="G141" s="198">
        <v>3.6</v>
      </c>
      <c r="H141" s="39"/>
      <c r="I141" s="199">
        <v>50</v>
      </c>
      <c r="J141" s="200">
        <v>4000</v>
      </c>
      <c r="K141" s="81"/>
    </row>
    <row r="142" spans="1:11" ht="13.95" hidden="1" customHeight="1" outlineLevel="1" x14ac:dyDescent="0.3">
      <c r="A142" s="197" t="s">
        <v>261</v>
      </c>
      <c r="B142" s="197" t="s">
        <v>262</v>
      </c>
      <c r="C142" s="198" t="s">
        <v>225</v>
      </c>
      <c r="D142" s="198" t="s">
        <v>192</v>
      </c>
      <c r="E142" s="39"/>
      <c r="F142" s="39"/>
      <c r="G142" s="198">
        <v>3.76</v>
      </c>
      <c r="H142" s="39"/>
      <c r="I142" s="199">
        <v>200</v>
      </c>
      <c r="J142" s="200">
        <v>2140</v>
      </c>
      <c r="K142" s="81"/>
    </row>
    <row r="143" spans="1:11" ht="13.95" hidden="1" customHeight="1" outlineLevel="1" x14ac:dyDescent="0.3">
      <c r="A143" s="197" t="s">
        <v>263</v>
      </c>
      <c r="B143" s="197" t="s">
        <v>264</v>
      </c>
      <c r="C143" s="198" t="s">
        <v>225</v>
      </c>
      <c r="D143" s="198" t="s">
        <v>192</v>
      </c>
      <c r="E143" s="39"/>
      <c r="F143" s="40"/>
      <c r="G143" s="198">
        <v>7.44</v>
      </c>
      <c r="H143" s="40"/>
      <c r="I143" s="199">
        <v>312</v>
      </c>
      <c r="J143" s="200">
        <v>1029.5999999999999</v>
      </c>
      <c r="K143" s="82"/>
    </row>
    <row r="144" spans="1:11" ht="13.95" customHeight="1" x14ac:dyDescent="0.3">
      <c r="A144" s="222" t="s">
        <v>265</v>
      </c>
      <c r="B144" s="223"/>
      <c r="C144" s="223"/>
      <c r="D144" s="223"/>
      <c r="E144" s="223"/>
      <c r="F144" s="223"/>
      <c r="G144" s="223"/>
      <c r="H144" s="224"/>
      <c r="I144" s="139">
        <v>35088</v>
      </c>
      <c r="J144" s="203">
        <v>445884.24</v>
      </c>
      <c r="K144" s="98"/>
    </row>
    <row r="145" spans="1:11" ht="13.95" customHeight="1" collapsed="1" x14ac:dyDescent="0.3">
      <c r="A145" s="155"/>
      <c r="B145" s="155"/>
      <c r="C145" s="156"/>
      <c r="D145" s="156"/>
      <c r="E145" s="126"/>
      <c r="F145" s="127"/>
      <c r="G145" s="156"/>
      <c r="H145" s="127"/>
      <c r="I145" s="158"/>
      <c r="J145" s="204"/>
      <c r="K145" s="127"/>
    </row>
    <row r="146" spans="1:11" ht="13.95" customHeight="1" collapsed="1" x14ac:dyDescent="0.3">
      <c r="A146" s="155"/>
      <c r="B146" s="155"/>
      <c r="C146" s="156"/>
      <c r="D146" s="156"/>
      <c r="E146" s="61"/>
      <c r="F146" s="61"/>
      <c r="G146" s="156"/>
      <c r="H146" s="61"/>
      <c r="I146" s="158"/>
      <c r="J146" s="204"/>
      <c r="K146" s="100"/>
    </row>
    <row r="147" spans="1:11" ht="13.95" customHeight="1" x14ac:dyDescent="0.3">
      <c r="A147" s="155"/>
      <c r="B147" s="155"/>
      <c r="C147" s="156"/>
      <c r="D147" s="156"/>
      <c r="E147" s="61"/>
      <c r="F147" s="61"/>
      <c r="G147" s="156"/>
      <c r="H147" s="61"/>
      <c r="I147" s="158"/>
      <c r="J147" s="204"/>
      <c r="K147" s="100"/>
    </row>
    <row r="148" spans="1:11" ht="13.95" customHeight="1" x14ac:dyDescent="0.3">
      <c r="A148" s="155"/>
      <c r="B148" s="155"/>
      <c r="C148" s="156"/>
      <c r="D148" s="156"/>
      <c r="E148" s="61"/>
      <c r="F148" s="61"/>
      <c r="G148" s="156"/>
      <c r="H148" s="61"/>
      <c r="I148" s="158"/>
      <c r="J148" s="204"/>
      <c r="K148" s="100"/>
    </row>
    <row r="149" spans="1:11" ht="13.95" customHeight="1" collapsed="1" x14ac:dyDescent="0.3">
      <c r="A149" s="155"/>
      <c r="B149" s="155"/>
      <c r="C149" s="156"/>
      <c r="D149" s="156"/>
      <c r="E149" s="101"/>
      <c r="F149" s="102"/>
      <c r="G149" s="156"/>
      <c r="H149" s="102"/>
      <c r="I149" s="158"/>
      <c r="J149" s="204"/>
      <c r="K149" s="102"/>
    </row>
    <row r="150" spans="1:11" ht="13.95" customHeight="1" collapsed="1" x14ac:dyDescent="0.3">
      <c r="A150" s="155"/>
      <c r="B150" s="155"/>
      <c r="C150" s="156"/>
      <c r="D150" s="156"/>
      <c r="E150" s="101"/>
      <c r="F150" s="102"/>
      <c r="G150" s="156"/>
      <c r="H150" s="102"/>
      <c r="I150" s="158"/>
      <c r="J150" s="204"/>
      <c r="K150" s="102"/>
    </row>
    <row r="151" spans="1:11" ht="13.95" customHeight="1" x14ac:dyDescent="0.3">
      <c r="A151" s="155"/>
      <c r="B151" s="155"/>
      <c r="C151" s="156"/>
      <c r="D151" s="156"/>
      <c r="E151" s="61"/>
      <c r="F151" s="61"/>
      <c r="G151" s="156"/>
      <c r="H151" s="61"/>
      <c r="I151" s="158"/>
      <c r="J151" s="204"/>
      <c r="K151" s="100"/>
    </row>
    <row r="152" spans="1:11" ht="16.05" customHeight="1" collapsed="1" x14ac:dyDescent="0.3">
      <c r="A152" s="155"/>
      <c r="B152" s="155"/>
      <c r="C152" s="156"/>
      <c r="D152" s="156"/>
      <c r="E152" s="61"/>
      <c r="F152" s="62"/>
      <c r="G152" s="156"/>
      <c r="H152" s="62"/>
      <c r="I152" s="158"/>
      <c r="J152" s="204"/>
      <c r="K152" s="100"/>
    </row>
    <row r="153" spans="1:11" ht="13.95" customHeight="1" x14ac:dyDescent="0.3">
      <c r="A153" s="155"/>
      <c r="B153" s="155"/>
      <c r="C153" s="156"/>
      <c r="D153" s="156"/>
      <c r="E153" s="61"/>
      <c r="F153" s="61"/>
      <c r="G153" s="156"/>
      <c r="H153" s="61"/>
      <c r="I153" s="158"/>
      <c r="J153" s="204"/>
      <c r="K153" s="100"/>
    </row>
    <row r="154" spans="1:11" ht="13.95" customHeight="1" x14ac:dyDescent="0.3">
      <c r="A154" s="155"/>
      <c r="B154" s="155"/>
      <c r="C154" s="156"/>
      <c r="D154" s="156"/>
      <c r="E154" s="61"/>
      <c r="F154" s="61"/>
      <c r="G154" s="156"/>
      <c r="H154" s="61"/>
      <c r="I154" s="158"/>
      <c r="J154" s="204"/>
      <c r="K154" s="100"/>
    </row>
    <row r="155" spans="1:11" ht="13.95" customHeight="1" x14ac:dyDescent="0.3">
      <c r="A155" s="155"/>
      <c r="B155" s="155"/>
      <c r="C155" s="156"/>
      <c r="D155" s="156"/>
      <c r="E155" s="61"/>
      <c r="F155" s="61"/>
      <c r="G155" s="156"/>
      <c r="H155" s="61"/>
      <c r="I155" s="158"/>
      <c r="J155" s="204"/>
      <c r="K155" s="100"/>
    </row>
    <row r="156" spans="1:11" ht="13.95" customHeight="1" x14ac:dyDescent="0.3">
      <c r="A156" s="155"/>
      <c r="B156" s="155"/>
      <c r="C156" s="156"/>
      <c r="D156" s="156"/>
      <c r="E156" s="61"/>
      <c r="F156" s="61"/>
      <c r="G156" s="156"/>
      <c r="H156" s="61"/>
      <c r="I156" s="158"/>
      <c r="J156" s="204"/>
      <c r="K156" s="100"/>
    </row>
    <row r="157" spans="1:11" ht="13.95" customHeight="1" x14ac:dyDescent="0.3">
      <c r="A157" s="155"/>
      <c r="B157" s="155"/>
      <c r="C157" s="156"/>
      <c r="D157" s="156"/>
      <c r="E157" s="61"/>
      <c r="F157" s="61"/>
      <c r="G157" s="156"/>
      <c r="H157" s="61"/>
      <c r="I157" s="158"/>
      <c r="J157" s="204"/>
      <c r="K157" s="100"/>
    </row>
    <row r="158" spans="1:11" ht="13.95" customHeight="1" x14ac:dyDescent="0.3">
      <c r="A158" s="205"/>
      <c r="I158" s="206"/>
      <c r="J158" s="207"/>
      <c r="K158" s="100"/>
    </row>
    <row r="159" spans="1:11" ht="13.95" customHeight="1" x14ac:dyDescent="0.3">
      <c r="A159" s="122"/>
      <c r="B159" s="122"/>
      <c r="C159" s="123"/>
      <c r="D159" s="123"/>
      <c r="E159" s="61"/>
      <c r="F159" s="61"/>
      <c r="G159" s="123"/>
      <c r="H159" s="61"/>
      <c r="I159" s="124"/>
      <c r="J159" s="125"/>
      <c r="K159" s="100"/>
    </row>
    <row r="160" spans="1:11" ht="13.95" customHeight="1" x14ac:dyDescent="0.3">
      <c r="A160" s="122"/>
      <c r="B160" s="122"/>
      <c r="C160" s="123"/>
      <c r="D160" s="123"/>
      <c r="E160" s="61"/>
      <c r="F160" s="61"/>
      <c r="G160" s="123"/>
      <c r="H160" s="61"/>
      <c r="I160" s="124"/>
      <c r="J160" s="125"/>
      <c r="K160" s="100"/>
    </row>
    <row r="161" spans="1:11" ht="13.95" customHeight="1" x14ac:dyDescent="0.3">
      <c r="A161" s="122"/>
      <c r="B161" s="122"/>
      <c r="C161" s="123"/>
      <c r="D161" s="123"/>
      <c r="E161" s="61"/>
      <c r="F161" s="61"/>
      <c r="G161" s="123"/>
      <c r="H161" s="61"/>
      <c r="I161" s="124"/>
      <c r="J161" s="125"/>
      <c r="K161" s="100"/>
    </row>
    <row r="162" spans="1:11" ht="13.95" customHeight="1" x14ac:dyDescent="0.3">
      <c r="A162" s="122"/>
      <c r="B162" s="122"/>
      <c r="C162" s="123"/>
      <c r="D162" s="123"/>
      <c r="E162" s="61"/>
      <c r="F162" s="61"/>
      <c r="G162" s="123"/>
      <c r="H162" s="61"/>
      <c r="I162" s="124"/>
      <c r="J162" s="125"/>
      <c r="K162" s="100"/>
    </row>
    <row r="163" spans="1:11" ht="13.95" customHeight="1" collapsed="1" x14ac:dyDescent="0.3">
      <c r="A163" s="122"/>
      <c r="B163" s="122"/>
      <c r="C163" s="123"/>
      <c r="D163" s="123"/>
      <c r="E163" s="84"/>
      <c r="F163" s="41"/>
      <c r="G163" s="123"/>
      <c r="H163" s="41"/>
      <c r="I163" s="124"/>
      <c r="J163" s="125"/>
      <c r="K163" s="41"/>
    </row>
    <row r="164" spans="1:11" ht="13.95" customHeight="1" collapsed="1" x14ac:dyDescent="0.3">
      <c r="A164" s="122"/>
      <c r="B164" s="122"/>
      <c r="C164" s="123"/>
      <c r="D164" s="123"/>
      <c r="E164" s="101"/>
      <c r="F164" s="102"/>
      <c r="G164" s="123"/>
      <c r="H164" s="102"/>
      <c r="I164" s="124"/>
      <c r="J164" s="125"/>
      <c r="K164" s="102"/>
    </row>
    <row r="165" spans="1:11" ht="13.95" customHeight="1" x14ac:dyDescent="0.3">
      <c r="A165" s="122"/>
      <c r="B165" s="122"/>
      <c r="C165" s="123"/>
      <c r="D165" s="123"/>
      <c r="E165" s="84"/>
      <c r="F165" s="84"/>
      <c r="G165" s="123"/>
      <c r="H165" s="84"/>
      <c r="I165" s="124"/>
      <c r="J165" s="125"/>
      <c r="K165" s="100"/>
    </row>
    <row r="166" spans="1:11" ht="13.95" customHeight="1" collapsed="1" x14ac:dyDescent="0.3">
      <c r="A166" s="122"/>
      <c r="B166" s="122"/>
      <c r="C166" s="123"/>
      <c r="D166" s="123"/>
      <c r="E166" s="101"/>
      <c r="F166" s="102"/>
      <c r="G166" s="123"/>
      <c r="H166" s="102"/>
      <c r="I166" s="124"/>
      <c r="J166" s="125"/>
      <c r="K166" s="102"/>
    </row>
    <row r="167" spans="1:11" ht="13.95" customHeight="1" collapsed="1" x14ac:dyDescent="0.3">
      <c r="A167" s="126"/>
      <c r="B167" s="126"/>
      <c r="C167" s="127"/>
      <c r="D167" s="127"/>
      <c r="E167" s="126"/>
      <c r="F167" s="127"/>
      <c r="G167" s="127"/>
      <c r="H167" s="127"/>
      <c r="I167" s="128"/>
      <c r="J167" s="129"/>
      <c r="K167" s="127"/>
    </row>
    <row r="168" spans="1:11" ht="13.95" customHeight="1" x14ac:dyDescent="0.3">
      <c r="A168" s="122"/>
      <c r="B168" s="122"/>
      <c r="C168" s="123"/>
      <c r="D168" s="123"/>
      <c r="E168" s="84"/>
      <c r="F168" s="84"/>
      <c r="G168" s="127"/>
      <c r="H168" s="84"/>
      <c r="I168" s="124"/>
      <c r="J168" s="125"/>
      <c r="K168" s="100"/>
    </row>
    <row r="169" spans="1:11" ht="13.95" customHeight="1" x14ac:dyDescent="0.3">
      <c r="A169" s="122"/>
      <c r="B169" s="122"/>
      <c r="C169" s="123"/>
      <c r="D169" s="123"/>
      <c r="E169" s="84"/>
      <c r="F169" s="84"/>
      <c r="G169" s="127"/>
      <c r="H169" s="84"/>
      <c r="I169" s="124"/>
      <c r="J169" s="125"/>
      <c r="K169" s="100"/>
    </row>
    <row r="170" spans="1:11" ht="13.95" customHeight="1" x14ac:dyDescent="0.3">
      <c r="A170" s="122"/>
      <c r="B170" s="122"/>
      <c r="C170" s="123"/>
      <c r="D170" s="123"/>
      <c r="E170" s="84"/>
      <c r="F170" s="84"/>
      <c r="G170" s="127"/>
      <c r="H170" s="84"/>
      <c r="I170" s="124"/>
      <c r="J170" s="125"/>
      <c r="K170" s="100"/>
    </row>
    <row r="171" spans="1:11" ht="13.95" customHeight="1" x14ac:dyDescent="0.3">
      <c r="A171" s="122"/>
      <c r="B171" s="122"/>
      <c r="C171" s="123"/>
      <c r="D171" s="123"/>
      <c r="E171" s="84"/>
      <c r="F171" s="84"/>
      <c r="G171" s="127"/>
      <c r="H171" s="84"/>
      <c r="I171" s="124"/>
      <c r="J171" s="125"/>
      <c r="K171" s="100"/>
    </row>
    <row r="172" spans="1:11" ht="13.95" customHeight="1" x14ac:dyDescent="0.3">
      <c r="A172" s="122"/>
      <c r="B172" s="122"/>
      <c r="C172" s="123"/>
      <c r="D172" s="123"/>
      <c r="E172" s="84"/>
      <c r="F172" s="84"/>
      <c r="G172" s="127"/>
      <c r="H172" s="84"/>
      <c r="I172" s="124"/>
      <c r="J172" s="125"/>
      <c r="K172" s="100"/>
    </row>
    <row r="173" spans="1:11" ht="13.95" customHeight="1" x14ac:dyDescent="0.3">
      <c r="A173" s="122"/>
      <c r="B173" s="122"/>
      <c r="C173" s="123"/>
      <c r="D173" s="123"/>
      <c r="E173" s="84"/>
      <c r="F173" s="84"/>
      <c r="G173" s="127"/>
      <c r="H173" s="84"/>
      <c r="I173" s="124"/>
      <c r="J173" s="125"/>
      <c r="K173" s="100"/>
    </row>
    <row r="174" spans="1:11" ht="13.95" customHeight="1" collapsed="1" x14ac:dyDescent="0.3">
      <c r="A174" s="122"/>
      <c r="B174" s="122"/>
      <c r="C174" s="123"/>
      <c r="D174" s="123"/>
      <c r="E174" s="101"/>
      <c r="F174" s="102"/>
      <c r="G174" s="127"/>
      <c r="H174" s="102"/>
      <c r="I174" s="124"/>
      <c r="J174" s="125"/>
      <c r="K174" s="102"/>
    </row>
    <row r="175" spans="1:11" ht="16.05" customHeight="1" collapsed="1" x14ac:dyDescent="0.3">
      <c r="A175" s="122"/>
      <c r="B175" s="122"/>
      <c r="C175" s="123"/>
      <c r="D175" s="123"/>
      <c r="E175" s="84"/>
      <c r="F175" s="41"/>
      <c r="G175" s="127"/>
      <c r="H175" s="41"/>
      <c r="I175" s="124"/>
      <c r="J175" s="125"/>
      <c r="K175" s="100"/>
    </row>
    <row r="176" spans="1:11" ht="13.95" customHeight="1" x14ac:dyDescent="0.3">
      <c r="A176" s="122"/>
      <c r="B176" s="122"/>
      <c r="C176" s="123"/>
      <c r="D176" s="123"/>
      <c r="E176" s="61"/>
      <c r="F176" s="61"/>
      <c r="G176" s="123"/>
      <c r="H176" s="61"/>
      <c r="I176" s="124"/>
      <c r="J176" s="125"/>
      <c r="K176" s="100"/>
    </row>
    <row r="177" spans="1:11" ht="13.95" customHeight="1" x14ac:dyDescent="0.3">
      <c r="A177" s="122"/>
      <c r="B177" s="122"/>
      <c r="C177" s="123"/>
      <c r="D177" s="123"/>
      <c r="E177" s="61"/>
      <c r="F177" s="61"/>
      <c r="G177" s="123"/>
      <c r="H177" s="61"/>
      <c r="I177" s="124"/>
      <c r="J177" s="125"/>
      <c r="K177" s="100"/>
    </row>
    <row r="178" spans="1:11" ht="13.95" customHeight="1" x14ac:dyDescent="0.3">
      <c r="A178" s="122"/>
      <c r="B178" s="122"/>
      <c r="C178" s="123"/>
      <c r="D178" s="123"/>
      <c r="E178" s="61"/>
      <c r="F178" s="61"/>
      <c r="G178" s="123"/>
      <c r="H178" s="61"/>
      <c r="I178" s="124"/>
      <c r="J178" s="125"/>
      <c r="K178" s="100"/>
    </row>
    <row r="179" spans="1:11" ht="13.95" customHeight="1" x14ac:dyDescent="0.3">
      <c r="A179" s="122"/>
      <c r="B179" s="130"/>
      <c r="C179" s="131"/>
      <c r="D179" s="131"/>
      <c r="G179" s="131"/>
      <c r="I179" s="124"/>
      <c r="J179" s="125"/>
      <c r="K179" s="100"/>
    </row>
    <row r="180" spans="1:11" ht="13.95" customHeight="1" x14ac:dyDescent="0.3">
      <c r="A180" s="122"/>
      <c r="B180" s="122"/>
      <c r="C180" s="123"/>
      <c r="D180" s="123"/>
      <c r="E180" s="61"/>
      <c r="F180" s="61"/>
      <c r="G180" s="123"/>
      <c r="H180" s="61"/>
      <c r="I180" s="124"/>
      <c r="J180" s="125"/>
      <c r="K180" s="100"/>
    </row>
    <row r="181" spans="1:11" ht="13.95" customHeight="1" x14ac:dyDescent="0.3">
      <c r="A181" s="122"/>
      <c r="B181" s="122"/>
      <c r="C181" s="123"/>
      <c r="D181" s="123"/>
      <c r="E181" s="61"/>
      <c r="F181" s="61"/>
      <c r="G181" s="123"/>
      <c r="H181" s="61"/>
      <c r="I181" s="124"/>
      <c r="J181" s="125"/>
      <c r="K181" s="100"/>
    </row>
    <row r="182" spans="1:11" ht="13.95" customHeight="1" x14ac:dyDescent="0.3">
      <c r="A182" s="132"/>
      <c r="I182" s="133"/>
      <c r="J182" s="134"/>
      <c r="K182" s="100"/>
    </row>
    <row r="183" spans="1:11" ht="13.95" customHeight="1" collapsed="1" x14ac:dyDescent="0.3">
      <c r="A183" s="91"/>
      <c r="B183" s="91"/>
      <c r="C183" s="92"/>
      <c r="D183" s="92"/>
      <c r="E183" s="101"/>
      <c r="F183" s="102"/>
      <c r="G183" s="92"/>
      <c r="H183" s="102"/>
      <c r="I183" s="94"/>
      <c r="J183" s="99"/>
      <c r="K183" s="102"/>
    </row>
    <row r="184" spans="1:11" ht="13.95" customHeight="1" x14ac:dyDescent="0.3">
      <c r="A184" s="91"/>
      <c r="B184" s="91"/>
      <c r="C184" s="92"/>
      <c r="D184" s="92"/>
      <c r="E184" s="61"/>
      <c r="F184" s="61"/>
      <c r="G184" s="92"/>
      <c r="H184" s="61"/>
      <c r="I184" s="94"/>
      <c r="J184" s="99"/>
      <c r="K184" s="100"/>
    </row>
    <row r="185" spans="1:11" ht="13.95" customHeight="1" collapsed="1" x14ac:dyDescent="0.3">
      <c r="A185" s="101"/>
      <c r="B185" s="101"/>
      <c r="C185" s="102"/>
      <c r="D185" s="102"/>
      <c r="E185" s="101"/>
      <c r="F185" s="102"/>
      <c r="G185" s="102"/>
      <c r="H185" s="102"/>
      <c r="I185" s="103"/>
      <c r="J185" s="104"/>
      <c r="K185" s="102"/>
    </row>
    <row r="186" spans="1:11" ht="13.95" customHeight="1" x14ac:dyDescent="0.3">
      <c r="A186" s="91"/>
      <c r="B186" s="91"/>
      <c r="C186" s="92"/>
      <c r="D186" s="92"/>
      <c r="E186" s="61"/>
      <c r="F186" s="61"/>
      <c r="G186" s="102"/>
      <c r="H186" s="61"/>
      <c r="I186" s="94"/>
      <c r="J186" s="99"/>
      <c r="K186" s="100"/>
    </row>
    <row r="187" spans="1:11" ht="13.95" customHeight="1" x14ac:dyDescent="0.3">
      <c r="A187" s="91"/>
      <c r="B187" s="91"/>
      <c r="C187" s="92"/>
      <c r="D187" s="92"/>
      <c r="E187" s="61"/>
      <c r="F187" s="61"/>
      <c r="G187" s="102"/>
      <c r="H187" s="61"/>
      <c r="I187" s="94"/>
      <c r="J187" s="99"/>
      <c r="K187" s="100"/>
    </row>
    <row r="188" spans="1:11" ht="13.95" customHeight="1" x14ac:dyDescent="0.3">
      <c r="A188" s="91"/>
      <c r="B188" s="91"/>
      <c r="C188" s="92"/>
      <c r="D188" s="92"/>
      <c r="E188" s="61"/>
      <c r="F188" s="61"/>
      <c r="G188" s="102"/>
      <c r="H188" s="61"/>
      <c r="I188" s="94"/>
      <c r="J188" s="99"/>
      <c r="K188" s="100"/>
    </row>
    <row r="189" spans="1:11" ht="13.95" customHeight="1" x14ac:dyDescent="0.3">
      <c r="A189" s="91"/>
      <c r="B189" s="91"/>
      <c r="C189" s="92"/>
      <c r="D189" s="92"/>
      <c r="E189" s="61"/>
      <c r="F189" s="61"/>
      <c r="G189" s="102"/>
      <c r="H189" s="61"/>
      <c r="I189" s="94"/>
      <c r="J189" s="99"/>
      <c r="K189" s="100"/>
    </row>
    <row r="190" spans="1:11" ht="13.95" customHeight="1" x14ac:dyDescent="0.3">
      <c r="A190" s="91"/>
      <c r="B190" s="91"/>
      <c r="C190" s="92"/>
      <c r="D190" s="92"/>
      <c r="E190" s="61"/>
      <c r="F190" s="61"/>
      <c r="G190" s="102"/>
      <c r="H190" s="61"/>
      <c r="I190" s="94"/>
      <c r="J190" s="99"/>
      <c r="K190" s="100"/>
    </row>
    <row r="191" spans="1:11" ht="13.95" customHeight="1" x14ac:dyDescent="0.3">
      <c r="A191" s="91"/>
      <c r="B191" s="105"/>
      <c r="C191" s="95"/>
      <c r="D191" s="95"/>
      <c r="G191" s="106"/>
      <c r="I191" s="94"/>
      <c r="J191" s="99"/>
      <c r="K191" s="100"/>
    </row>
    <row r="192" spans="1:11" ht="16.05" customHeight="1" collapsed="1" x14ac:dyDescent="0.3">
      <c r="A192" s="91"/>
      <c r="B192" s="91"/>
      <c r="C192" s="92"/>
      <c r="D192" s="92"/>
      <c r="E192" s="61"/>
      <c r="F192" s="62"/>
      <c r="G192" s="102"/>
      <c r="H192" s="62"/>
      <c r="I192" s="94"/>
      <c r="J192" s="99"/>
      <c r="K192" s="100"/>
    </row>
    <row r="193" spans="1:11" ht="13.95" customHeight="1" x14ac:dyDescent="0.3">
      <c r="A193" s="91"/>
      <c r="B193" s="91"/>
      <c r="C193" s="92"/>
      <c r="D193" s="92"/>
      <c r="E193" s="61"/>
      <c r="F193" s="61"/>
      <c r="G193" s="102"/>
      <c r="H193" s="61"/>
      <c r="I193" s="94"/>
      <c r="J193" s="99"/>
      <c r="K193" s="100"/>
    </row>
    <row r="194" spans="1:11" ht="13.95" customHeight="1" collapsed="1" x14ac:dyDescent="0.3">
      <c r="A194" s="91"/>
      <c r="B194" s="91"/>
      <c r="C194" s="92"/>
      <c r="D194" s="92"/>
      <c r="E194" s="84"/>
      <c r="F194" s="41"/>
      <c r="G194" s="92"/>
      <c r="H194" s="41"/>
      <c r="I194" s="94"/>
      <c r="J194" s="99"/>
      <c r="K194" s="41"/>
    </row>
    <row r="195" spans="1:11" ht="13.95" customHeight="1" x14ac:dyDescent="0.3">
      <c r="A195" s="91"/>
      <c r="B195" s="91"/>
      <c r="C195" s="92"/>
      <c r="D195" s="92"/>
      <c r="E195" s="84"/>
      <c r="F195" s="84"/>
      <c r="G195" s="92"/>
      <c r="H195" s="84"/>
      <c r="I195" s="94"/>
      <c r="J195" s="99"/>
      <c r="K195" s="24"/>
    </row>
    <row r="196" spans="1:11" ht="13.95" customHeight="1" x14ac:dyDescent="0.3">
      <c r="A196" s="91"/>
      <c r="B196" s="91"/>
      <c r="C196" s="92"/>
      <c r="D196" s="92"/>
      <c r="E196" s="84"/>
      <c r="F196" s="84"/>
      <c r="G196" s="92"/>
      <c r="H196" s="84"/>
      <c r="I196" s="94"/>
      <c r="J196" s="99"/>
      <c r="K196" s="24"/>
    </row>
    <row r="197" spans="1:11" ht="13.95" customHeight="1" x14ac:dyDescent="0.3">
      <c r="A197" s="91"/>
      <c r="B197" s="91"/>
      <c r="C197" s="92"/>
      <c r="D197" s="92"/>
      <c r="E197" s="84"/>
      <c r="F197" s="84"/>
      <c r="G197" s="92"/>
      <c r="H197" s="84"/>
      <c r="I197" s="94"/>
      <c r="J197" s="99"/>
      <c r="K197" s="24"/>
    </row>
    <row r="198" spans="1:11" ht="13.95" customHeight="1" x14ac:dyDescent="0.3">
      <c r="A198" s="91"/>
      <c r="B198" s="91"/>
      <c r="C198" s="92"/>
      <c r="D198" s="92"/>
      <c r="E198" s="84"/>
      <c r="F198" s="84"/>
      <c r="G198" s="92"/>
      <c r="H198" s="84"/>
      <c r="I198" s="94"/>
      <c r="J198" s="99"/>
      <c r="K198" s="24"/>
    </row>
    <row r="199" spans="1:11" ht="13.95" customHeight="1" x14ac:dyDescent="0.3">
      <c r="A199" s="91"/>
      <c r="B199" s="91"/>
      <c r="C199" s="92"/>
      <c r="D199" s="92"/>
      <c r="E199" s="84"/>
      <c r="F199" s="84"/>
      <c r="G199" s="92"/>
      <c r="H199" s="84"/>
      <c r="I199" s="94"/>
      <c r="J199" s="99"/>
      <c r="K199" s="24"/>
    </row>
    <row r="200" spans="1:11" ht="13.95" customHeight="1" x14ac:dyDescent="0.3">
      <c r="A200" s="107"/>
      <c r="I200" s="108"/>
      <c r="J200" s="109"/>
      <c r="K200" s="24"/>
    </row>
    <row r="201" spans="1:11" ht="13.95" customHeight="1" x14ac:dyDescent="0.3">
      <c r="A201" s="84"/>
      <c r="B201" s="84"/>
      <c r="C201" s="41"/>
      <c r="D201" s="41"/>
      <c r="E201" s="84"/>
      <c r="F201" s="84"/>
      <c r="G201" s="41"/>
      <c r="H201" s="84"/>
      <c r="I201" s="85"/>
      <c r="J201" s="86"/>
      <c r="K201" s="24"/>
    </row>
    <row r="202" spans="1:11" ht="13.95" customHeight="1" x14ac:dyDescent="0.3">
      <c r="A202" s="84"/>
      <c r="B202" s="84"/>
      <c r="C202" s="41"/>
      <c r="D202" s="41"/>
      <c r="E202" s="84"/>
      <c r="F202" s="84"/>
      <c r="G202" s="41"/>
      <c r="H202" s="84"/>
      <c r="I202" s="85"/>
      <c r="J202" s="86"/>
      <c r="K202" s="24"/>
    </row>
    <row r="203" spans="1:11" ht="13.95" customHeight="1" x14ac:dyDescent="0.3">
      <c r="A203" s="84"/>
      <c r="B203" s="84"/>
      <c r="C203" s="41"/>
      <c r="D203" s="41"/>
      <c r="E203" s="84"/>
      <c r="F203" s="84"/>
      <c r="G203" s="41"/>
      <c r="H203" s="84"/>
      <c r="I203" s="85"/>
      <c r="J203" s="86"/>
      <c r="K203" s="24"/>
    </row>
    <row r="204" spans="1:11" ht="13.95" customHeight="1" x14ac:dyDescent="0.3">
      <c r="A204" s="84"/>
      <c r="B204" s="84"/>
      <c r="C204" s="41"/>
      <c r="D204" s="41"/>
      <c r="E204" s="84"/>
      <c r="F204" s="84"/>
      <c r="G204" s="41"/>
      <c r="H204" s="84"/>
      <c r="I204" s="85"/>
      <c r="J204" s="86"/>
      <c r="K204" s="24"/>
    </row>
    <row r="205" spans="1:11" ht="16.05" customHeight="1" collapsed="1" x14ac:dyDescent="0.3">
      <c r="A205" s="61"/>
      <c r="B205" s="61"/>
      <c r="C205" s="62"/>
      <c r="D205" s="62"/>
      <c r="E205" s="61"/>
      <c r="F205" s="62"/>
      <c r="G205" s="62"/>
      <c r="H205" s="62"/>
      <c r="I205" s="63"/>
      <c r="J205" s="83"/>
      <c r="K205" s="25"/>
    </row>
    <row r="206" spans="1:11" ht="13.95" customHeight="1" x14ac:dyDescent="0.3">
      <c r="A206" s="61"/>
      <c r="B206" s="61"/>
      <c r="C206" s="62"/>
      <c r="D206" s="62"/>
      <c r="E206" s="61"/>
      <c r="F206" s="61"/>
      <c r="G206" s="62"/>
      <c r="H206" s="61"/>
      <c r="I206" s="63"/>
      <c r="J206" s="83"/>
      <c r="K206" s="24"/>
    </row>
    <row r="207" spans="1:11" ht="13.95" customHeight="1" x14ac:dyDescent="0.3">
      <c r="A207" s="61"/>
      <c r="B207" s="61"/>
      <c r="C207" s="62"/>
      <c r="D207" s="62"/>
      <c r="E207" s="61"/>
      <c r="F207" s="61"/>
      <c r="G207" s="62"/>
      <c r="H207" s="61"/>
      <c r="I207" s="63"/>
      <c r="J207" s="83"/>
      <c r="K207" s="24"/>
    </row>
    <row r="208" spans="1:11" ht="13.95" customHeight="1" x14ac:dyDescent="0.3">
      <c r="A208" s="61"/>
      <c r="B208" s="61"/>
      <c r="C208" s="62"/>
      <c r="D208" s="62"/>
      <c r="E208" s="61"/>
      <c r="F208" s="61"/>
      <c r="G208" s="62"/>
      <c r="H208" s="61"/>
      <c r="I208" s="63"/>
      <c r="J208" s="83"/>
      <c r="K208" s="24"/>
    </row>
    <row r="209" spans="1:11" ht="13.95" customHeight="1" x14ac:dyDescent="0.3">
      <c r="A209" s="61"/>
      <c r="B209" s="61"/>
      <c r="C209" s="62"/>
      <c r="D209" s="62"/>
      <c r="E209" s="61"/>
      <c r="F209" s="61"/>
      <c r="G209" s="62"/>
      <c r="H209" s="61"/>
      <c r="I209" s="63"/>
      <c r="J209" s="83"/>
      <c r="K209" s="24"/>
    </row>
    <row r="210" spans="1:11" ht="13.95" customHeight="1" x14ac:dyDescent="0.3">
      <c r="A210" s="61"/>
      <c r="B210" s="61"/>
      <c r="C210" s="62"/>
      <c r="D210" s="62"/>
      <c r="E210" s="61"/>
      <c r="F210" s="61"/>
      <c r="G210" s="62"/>
      <c r="H210" s="61"/>
      <c r="I210" s="63"/>
      <c r="J210" s="83"/>
      <c r="K210" s="24"/>
    </row>
    <row r="211" spans="1:11" ht="13.95" customHeight="1" x14ac:dyDescent="0.3">
      <c r="A211" s="61"/>
      <c r="B211" s="61"/>
      <c r="C211" s="62"/>
      <c r="D211" s="62"/>
      <c r="E211" s="61"/>
      <c r="F211" s="61"/>
      <c r="G211" s="62"/>
      <c r="H211" s="61"/>
      <c r="I211" s="63"/>
      <c r="J211" s="83"/>
      <c r="K211" s="24"/>
    </row>
    <row r="212" spans="1:11" ht="13.95" customHeight="1" x14ac:dyDescent="0.3">
      <c r="A212" s="61"/>
      <c r="B212" s="61"/>
      <c r="C212" s="62"/>
      <c r="D212" s="62"/>
      <c r="E212" s="61"/>
      <c r="F212" s="61"/>
      <c r="G212" s="62"/>
      <c r="H212" s="61"/>
      <c r="I212" s="63"/>
      <c r="J212" s="83"/>
      <c r="K212" s="24"/>
    </row>
    <row r="213" spans="1:11" ht="13.95" customHeight="1" x14ac:dyDescent="0.3">
      <c r="A213" s="61"/>
      <c r="B213" s="61"/>
      <c r="C213" s="62"/>
      <c r="D213" s="62"/>
      <c r="E213" s="61"/>
      <c r="F213" s="61"/>
      <c r="G213" s="62"/>
      <c r="H213" s="61"/>
      <c r="I213" s="63"/>
      <c r="J213" s="83"/>
      <c r="K213" s="24"/>
    </row>
    <row r="214" spans="1:11" ht="13.95" customHeight="1" x14ac:dyDescent="0.3">
      <c r="A214" s="61"/>
      <c r="B214" s="61"/>
      <c r="C214" s="62"/>
      <c r="D214" s="62"/>
      <c r="E214" s="61"/>
      <c r="F214" s="61"/>
      <c r="G214" s="62"/>
      <c r="H214" s="61"/>
      <c r="I214" s="63"/>
      <c r="J214" s="83"/>
      <c r="K214" s="24"/>
    </row>
    <row r="215" spans="1:11" ht="13.95" customHeight="1" x14ac:dyDescent="0.3">
      <c r="A215" s="61"/>
      <c r="B215" s="61"/>
      <c r="C215" s="62"/>
      <c r="D215" s="62"/>
      <c r="E215" s="61"/>
      <c r="F215" s="61"/>
      <c r="G215" s="62"/>
      <c r="H215" s="61"/>
      <c r="I215" s="63"/>
      <c r="J215" s="83"/>
      <c r="K215" s="24"/>
    </row>
    <row r="216" spans="1:11" ht="13.95" customHeight="1" x14ac:dyDescent="0.3">
      <c r="A216" s="61"/>
      <c r="B216" s="61"/>
      <c r="C216" s="62"/>
      <c r="D216" s="62"/>
      <c r="E216" s="61"/>
      <c r="F216" s="61"/>
      <c r="G216" s="62"/>
      <c r="H216" s="61"/>
      <c r="I216" s="63"/>
      <c r="J216" s="83"/>
      <c r="K216" s="24"/>
    </row>
    <row r="217" spans="1:11" ht="13.95" customHeight="1" x14ac:dyDescent="0.3">
      <c r="A217" s="61"/>
      <c r="B217" s="61"/>
      <c r="C217" s="62"/>
      <c r="D217" s="62"/>
      <c r="E217" s="61"/>
      <c r="F217" s="61"/>
      <c r="G217" s="62"/>
      <c r="H217" s="61"/>
      <c r="I217" s="63"/>
      <c r="J217" s="83"/>
      <c r="K217" s="24"/>
    </row>
    <row r="218" spans="1:11" ht="13.95" customHeight="1" x14ac:dyDescent="0.3">
      <c r="A218" s="61"/>
      <c r="B218" s="61"/>
      <c r="C218" s="62"/>
      <c r="D218" s="62"/>
      <c r="E218" s="61"/>
      <c r="F218" s="61"/>
      <c r="G218" s="62"/>
      <c r="H218" s="61"/>
      <c r="I218" s="63"/>
      <c r="J218" s="83"/>
      <c r="K218" s="24"/>
    </row>
    <row r="219" spans="1:11" ht="13.95" customHeight="1" x14ac:dyDescent="0.3">
      <c r="A219" s="61"/>
      <c r="B219" s="61"/>
      <c r="C219" s="62"/>
      <c r="D219" s="62"/>
      <c r="E219" s="61"/>
      <c r="F219" s="61"/>
      <c r="G219" s="62"/>
      <c r="H219" s="61"/>
      <c r="I219" s="63"/>
      <c r="J219" s="83"/>
      <c r="K219" s="24"/>
    </row>
    <row r="220" spans="1:11" ht="13.95" customHeight="1" x14ac:dyDescent="0.3">
      <c r="A220" s="61"/>
      <c r="B220" s="61"/>
      <c r="C220" s="62"/>
      <c r="D220" s="62"/>
      <c r="E220" s="61"/>
      <c r="F220" s="61"/>
      <c r="G220" s="62"/>
      <c r="H220" s="61"/>
      <c r="I220" s="63"/>
      <c r="J220" s="83"/>
      <c r="K220" s="24"/>
    </row>
    <row r="221" spans="1:11" ht="13.95" customHeight="1" x14ac:dyDescent="0.3">
      <c r="A221" s="87"/>
      <c r="I221" s="88"/>
      <c r="J221" s="89"/>
      <c r="K221" s="90"/>
    </row>
    <row r="222" spans="1:11" ht="13.95" customHeight="1" x14ac:dyDescent="0.3">
      <c r="A222" s="26"/>
      <c r="B222" s="27"/>
      <c r="C222" s="28"/>
      <c r="D222" s="28"/>
      <c r="E222" s="24"/>
      <c r="F222" s="24"/>
      <c r="G222" s="29"/>
      <c r="H222" s="24"/>
      <c r="I222" s="30"/>
      <c r="J222" s="31"/>
      <c r="K222" s="24"/>
    </row>
    <row r="223" spans="1:11" ht="13.95" customHeight="1" x14ac:dyDescent="0.3">
      <c r="A223" s="26"/>
      <c r="B223" s="27"/>
      <c r="C223" s="28"/>
      <c r="D223" s="28"/>
      <c r="E223" s="24"/>
      <c r="F223" s="24"/>
      <c r="G223" s="29"/>
      <c r="H223" s="24"/>
      <c r="I223" s="30"/>
      <c r="J223" s="31"/>
      <c r="K223" s="24"/>
    </row>
    <row r="224" spans="1:11" ht="13.95" customHeight="1" x14ac:dyDescent="0.3">
      <c r="A224" s="26"/>
      <c r="B224" s="27"/>
      <c r="C224" s="28"/>
      <c r="D224" s="28"/>
      <c r="E224" s="24"/>
      <c r="F224" s="24"/>
      <c r="G224" s="29"/>
      <c r="H224" s="24"/>
      <c r="I224" s="30"/>
      <c r="J224" s="31"/>
      <c r="K224" s="24"/>
    </row>
    <row r="225" spans="1:11" ht="13.95" customHeight="1" x14ac:dyDescent="0.3">
      <c r="A225" s="26"/>
      <c r="B225" s="27"/>
      <c r="C225" s="28"/>
      <c r="D225" s="28"/>
      <c r="E225" s="24"/>
      <c r="F225" s="24"/>
      <c r="G225" s="29"/>
      <c r="H225" s="24"/>
      <c r="I225" s="30"/>
      <c r="J225" s="31"/>
      <c r="K225" s="24"/>
    </row>
    <row r="226" spans="1:11" ht="13.95" customHeight="1" x14ac:dyDescent="0.3">
      <c r="A226" s="26"/>
      <c r="B226" s="27"/>
      <c r="C226" s="28"/>
      <c r="D226" s="28"/>
      <c r="E226" s="24"/>
      <c r="F226" s="24"/>
      <c r="G226" s="29"/>
      <c r="H226" s="24"/>
      <c r="I226" s="30"/>
      <c r="J226" s="31"/>
      <c r="K226" s="24"/>
    </row>
    <row r="227" spans="1:11" ht="13.95" customHeight="1" x14ac:dyDescent="0.3">
      <c r="A227" s="26"/>
      <c r="B227" s="27"/>
      <c r="C227" s="28"/>
      <c r="D227" s="28"/>
      <c r="E227" s="24"/>
      <c r="F227" s="24"/>
      <c r="G227" s="29"/>
      <c r="H227" s="24"/>
      <c r="I227" s="30"/>
      <c r="J227" s="31"/>
      <c r="K227" s="24"/>
    </row>
    <row r="228" spans="1:11" ht="13.95" customHeight="1" x14ac:dyDescent="0.3">
      <c r="A228" s="26"/>
      <c r="B228" s="27"/>
      <c r="C228" s="28"/>
      <c r="D228" s="28"/>
      <c r="E228" s="24"/>
      <c r="F228" s="24"/>
      <c r="G228" s="29"/>
      <c r="H228" s="24"/>
      <c r="I228" s="30"/>
      <c r="J228" s="31"/>
      <c r="K228" s="24"/>
    </row>
    <row r="229" spans="1:11" ht="13.95" customHeight="1" x14ac:dyDescent="0.3">
      <c r="A229" s="26"/>
      <c r="B229" s="27"/>
      <c r="C229" s="28"/>
      <c r="D229" s="28"/>
      <c r="E229" s="24"/>
      <c r="F229" s="24"/>
      <c r="G229" s="29"/>
      <c r="H229" s="24"/>
      <c r="I229" s="30"/>
      <c r="J229" s="31"/>
      <c r="K229" s="24"/>
    </row>
    <row r="230" spans="1:11" ht="13.95" customHeight="1" x14ac:dyDescent="0.3">
      <c r="A230" s="26"/>
      <c r="B230" s="27"/>
      <c r="C230" s="28"/>
      <c r="D230" s="28"/>
      <c r="E230" s="24"/>
      <c r="F230" s="24"/>
      <c r="G230" s="29"/>
      <c r="H230" s="24"/>
      <c r="I230" s="30"/>
      <c r="J230" s="31"/>
      <c r="K230" s="24"/>
    </row>
    <row r="231" spans="1:11" ht="18" customHeight="1" x14ac:dyDescent="0.3">
      <c r="A231" s="32"/>
      <c r="B231" s="32"/>
      <c r="C231" s="32"/>
      <c r="D231" s="32"/>
      <c r="E231" s="32"/>
      <c r="F231" s="32"/>
      <c r="G231" s="32"/>
      <c r="H231" s="32"/>
      <c r="I231" s="33"/>
      <c r="J231" s="34"/>
      <c r="K231" s="32"/>
    </row>
  </sheetData>
  <autoFilter ref="A2:K230" xr:uid="{00000000-0009-0000-0000-000004000000}"/>
  <mergeCells count="2">
    <mergeCell ref="A144:H144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2"/>
  <sheetViews>
    <sheetView tabSelected="1" workbookViewId="0">
      <pane ySplit="2" topLeftCell="A3" activePane="bottomLeft" state="frozen"/>
      <selection pane="bottomLeft" activeCell="I10" sqref="I10"/>
    </sheetView>
  </sheetViews>
  <sheetFormatPr baseColWidth="10" defaultColWidth="8.88671875" defaultRowHeight="14.4" x14ac:dyDescent="0.3"/>
  <cols>
    <col min="1" max="1" width="14" customWidth="1"/>
    <col min="2" max="2" width="54.88671875" bestFit="1" customWidth="1"/>
    <col min="3" max="3" width="18" customWidth="1"/>
    <col min="4" max="4" width="11" customWidth="1"/>
    <col min="5" max="5" width="14" customWidth="1"/>
    <col min="6" max="6" width="12" customWidth="1"/>
    <col min="7" max="7" width="9.44140625" customWidth="1"/>
    <col min="8" max="8" width="9.33203125" customWidth="1"/>
  </cols>
  <sheetData>
    <row r="1" spans="1:6" ht="24" customHeight="1" x14ac:dyDescent="0.3">
      <c r="A1" s="239" t="s">
        <v>1143</v>
      </c>
      <c r="B1" s="226"/>
      <c r="C1" s="226"/>
      <c r="D1" s="226"/>
      <c r="E1" s="226"/>
      <c r="F1" s="226"/>
    </row>
    <row r="2" spans="1:6" ht="28.05" customHeight="1" x14ac:dyDescent="0.3">
      <c r="A2" s="140" t="s">
        <v>321</v>
      </c>
      <c r="B2" s="140" t="s">
        <v>474</v>
      </c>
      <c r="C2" s="140" t="s">
        <v>272</v>
      </c>
      <c r="D2" s="140" t="s">
        <v>4</v>
      </c>
      <c r="E2" s="140" t="s">
        <v>1144</v>
      </c>
      <c r="F2" s="140" t="s">
        <v>1145</v>
      </c>
    </row>
    <row r="3" spans="1:6" ht="16.95" customHeight="1" x14ac:dyDescent="0.3">
      <c r="A3" s="238" t="s">
        <v>1146</v>
      </c>
      <c r="B3" s="223"/>
      <c r="C3" s="223"/>
      <c r="D3" s="223"/>
      <c r="E3" s="223"/>
      <c r="F3" s="224"/>
    </row>
    <row r="4" spans="1:6" ht="15" customHeight="1" x14ac:dyDescent="0.3">
      <c r="A4" s="208" t="s">
        <v>1147</v>
      </c>
      <c r="B4" s="208" t="s">
        <v>40</v>
      </c>
      <c r="C4" s="208" t="s">
        <v>285</v>
      </c>
      <c r="D4" s="209" t="s">
        <v>15</v>
      </c>
      <c r="E4" s="209" t="s">
        <v>14</v>
      </c>
      <c r="F4" s="210">
        <v>15</v>
      </c>
    </row>
    <row r="5" spans="1:6" ht="15" customHeight="1" x14ac:dyDescent="0.3">
      <c r="A5" s="142" t="s">
        <v>459</v>
      </c>
      <c r="B5" s="142" t="s">
        <v>34</v>
      </c>
      <c r="C5" s="142" t="s">
        <v>285</v>
      </c>
      <c r="D5" s="143" t="s">
        <v>15</v>
      </c>
      <c r="E5" s="143" t="s">
        <v>14</v>
      </c>
      <c r="F5" s="145">
        <v>20</v>
      </c>
    </row>
    <row r="6" spans="1:6" ht="15" customHeight="1" x14ac:dyDescent="0.3">
      <c r="A6" s="208" t="s">
        <v>1148</v>
      </c>
      <c r="B6" s="208" t="s">
        <v>24</v>
      </c>
      <c r="C6" s="208" t="s">
        <v>285</v>
      </c>
      <c r="D6" s="209" t="s">
        <v>15</v>
      </c>
      <c r="E6" s="209" t="s">
        <v>14</v>
      </c>
      <c r="F6" s="210">
        <v>30</v>
      </c>
    </row>
    <row r="7" spans="1:6" ht="15" customHeight="1" x14ac:dyDescent="0.3">
      <c r="A7" s="142" t="s">
        <v>467</v>
      </c>
      <c r="B7" s="142" t="s">
        <v>30</v>
      </c>
      <c r="C7" s="142" t="s">
        <v>286</v>
      </c>
      <c r="D7" s="143" t="s">
        <v>15</v>
      </c>
      <c r="E7" s="143" t="s">
        <v>14</v>
      </c>
      <c r="F7" s="145">
        <v>1002</v>
      </c>
    </row>
    <row r="8" spans="1:6" ht="15" customHeight="1" x14ac:dyDescent="0.3">
      <c r="A8" s="208" t="s">
        <v>1149</v>
      </c>
      <c r="B8" s="208" t="s">
        <v>54</v>
      </c>
      <c r="C8" s="208" t="s">
        <v>281</v>
      </c>
      <c r="D8" s="209" t="s">
        <v>15</v>
      </c>
      <c r="E8" s="209" t="s">
        <v>51</v>
      </c>
      <c r="F8" s="210">
        <v>600</v>
      </c>
    </row>
    <row r="9" spans="1:6" ht="15" customHeight="1" x14ac:dyDescent="0.3">
      <c r="A9" s="142" t="s">
        <v>1150</v>
      </c>
      <c r="B9" s="142" t="s">
        <v>56</v>
      </c>
      <c r="C9" s="142" t="s">
        <v>283</v>
      </c>
      <c r="D9" s="143" t="s">
        <v>15</v>
      </c>
      <c r="E9" s="143" t="s">
        <v>51</v>
      </c>
      <c r="F9" s="145">
        <v>201</v>
      </c>
    </row>
    <row r="10" spans="1:6" ht="15" customHeight="1" x14ac:dyDescent="0.3">
      <c r="A10" s="208" t="s">
        <v>1151</v>
      </c>
      <c r="B10" s="208" t="s">
        <v>60</v>
      </c>
      <c r="C10" s="208" t="s">
        <v>283</v>
      </c>
      <c r="D10" s="209" t="s">
        <v>15</v>
      </c>
      <c r="E10" s="209" t="s">
        <v>51</v>
      </c>
      <c r="F10" s="210">
        <v>101</v>
      </c>
    </row>
    <row r="11" spans="1:6" ht="16.95" customHeight="1" x14ac:dyDescent="0.3">
      <c r="A11" s="142" t="s">
        <v>1152</v>
      </c>
      <c r="B11" s="211" t="s">
        <v>58</v>
      </c>
      <c r="C11" s="211" t="s">
        <v>283</v>
      </c>
      <c r="D11" s="146" t="s">
        <v>15</v>
      </c>
      <c r="E11" s="146" t="s">
        <v>51</v>
      </c>
      <c r="F11" s="212">
        <v>10</v>
      </c>
    </row>
    <row r="12" spans="1:6" ht="16.95" customHeight="1" x14ac:dyDescent="0.3">
      <c r="A12" s="238" t="s">
        <v>1153</v>
      </c>
      <c r="B12" s="223"/>
      <c r="C12" s="223"/>
      <c r="D12" s="223"/>
      <c r="E12" s="223"/>
      <c r="F12" s="224"/>
    </row>
    <row r="13" spans="1:6" ht="16.95" customHeight="1" x14ac:dyDescent="0.3">
      <c r="A13" s="208" t="s">
        <v>1154</v>
      </c>
      <c r="B13" s="213" t="s">
        <v>93</v>
      </c>
      <c r="C13" s="213" t="s">
        <v>280</v>
      </c>
      <c r="D13" s="214" t="s">
        <v>70</v>
      </c>
      <c r="E13" s="214" t="s">
        <v>69</v>
      </c>
      <c r="F13" s="215">
        <v>150</v>
      </c>
    </row>
    <row r="14" spans="1:6" ht="15" customHeight="1" x14ac:dyDescent="0.3">
      <c r="A14" s="142" t="s">
        <v>1155</v>
      </c>
      <c r="B14" s="142" t="s">
        <v>95</v>
      </c>
      <c r="C14" s="142" t="s">
        <v>280</v>
      </c>
      <c r="D14" s="143" t="s">
        <v>70</v>
      </c>
      <c r="E14" s="143" t="s">
        <v>69</v>
      </c>
      <c r="F14" s="145">
        <v>150</v>
      </c>
    </row>
    <row r="15" spans="1:6" ht="16.95" customHeight="1" x14ac:dyDescent="0.3">
      <c r="A15" s="208" t="s">
        <v>1156</v>
      </c>
      <c r="B15" s="208" t="s">
        <v>97</v>
      </c>
      <c r="C15" s="208" t="s">
        <v>280</v>
      </c>
      <c r="D15" s="209" t="s">
        <v>70</v>
      </c>
      <c r="E15" s="209" t="s">
        <v>69</v>
      </c>
      <c r="F15" s="210">
        <v>150</v>
      </c>
    </row>
    <row r="16" spans="1:6" ht="15" customHeight="1" x14ac:dyDescent="0.3">
      <c r="A16" s="142" t="s">
        <v>1157</v>
      </c>
      <c r="B16" s="142" t="s">
        <v>99</v>
      </c>
      <c r="C16" s="142" t="s">
        <v>280</v>
      </c>
      <c r="D16" s="143" t="s">
        <v>70</v>
      </c>
      <c r="E16" s="143" t="s">
        <v>69</v>
      </c>
      <c r="F16" s="145">
        <v>251</v>
      </c>
    </row>
    <row r="17" spans="1:6" ht="16.95" customHeight="1" x14ac:dyDescent="0.3">
      <c r="A17" s="208" t="s">
        <v>1158</v>
      </c>
      <c r="B17" s="213" t="s">
        <v>101</v>
      </c>
      <c r="C17" s="213" t="s">
        <v>280</v>
      </c>
      <c r="D17" s="214" t="s">
        <v>70</v>
      </c>
      <c r="E17" s="214" t="s">
        <v>69</v>
      </c>
      <c r="F17" s="215">
        <v>251</v>
      </c>
    </row>
    <row r="18" spans="1:6" ht="15" customHeight="1" x14ac:dyDescent="0.3">
      <c r="A18" s="142" t="s">
        <v>1159</v>
      </c>
      <c r="B18" s="142" t="s">
        <v>73</v>
      </c>
      <c r="C18" s="142" t="s">
        <v>283</v>
      </c>
      <c r="D18" s="143" t="s">
        <v>70</v>
      </c>
      <c r="E18" s="143" t="s">
        <v>69</v>
      </c>
      <c r="F18" s="145">
        <v>20</v>
      </c>
    </row>
    <row r="19" spans="1:6" ht="16.95" customHeight="1" x14ac:dyDescent="0.3">
      <c r="A19" s="208" t="s">
        <v>1160</v>
      </c>
      <c r="B19" s="213" t="s">
        <v>105</v>
      </c>
      <c r="C19" s="213" t="s">
        <v>283</v>
      </c>
      <c r="D19" s="214" t="s">
        <v>70</v>
      </c>
      <c r="E19" s="214" t="s">
        <v>69</v>
      </c>
      <c r="F19" s="215">
        <v>200</v>
      </c>
    </row>
    <row r="20" spans="1:6" ht="16.95" customHeight="1" x14ac:dyDescent="0.3">
      <c r="A20" s="238" t="s">
        <v>1161</v>
      </c>
      <c r="B20" s="223"/>
      <c r="C20" s="223"/>
      <c r="D20" s="223"/>
      <c r="E20" s="223"/>
      <c r="F20" s="224"/>
    </row>
    <row r="21" spans="1:6" ht="15" customHeight="1" x14ac:dyDescent="0.3">
      <c r="A21" s="208" t="s">
        <v>1147</v>
      </c>
      <c r="B21" s="208" t="s">
        <v>40</v>
      </c>
      <c r="C21" s="208" t="s">
        <v>285</v>
      </c>
      <c r="D21" s="209" t="s">
        <v>192</v>
      </c>
      <c r="E21" s="209" t="s">
        <v>191</v>
      </c>
      <c r="F21" s="210">
        <v>50</v>
      </c>
    </row>
    <row r="22" spans="1:6" ht="15" customHeight="1" x14ac:dyDescent="0.3">
      <c r="A22" s="142" t="s">
        <v>459</v>
      </c>
      <c r="B22" s="142" t="s">
        <v>34</v>
      </c>
      <c r="C22" s="142" t="s">
        <v>285</v>
      </c>
      <c r="D22" s="143" t="s">
        <v>192</v>
      </c>
      <c r="E22" s="143" t="s">
        <v>191</v>
      </c>
      <c r="F22" s="145">
        <v>100</v>
      </c>
    </row>
    <row r="23" spans="1:6" ht="15" customHeight="1" x14ac:dyDescent="0.3">
      <c r="A23" s="208" t="s">
        <v>1162</v>
      </c>
      <c r="B23" s="208" t="s">
        <v>209</v>
      </c>
      <c r="C23" s="208" t="s">
        <v>285</v>
      </c>
      <c r="D23" s="209" t="s">
        <v>192</v>
      </c>
      <c r="E23" s="209" t="s">
        <v>191</v>
      </c>
      <c r="F23" s="210">
        <v>40</v>
      </c>
    </row>
    <row r="24" spans="1:6" ht="15" customHeight="1" x14ac:dyDescent="0.3">
      <c r="A24" s="142" t="s">
        <v>1148</v>
      </c>
      <c r="B24" s="142" t="s">
        <v>24</v>
      </c>
      <c r="C24" s="142" t="s">
        <v>285</v>
      </c>
      <c r="D24" s="143" t="s">
        <v>192</v>
      </c>
      <c r="E24" s="143" t="s">
        <v>191</v>
      </c>
      <c r="F24" s="145">
        <v>100</v>
      </c>
    </row>
    <row r="25" spans="1:6" ht="16.95" customHeight="1" x14ac:dyDescent="0.3">
      <c r="A25" s="208" t="s">
        <v>1163</v>
      </c>
      <c r="B25" s="213" t="s">
        <v>215</v>
      </c>
      <c r="C25" s="213" t="s">
        <v>285</v>
      </c>
      <c r="D25" s="214" t="s">
        <v>192</v>
      </c>
      <c r="E25" s="214" t="s">
        <v>191</v>
      </c>
      <c r="F25" s="215">
        <v>40</v>
      </c>
    </row>
    <row r="26" spans="1:6" ht="16.95" customHeight="1" x14ac:dyDescent="0.3">
      <c r="A26" s="142" t="s">
        <v>1164</v>
      </c>
      <c r="B26" s="211" t="s">
        <v>205</v>
      </c>
      <c r="C26" s="211" t="s">
        <v>287</v>
      </c>
      <c r="D26" s="146" t="s">
        <v>192</v>
      </c>
      <c r="E26" s="146" t="s">
        <v>191</v>
      </c>
      <c r="F26" s="212">
        <v>1110</v>
      </c>
    </row>
    <row r="27" spans="1:6" ht="15" customHeight="1" x14ac:dyDescent="0.3">
      <c r="A27" s="208" t="s">
        <v>1165</v>
      </c>
      <c r="B27" s="208" t="s">
        <v>201</v>
      </c>
      <c r="C27" s="208" t="s">
        <v>287</v>
      </c>
      <c r="D27" s="209" t="s">
        <v>192</v>
      </c>
      <c r="E27" s="209" t="s">
        <v>191</v>
      </c>
      <c r="F27" s="210">
        <v>1060</v>
      </c>
    </row>
    <row r="28" spans="1:6" ht="15" customHeight="1" x14ac:dyDescent="0.3">
      <c r="A28" s="142" t="s">
        <v>1166</v>
      </c>
      <c r="B28" s="142" t="s">
        <v>199</v>
      </c>
      <c r="C28" s="142" t="s">
        <v>287</v>
      </c>
      <c r="D28" s="143" t="s">
        <v>192</v>
      </c>
      <c r="E28" s="143" t="s">
        <v>191</v>
      </c>
      <c r="F28" s="145">
        <v>1430</v>
      </c>
    </row>
    <row r="29" spans="1:6" ht="15" customHeight="1" x14ac:dyDescent="0.3">
      <c r="A29" s="208" t="s">
        <v>1167</v>
      </c>
      <c r="B29" s="208" t="s">
        <v>203</v>
      </c>
      <c r="C29" s="208" t="s">
        <v>287</v>
      </c>
      <c r="D29" s="209" t="s">
        <v>192</v>
      </c>
      <c r="E29" s="209" t="s">
        <v>191</v>
      </c>
      <c r="F29" s="210">
        <v>1110</v>
      </c>
    </row>
    <row r="30" spans="1:6" ht="15" customHeight="1" x14ac:dyDescent="0.3">
      <c r="A30" s="142" t="s">
        <v>1168</v>
      </c>
      <c r="B30" s="142" t="s">
        <v>197</v>
      </c>
      <c r="C30" s="142" t="s">
        <v>287</v>
      </c>
      <c r="D30" s="143" t="s">
        <v>192</v>
      </c>
      <c r="E30" s="143" t="s">
        <v>191</v>
      </c>
      <c r="F30" s="145">
        <v>740</v>
      </c>
    </row>
    <row r="31" spans="1:6" ht="16.95" customHeight="1" x14ac:dyDescent="0.3">
      <c r="A31" s="208" t="s">
        <v>1169</v>
      </c>
      <c r="B31" s="213" t="s">
        <v>195</v>
      </c>
      <c r="C31" s="213" t="s">
        <v>287</v>
      </c>
      <c r="D31" s="214" t="s">
        <v>192</v>
      </c>
      <c r="E31" s="214" t="s">
        <v>191</v>
      </c>
      <c r="F31" s="215">
        <v>1110</v>
      </c>
    </row>
    <row r="32" spans="1:6" ht="15" customHeight="1" x14ac:dyDescent="0.3">
      <c r="A32" s="142" t="s">
        <v>1170</v>
      </c>
      <c r="B32" s="142" t="s">
        <v>207</v>
      </c>
      <c r="C32" s="142" t="s">
        <v>287</v>
      </c>
      <c r="D32" s="143" t="s">
        <v>192</v>
      </c>
      <c r="E32" s="143" t="s">
        <v>191</v>
      </c>
      <c r="F32" s="145">
        <v>790</v>
      </c>
    </row>
    <row r="33" spans="1:6" ht="15" customHeight="1" x14ac:dyDescent="0.3">
      <c r="A33" s="208" t="s">
        <v>453</v>
      </c>
      <c r="B33" s="213" t="s">
        <v>230</v>
      </c>
      <c r="C33" s="213" t="s">
        <v>285</v>
      </c>
      <c r="D33" s="209" t="s">
        <v>192</v>
      </c>
      <c r="E33" s="209" t="s">
        <v>225</v>
      </c>
      <c r="F33" s="210">
        <v>50</v>
      </c>
    </row>
    <row r="34" spans="1:6" ht="16.95" customHeight="1" x14ac:dyDescent="0.3">
      <c r="A34" s="142" t="s">
        <v>461</v>
      </c>
      <c r="B34" s="142" t="s">
        <v>238</v>
      </c>
      <c r="C34" s="142" t="s">
        <v>285</v>
      </c>
      <c r="D34" s="143" t="s">
        <v>192</v>
      </c>
      <c r="E34" s="143" t="s">
        <v>225</v>
      </c>
      <c r="F34" s="145">
        <v>20</v>
      </c>
    </row>
    <row r="35" spans="1:6" ht="16.95" customHeight="1" x14ac:dyDescent="0.3">
      <c r="A35" s="208" t="s">
        <v>1171</v>
      </c>
      <c r="B35" s="213" t="s">
        <v>228</v>
      </c>
      <c r="C35" s="213" t="s">
        <v>282</v>
      </c>
      <c r="D35" s="214" t="s">
        <v>192</v>
      </c>
      <c r="E35" s="214" t="s">
        <v>225</v>
      </c>
      <c r="F35" s="215">
        <v>302</v>
      </c>
    </row>
    <row r="36" spans="1:6" ht="15" customHeight="1" x14ac:dyDescent="0.3">
      <c r="A36" s="142" t="s">
        <v>1172</v>
      </c>
      <c r="B36" s="142" t="s">
        <v>260</v>
      </c>
      <c r="C36" s="142" t="s">
        <v>282</v>
      </c>
      <c r="D36" s="143" t="s">
        <v>192</v>
      </c>
      <c r="E36" s="143" t="s">
        <v>225</v>
      </c>
      <c r="F36" s="145">
        <v>100</v>
      </c>
    </row>
    <row r="37" spans="1:6" ht="15" customHeight="1" x14ac:dyDescent="0.3">
      <c r="A37" s="208" t="s">
        <v>1173</v>
      </c>
      <c r="B37" s="213" t="s">
        <v>236</v>
      </c>
      <c r="C37" s="213" t="s">
        <v>282</v>
      </c>
      <c r="D37" s="209" t="s">
        <v>192</v>
      </c>
      <c r="E37" s="209" t="s">
        <v>225</v>
      </c>
      <c r="F37" s="210">
        <v>473</v>
      </c>
    </row>
    <row r="38" spans="1:6" ht="15" customHeight="1" x14ac:dyDescent="0.3">
      <c r="A38" s="142" t="s">
        <v>1174</v>
      </c>
      <c r="B38" s="211" t="s">
        <v>232</v>
      </c>
      <c r="C38" s="211" t="s">
        <v>287</v>
      </c>
      <c r="D38" s="143" t="s">
        <v>192</v>
      </c>
      <c r="E38" s="143" t="s">
        <v>225</v>
      </c>
      <c r="F38" s="145">
        <v>4</v>
      </c>
    </row>
    <row r="39" spans="1:6" ht="15" customHeight="1" x14ac:dyDescent="0.3">
      <c r="A39" s="208" t="s">
        <v>1175</v>
      </c>
      <c r="B39" s="208" t="s">
        <v>234</v>
      </c>
      <c r="C39" s="208" t="s">
        <v>287</v>
      </c>
      <c r="D39" s="209" t="s">
        <v>192</v>
      </c>
      <c r="E39" s="209" t="s">
        <v>225</v>
      </c>
      <c r="F39" s="210">
        <v>4</v>
      </c>
    </row>
    <row r="40" spans="1:6" ht="15" customHeight="1" x14ac:dyDescent="0.3">
      <c r="A40" s="142" t="s">
        <v>1164</v>
      </c>
      <c r="B40" s="142" t="s">
        <v>205</v>
      </c>
      <c r="C40" s="142" t="s">
        <v>287</v>
      </c>
      <c r="D40" s="143" t="s">
        <v>192</v>
      </c>
      <c r="E40" s="143" t="s">
        <v>225</v>
      </c>
      <c r="F40" s="145">
        <v>4</v>
      </c>
    </row>
    <row r="41" spans="1:6" ht="15" customHeight="1" x14ac:dyDescent="0.3">
      <c r="A41" s="208" t="s">
        <v>1165</v>
      </c>
      <c r="B41" s="213" t="s">
        <v>201</v>
      </c>
      <c r="C41" s="213" t="s">
        <v>287</v>
      </c>
      <c r="D41" s="209" t="s">
        <v>192</v>
      </c>
      <c r="E41" s="209" t="s">
        <v>225</v>
      </c>
      <c r="F41" s="210">
        <v>4</v>
      </c>
    </row>
    <row r="42" spans="1:6" ht="15" customHeight="1" x14ac:dyDescent="0.3">
      <c r="A42" s="142" t="s">
        <v>1166</v>
      </c>
      <c r="B42" s="211" t="s">
        <v>199</v>
      </c>
      <c r="C42" s="211" t="s">
        <v>287</v>
      </c>
      <c r="D42" s="143" t="s">
        <v>192</v>
      </c>
      <c r="E42" s="143" t="s">
        <v>225</v>
      </c>
      <c r="F42" s="145">
        <v>4</v>
      </c>
    </row>
    <row r="43" spans="1:6" ht="15" customHeight="1" x14ac:dyDescent="0.3">
      <c r="A43" s="208" t="s">
        <v>1167</v>
      </c>
      <c r="B43" s="208" t="s">
        <v>203</v>
      </c>
      <c r="C43" s="208" t="s">
        <v>287</v>
      </c>
      <c r="D43" s="209" t="s">
        <v>192</v>
      </c>
      <c r="E43" s="209" t="s">
        <v>225</v>
      </c>
      <c r="F43" s="210">
        <v>4</v>
      </c>
    </row>
    <row r="44" spans="1:6" ht="15" customHeight="1" x14ac:dyDescent="0.3">
      <c r="A44" s="142" t="s">
        <v>1168</v>
      </c>
      <c r="B44" s="211" t="s">
        <v>197</v>
      </c>
      <c r="C44" s="211" t="s">
        <v>287</v>
      </c>
      <c r="D44" s="143" t="s">
        <v>192</v>
      </c>
      <c r="E44" s="143" t="s">
        <v>225</v>
      </c>
      <c r="F44" s="145">
        <v>4</v>
      </c>
    </row>
    <row r="45" spans="1:6" ht="15" customHeight="1" x14ac:dyDescent="0.3">
      <c r="A45" s="208" t="s">
        <v>1169</v>
      </c>
      <c r="B45" s="208" t="s">
        <v>195</v>
      </c>
      <c r="C45" s="208" t="s">
        <v>287</v>
      </c>
      <c r="D45" s="209" t="s">
        <v>192</v>
      </c>
      <c r="E45" s="209" t="s">
        <v>225</v>
      </c>
      <c r="F45" s="210">
        <v>4</v>
      </c>
    </row>
    <row r="46" spans="1:6" ht="15" customHeight="1" x14ac:dyDescent="0.3">
      <c r="A46" s="142" t="s">
        <v>1170</v>
      </c>
      <c r="B46" s="142" t="s">
        <v>207</v>
      </c>
      <c r="C46" s="142" t="s">
        <v>287</v>
      </c>
      <c r="D46" s="143" t="s">
        <v>192</v>
      </c>
      <c r="E46" s="143" t="s">
        <v>225</v>
      </c>
      <c r="F46" s="145">
        <v>4</v>
      </c>
    </row>
    <row r="47" spans="1:6" ht="15" customHeight="1" x14ac:dyDescent="0.3">
      <c r="A47" s="208" t="s">
        <v>401</v>
      </c>
      <c r="B47" s="208" t="s">
        <v>240</v>
      </c>
      <c r="C47" s="208" t="s">
        <v>281</v>
      </c>
      <c r="D47" s="209" t="s">
        <v>192</v>
      </c>
      <c r="E47" s="209" t="s">
        <v>225</v>
      </c>
      <c r="F47" s="210">
        <v>100</v>
      </c>
    </row>
    <row r="48" spans="1:6" ht="15" customHeight="1" x14ac:dyDescent="0.3">
      <c r="A48" s="222" t="s">
        <v>1176</v>
      </c>
      <c r="B48" s="223"/>
      <c r="C48" s="224"/>
      <c r="D48" s="137"/>
      <c r="E48" s="137"/>
      <c r="F48" s="139">
        <v>11912</v>
      </c>
    </row>
    <row r="49" spans="1:6" ht="15" customHeight="1" x14ac:dyDescent="0.3">
      <c r="A49" s="35"/>
      <c r="B49" s="24"/>
      <c r="C49" s="24"/>
      <c r="D49" s="25"/>
      <c r="E49" s="35"/>
      <c r="F49" s="36"/>
    </row>
    <row r="50" spans="1:6" ht="15" customHeight="1" x14ac:dyDescent="0.3">
      <c r="A50" s="35"/>
      <c r="B50" s="24"/>
      <c r="C50" s="24"/>
      <c r="D50" s="25"/>
      <c r="E50" s="35"/>
      <c r="F50" s="36"/>
    </row>
    <row r="51" spans="1:6" ht="15" customHeight="1" x14ac:dyDescent="0.3">
      <c r="A51" s="35"/>
      <c r="B51" s="24"/>
      <c r="C51" s="24"/>
      <c r="D51" s="25"/>
      <c r="E51" s="35"/>
      <c r="F51" s="36"/>
    </row>
    <row r="52" spans="1:6" ht="18" customHeight="1" x14ac:dyDescent="0.3">
      <c r="A52" s="32"/>
      <c r="B52" s="32"/>
      <c r="C52" s="32"/>
      <c r="D52" s="32"/>
      <c r="E52" s="32"/>
      <c r="F52" s="33"/>
    </row>
  </sheetData>
  <autoFilter ref="A2:F51" xr:uid="{00000000-0009-0000-0000-000005000000}"/>
  <mergeCells count="5">
    <mergeCell ref="A48:C48"/>
    <mergeCell ref="A3:F3"/>
    <mergeCell ref="A1:F1"/>
    <mergeCell ref="A12:F12"/>
    <mergeCell ref="A20:F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X452"/>
  <sheetViews>
    <sheetView zoomScaleNormal="100" workbookViewId="0">
      <selection activeCell="K27" sqref="K27"/>
    </sheetView>
  </sheetViews>
  <sheetFormatPr baseColWidth="10" defaultRowHeight="14.4" x14ac:dyDescent="0.3"/>
  <cols>
    <col min="1" max="1" width="17.77734375" style="15" bestFit="1" customWidth="1"/>
    <col min="2" max="2" width="19.5546875" style="15" bestFit="1" customWidth="1"/>
    <col min="3" max="3" width="20.21875" style="64" customWidth="1"/>
    <col min="4" max="4" width="18.109375" style="64" bestFit="1" customWidth="1"/>
    <col min="5" max="5" width="13.77734375" style="15" bestFit="1" customWidth="1"/>
    <col min="6" max="6" width="10.5546875" style="15" bestFit="1" customWidth="1"/>
    <col min="7" max="7" width="17.88671875" style="15" bestFit="1" customWidth="1"/>
    <col min="8" max="8" width="25.109375" style="15" bestFit="1" customWidth="1"/>
    <col min="9" max="9" width="18.21875" style="15" bestFit="1" customWidth="1"/>
    <col min="10" max="10" width="16.5546875" style="15" bestFit="1" customWidth="1"/>
    <col min="11" max="11" width="17.77734375" style="15" bestFit="1" customWidth="1"/>
    <col min="12" max="12" width="17.33203125" style="15" bestFit="1" customWidth="1"/>
    <col min="13" max="13" width="24.5546875" style="15" bestFit="1" customWidth="1"/>
    <col min="14" max="14" width="17.6640625" style="15" bestFit="1" customWidth="1"/>
    <col min="15" max="15" width="18.77734375" style="15" bestFit="1" customWidth="1"/>
    <col min="16" max="16" width="18.21875" style="15" bestFit="1" customWidth="1"/>
    <col min="17" max="17" width="17.77734375" style="15" bestFit="1" customWidth="1"/>
    <col min="18" max="18" width="25" style="15" bestFit="1" customWidth="1"/>
    <col min="19" max="19" width="12.6640625" style="15" bestFit="1" customWidth="1"/>
    <col min="20" max="20" width="18.77734375" style="15" bestFit="1" customWidth="1"/>
    <col min="21" max="34" width="17.77734375" style="15" bestFit="1" customWidth="1"/>
    <col min="35" max="43" width="17.5546875" style="15" bestFit="1" customWidth="1"/>
    <col min="44" max="52" width="11.5546875" style="15" customWidth="1"/>
    <col min="53" max="16384" width="11.5546875" style="15"/>
  </cols>
  <sheetData>
    <row r="1" spans="1:24" x14ac:dyDescent="0.3">
      <c r="A1" s="15" t="s">
        <v>315</v>
      </c>
      <c r="B1" s="15" t="s">
        <v>1177</v>
      </c>
    </row>
    <row r="2" spans="1:24" x14ac:dyDescent="0.3">
      <c r="A2" s="15" t="s">
        <v>1178</v>
      </c>
      <c r="B2" s="15" t="s">
        <v>1177</v>
      </c>
    </row>
    <row r="3" spans="1:24" x14ac:dyDescent="0.3">
      <c r="A3" s="15" t="s">
        <v>1179</v>
      </c>
      <c r="B3" s="15" t="s">
        <v>1177</v>
      </c>
      <c r="D3" s="65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</row>
    <row r="4" spans="1:24" x14ac:dyDescent="0.3">
      <c r="C4" s="15"/>
    </row>
    <row r="5" spans="1:24" ht="16.2" customHeight="1" x14ac:dyDescent="0.3">
      <c r="C5" s="15"/>
      <c r="D5" s="15"/>
      <c r="F5" s="15" t="s">
        <v>1180</v>
      </c>
    </row>
    <row r="6" spans="1:24" x14ac:dyDescent="0.3">
      <c r="A6" s="15" t="s">
        <v>272</v>
      </c>
      <c r="B6" s="15" t="s">
        <v>1181</v>
      </c>
      <c r="C6" s="15" t="s">
        <v>1182</v>
      </c>
      <c r="D6" s="15" t="s">
        <v>1183</v>
      </c>
      <c r="E6" s="15" t="s">
        <v>322</v>
      </c>
      <c r="F6" s="15" t="s">
        <v>1184</v>
      </c>
      <c r="G6" s="15" t="s">
        <v>1185</v>
      </c>
      <c r="H6" s="15" t="s">
        <v>1186</v>
      </c>
      <c r="I6" s="15" t="s">
        <v>1187</v>
      </c>
      <c r="J6" s="15" t="s">
        <v>1188</v>
      </c>
      <c r="K6" s="15" t="s">
        <v>1189</v>
      </c>
      <c r="L6" s="15" t="s">
        <v>1190</v>
      </c>
      <c r="M6" s="15" t="s">
        <v>1191</v>
      </c>
      <c r="N6" s="15" t="s">
        <v>1192</v>
      </c>
      <c r="O6" s="15" t="s">
        <v>1193</v>
      </c>
      <c r="P6" s="15" t="s">
        <v>1194</v>
      </c>
      <c r="Q6" s="15" t="s">
        <v>1195</v>
      </c>
      <c r="R6" s="15" t="s">
        <v>1196</v>
      </c>
      <c r="S6" s="15" t="s">
        <v>1197</v>
      </c>
      <c r="T6" s="15" t="s">
        <v>1198</v>
      </c>
    </row>
    <row r="7" spans="1:24" x14ac:dyDescent="0.3">
      <c r="A7" s="15" t="s">
        <v>280</v>
      </c>
      <c r="C7" s="15"/>
      <c r="D7" s="15"/>
      <c r="F7" s="67">
        <v>55600</v>
      </c>
      <c r="G7" s="68">
        <v>0</v>
      </c>
      <c r="H7" s="67">
        <v>55600</v>
      </c>
      <c r="I7" s="67">
        <v>7357.42</v>
      </c>
      <c r="J7" s="69">
        <v>8.2006504472746844</v>
      </c>
      <c r="K7" s="67">
        <v>49237.98</v>
      </c>
      <c r="L7" s="67">
        <v>10927</v>
      </c>
      <c r="M7" s="67">
        <v>60164.98</v>
      </c>
      <c r="N7" s="67">
        <v>6567.4299999999976</v>
      </c>
      <c r="O7" s="70">
        <v>8.8271814386312748</v>
      </c>
      <c r="P7" s="67">
        <v>56851.640000000007</v>
      </c>
      <c r="Q7" s="67">
        <v>7405</v>
      </c>
      <c r="R7" s="67">
        <v>64256.640000000007</v>
      </c>
      <c r="S7" s="67">
        <v>3150</v>
      </c>
      <c r="T7" s="69">
        <v>7.3759578188552481</v>
      </c>
    </row>
    <row r="8" spans="1:24" x14ac:dyDescent="0.3">
      <c r="A8" s="15" t="s">
        <v>281</v>
      </c>
      <c r="C8" s="15"/>
      <c r="D8" s="15"/>
      <c r="F8" s="67">
        <v>28354</v>
      </c>
      <c r="G8" s="68">
        <v>0</v>
      </c>
      <c r="H8" s="67">
        <v>28354</v>
      </c>
      <c r="I8" s="67">
        <v>10485</v>
      </c>
      <c r="J8" s="69">
        <v>2.6140026858507288</v>
      </c>
      <c r="K8" s="67">
        <v>19920.8</v>
      </c>
      <c r="L8" s="67">
        <v>11380</v>
      </c>
      <c r="M8" s="67">
        <v>31300.799999999999</v>
      </c>
      <c r="N8" s="67">
        <v>9364.5999999999985</v>
      </c>
      <c r="O8" s="70">
        <v>2.868037017806421</v>
      </c>
      <c r="P8" s="67">
        <v>29218.1</v>
      </c>
      <c r="Q8" s="67">
        <v>11200</v>
      </c>
      <c r="R8" s="67">
        <v>40418.1</v>
      </c>
      <c r="S8" s="67">
        <v>7200</v>
      </c>
      <c r="T8" s="69">
        <v>3.2339309336860969</v>
      </c>
    </row>
    <row r="9" spans="1:24" ht="16.2" customHeight="1" x14ac:dyDescent="0.3">
      <c r="A9" s="15" t="s">
        <v>282</v>
      </c>
      <c r="C9" s="15"/>
      <c r="D9" s="15"/>
      <c r="F9" s="67">
        <v>9895</v>
      </c>
      <c r="G9" s="68">
        <v>0</v>
      </c>
      <c r="H9" s="67">
        <v>9895</v>
      </c>
      <c r="I9" s="67">
        <v>3310</v>
      </c>
      <c r="J9" s="69">
        <v>3.2417822430927159</v>
      </c>
      <c r="K9" s="67">
        <v>7620</v>
      </c>
      <c r="L9" s="67">
        <v>2852</v>
      </c>
      <c r="M9" s="67">
        <v>10472</v>
      </c>
      <c r="N9" s="67">
        <v>2446</v>
      </c>
      <c r="O9" s="70">
        <v>2.839222774514234</v>
      </c>
      <c r="P9" s="67">
        <v>9258</v>
      </c>
      <c r="Q9" s="67">
        <v>5997.25</v>
      </c>
      <c r="R9" s="67">
        <v>15255.25</v>
      </c>
      <c r="S9" s="67">
        <v>608</v>
      </c>
      <c r="T9" s="69">
        <v>2.9224616858237549</v>
      </c>
    </row>
    <row r="10" spans="1:24" x14ac:dyDescent="0.3">
      <c r="A10" s="15" t="s">
        <v>283</v>
      </c>
      <c r="C10" s="15"/>
      <c r="D10" s="15"/>
      <c r="F10" s="67">
        <v>1107</v>
      </c>
      <c r="G10" s="68">
        <v>0</v>
      </c>
      <c r="H10" s="67">
        <v>1107</v>
      </c>
      <c r="I10" s="67">
        <v>818.5</v>
      </c>
      <c r="J10" s="69">
        <v>1.13393085787452</v>
      </c>
      <c r="K10" s="67">
        <v>794.5</v>
      </c>
      <c r="L10" s="67">
        <v>1912</v>
      </c>
      <c r="M10" s="67">
        <v>2706.5</v>
      </c>
      <c r="N10" s="67">
        <v>977.75</v>
      </c>
      <c r="O10" s="70">
        <v>2.3230097990129459</v>
      </c>
      <c r="P10" s="67">
        <v>3071.75</v>
      </c>
      <c r="Q10" s="67">
        <v>350</v>
      </c>
      <c r="R10" s="67">
        <v>3421.75</v>
      </c>
      <c r="S10" s="67">
        <v>1240</v>
      </c>
      <c r="T10" s="69">
        <v>2.345672664952871</v>
      </c>
    </row>
    <row r="11" spans="1:24" x14ac:dyDescent="0.3">
      <c r="A11" s="15" t="s">
        <v>284</v>
      </c>
      <c r="C11" s="15"/>
      <c r="D11" s="15"/>
      <c r="F11" s="67">
        <v>722</v>
      </c>
      <c r="G11" s="68">
        <v>0</v>
      </c>
      <c r="H11" s="67">
        <v>722</v>
      </c>
      <c r="I11" s="67">
        <v>395.5</v>
      </c>
      <c r="J11" s="69">
        <v>2.0544437067248409</v>
      </c>
      <c r="K11" s="67">
        <v>578.5</v>
      </c>
      <c r="L11" s="67">
        <v>250</v>
      </c>
      <c r="M11" s="67">
        <v>828.5</v>
      </c>
      <c r="N11" s="67">
        <v>340.8</v>
      </c>
      <c r="O11" s="70">
        <v>2.141195727084769</v>
      </c>
      <c r="P11" s="67">
        <v>574.20000000000005</v>
      </c>
      <c r="Q11" s="67">
        <v>550</v>
      </c>
      <c r="R11" s="67">
        <v>1124.2</v>
      </c>
      <c r="S11" s="67">
        <v>0</v>
      </c>
      <c r="T11" s="69">
        <v>2.40728051391863</v>
      </c>
    </row>
    <row r="12" spans="1:24" x14ac:dyDescent="0.3">
      <c r="A12" s="15" t="s">
        <v>286</v>
      </c>
      <c r="C12" s="15"/>
      <c r="D12" s="15"/>
      <c r="F12" s="67">
        <v>155</v>
      </c>
      <c r="G12" s="68">
        <v>0</v>
      </c>
      <c r="H12" s="67">
        <v>155</v>
      </c>
      <c r="I12" s="67">
        <v>310</v>
      </c>
      <c r="J12" s="69">
        <v>0.33214285714285707</v>
      </c>
      <c r="K12" s="67">
        <v>63</v>
      </c>
      <c r="L12" s="67">
        <v>0</v>
      </c>
      <c r="M12" s="67">
        <v>63</v>
      </c>
      <c r="N12" s="67">
        <v>310</v>
      </c>
      <c r="O12" s="70">
        <v>0.1073863636363636</v>
      </c>
      <c r="P12" s="67">
        <v>3213</v>
      </c>
      <c r="Q12" s="67">
        <v>800</v>
      </c>
      <c r="R12" s="67">
        <v>4013</v>
      </c>
      <c r="S12" s="67">
        <v>3200</v>
      </c>
      <c r="T12" s="69">
        <v>4.4754646840148702</v>
      </c>
    </row>
    <row r="13" spans="1:24" x14ac:dyDescent="0.3">
      <c r="A13" s="15" t="s">
        <v>285</v>
      </c>
      <c r="C13" s="15"/>
      <c r="D13" s="15"/>
      <c r="F13" s="67">
        <v>1225</v>
      </c>
      <c r="G13" s="68">
        <v>0</v>
      </c>
      <c r="H13" s="67">
        <v>1225</v>
      </c>
      <c r="I13" s="67">
        <v>882.40000000000009</v>
      </c>
      <c r="J13" s="69">
        <v>2.164056059356966</v>
      </c>
      <c r="K13" s="67">
        <v>731.8</v>
      </c>
      <c r="L13" s="67">
        <v>0</v>
      </c>
      <c r="M13" s="67">
        <v>731.8</v>
      </c>
      <c r="N13" s="67">
        <v>343.2</v>
      </c>
      <c r="O13" s="70">
        <v>1.2436413074265</v>
      </c>
      <c r="P13" s="67">
        <v>980.8</v>
      </c>
      <c r="Q13" s="67">
        <v>1475</v>
      </c>
      <c r="R13" s="67">
        <v>2455.8000000000002</v>
      </c>
      <c r="S13" s="67">
        <v>380</v>
      </c>
      <c r="T13" s="69">
        <v>2.3905383042928068</v>
      </c>
    </row>
    <row r="14" spans="1:24" x14ac:dyDescent="0.3">
      <c r="A14" s="15" t="s">
        <v>1199</v>
      </c>
      <c r="C14" s="15"/>
      <c r="D14" s="15"/>
      <c r="F14" s="67">
        <v>14</v>
      </c>
      <c r="G14" s="68">
        <v>0</v>
      </c>
      <c r="H14" s="67">
        <v>14</v>
      </c>
      <c r="I14" s="67">
        <v>0</v>
      </c>
      <c r="J14" s="69">
        <v>8.4</v>
      </c>
      <c r="K14" s="67">
        <v>14</v>
      </c>
      <c r="L14" s="67">
        <v>0</v>
      </c>
      <c r="M14" s="67">
        <v>14</v>
      </c>
      <c r="N14" s="67">
        <v>0</v>
      </c>
      <c r="O14" s="70">
        <v>2.2105263157894739</v>
      </c>
      <c r="P14" s="67">
        <v>14</v>
      </c>
      <c r="Q14" s="67">
        <v>0</v>
      </c>
      <c r="R14" s="67">
        <v>14</v>
      </c>
      <c r="S14" s="67"/>
      <c r="T14" s="69">
        <v>1.2727272727272729</v>
      </c>
    </row>
    <row r="15" spans="1:24" x14ac:dyDescent="0.3">
      <c r="A15" s="15" t="s">
        <v>287</v>
      </c>
      <c r="C15" s="15"/>
      <c r="D15" s="15"/>
      <c r="F15" s="67">
        <v>9490</v>
      </c>
      <c r="G15" s="68">
        <v>0</v>
      </c>
      <c r="H15" s="67">
        <v>9490</v>
      </c>
      <c r="I15" s="67">
        <v>10719.5</v>
      </c>
      <c r="J15" s="69">
        <v>2.3831646618618318</v>
      </c>
      <c r="K15" s="67">
        <v>9170.5</v>
      </c>
      <c r="L15" s="67">
        <v>11030</v>
      </c>
      <c r="M15" s="67">
        <v>20200.5</v>
      </c>
      <c r="N15" s="67">
        <v>486.80000000000018</v>
      </c>
      <c r="O15" s="70">
        <v>30.625379017586411</v>
      </c>
      <c r="P15" s="67">
        <v>19733.7</v>
      </c>
      <c r="Q15" s="67">
        <v>0</v>
      </c>
      <c r="R15" s="67">
        <v>19733.7</v>
      </c>
      <c r="S15" s="67"/>
      <c r="T15" s="69">
        <v>20.616067697450902</v>
      </c>
    </row>
    <row r="16" spans="1:24" x14ac:dyDescent="0.3">
      <c r="A16" s="15" t="s">
        <v>288</v>
      </c>
      <c r="C16" s="15"/>
      <c r="D16" s="15"/>
      <c r="F16" s="67">
        <v>1268</v>
      </c>
      <c r="G16" s="68">
        <v>0</v>
      </c>
      <c r="H16" s="67">
        <v>1268</v>
      </c>
      <c r="I16" s="67">
        <v>432</v>
      </c>
      <c r="J16" s="69">
        <v>2.7847730600292828</v>
      </c>
      <c r="K16" s="67">
        <v>843</v>
      </c>
      <c r="L16" s="67">
        <v>0</v>
      </c>
      <c r="M16" s="67">
        <v>843</v>
      </c>
      <c r="N16" s="67">
        <v>300</v>
      </c>
      <c r="O16" s="70">
        <v>1.7961647727272729</v>
      </c>
      <c r="P16" s="67">
        <v>689</v>
      </c>
      <c r="Q16" s="67">
        <v>0</v>
      </c>
      <c r="R16" s="67">
        <v>689</v>
      </c>
      <c r="S16" s="67"/>
      <c r="T16" s="69">
        <v>0.76783060921248136</v>
      </c>
    </row>
    <row r="17" spans="1:20" x14ac:dyDescent="0.3">
      <c r="A17" s="15" t="s">
        <v>1200</v>
      </c>
      <c r="C17" s="15"/>
      <c r="D17" s="15"/>
      <c r="F17" s="67">
        <v>107830</v>
      </c>
      <c r="G17" s="68">
        <v>0</v>
      </c>
      <c r="H17" s="67">
        <v>107830</v>
      </c>
      <c r="I17" s="67">
        <v>34710.32</v>
      </c>
      <c r="J17" s="69">
        <v>3.9241208060041521</v>
      </c>
      <c r="K17" s="67">
        <v>88974.080000000002</v>
      </c>
      <c r="L17" s="67">
        <v>38351</v>
      </c>
      <c r="M17" s="67">
        <v>127325.08</v>
      </c>
      <c r="N17" s="67">
        <v>21136.579999999991</v>
      </c>
      <c r="O17" s="70">
        <v>5.0365415545567958</v>
      </c>
      <c r="P17" s="67">
        <v>123604.19</v>
      </c>
      <c r="Q17" s="67">
        <v>27777.25</v>
      </c>
      <c r="R17" s="67">
        <v>151381.44</v>
      </c>
      <c r="S17" s="67">
        <v>15778</v>
      </c>
      <c r="T17" s="69">
        <v>4.7093284028991533</v>
      </c>
    </row>
    <row r="18" spans="1:20" x14ac:dyDescent="0.3">
      <c r="C18" s="15"/>
      <c r="D18" s="15"/>
    </row>
    <row r="19" spans="1:20" x14ac:dyDescent="0.3">
      <c r="C19" s="15"/>
      <c r="D19" s="15"/>
    </row>
    <row r="20" spans="1:20" x14ac:dyDescent="0.3">
      <c r="C20" s="15"/>
      <c r="D20" s="15"/>
    </row>
    <row r="21" spans="1:20" x14ac:dyDescent="0.3">
      <c r="C21" s="15"/>
      <c r="D21" s="15"/>
    </row>
    <row r="22" spans="1:20" x14ac:dyDescent="0.3">
      <c r="C22" s="15"/>
      <c r="D22" s="15"/>
    </row>
    <row r="23" spans="1:20" x14ac:dyDescent="0.3">
      <c r="C23" s="15"/>
      <c r="D23" s="15"/>
    </row>
    <row r="24" spans="1:20" x14ac:dyDescent="0.3">
      <c r="C24" s="15"/>
      <c r="D24" s="15"/>
    </row>
    <row r="25" spans="1:20" x14ac:dyDescent="0.3">
      <c r="C25" s="15"/>
      <c r="D25" s="15"/>
    </row>
    <row r="26" spans="1:20" x14ac:dyDescent="0.3">
      <c r="C26" s="15"/>
      <c r="D26" s="15"/>
    </row>
    <row r="27" spans="1:20" x14ac:dyDescent="0.3">
      <c r="C27" s="15"/>
      <c r="D27" s="15"/>
    </row>
    <row r="28" spans="1:20" x14ac:dyDescent="0.3">
      <c r="C28" s="15"/>
      <c r="D28" s="15"/>
    </row>
    <row r="29" spans="1:20" x14ac:dyDescent="0.3">
      <c r="C29" s="15"/>
      <c r="D29" s="15"/>
    </row>
    <row r="30" spans="1:20" x14ac:dyDescent="0.3">
      <c r="C30" s="15"/>
      <c r="D30" s="15"/>
    </row>
    <row r="31" spans="1:20" x14ac:dyDescent="0.3">
      <c r="C31" s="15"/>
      <c r="D31" s="15"/>
    </row>
    <row r="32" spans="1:20" x14ac:dyDescent="0.3">
      <c r="C32" s="15"/>
      <c r="D32" s="15"/>
    </row>
    <row r="33" s="15" customFormat="1" x14ac:dyDescent="0.3"/>
    <row r="34" s="15" customFormat="1" x14ac:dyDescent="0.3"/>
    <row r="35" s="15" customFormat="1" x14ac:dyDescent="0.3"/>
    <row r="36" s="15" customFormat="1" x14ac:dyDescent="0.3"/>
    <row r="37" s="15" customFormat="1" x14ac:dyDescent="0.3"/>
    <row r="38" s="15" customFormat="1" x14ac:dyDescent="0.3"/>
    <row r="39" s="15" customFormat="1" x14ac:dyDescent="0.3"/>
    <row r="40" s="15" customFormat="1" x14ac:dyDescent="0.3"/>
    <row r="41" s="15" customFormat="1" x14ac:dyDescent="0.3"/>
    <row r="42" s="15" customFormat="1" x14ac:dyDescent="0.3"/>
    <row r="43" s="15" customFormat="1" x14ac:dyDescent="0.3"/>
    <row r="44" s="15" customFormat="1" x14ac:dyDescent="0.3"/>
    <row r="45" s="15" customFormat="1" x14ac:dyDescent="0.3"/>
    <row r="46" s="15" customFormat="1" x14ac:dyDescent="0.3"/>
    <row r="47" s="15" customFormat="1" x14ac:dyDescent="0.3"/>
    <row r="48" s="15" customFormat="1" x14ac:dyDescent="0.3"/>
    <row r="49" s="15" customFormat="1" x14ac:dyDescent="0.3"/>
    <row r="50" s="15" customFormat="1" x14ac:dyDescent="0.3"/>
    <row r="51" s="15" customFormat="1" x14ac:dyDescent="0.3"/>
    <row r="52" s="15" customFormat="1" x14ac:dyDescent="0.3"/>
    <row r="53" s="15" customFormat="1" x14ac:dyDescent="0.3"/>
    <row r="54" s="15" customFormat="1" x14ac:dyDescent="0.3"/>
    <row r="55" s="15" customFormat="1" x14ac:dyDescent="0.3"/>
    <row r="56" s="15" customFormat="1" x14ac:dyDescent="0.3"/>
    <row r="57" s="15" customFormat="1" x14ac:dyDescent="0.3"/>
    <row r="58" s="15" customFormat="1" x14ac:dyDescent="0.3"/>
    <row r="59" s="15" customFormat="1" x14ac:dyDescent="0.3"/>
    <row r="60" s="15" customFormat="1" x14ac:dyDescent="0.3"/>
    <row r="61" s="15" customFormat="1" x14ac:dyDescent="0.3"/>
    <row r="62" s="15" customFormat="1" x14ac:dyDescent="0.3"/>
    <row r="63" s="15" customFormat="1" x14ac:dyDescent="0.3"/>
    <row r="64" s="15" customFormat="1" x14ac:dyDescent="0.3"/>
    <row r="65" s="15" customFormat="1" x14ac:dyDescent="0.3"/>
    <row r="66" s="15" customFormat="1" x14ac:dyDescent="0.3"/>
    <row r="67" s="15" customFormat="1" x14ac:dyDescent="0.3"/>
    <row r="68" s="15" customFormat="1" x14ac:dyDescent="0.3"/>
    <row r="69" s="15" customFormat="1" x14ac:dyDescent="0.3"/>
    <row r="70" s="15" customFormat="1" x14ac:dyDescent="0.3"/>
    <row r="71" s="15" customFormat="1" x14ac:dyDescent="0.3"/>
    <row r="72" s="15" customFormat="1" x14ac:dyDescent="0.3"/>
    <row r="73" s="15" customFormat="1" x14ac:dyDescent="0.3"/>
    <row r="74" s="15" customFormat="1" x14ac:dyDescent="0.3"/>
    <row r="75" s="15" customFormat="1" x14ac:dyDescent="0.3"/>
    <row r="76" s="15" customFormat="1" x14ac:dyDescent="0.3"/>
    <row r="77" s="15" customFormat="1" x14ac:dyDescent="0.3"/>
    <row r="78" s="15" customFormat="1" x14ac:dyDescent="0.3"/>
    <row r="79" s="15" customFormat="1" x14ac:dyDescent="0.3"/>
    <row r="80" s="15" customFormat="1" x14ac:dyDescent="0.3"/>
    <row r="81" spans="3:4" x14ac:dyDescent="0.3">
      <c r="C81" s="15"/>
      <c r="D81" s="15"/>
    </row>
    <row r="82" spans="3:4" x14ac:dyDescent="0.3">
      <c r="C82" s="15"/>
      <c r="D82" s="15"/>
    </row>
    <row r="83" spans="3:4" x14ac:dyDescent="0.3">
      <c r="C83" s="15"/>
      <c r="D83" s="15"/>
    </row>
    <row r="84" spans="3:4" x14ac:dyDescent="0.3">
      <c r="C84" s="15"/>
      <c r="D84" s="15"/>
    </row>
    <row r="85" spans="3:4" x14ac:dyDescent="0.3">
      <c r="C85" s="15"/>
      <c r="D85" s="15"/>
    </row>
    <row r="86" spans="3:4" x14ac:dyDescent="0.3">
      <c r="C86" s="15"/>
    </row>
    <row r="87" spans="3:4" x14ac:dyDescent="0.3">
      <c r="C87" s="15"/>
    </row>
    <row r="88" spans="3:4" x14ac:dyDescent="0.3">
      <c r="C88" s="15"/>
    </row>
    <row r="89" spans="3:4" x14ac:dyDescent="0.3">
      <c r="C89" s="15"/>
    </row>
    <row r="90" spans="3:4" x14ac:dyDescent="0.3">
      <c r="C90" s="15"/>
    </row>
    <row r="91" spans="3:4" x14ac:dyDescent="0.3">
      <c r="C91" s="15"/>
    </row>
    <row r="92" spans="3:4" x14ac:dyDescent="0.3">
      <c r="C92" s="15"/>
    </row>
    <row r="93" spans="3:4" x14ac:dyDescent="0.3">
      <c r="C93" s="15"/>
    </row>
    <row r="94" spans="3:4" x14ac:dyDescent="0.3">
      <c r="C94" s="15"/>
    </row>
    <row r="95" spans="3:4" x14ac:dyDescent="0.3">
      <c r="C95" s="15"/>
    </row>
    <row r="96" spans="3:4" x14ac:dyDescent="0.3">
      <c r="C96" s="15"/>
    </row>
    <row r="97" spans="3:3" x14ac:dyDescent="0.3">
      <c r="C97" s="15"/>
    </row>
    <row r="98" spans="3:3" x14ac:dyDescent="0.3">
      <c r="C98" s="15"/>
    </row>
    <row r="99" spans="3:3" x14ac:dyDescent="0.3">
      <c r="C99" s="15"/>
    </row>
    <row r="100" spans="3:3" x14ac:dyDescent="0.3">
      <c r="C100" s="15"/>
    </row>
    <row r="101" spans="3:3" x14ac:dyDescent="0.3">
      <c r="C101" s="15"/>
    </row>
    <row r="102" spans="3:3" x14ac:dyDescent="0.3">
      <c r="C102" s="15"/>
    </row>
    <row r="103" spans="3:3" x14ac:dyDescent="0.3">
      <c r="C103" s="15"/>
    </row>
    <row r="104" spans="3:3" x14ac:dyDescent="0.3">
      <c r="C104" s="15"/>
    </row>
    <row r="105" spans="3:3" x14ac:dyDescent="0.3">
      <c r="C105" s="15"/>
    </row>
    <row r="106" spans="3:3" x14ac:dyDescent="0.3">
      <c r="C106" s="15"/>
    </row>
    <row r="107" spans="3:3" x14ac:dyDescent="0.3">
      <c r="C107" s="15"/>
    </row>
    <row r="108" spans="3:3" x14ac:dyDescent="0.3">
      <c r="C108" s="15"/>
    </row>
    <row r="109" spans="3:3" x14ac:dyDescent="0.3">
      <c r="C109" s="15"/>
    </row>
    <row r="110" spans="3:3" x14ac:dyDescent="0.3">
      <c r="C110" s="15"/>
    </row>
    <row r="111" spans="3:3" x14ac:dyDescent="0.3">
      <c r="C111" s="15"/>
    </row>
    <row r="112" spans="3:3" x14ac:dyDescent="0.3">
      <c r="C112" s="15"/>
    </row>
    <row r="113" spans="3:3" x14ac:dyDescent="0.3">
      <c r="C113" s="15"/>
    </row>
    <row r="114" spans="3:3" x14ac:dyDescent="0.3">
      <c r="C114" s="15"/>
    </row>
    <row r="115" spans="3:3" x14ac:dyDescent="0.3">
      <c r="C115" s="15"/>
    </row>
    <row r="116" spans="3:3" x14ac:dyDescent="0.3">
      <c r="C116" s="15"/>
    </row>
    <row r="117" spans="3:3" x14ac:dyDescent="0.3">
      <c r="C117" s="15"/>
    </row>
    <row r="118" spans="3:3" x14ac:dyDescent="0.3">
      <c r="C118" s="15"/>
    </row>
    <row r="119" spans="3:3" x14ac:dyDescent="0.3">
      <c r="C119" s="15"/>
    </row>
    <row r="120" spans="3:3" x14ac:dyDescent="0.3">
      <c r="C120" s="15"/>
    </row>
    <row r="121" spans="3:3" x14ac:dyDescent="0.3">
      <c r="C121" s="15"/>
    </row>
    <row r="122" spans="3:3" x14ac:dyDescent="0.3">
      <c r="C122" s="15"/>
    </row>
    <row r="123" spans="3:3" x14ac:dyDescent="0.3">
      <c r="C123" s="15"/>
    </row>
    <row r="124" spans="3:3" x14ac:dyDescent="0.3">
      <c r="C124" s="15"/>
    </row>
    <row r="125" spans="3:3" x14ac:dyDescent="0.3">
      <c r="C125" s="15"/>
    </row>
    <row r="126" spans="3:3" x14ac:dyDescent="0.3">
      <c r="C126" s="15"/>
    </row>
    <row r="127" spans="3:3" x14ac:dyDescent="0.3">
      <c r="C127" s="15"/>
    </row>
    <row r="128" spans="3:3" x14ac:dyDescent="0.3">
      <c r="C128" s="15"/>
    </row>
    <row r="129" spans="3:3" x14ac:dyDescent="0.3">
      <c r="C129" s="15"/>
    </row>
    <row r="130" spans="3:3" x14ac:dyDescent="0.3">
      <c r="C130" s="15"/>
    </row>
    <row r="131" spans="3:3" x14ac:dyDescent="0.3">
      <c r="C131" s="15"/>
    </row>
    <row r="132" spans="3:3" x14ac:dyDescent="0.3">
      <c r="C132" s="15"/>
    </row>
    <row r="133" spans="3:3" x14ac:dyDescent="0.3">
      <c r="C133" s="15"/>
    </row>
    <row r="134" spans="3:3" x14ac:dyDescent="0.3">
      <c r="C134" s="15"/>
    </row>
    <row r="135" spans="3:3" x14ac:dyDescent="0.3">
      <c r="C135" s="15"/>
    </row>
    <row r="136" spans="3:3" x14ac:dyDescent="0.3">
      <c r="C136" s="15"/>
    </row>
    <row r="137" spans="3:3" x14ac:dyDescent="0.3">
      <c r="C137" s="15"/>
    </row>
    <row r="138" spans="3:3" x14ac:dyDescent="0.3">
      <c r="C138" s="15"/>
    </row>
    <row r="139" spans="3:3" x14ac:dyDescent="0.3">
      <c r="C139" s="15"/>
    </row>
    <row r="140" spans="3:3" x14ac:dyDescent="0.3">
      <c r="C140" s="15"/>
    </row>
    <row r="141" spans="3:3" x14ac:dyDescent="0.3">
      <c r="C141" s="15"/>
    </row>
    <row r="142" spans="3:3" x14ac:dyDescent="0.3">
      <c r="C142" s="15"/>
    </row>
    <row r="143" spans="3:3" x14ac:dyDescent="0.3">
      <c r="C143" s="15"/>
    </row>
    <row r="144" spans="3:3" x14ac:dyDescent="0.3">
      <c r="C144" s="15"/>
    </row>
    <row r="145" spans="3:3" x14ac:dyDescent="0.3">
      <c r="C145" s="15"/>
    </row>
    <row r="146" spans="3:3" x14ac:dyDescent="0.3">
      <c r="C146" s="15"/>
    </row>
    <row r="147" spans="3:3" x14ac:dyDescent="0.3">
      <c r="C147" s="15"/>
    </row>
    <row r="148" spans="3:3" x14ac:dyDescent="0.3">
      <c r="C148" s="15"/>
    </row>
    <row r="149" spans="3:3" x14ac:dyDescent="0.3">
      <c r="C149" s="15"/>
    </row>
    <row r="150" spans="3:3" x14ac:dyDescent="0.3">
      <c r="C150" s="15"/>
    </row>
    <row r="151" spans="3:3" x14ac:dyDescent="0.3">
      <c r="C151" s="15"/>
    </row>
    <row r="152" spans="3:3" x14ac:dyDescent="0.3">
      <c r="C152" s="15"/>
    </row>
    <row r="153" spans="3:3" x14ac:dyDescent="0.3">
      <c r="C153" s="15"/>
    </row>
    <row r="154" spans="3:3" x14ac:dyDescent="0.3">
      <c r="C154" s="15"/>
    </row>
    <row r="155" spans="3:3" x14ac:dyDescent="0.3">
      <c r="C155" s="15"/>
    </row>
    <row r="156" spans="3:3" x14ac:dyDescent="0.3">
      <c r="C156" s="15"/>
    </row>
    <row r="157" spans="3:3" x14ac:dyDescent="0.3">
      <c r="C157" s="15"/>
    </row>
    <row r="158" spans="3:3" x14ac:dyDescent="0.3">
      <c r="C158" s="15"/>
    </row>
    <row r="159" spans="3:3" x14ac:dyDescent="0.3">
      <c r="C159" s="15"/>
    </row>
    <row r="160" spans="3:3" x14ac:dyDescent="0.3">
      <c r="C160" s="15"/>
    </row>
    <row r="161" spans="3:3" x14ac:dyDescent="0.3">
      <c r="C161" s="15"/>
    </row>
    <row r="162" spans="3:3" x14ac:dyDescent="0.3">
      <c r="C162" s="15"/>
    </row>
    <row r="163" spans="3:3" x14ac:dyDescent="0.3">
      <c r="C163" s="15"/>
    </row>
    <row r="164" spans="3:3" x14ac:dyDescent="0.3">
      <c r="C164" s="15"/>
    </row>
    <row r="165" spans="3:3" x14ac:dyDescent="0.3">
      <c r="C165" s="15"/>
    </row>
    <row r="166" spans="3:3" x14ac:dyDescent="0.3">
      <c r="C166" s="15"/>
    </row>
    <row r="167" spans="3:3" x14ac:dyDescent="0.3">
      <c r="C167" s="15"/>
    </row>
    <row r="168" spans="3:3" x14ac:dyDescent="0.3">
      <c r="C168" s="15"/>
    </row>
    <row r="169" spans="3:3" x14ac:dyDescent="0.3">
      <c r="C169" s="15"/>
    </row>
    <row r="170" spans="3:3" x14ac:dyDescent="0.3">
      <c r="C170" s="15"/>
    </row>
    <row r="171" spans="3:3" x14ac:dyDescent="0.3">
      <c r="C171" s="15"/>
    </row>
    <row r="172" spans="3:3" x14ac:dyDescent="0.3">
      <c r="C172" s="15"/>
    </row>
    <row r="173" spans="3:3" x14ac:dyDescent="0.3">
      <c r="C173" s="15"/>
    </row>
    <row r="174" spans="3:3" x14ac:dyDescent="0.3">
      <c r="C174" s="15"/>
    </row>
    <row r="175" spans="3:3" x14ac:dyDescent="0.3">
      <c r="C175" s="15"/>
    </row>
    <row r="176" spans="3:3" x14ac:dyDescent="0.3">
      <c r="C176" s="15"/>
    </row>
    <row r="177" spans="3:3" x14ac:dyDescent="0.3">
      <c r="C177" s="15"/>
    </row>
    <row r="178" spans="3:3" x14ac:dyDescent="0.3">
      <c r="C178" s="15"/>
    </row>
    <row r="179" spans="3:3" x14ac:dyDescent="0.3">
      <c r="C179" s="15"/>
    </row>
    <row r="180" spans="3:3" x14ac:dyDescent="0.3">
      <c r="C180" s="15"/>
    </row>
    <row r="181" spans="3:3" x14ac:dyDescent="0.3">
      <c r="C181" s="15"/>
    </row>
    <row r="182" spans="3:3" x14ac:dyDescent="0.3">
      <c r="C182" s="15"/>
    </row>
    <row r="183" spans="3:3" x14ac:dyDescent="0.3">
      <c r="C183" s="15"/>
    </row>
    <row r="184" spans="3:3" x14ac:dyDescent="0.3">
      <c r="C184" s="15"/>
    </row>
    <row r="185" spans="3:3" x14ac:dyDescent="0.3">
      <c r="C185" s="15"/>
    </row>
    <row r="186" spans="3:3" x14ac:dyDescent="0.3">
      <c r="C186" s="15"/>
    </row>
    <row r="187" spans="3:3" x14ac:dyDescent="0.3">
      <c r="C187" s="15"/>
    </row>
    <row r="188" spans="3:3" x14ac:dyDescent="0.3">
      <c r="C188" s="15"/>
    </row>
    <row r="189" spans="3:3" x14ac:dyDescent="0.3">
      <c r="C189" s="15"/>
    </row>
    <row r="190" spans="3:3" x14ac:dyDescent="0.3">
      <c r="C190" s="15"/>
    </row>
    <row r="191" spans="3:3" x14ac:dyDescent="0.3">
      <c r="C191" s="15"/>
    </row>
    <row r="192" spans="3:3" x14ac:dyDescent="0.3">
      <c r="C192" s="15"/>
    </row>
    <row r="193" spans="3:3" x14ac:dyDescent="0.3">
      <c r="C193" s="15"/>
    </row>
    <row r="194" spans="3:3" x14ac:dyDescent="0.3">
      <c r="C194" s="15"/>
    </row>
    <row r="195" spans="3:3" x14ac:dyDescent="0.3">
      <c r="C195" s="15"/>
    </row>
    <row r="196" spans="3:3" x14ac:dyDescent="0.3">
      <c r="C196" s="15"/>
    </row>
    <row r="197" spans="3:3" x14ac:dyDescent="0.3">
      <c r="C197" s="15"/>
    </row>
    <row r="198" spans="3:3" x14ac:dyDescent="0.3">
      <c r="C198" s="15"/>
    </row>
    <row r="199" spans="3:3" x14ac:dyDescent="0.3">
      <c r="C199" s="15"/>
    </row>
    <row r="200" spans="3:3" x14ac:dyDescent="0.3">
      <c r="C200" s="15"/>
    </row>
    <row r="201" spans="3:3" x14ac:dyDescent="0.3">
      <c r="C201" s="15"/>
    </row>
    <row r="202" spans="3:3" x14ac:dyDescent="0.3">
      <c r="C202" s="15"/>
    </row>
    <row r="203" spans="3:3" x14ac:dyDescent="0.3">
      <c r="C203" s="15"/>
    </row>
    <row r="204" spans="3:3" x14ac:dyDescent="0.3">
      <c r="C204" s="15"/>
    </row>
    <row r="205" spans="3:3" x14ac:dyDescent="0.3">
      <c r="C205" s="15"/>
    </row>
    <row r="206" spans="3:3" x14ac:dyDescent="0.3">
      <c r="C206" s="15"/>
    </row>
    <row r="207" spans="3:3" x14ac:dyDescent="0.3">
      <c r="C207" s="15"/>
    </row>
    <row r="208" spans="3:3" x14ac:dyDescent="0.3">
      <c r="C208" s="15"/>
    </row>
    <row r="209" spans="3:3" x14ac:dyDescent="0.3">
      <c r="C209" s="15"/>
    </row>
    <row r="210" spans="3:3" x14ac:dyDescent="0.3">
      <c r="C210" s="15"/>
    </row>
    <row r="211" spans="3:3" x14ac:dyDescent="0.3">
      <c r="C211" s="15"/>
    </row>
    <row r="212" spans="3:3" x14ac:dyDescent="0.3">
      <c r="C212" s="15"/>
    </row>
    <row r="213" spans="3:3" x14ac:dyDescent="0.3">
      <c r="C213" s="15"/>
    </row>
    <row r="214" spans="3:3" x14ac:dyDescent="0.3">
      <c r="C214" s="15"/>
    </row>
    <row r="215" spans="3:3" x14ac:dyDescent="0.3">
      <c r="C215" s="15"/>
    </row>
    <row r="216" spans="3:3" x14ac:dyDescent="0.3">
      <c r="C216" s="15"/>
    </row>
    <row r="217" spans="3:3" x14ac:dyDescent="0.3">
      <c r="C217" s="15"/>
    </row>
    <row r="218" spans="3:3" x14ac:dyDescent="0.3">
      <c r="C218" s="15"/>
    </row>
    <row r="219" spans="3:3" x14ac:dyDescent="0.3">
      <c r="C219" s="15"/>
    </row>
    <row r="220" spans="3:3" x14ac:dyDescent="0.3">
      <c r="C220" s="15"/>
    </row>
    <row r="221" spans="3:3" x14ac:dyDescent="0.3">
      <c r="C221" s="15"/>
    </row>
    <row r="222" spans="3:3" x14ac:dyDescent="0.3">
      <c r="C222" s="15"/>
    </row>
    <row r="223" spans="3:3" x14ac:dyDescent="0.3">
      <c r="C223" s="15"/>
    </row>
    <row r="224" spans="3:3" x14ac:dyDescent="0.3">
      <c r="C224" s="15"/>
    </row>
    <row r="225" spans="3:3" x14ac:dyDescent="0.3">
      <c r="C225" s="15"/>
    </row>
    <row r="226" spans="3:3" x14ac:dyDescent="0.3">
      <c r="C226" s="15"/>
    </row>
    <row r="227" spans="3:3" x14ac:dyDescent="0.3">
      <c r="C227" s="15"/>
    </row>
    <row r="228" spans="3:3" x14ac:dyDescent="0.3">
      <c r="C228" s="15"/>
    </row>
    <row r="229" spans="3:3" x14ac:dyDescent="0.3">
      <c r="C229" s="15"/>
    </row>
    <row r="230" spans="3:3" x14ac:dyDescent="0.3">
      <c r="C230" s="15"/>
    </row>
    <row r="231" spans="3:3" x14ac:dyDescent="0.3">
      <c r="C231" s="15"/>
    </row>
    <row r="232" spans="3:3" x14ac:dyDescent="0.3">
      <c r="C232" s="15"/>
    </row>
    <row r="233" spans="3:3" x14ac:dyDescent="0.3">
      <c r="C233" s="15"/>
    </row>
    <row r="234" spans="3:3" x14ac:dyDescent="0.3">
      <c r="C234" s="15"/>
    </row>
    <row r="235" spans="3:3" x14ac:dyDescent="0.3">
      <c r="C235" s="15"/>
    </row>
    <row r="236" spans="3:3" x14ac:dyDescent="0.3">
      <c r="C236" s="15"/>
    </row>
    <row r="237" spans="3:3" x14ac:dyDescent="0.3">
      <c r="C237" s="15"/>
    </row>
    <row r="238" spans="3:3" x14ac:dyDescent="0.3">
      <c r="C238" s="15"/>
    </row>
    <row r="239" spans="3:3" x14ac:dyDescent="0.3">
      <c r="C239" s="15"/>
    </row>
    <row r="240" spans="3:3" x14ac:dyDescent="0.3">
      <c r="C240" s="15"/>
    </row>
    <row r="241" spans="3:3" x14ac:dyDescent="0.3">
      <c r="C241" s="15"/>
    </row>
    <row r="242" spans="3:3" x14ac:dyDescent="0.3">
      <c r="C242" s="15"/>
    </row>
    <row r="243" spans="3:3" x14ac:dyDescent="0.3">
      <c r="C243" s="15"/>
    </row>
    <row r="244" spans="3:3" x14ac:dyDescent="0.3">
      <c r="C244" s="15"/>
    </row>
    <row r="245" spans="3:3" x14ac:dyDescent="0.3">
      <c r="C245" s="15"/>
    </row>
    <row r="246" spans="3:3" x14ac:dyDescent="0.3">
      <c r="C246" s="15"/>
    </row>
    <row r="247" spans="3:3" x14ac:dyDescent="0.3">
      <c r="C247" s="15"/>
    </row>
    <row r="248" spans="3:3" x14ac:dyDescent="0.3">
      <c r="C248" s="15"/>
    </row>
    <row r="249" spans="3:3" x14ac:dyDescent="0.3">
      <c r="C249" s="15"/>
    </row>
    <row r="250" spans="3:3" x14ac:dyDescent="0.3">
      <c r="C250" s="15"/>
    </row>
    <row r="251" spans="3:3" x14ac:dyDescent="0.3">
      <c r="C251" s="15"/>
    </row>
    <row r="252" spans="3:3" x14ac:dyDescent="0.3">
      <c r="C252" s="15"/>
    </row>
    <row r="253" spans="3:3" x14ac:dyDescent="0.3">
      <c r="C253" s="15"/>
    </row>
    <row r="254" spans="3:3" x14ac:dyDescent="0.3">
      <c r="C254" s="15"/>
    </row>
    <row r="255" spans="3:3" x14ac:dyDescent="0.3">
      <c r="C255" s="15"/>
    </row>
    <row r="256" spans="3:3" x14ac:dyDescent="0.3">
      <c r="C256" s="15"/>
    </row>
    <row r="257" spans="3:3" x14ac:dyDescent="0.3">
      <c r="C257" s="15"/>
    </row>
    <row r="258" spans="3:3" x14ac:dyDescent="0.3">
      <c r="C258" s="15"/>
    </row>
    <row r="259" spans="3:3" x14ac:dyDescent="0.3">
      <c r="C259" s="15"/>
    </row>
    <row r="260" spans="3:3" x14ac:dyDescent="0.3">
      <c r="C260" s="15"/>
    </row>
    <row r="261" spans="3:3" x14ac:dyDescent="0.3">
      <c r="C261" s="15"/>
    </row>
    <row r="262" spans="3:3" x14ac:dyDescent="0.3">
      <c r="C262" s="15"/>
    </row>
    <row r="263" spans="3:3" x14ac:dyDescent="0.3">
      <c r="C263" s="15"/>
    </row>
    <row r="264" spans="3:3" x14ac:dyDescent="0.3">
      <c r="C264" s="15"/>
    </row>
    <row r="265" spans="3:3" x14ac:dyDescent="0.3">
      <c r="C265" s="15"/>
    </row>
    <row r="266" spans="3:3" x14ac:dyDescent="0.3">
      <c r="C266" s="15"/>
    </row>
    <row r="267" spans="3:3" x14ac:dyDescent="0.3">
      <c r="C267" s="15"/>
    </row>
    <row r="268" spans="3:3" x14ac:dyDescent="0.3">
      <c r="C268" s="15"/>
    </row>
    <row r="269" spans="3:3" x14ac:dyDescent="0.3">
      <c r="C269" s="15"/>
    </row>
    <row r="270" spans="3:3" x14ac:dyDescent="0.3">
      <c r="C270" s="15"/>
    </row>
    <row r="271" spans="3:3" x14ac:dyDescent="0.3">
      <c r="C271" s="15"/>
    </row>
    <row r="272" spans="3:3" x14ac:dyDescent="0.3">
      <c r="C272" s="15"/>
    </row>
    <row r="273" spans="3:3" x14ac:dyDescent="0.3">
      <c r="C273" s="15"/>
    </row>
    <row r="274" spans="3:3" x14ac:dyDescent="0.3">
      <c r="C274" s="15"/>
    </row>
    <row r="275" spans="3:3" x14ac:dyDescent="0.3">
      <c r="C275" s="15"/>
    </row>
    <row r="276" spans="3:3" x14ac:dyDescent="0.3">
      <c r="C276" s="15"/>
    </row>
    <row r="277" spans="3:3" x14ac:dyDescent="0.3">
      <c r="C277" s="15"/>
    </row>
    <row r="278" spans="3:3" x14ac:dyDescent="0.3">
      <c r="C278" s="15"/>
    </row>
    <row r="279" spans="3:3" x14ac:dyDescent="0.3">
      <c r="C279" s="15"/>
    </row>
    <row r="280" spans="3:3" x14ac:dyDescent="0.3">
      <c r="C280" s="15"/>
    </row>
    <row r="281" spans="3:3" x14ac:dyDescent="0.3">
      <c r="C281" s="15"/>
    </row>
    <row r="282" spans="3:3" x14ac:dyDescent="0.3">
      <c r="C282" s="15"/>
    </row>
    <row r="283" spans="3:3" x14ac:dyDescent="0.3">
      <c r="C283" s="15"/>
    </row>
    <row r="284" spans="3:3" x14ac:dyDescent="0.3">
      <c r="C284" s="15"/>
    </row>
    <row r="285" spans="3:3" x14ac:dyDescent="0.3">
      <c r="C285" s="15"/>
    </row>
    <row r="286" spans="3:3" x14ac:dyDescent="0.3">
      <c r="C286" s="15"/>
    </row>
    <row r="287" spans="3:3" x14ac:dyDescent="0.3">
      <c r="C287" s="15"/>
    </row>
    <row r="288" spans="3:3" x14ac:dyDescent="0.3">
      <c r="C288" s="15"/>
    </row>
    <row r="289" spans="3:3" x14ac:dyDescent="0.3">
      <c r="C289" s="15"/>
    </row>
    <row r="290" spans="3:3" x14ac:dyDescent="0.3">
      <c r="C290" s="15"/>
    </row>
    <row r="291" spans="3:3" x14ac:dyDescent="0.3">
      <c r="C291" s="15"/>
    </row>
    <row r="292" spans="3:3" x14ac:dyDescent="0.3">
      <c r="C292" s="15"/>
    </row>
    <row r="293" spans="3:3" x14ac:dyDescent="0.3">
      <c r="C293" s="15"/>
    </row>
    <row r="294" spans="3:3" x14ac:dyDescent="0.3">
      <c r="C294" s="15"/>
    </row>
    <row r="295" spans="3:3" x14ac:dyDescent="0.3">
      <c r="C295" s="15"/>
    </row>
    <row r="296" spans="3:3" x14ac:dyDescent="0.3">
      <c r="C296" s="15"/>
    </row>
    <row r="297" spans="3:3" x14ac:dyDescent="0.3">
      <c r="C297" s="15"/>
    </row>
    <row r="298" spans="3:3" x14ac:dyDescent="0.3">
      <c r="C298" s="15"/>
    </row>
    <row r="299" spans="3:3" x14ac:dyDescent="0.3">
      <c r="C299" s="15"/>
    </row>
    <row r="300" spans="3:3" x14ac:dyDescent="0.3">
      <c r="C300" s="15"/>
    </row>
    <row r="301" spans="3:3" x14ac:dyDescent="0.3">
      <c r="C301" s="15"/>
    </row>
    <row r="302" spans="3:3" x14ac:dyDescent="0.3">
      <c r="C302" s="15"/>
    </row>
    <row r="303" spans="3:3" x14ac:dyDescent="0.3">
      <c r="C303" s="15"/>
    </row>
    <row r="304" spans="3:3" x14ac:dyDescent="0.3">
      <c r="C304" s="15"/>
    </row>
    <row r="305" spans="3:3" x14ac:dyDescent="0.3">
      <c r="C305" s="15"/>
    </row>
    <row r="306" spans="3:3" x14ac:dyDescent="0.3">
      <c r="C306" s="15"/>
    </row>
    <row r="307" spans="3:3" x14ac:dyDescent="0.3">
      <c r="C307" s="15"/>
    </row>
    <row r="308" spans="3:3" x14ac:dyDescent="0.3">
      <c r="C308" s="15"/>
    </row>
    <row r="309" spans="3:3" x14ac:dyDescent="0.3">
      <c r="C309" s="15"/>
    </row>
    <row r="310" spans="3:3" x14ac:dyDescent="0.3">
      <c r="C310" s="15"/>
    </row>
    <row r="311" spans="3:3" x14ac:dyDescent="0.3">
      <c r="C311" s="15"/>
    </row>
    <row r="312" spans="3:3" x14ac:dyDescent="0.3">
      <c r="C312" s="15"/>
    </row>
    <row r="313" spans="3:3" x14ac:dyDescent="0.3">
      <c r="C313" s="15"/>
    </row>
    <row r="314" spans="3:3" x14ac:dyDescent="0.3">
      <c r="C314" s="15"/>
    </row>
    <row r="315" spans="3:3" x14ac:dyDescent="0.3">
      <c r="C315" s="15"/>
    </row>
    <row r="316" spans="3:3" x14ac:dyDescent="0.3">
      <c r="C316" s="15"/>
    </row>
    <row r="317" spans="3:3" x14ac:dyDescent="0.3">
      <c r="C317" s="15"/>
    </row>
    <row r="318" spans="3:3" x14ac:dyDescent="0.3">
      <c r="C318" s="15"/>
    </row>
    <row r="319" spans="3:3" x14ac:dyDescent="0.3">
      <c r="C319" s="15"/>
    </row>
    <row r="320" spans="3:3" x14ac:dyDescent="0.3">
      <c r="C320" s="15"/>
    </row>
    <row r="321" spans="3:3" x14ac:dyDescent="0.3">
      <c r="C321" s="15"/>
    </row>
    <row r="322" spans="3:3" x14ac:dyDescent="0.3">
      <c r="C322" s="15"/>
    </row>
    <row r="323" spans="3:3" x14ac:dyDescent="0.3">
      <c r="C323" s="15"/>
    </row>
    <row r="324" spans="3:3" x14ac:dyDescent="0.3">
      <c r="C324" s="15"/>
    </row>
    <row r="325" spans="3:3" x14ac:dyDescent="0.3">
      <c r="C325" s="15"/>
    </row>
    <row r="326" spans="3:3" x14ac:dyDescent="0.3">
      <c r="C326" s="15"/>
    </row>
    <row r="327" spans="3:3" x14ac:dyDescent="0.3">
      <c r="C327" s="15"/>
    </row>
    <row r="328" spans="3:3" x14ac:dyDescent="0.3">
      <c r="C328" s="15"/>
    </row>
    <row r="329" spans="3:3" x14ac:dyDescent="0.3">
      <c r="C329" s="15"/>
    </row>
    <row r="330" spans="3:3" x14ac:dyDescent="0.3">
      <c r="C330" s="15"/>
    </row>
    <row r="331" spans="3:3" x14ac:dyDescent="0.3">
      <c r="C331" s="15"/>
    </row>
    <row r="332" spans="3:3" x14ac:dyDescent="0.3">
      <c r="C332" s="15"/>
    </row>
    <row r="333" spans="3:3" x14ac:dyDescent="0.3">
      <c r="C333" s="15"/>
    </row>
    <row r="334" spans="3:3" x14ac:dyDescent="0.3">
      <c r="C334" s="15"/>
    </row>
    <row r="335" spans="3:3" x14ac:dyDescent="0.3">
      <c r="C335" s="15"/>
    </row>
    <row r="336" spans="3:3" x14ac:dyDescent="0.3">
      <c r="C336" s="15"/>
    </row>
    <row r="337" spans="3:3" x14ac:dyDescent="0.3">
      <c r="C337" s="15"/>
    </row>
    <row r="338" spans="3:3" x14ac:dyDescent="0.3">
      <c r="C338" s="15"/>
    </row>
    <row r="339" spans="3:3" x14ac:dyDescent="0.3">
      <c r="C339" s="15"/>
    </row>
    <row r="340" spans="3:3" x14ac:dyDescent="0.3">
      <c r="C340" s="15"/>
    </row>
    <row r="341" spans="3:3" x14ac:dyDescent="0.3">
      <c r="C341" s="15"/>
    </row>
    <row r="342" spans="3:3" x14ac:dyDescent="0.3">
      <c r="C342" s="15"/>
    </row>
    <row r="343" spans="3:3" x14ac:dyDescent="0.3">
      <c r="C343" s="15"/>
    </row>
    <row r="344" spans="3:3" x14ac:dyDescent="0.3">
      <c r="C344" s="15"/>
    </row>
    <row r="345" spans="3:3" x14ac:dyDescent="0.3">
      <c r="C345" s="15"/>
    </row>
    <row r="346" spans="3:3" x14ac:dyDescent="0.3">
      <c r="C346" s="15"/>
    </row>
    <row r="347" spans="3:3" x14ac:dyDescent="0.3">
      <c r="C347" s="15"/>
    </row>
    <row r="348" spans="3:3" x14ac:dyDescent="0.3">
      <c r="C348" s="15"/>
    </row>
    <row r="349" spans="3:3" x14ac:dyDescent="0.3">
      <c r="C349" s="15"/>
    </row>
    <row r="350" spans="3:3" x14ac:dyDescent="0.3">
      <c r="C350" s="15"/>
    </row>
    <row r="351" spans="3:3" x14ac:dyDescent="0.3">
      <c r="C351" s="15"/>
    </row>
    <row r="352" spans="3:3" x14ac:dyDescent="0.3">
      <c r="C352" s="15"/>
    </row>
    <row r="353" spans="3:3" x14ac:dyDescent="0.3">
      <c r="C353" s="15"/>
    </row>
    <row r="354" spans="3:3" x14ac:dyDescent="0.3">
      <c r="C354" s="15"/>
    </row>
    <row r="355" spans="3:3" x14ac:dyDescent="0.3">
      <c r="C355" s="15"/>
    </row>
    <row r="356" spans="3:3" x14ac:dyDescent="0.3">
      <c r="C356" s="15"/>
    </row>
    <row r="357" spans="3:3" x14ac:dyDescent="0.3">
      <c r="C357" s="15"/>
    </row>
    <row r="358" spans="3:3" x14ac:dyDescent="0.3">
      <c r="C358" s="15"/>
    </row>
    <row r="359" spans="3:3" x14ac:dyDescent="0.3">
      <c r="C359" s="15"/>
    </row>
    <row r="360" spans="3:3" x14ac:dyDescent="0.3">
      <c r="C360" s="15"/>
    </row>
    <row r="361" spans="3:3" x14ac:dyDescent="0.3">
      <c r="C361" s="15"/>
    </row>
    <row r="362" spans="3:3" x14ac:dyDescent="0.3">
      <c r="C362" s="15"/>
    </row>
    <row r="363" spans="3:3" x14ac:dyDescent="0.3">
      <c r="C363" s="15"/>
    </row>
    <row r="364" spans="3:3" x14ac:dyDescent="0.3">
      <c r="C364" s="15"/>
    </row>
    <row r="365" spans="3:3" x14ac:dyDescent="0.3">
      <c r="C365" s="15"/>
    </row>
    <row r="366" spans="3:3" x14ac:dyDescent="0.3">
      <c r="C366" s="15"/>
    </row>
    <row r="367" spans="3:3" x14ac:dyDescent="0.3">
      <c r="C367" s="15"/>
    </row>
    <row r="368" spans="3:3" x14ac:dyDescent="0.3">
      <c r="C368" s="15"/>
    </row>
    <row r="369" spans="3:3" x14ac:dyDescent="0.3">
      <c r="C369" s="15"/>
    </row>
    <row r="370" spans="3:3" x14ac:dyDescent="0.3">
      <c r="C370" s="15"/>
    </row>
    <row r="371" spans="3:3" x14ac:dyDescent="0.3">
      <c r="C371" s="15"/>
    </row>
    <row r="372" spans="3:3" x14ac:dyDescent="0.3">
      <c r="C372" s="15"/>
    </row>
    <row r="373" spans="3:3" x14ac:dyDescent="0.3">
      <c r="C373" s="15"/>
    </row>
    <row r="374" spans="3:3" x14ac:dyDescent="0.3">
      <c r="C374" s="15"/>
    </row>
    <row r="375" spans="3:3" x14ac:dyDescent="0.3">
      <c r="C375" s="15"/>
    </row>
    <row r="376" spans="3:3" x14ac:dyDescent="0.3">
      <c r="C376" s="15"/>
    </row>
    <row r="377" spans="3:3" x14ac:dyDescent="0.3">
      <c r="C377" s="15"/>
    </row>
    <row r="378" spans="3:3" x14ac:dyDescent="0.3">
      <c r="C378" s="15"/>
    </row>
    <row r="379" spans="3:3" x14ac:dyDescent="0.3">
      <c r="C379" s="15"/>
    </row>
    <row r="380" spans="3:3" x14ac:dyDescent="0.3">
      <c r="C380" s="15"/>
    </row>
    <row r="381" spans="3:3" x14ac:dyDescent="0.3">
      <c r="C381" s="15"/>
    </row>
    <row r="382" spans="3:3" x14ac:dyDescent="0.3">
      <c r="C382" s="15"/>
    </row>
    <row r="383" spans="3:3" x14ac:dyDescent="0.3">
      <c r="C383" s="15"/>
    </row>
    <row r="384" spans="3:3" x14ac:dyDescent="0.3">
      <c r="C384" s="15"/>
    </row>
    <row r="385" spans="3:3" x14ac:dyDescent="0.3">
      <c r="C385" s="15"/>
    </row>
    <row r="386" spans="3:3" x14ac:dyDescent="0.3">
      <c r="C386" s="15"/>
    </row>
    <row r="387" spans="3:3" x14ac:dyDescent="0.3">
      <c r="C387" s="15"/>
    </row>
    <row r="388" spans="3:3" x14ac:dyDescent="0.3">
      <c r="C388" s="15"/>
    </row>
    <row r="389" spans="3:3" x14ac:dyDescent="0.3">
      <c r="C389" s="15"/>
    </row>
    <row r="390" spans="3:3" x14ac:dyDescent="0.3">
      <c r="C390" s="15"/>
    </row>
    <row r="391" spans="3:3" x14ac:dyDescent="0.3">
      <c r="C391" s="15"/>
    </row>
    <row r="392" spans="3:3" x14ac:dyDescent="0.3">
      <c r="C392" s="15"/>
    </row>
    <row r="393" spans="3:3" x14ac:dyDescent="0.3">
      <c r="C393" s="15"/>
    </row>
    <row r="394" spans="3:3" x14ac:dyDescent="0.3">
      <c r="C394" s="15"/>
    </row>
    <row r="395" spans="3:3" x14ac:dyDescent="0.3">
      <c r="C395" s="15"/>
    </row>
    <row r="396" spans="3:3" x14ac:dyDescent="0.3">
      <c r="C396" s="15"/>
    </row>
    <row r="397" spans="3:3" x14ac:dyDescent="0.3">
      <c r="C397" s="15"/>
    </row>
    <row r="398" spans="3:3" x14ac:dyDescent="0.3">
      <c r="C398" s="15"/>
    </row>
    <row r="399" spans="3:3" x14ac:dyDescent="0.3">
      <c r="C399" s="15"/>
    </row>
    <row r="400" spans="3:3" x14ac:dyDescent="0.3">
      <c r="C400" s="15"/>
    </row>
    <row r="401" spans="3:3" x14ac:dyDescent="0.3">
      <c r="C401" s="15"/>
    </row>
    <row r="402" spans="3:3" x14ac:dyDescent="0.3">
      <c r="C402" s="15"/>
    </row>
    <row r="403" spans="3:3" x14ac:dyDescent="0.3">
      <c r="C403" s="15"/>
    </row>
    <row r="404" spans="3:3" x14ac:dyDescent="0.3">
      <c r="C404" s="15"/>
    </row>
    <row r="405" spans="3:3" x14ac:dyDescent="0.3">
      <c r="C405" s="15"/>
    </row>
    <row r="406" spans="3:3" x14ac:dyDescent="0.3">
      <c r="C406" s="15"/>
    </row>
    <row r="407" spans="3:3" x14ac:dyDescent="0.3">
      <c r="C407" s="15"/>
    </row>
    <row r="408" spans="3:3" x14ac:dyDescent="0.3">
      <c r="C408" s="15"/>
    </row>
    <row r="409" spans="3:3" x14ac:dyDescent="0.3">
      <c r="C409" s="15"/>
    </row>
    <row r="410" spans="3:3" x14ac:dyDescent="0.3">
      <c r="C410" s="15"/>
    </row>
    <row r="411" spans="3:3" x14ac:dyDescent="0.3">
      <c r="C411" s="15"/>
    </row>
    <row r="412" spans="3:3" x14ac:dyDescent="0.3">
      <c r="C412" s="15"/>
    </row>
    <row r="413" spans="3:3" x14ac:dyDescent="0.3">
      <c r="C413" s="15"/>
    </row>
    <row r="414" spans="3:3" x14ac:dyDescent="0.3">
      <c r="C414" s="15"/>
    </row>
    <row r="415" spans="3:3" x14ac:dyDescent="0.3">
      <c r="C415" s="15"/>
    </row>
    <row r="416" spans="3:3" x14ac:dyDescent="0.3">
      <c r="C416" s="15"/>
    </row>
    <row r="417" spans="3:3" x14ac:dyDescent="0.3">
      <c r="C417" s="15"/>
    </row>
    <row r="418" spans="3:3" x14ac:dyDescent="0.3">
      <c r="C418" s="15"/>
    </row>
    <row r="419" spans="3:3" x14ac:dyDescent="0.3">
      <c r="C419" s="15"/>
    </row>
    <row r="420" spans="3:3" x14ac:dyDescent="0.3">
      <c r="C420" s="15"/>
    </row>
    <row r="421" spans="3:3" x14ac:dyDescent="0.3">
      <c r="C421" s="15"/>
    </row>
    <row r="422" spans="3:3" x14ac:dyDescent="0.3">
      <c r="C422" s="15"/>
    </row>
    <row r="423" spans="3:3" x14ac:dyDescent="0.3">
      <c r="C423" s="15"/>
    </row>
    <row r="424" spans="3:3" x14ac:dyDescent="0.3">
      <c r="C424" s="15"/>
    </row>
    <row r="425" spans="3:3" x14ac:dyDescent="0.3">
      <c r="C425" s="15"/>
    </row>
    <row r="426" spans="3:3" x14ac:dyDescent="0.3">
      <c r="C426" s="15"/>
    </row>
    <row r="427" spans="3:3" x14ac:dyDescent="0.3">
      <c r="C427" s="15"/>
    </row>
    <row r="428" spans="3:3" x14ac:dyDescent="0.3">
      <c r="C428" s="15"/>
    </row>
    <row r="429" spans="3:3" x14ac:dyDescent="0.3">
      <c r="C429" s="15"/>
    </row>
    <row r="430" spans="3:3" x14ac:dyDescent="0.3">
      <c r="C430" s="15"/>
    </row>
    <row r="431" spans="3:3" x14ac:dyDescent="0.3">
      <c r="C431" s="15"/>
    </row>
    <row r="432" spans="3:3" x14ac:dyDescent="0.3">
      <c r="C432" s="15"/>
    </row>
    <row r="433" spans="3:3" x14ac:dyDescent="0.3">
      <c r="C433" s="15"/>
    </row>
    <row r="434" spans="3:3" x14ac:dyDescent="0.3">
      <c r="C434" s="15"/>
    </row>
    <row r="435" spans="3:3" x14ac:dyDescent="0.3">
      <c r="C435" s="15"/>
    </row>
    <row r="436" spans="3:3" x14ac:dyDescent="0.3">
      <c r="C436" s="15"/>
    </row>
    <row r="437" spans="3:3" x14ac:dyDescent="0.3">
      <c r="C437" s="15"/>
    </row>
    <row r="438" spans="3:3" x14ac:dyDescent="0.3">
      <c r="C438" s="15"/>
    </row>
    <row r="439" spans="3:3" x14ac:dyDescent="0.3">
      <c r="C439" s="15"/>
    </row>
    <row r="440" spans="3:3" x14ac:dyDescent="0.3">
      <c r="C440" s="15"/>
    </row>
    <row r="441" spans="3:3" x14ac:dyDescent="0.3">
      <c r="C441" s="15"/>
    </row>
    <row r="442" spans="3:3" x14ac:dyDescent="0.3">
      <c r="C442" s="15"/>
    </row>
    <row r="443" spans="3:3" x14ac:dyDescent="0.3">
      <c r="C443" s="15"/>
    </row>
    <row r="444" spans="3:3" x14ac:dyDescent="0.3">
      <c r="C444" s="15"/>
    </row>
    <row r="445" spans="3:3" x14ac:dyDescent="0.3">
      <c r="C445" s="15"/>
    </row>
    <row r="446" spans="3:3" x14ac:dyDescent="0.3">
      <c r="C446" s="15"/>
    </row>
    <row r="447" spans="3:3" x14ac:dyDescent="0.3">
      <c r="C447" s="15"/>
    </row>
    <row r="448" spans="3:3" x14ac:dyDescent="0.3">
      <c r="C448" s="15"/>
    </row>
    <row r="449" spans="3:3" x14ac:dyDescent="0.3">
      <c r="C449" s="15"/>
    </row>
    <row r="450" spans="3:3" x14ac:dyDescent="0.3">
      <c r="C450" s="15"/>
    </row>
    <row r="451" spans="3:3" x14ac:dyDescent="0.3">
      <c r="C451" s="15"/>
    </row>
    <row r="452" spans="3:3" x14ac:dyDescent="0.3">
      <c r="C452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DC462-8AB5-4018-8837-A445134B29FC}">
  <sheetPr>
    <tabColor rgb="FF92D050"/>
  </sheetPr>
  <dimension ref="A1:AT736"/>
  <sheetViews>
    <sheetView topLeftCell="A10" zoomScaleNormal="100" workbookViewId="0">
      <pane xSplit="3" ySplit="3" topLeftCell="D13" activePane="bottomRight" state="frozen"/>
      <selection activeCell="A10" sqref="A10"/>
      <selection pane="topRight" activeCell="D10" sqref="D10"/>
      <selection pane="bottomLeft" activeCell="A13" sqref="A13"/>
      <selection pane="bottomRight" activeCell="B31" sqref="B31"/>
    </sheetView>
  </sheetViews>
  <sheetFormatPr baseColWidth="10" defaultRowHeight="14.4" x14ac:dyDescent="0.3"/>
  <cols>
    <col min="1" max="1" width="22.109375" style="15" bestFit="1" customWidth="1"/>
    <col min="2" max="2" width="26.77734375" style="15" customWidth="1"/>
    <col min="3" max="3" width="15" style="15" bestFit="1" customWidth="1"/>
    <col min="4" max="4" width="13.21875" style="15" bestFit="1" customWidth="1"/>
    <col min="5" max="5" width="13.21875" style="240" bestFit="1" customWidth="1"/>
    <col min="6" max="6" width="20.44140625" style="241" bestFit="1" customWidth="1"/>
    <col min="7" max="7" width="16.77734375" style="241" bestFit="1" customWidth="1"/>
    <col min="8" max="8" width="17.44140625" style="241" bestFit="1" customWidth="1"/>
    <col min="9" max="9" width="23.5546875" style="242" bestFit="1" customWidth="1"/>
    <col min="10" max="10" width="15.109375" style="242" bestFit="1" customWidth="1"/>
    <col min="11" max="11" width="13.44140625" style="243" bestFit="1" customWidth="1"/>
    <col min="12" max="12" width="20.6640625" style="243" bestFit="1" customWidth="1"/>
    <col min="13" max="13" width="17" style="243" bestFit="1" customWidth="1"/>
    <col min="14" max="14" width="17.6640625" style="243" bestFit="1" customWidth="1"/>
    <col min="15" max="15" width="23.77734375" style="243" bestFit="1" customWidth="1"/>
    <col min="16" max="16" width="15.33203125" style="243" bestFit="1" customWidth="1"/>
    <col min="17" max="17" width="13.6640625" style="243" bestFit="1" customWidth="1"/>
    <col min="18" max="18" width="21" style="243" bestFit="1" customWidth="1"/>
    <col min="19" max="19" width="17.33203125" style="243" bestFit="1" customWidth="1"/>
    <col min="20" max="20" width="18" style="243" bestFit="1" customWidth="1"/>
    <col min="21" max="21" width="24.109375" style="243" bestFit="1" customWidth="1"/>
    <col min="22" max="22" width="14" style="243" bestFit="1" customWidth="1"/>
    <col min="23" max="23" width="14.33203125" style="243" bestFit="1" customWidth="1"/>
    <col min="24" max="27" width="14.109375" style="243" bestFit="1" customWidth="1"/>
    <col min="28" max="28" width="14.5546875" style="15" bestFit="1" customWidth="1"/>
    <col min="29" max="33" width="13.44140625" style="15" bestFit="1" customWidth="1"/>
    <col min="34" max="34" width="13.44140625" style="67" bestFit="1" customWidth="1"/>
    <col min="35" max="42" width="14.109375" style="15" bestFit="1" customWidth="1"/>
    <col min="43" max="43" width="13.44140625" style="15" bestFit="1" customWidth="1"/>
    <col min="44" max="46" width="23.33203125" style="15" bestFit="1" customWidth="1"/>
    <col min="47" max="47" width="23.109375" style="15" bestFit="1" customWidth="1"/>
    <col min="48" max="49" width="22.5546875" style="15" bestFit="1" customWidth="1"/>
    <col min="50" max="50" width="22.21875" style="15" bestFit="1" customWidth="1"/>
    <col min="51" max="16384" width="11.5546875" style="15"/>
  </cols>
  <sheetData>
    <row r="1" spans="1:46" x14ac:dyDescent="0.3">
      <c r="P1" s="244">
        <v>7.0999999999999994E-2</v>
      </c>
    </row>
    <row r="2" spans="1:46" x14ac:dyDescent="0.3">
      <c r="A2" s="15" t="s">
        <v>315</v>
      </c>
      <c r="B2" s="15" t="s">
        <v>1177</v>
      </c>
      <c r="AE2" s="243"/>
      <c r="AS2" s="15">
        <f>AS7*1.55</f>
        <v>0</v>
      </c>
    </row>
    <row r="3" spans="1:46" x14ac:dyDescent="0.3">
      <c r="A3" s="15" t="s">
        <v>1183</v>
      </c>
      <c r="B3" s="15" t="s">
        <v>1177</v>
      </c>
    </row>
    <row r="4" spans="1:46" x14ac:dyDescent="0.3">
      <c r="A4" s="15" t="s">
        <v>1201</v>
      </c>
      <c r="B4" s="15" t="s">
        <v>1177</v>
      </c>
      <c r="F4" s="15"/>
      <c r="G4" s="15"/>
      <c r="H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H4" s="15"/>
    </row>
    <row r="5" spans="1:46" x14ac:dyDescent="0.3">
      <c r="A5" s="15" t="s">
        <v>1202</v>
      </c>
      <c r="B5" s="15" t="s">
        <v>1177</v>
      </c>
      <c r="F5" s="15"/>
      <c r="G5" s="15"/>
      <c r="H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245"/>
      <c r="Z5" s="245"/>
      <c r="AA5" s="245"/>
      <c r="AB5" s="245"/>
      <c r="AH5" s="15"/>
    </row>
    <row r="6" spans="1:46" x14ac:dyDescent="0.3">
      <c r="A6" s="15" t="s">
        <v>1203</v>
      </c>
      <c r="B6" s="15" t="s">
        <v>1177</v>
      </c>
      <c r="F6" s="15"/>
      <c r="G6" s="15"/>
      <c r="H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245"/>
      <c r="Z6" s="245"/>
      <c r="AA6" s="245"/>
      <c r="AB6" s="245"/>
      <c r="AH6" s="15"/>
      <c r="AI6" s="67">
        <v>92894182.459999785</v>
      </c>
    </row>
    <row r="7" spans="1:46" x14ac:dyDescent="0.3">
      <c r="A7" s="15" t="s">
        <v>1204</v>
      </c>
      <c r="B7" s="15" t="s">
        <v>1177</v>
      </c>
      <c r="F7" s="15"/>
      <c r="G7" s="15"/>
      <c r="H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H7" s="15"/>
      <c r="AI7" s="67">
        <v>56153150.170000583</v>
      </c>
    </row>
    <row r="8" spans="1:46" x14ac:dyDescent="0.3">
      <c r="A8" s="15" t="s">
        <v>1179</v>
      </c>
      <c r="B8" s="15" t="s">
        <v>1177</v>
      </c>
      <c r="F8" s="15"/>
      <c r="G8" s="15"/>
      <c r="H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H8" s="15"/>
      <c r="AI8" s="67">
        <v>30316070.54000007</v>
      </c>
    </row>
    <row r="9" spans="1:46" x14ac:dyDescent="0.3">
      <c r="A9" s="15" t="s">
        <v>1178</v>
      </c>
      <c r="B9" s="15" t="s">
        <v>1177</v>
      </c>
      <c r="F9" s="15"/>
      <c r="G9" s="15"/>
      <c r="H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H9" s="15"/>
    </row>
    <row r="10" spans="1:46" x14ac:dyDescent="0.3">
      <c r="A10" s="246"/>
      <c r="F10" s="15"/>
      <c r="G10" s="15"/>
      <c r="H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H10" s="15"/>
    </row>
    <row r="11" spans="1:46" x14ac:dyDescent="0.3">
      <c r="E11" s="240" t="s">
        <v>1180</v>
      </c>
      <c r="I11" s="241"/>
      <c r="J11" s="241"/>
      <c r="K11" s="241"/>
      <c r="L11" s="241"/>
      <c r="M11" s="241"/>
      <c r="N11" s="241"/>
      <c r="O11" s="241"/>
      <c r="P11" s="241"/>
      <c r="Q11" s="241"/>
      <c r="R11" s="241"/>
      <c r="S11" s="241"/>
      <c r="T11" s="241"/>
      <c r="U11" s="241"/>
      <c r="V11" s="241"/>
      <c r="W11" s="15"/>
      <c r="X11" s="15"/>
      <c r="Y11" s="15"/>
      <c r="Z11" s="15"/>
      <c r="AA11" s="15"/>
      <c r="AH11" s="15"/>
    </row>
    <row r="12" spans="1:46" x14ac:dyDescent="0.3">
      <c r="A12" s="247" t="s">
        <v>272</v>
      </c>
      <c r="B12" s="247" t="s">
        <v>1182</v>
      </c>
      <c r="C12" s="247" t="s">
        <v>1181</v>
      </c>
      <c r="D12" s="247" t="s">
        <v>322</v>
      </c>
      <c r="E12" s="246" t="s">
        <v>1205</v>
      </c>
      <c r="F12" s="15" t="s">
        <v>1206</v>
      </c>
      <c r="G12" s="15" t="s">
        <v>1207</v>
      </c>
      <c r="H12" s="15" t="s">
        <v>1208</v>
      </c>
      <c r="I12" s="15" t="s">
        <v>1209</v>
      </c>
      <c r="J12" s="15" t="s">
        <v>1210</v>
      </c>
      <c r="K12" s="15" t="s">
        <v>1211</v>
      </c>
      <c r="L12" s="15" t="s">
        <v>1212</v>
      </c>
      <c r="M12" s="15" t="s">
        <v>1213</v>
      </c>
      <c r="N12" s="15" t="s">
        <v>1214</v>
      </c>
      <c r="O12" s="15" t="s">
        <v>1215</v>
      </c>
      <c r="P12" s="15" t="s">
        <v>1216</v>
      </c>
      <c r="Q12" s="15" t="s">
        <v>1217</v>
      </c>
      <c r="R12" s="15" t="s">
        <v>1218</v>
      </c>
      <c r="S12" s="15" t="s">
        <v>1219</v>
      </c>
      <c r="T12" s="15" t="s">
        <v>1220</v>
      </c>
      <c r="U12" s="15" t="s">
        <v>1221</v>
      </c>
      <c r="V12" s="15" t="s">
        <v>1222</v>
      </c>
      <c r="W12" s="15"/>
      <c r="X12" s="15"/>
      <c r="Y12" s="15"/>
      <c r="Z12" s="15"/>
      <c r="AA12" s="15"/>
      <c r="AH12" s="15"/>
      <c r="AO12" s="248"/>
      <c r="AP12" s="248"/>
      <c r="AQ12" s="248"/>
      <c r="AR12" s="248"/>
      <c r="AS12" s="248"/>
      <c r="AT12" s="248"/>
    </row>
    <row r="13" spans="1:46" x14ac:dyDescent="0.3">
      <c r="A13" s="249" t="s">
        <v>280</v>
      </c>
      <c r="E13" s="250">
        <v>354493593</v>
      </c>
      <c r="F13" s="67">
        <v>381498195.14999998</v>
      </c>
      <c r="G13" s="67">
        <v>26496000</v>
      </c>
      <c r="H13" s="67">
        <v>0</v>
      </c>
      <c r="I13" s="67">
        <v>354493593</v>
      </c>
      <c r="J13" s="68">
        <v>25213127.849999998</v>
      </c>
      <c r="K13" s="69">
        <v>8.7624914918485732</v>
      </c>
      <c r="L13" s="67">
        <v>356616500.17500001</v>
      </c>
      <c r="M13" s="68">
        <v>24885540</v>
      </c>
      <c r="N13" s="251">
        <v>3819149.9999999995</v>
      </c>
      <c r="O13" s="67">
        <v>360435650.17500001</v>
      </c>
      <c r="P13" s="67">
        <v>52666627.049999997</v>
      </c>
      <c r="Q13" s="69">
        <v>6.3707616691435458</v>
      </c>
      <c r="R13" s="67">
        <v>307769023.125</v>
      </c>
      <c r="S13" s="251">
        <v>0</v>
      </c>
      <c r="T13" s="251">
        <v>46409400</v>
      </c>
      <c r="U13" s="67">
        <v>354178423.12500006</v>
      </c>
      <c r="V13" s="69">
        <v>7.207313755657343</v>
      </c>
      <c r="W13" s="15"/>
      <c r="X13" s="15"/>
      <c r="Y13" s="15"/>
      <c r="Z13" s="15"/>
      <c r="AA13" s="15"/>
      <c r="AH13" s="15"/>
    </row>
    <row r="14" spans="1:46" x14ac:dyDescent="0.3">
      <c r="A14" s="249" t="s">
        <v>281</v>
      </c>
      <c r="E14" s="250">
        <v>260005599</v>
      </c>
      <c r="F14" s="67">
        <v>294142973.84999996</v>
      </c>
      <c r="G14" s="67">
        <v>127122177.59999999</v>
      </c>
      <c r="H14" s="67">
        <v>0</v>
      </c>
      <c r="I14" s="67">
        <v>260005599</v>
      </c>
      <c r="J14" s="68">
        <v>59713465.950000003</v>
      </c>
      <c r="K14" s="69">
        <v>2.9974875773099527</v>
      </c>
      <c r="L14" s="67">
        <v>235553378.17499998</v>
      </c>
      <c r="M14" s="68">
        <v>50086237.5</v>
      </c>
      <c r="N14" s="251">
        <v>23698395</v>
      </c>
      <c r="O14" s="67">
        <v>259251773.17499998</v>
      </c>
      <c r="P14" s="67">
        <v>116787847.5</v>
      </c>
      <c r="Q14" s="69">
        <v>2.6476024496688075</v>
      </c>
      <c r="R14" s="67">
        <v>142463925.67499998</v>
      </c>
      <c r="S14" s="251">
        <v>35281080</v>
      </c>
      <c r="T14" s="251">
        <v>90092610</v>
      </c>
      <c r="U14" s="67">
        <v>232556535.67499998</v>
      </c>
      <c r="V14" s="69">
        <v>2.7877690560002235</v>
      </c>
      <c r="W14" s="15"/>
      <c r="X14" s="15"/>
      <c r="Y14" s="15"/>
      <c r="Z14" s="15"/>
      <c r="AA14" s="15"/>
      <c r="AH14" s="15"/>
    </row>
    <row r="15" spans="1:46" x14ac:dyDescent="0.3">
      <c r="A15" s="249" t="s">
        <v>282</v>
      </c>
      <c r="E15" s="250">
        <v>118685439</v>
      </c>
      <c r="F15" s="67">
        <v>139097862.44999999</v>
      </c>
      <c r="G15" s="67">
        <v>4999049.9999999991</v>
      </c>
      <c r="H15" s="67">
        <v>0</v>
      </c>
      <c r="I15" s="67">
        <v>118685439</v>
      </c>
      <c r="J15" s="68">
        <v>30396739.050000001</v>
      </c>
      <c r="K15" s="69">
        <v>3.129410762299909</v>
      </c>
      <c r="L15" s="67">
        <v>110416118.40000001</v>
      </c>
      <c r="M15" s="68">
        <v>117814050</v>
      </c>
      <c r="N15" s="251">
        <v>0</v>
      </c>
      <c r="O15" s="67">
        <v>110416118.40000001</v>
      </c>
      <c r="P15" s="67">
        <v>44194960.575000003</v>
      </c>
      <c r="Q15" s="69">
        <v>1.9794844634854047</v>
      </c>
      <c r="R15" s="67">
        <v>66221157.824999996</v>
      </c>
      <c r="S15" s="251">
        <v>0</v>
      </c>
      <c r="T15" s="251">
        <v>21716887.5</v>
      </c>
      <c r="U15" s="67">
        <v>87938045.324999988</v>
      </c>
      <c r="V15" s="69">
        <v>1.4774485053123274</v>
      </c>
      <c r="W15" s="15"/>
      <c r="X15" s="15"/>
      <c r="Y15" s="15"/>
      <c r="Z15" s="15"/>
      <c r="AA15" s="15"/>
      <c r="AH15" s="15"/>
    </row>
    <row r="16" spans="1:46" x14ac:dyDescent="0.3">
      <c r="A16" s="249" t="s">
        <v>283</v>
      </c>
      <c r="E16" s="250">
        <v>39812849</v>
      </c>
      <c r="F16" s="67">
        <v>43534377</v>
      </c>
      <c r="G16" s="67">
        <v>49597817.368421048</v>
      </c>
      <c r="H16" s="67">
        <v>0</v>
      </c>
      <c r="I16" s="67">
        <v>39812849</v>
      </c>
      <c r="J16" s="68">
        <v>10502895.375</v>
      </c>
      <c r="K16" s="69">
        <v>2.3680641310739565</v>
      </c>
      <c r="L16" s="67">
        <v>33085301.625</v>
      </c>
      <c r="M16" s="68">
        <v>5506200</v>
      </c>
      <c r="N16" s="251">
        <v>18294215.131578945</v>
      </c>
      <c r="O16" s="67">
        <v>51379516.756578945</v>
      </c>
      <c r="P16" s="67">
        <v>17180710.835526317</v>
      </c>
      <c r="Q16" s="69">
        <v>2.3037003992320226</v>
      </c>
      <c r="R16" s="67">
        <v>34198805.921052635</v>
      </c>
      <c r="S16" s="251">
        <v>0</v>
      </c>
      <c r="T16" s="251">
        <v>20179231.578947365</v>
      </c>
      <c r="U16" s="67">
        <v>54378037.499999993</v>
      </c>
      <c r="V16" s="69">
        <v>2.3757593577267584</v>
      </c>
      <c r="W16" s="15"/>
      <c r="X16" s="15"/>
      <c r="Y16" s="15"/>
      <c r="Z16" s="15"/>
      <c r="AA16" s="15"/>
      <c r="AH16" s="15"/>
    </row>
    <row r="17" spans="1:46" x14ac:dyDescent="0.3">
      <c r="A17" s="249" t="s">
        <v>287</v>
      </c>
      <c r="E17" s="250">
        <v>35671215</v>
      </c>
      <c r="F17" s="67">
        <v>85679349.299999982</v>
      </c>
      <c r="G17" s="67">
        <v>0</v>
      </c>
      <c r="H17" s="67">
        <v>0</v>
      </c>
      <c r="I17" s="67">
        <v>35671215</v>
      </c>
      <c r="J17" s="68">
        <v>1085627.0249999999</v>
      </c>
      <c r="K17" s="69">
        <v>15.871332327938475</v>
      </c>
      <c r="L17" s="67">
        <v>84593722.274999991</v>
      </c>
      <c r="M17" s="68">
        <v>0</v>
      </c>
      <c r="N17" s="251">
        <v>0</v>
      </c>
      <c r="O17" s="67">
        <v>84593722.274999991</v>
      </c>
      <c r="P17" s="67">
        <v>3066135.75</v>
      </c>
      <c r="Q17" s="69">
        <v>24.730100625213691</v>
      </c>
      <c r="R17" s="67">
        <v>81527586.524999976</v>
      </c>
      <c r="S17" s="251">
        <v>0</v>
      </c>
      <c r="T17" s="251">
        <v>0</v>
      </c>
      <c r="U17" s="67">
        <v>81527586.524999976</v>
      </c>
      <c r="V17" s="69">
        <v>27.528498571230987</v>
      </c>
      <c r="W17" s="15"/>
      <c r="X17" s="15"/>
      <c r="Y17" s="15"/>
      <c r="Z17" s="15"/>
      <c r="AA17" s="15"/>
      <c r="AH17" s="15"/>
    </row>
    <row r="18" spans="1:46" x14ac:dyDescent="0.3">
      <c r="A18" s="249" t="s">
        <v>284</v>
      </c>
      <c r="E18" s="250">
        <v>13506346</v>
      </c>
      <c r="F18" s="67">
        <v>15136875</v>
      </c>
      <c r="G18" s="67">
        <v>0</v>
      </c>
      <c r="H18" s="67">
        <v>0</v>
      </c>
      <c r="I18" s="67">
        <v>13506346</v>
      </c>
      <c r="J18" s="68">
        <v>1661951.25</v>
      </c>
      <c r="K18" s="69">
        <v>3.5390051604584345</v>
      </c>
      <c r="L18" s="67">
        <v>13474923.749999998</v>
      </c>
      <c r="M18" s="68">
        <v>3260250</v>
      </c>
      <c r="N18" s="251">
        <v>0</v>
      </c>
      <c r="O18" s="67">
        <v>13474923.749999998</v>
      </c>
      <c r="P18" s="67">
        <v>5571767.25</v>
      </c>
      <c r="Q18" s="69">
        <v>2.2826973147831571</v>
      </c>
      <c r="R18" s="67">
        <v>7903156.4999999991</v>
      </c>
      <c r="S18" s="251">
        <v>0</v>
      </c>
      <c r="T18" s="251">
        <v>3260250</v>
      </c>
      <c r="U18" s="67">
        <v>11163406.5</v>
      </c>
      <c r="V18" s="69">
        <v>2.2651417783460821</v>
      </c>
      <c r="W18" s="15"/>
      <c r="X18" s="15"/>
      <c r="Y18" s="15"/>
      <c r="Z18" s="15"/>
      <c r="AA18" s="15"/>
      <c r="AH18" s="15"/>
    </row>
    <row r="19" spans="1:46" x14ac:dyDescent="0.3">
      <c r="A19" s="249" t="s">
        <v>285</v>
      </c>
      <c r="E19" s="250">
        <v>12875874</v>
      </c>
      <c r="F19" s="67">
        <v>14085625.5</v>
      </c>
      <c r="G19" s="67">
        <v>7945591.5</v>
      </c>
      <c r="H19" s="67">
        <v>0</v>
      </c>
      <c r="I19" s="67">
        <v>12875874</v>
      </c>
      <c r="J19" s="68">
        <v>2064002.1749999998</v>
      </c>
      <c r="K19" s="69">
        <v>2.7566615511532446</v>
      </c>
      <c r="L19" s="67">
        <v>12181789.574999999</v>
      </c>
      <c r="M19" s="68">
        <v>0</v>
      </c>
      <c r="N19" s="251">
        <v>7620953.4000000004</v>
      </c>
      <c r="O19" s="67">
        <v>19802742.975000001</v>
      </c>
      <c r="P19" s="67">
        <v>9688076.0999999996</v>
      </c>
      <c r="Q19" s="69">
        <v>1.442623746427889</v>
      </c>
      <c r="R19" s="67">
        <v>10114666.875</v>
      </c>
      <c r="S19" s="251">
        <v>0</v>
      </c>
      <c r="T19" s="251">
        <v>414000</v>
      </c>
      <c r="U19" s="67">
        <v>10528666.875</v>
      </c>
      <c r="V19" s="69">
        <v>0.94727278020174199</v>
      </c>
      <c r="W19" s="15"/>
      <c r="X19" s="15"/>
      <c r="Y19" s="15"/>
      <c r="Z19" s="15"/>
      <c r="AA19" s="15"/>
      <c r="AH19" s="15"/>
    </row>
    <row r="20" spans="1:46" x14ac:dyDescent="0.3">
      <c r="A20" s="249" t="s">
        <v>288</v>
      </c>
      <c r="E20" s="250">
        <v>7113067</v>
      </c>
      <c r="F20" s="67">
        <v>8533171.3499999996</v>
      </c>
      <c r="G20" s="67">
        <v>0</v>
      </c>
      <c r="H20" s="67">
        <v>0</v>
      </c>
      <c r="I20" s="67">
        <v>7113067</v>
      </c>
      <c r="J20" s="68">
        <v>1648428.9749999996</v>
      </c>
      <c r="K20" s="69">
        <v>2.4911266487820658</v>
      </c>
      <c r="L20" s="67">
        <v>6917655.3749999991</v>
      </c>
      <c r="M20" s="68">
        <v>0</v>
      </c>
      <c r="N20" s="251">
        <v>0</v>
      </c>
      <c r="O20" s="67">
        <v>6917655.3749999991</v>
      </c>
      <c r="P20" s="67">
        <v>5988178.7999999998</v>
      </c>
      <c r="Q20" s="69">
        <v>2.9999999999999996</v>
      </c>
      <c r="R20" s="67">
        <v>929476.57499999995</v>
      </c>
      <c r="S20" s="251">
        <v>0</v>
      </c>
      <c r="T20" s="251">
        <v>0</v>
      </c>
      <c r="U20" s="67">
        <v>929476.57499999995</v>
      </c>
      <c r="V20" s="69">
        <v>0.83153049415246882</v>
      </c>
      <c r="W20" s="15"/>
      <c r="X20" s="15"/>
      <c r="Y20" s="15"/>
      <c r="Z20" s="15"/>
      <c r="AA20" s="15"/>
      <c r="AH20" s="15"/>
    </row>
    <row r="21" spans="1:46" x14ac:dyDescent="0.3">
      <c r="A21" s="249" t="s">
        <v>286</v>
      </c>
      <c r="E21" s="250">
        <v>2096696</v>
      </c>
      <c r="F21" s="67">
        <v>3036690</v>
      </c>
      <c r="G21" s="67">
        <v>76693499.999999985</v>
      </c>
      <c r="H21" s="67">
        <v>0</v>
      </c>
      <c r="I21" s="67">
        <v>2096696</v>
      </c>
      <c r="J21" s="68">
        <v>607803.75</v>
      </c>
      <c r="K21" s="69">
        <v>0.21423929743436282</v>
      </c>
      <c r="L21" s="67">
        <v>2428886.25</v>
      </c>
      <c r="M21" s="68">
        <v>16818750</v>
      </c>
      <c r="N21" s="251">
        <v>74669039.999999985</v>
      </c>
      <c r="O21" s="67">
        <v>77097926.249999985</v>
      </c>
      <c r="P21" s="67">
        <v>17698499.999999996</v>
      </c>
      <c r="Q21" s="69">
        <v>4.5685832566697337</v>
      </c>
      <c r="R21" s="67">
        <v>59399426.249999985</v>
      </c>
      <c r="S21" s="251">
        <v>0</v>
      </c>
      <c r="T21" s="251">
        <v>0</v>
      </c>
      <c r="U21" s="67">
        <v>59399426.249999985</v>
      </c>
      <c r="V21" s="69">
        <v>4.3566169068733327</v>
      </c>
      <c r="W21" s="15"/>
      <c r="X21" s="15"/>
      <c r="Y21" s="15"/>
      <c r="Z21" s="15"/>
      <c r="AA21" s="15"/>
      <c r="AH21" s="15"/>
    </row>
    <row r="22" spans="1:46" x14ac:dyDescent="0.3">
      <c r="A22" s="249" t="s">
        <v>1200</v>
      </c>
      <c r="B22" s="249"/>
      <c r="C22" s="249"/>
      <c r="D22" s="249"/>
      <c r="E22" s="250">
        <v>844260678</v>
      </c>
      <c r="F22" s="67">
        <v>984745119.60000002</v>
      </c>
      <c r="G22" s="67">
        <v>292854136.46842104</v>
      </c>
      <c r="H22" s="67">
        <v>0</v>
      </c>
      <c r="I22" s="67">
        <v>844260678</v>
      </c>
      <c r="J22" s="68">
        <v>132894041.39999999</v>
      </c>
      <c r="K22" s="69">
        <v>4.1120859258068956</v>
      </c>
      <c r="L22" s="67">
        <v>855268275.60000002</v>
      </c>
      <c r="M22" s="68">
        <v>218371027.5</v>
      </c>
      <c r="N22" s="251">
        <v>128101753.53157893</v>
      </c>
      <c r="O22" s="67">
        <v>983370029.13157892</v>
      </c>
      <c r="P22" s="67">
        <v>272842803.86052632</v>
      </c>
      <c r="Q22" s="69">
        <v>3.5783442046128382</v>
      </c>
      <c r="R22" s="67">
        <v>710527225.2710526</v>
      </c>
      <c r="S22" s="251">
        <v>35281080</v>
      </c>
      <c r="T22" s="251">
        <v>182072379.07894737</v>
      </c>
      <c r="U22" s="67">
        <v>892599604.35000002</v>
      </c>
      <c r="V22" s="69">
        <v>3.5886652513350712</v>
      </c>
      <c r="W22" s="15"/>
      <c r="X22" s="15"/>
      <c r="Y22" s="15"/>
      <c r="Z22" s="15"/>
      <c r="AA22" s="15"/>
      <c r="AH22" s="15"/>
    </row>
    <row r="23" spans="1:46" s="252" customFormat="1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</row>
    <row r="24" spans="1:46" x14ac:dyDescent="0.3"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H24" s="15"/>
    </row>
    <row r="25" spans="1:46" ht="12.6" customHeight="1" x14ac:dyDescent="0.3"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D25" s="253"/>
      <c r="AE25" s="253"/>
      <c r="AF25" s="253"/>
      <c r="AH25" s="15"/>
    </row>
    <row r="26" spans="1:46" x14ac:dyDescent="0.3"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D26" s="253"/>
      <c r="AE26" s="253"/>
      <c r="AF26" s="253"/>
      <c r="AH26" s="15"/>
    </row>
    <row r="27" spans="1:46" x14ac:dyDescent="0.3"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H27" s="15"/>
    </row>
    <row r="28" spans="1:46" x14ac:dyDescent="0.3"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H28" s="15"/>
    </row>
    <row r="29" spans="1:46" x14ac:dyDescent="0.3"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H29" s="15"/>
    </row>
    <row r="30" spans="1:46" x14ac:dyDescent="0.3"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H30" s="15"/>
    </row>
    <row r="31" spans="1:46" x14ac:dyDescent="0.3"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H31" s="15"/>
    </row>
    <row r="32" spans="1:46" x14ac:dyDescent="0.3"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H32" s="15"/>
    </row>
    <row r="33" s="15" customFormat="1" x14ac:dyDescent="0.3"/>
    <row r="34" s="15" customFormat="1" x14ac:dyDescent="0.3"/>
    <row r="35" s="15" customFormat="1" x14ac:dyDescent="0.3"/>
    <row r="36" s="15" customFormat="1" x14ac:dyDescent="0.3"/>
    <row r="37" s="15" customFormat="1" x14ac:dyDescent="0.3"/>
    <row r="38" s="15" customFormat="1" x14ac:dyDescent="0.3"/>
    <row r="39" s="15" customFormat="1" x14ac:dyDescent="0.3"/>
    <row r="40" s="15" customFormat="1" x14ac:dyDescent="0.3"/>
    <row r="41" s="15" customFormat="1" x14ac:dyDescent="0.3"/>
    <row r="42" s="15" customFormat="1" x14ac:dyDescent="0.3"/>
    <row r="43" s="15" customFormat="1" x14ac:dyDescent="0.3"/>
    <row r="44" s="15" customFormat="1" x14ac:dyDescent="0.3"/>
    <row r="45" s="15" customFormat="1" x14ac:dyDescent="0.3"/>
    <row r="46" s="15" customFormat="1" x14ac:dyDescent="0.3"/>
    <row r="47" s="15" customFormat="1" x14ac:dyDescent="0.3"/>
    <row r="48" s="15" customFormat="1" x14ac:dyDescent="0.3"/>
    <row r="49" spans="5:34" x14ac:dyDescent="0.3"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H49" s="15"/>
    </row>
    <row r="50" spans="5:34" x14ac:dyDescent="0.3"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H50" s="15"/>
    </row>
    <row r="51" spans="5:34" x14ac:dyDescent="0.3"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H51" s="15"/>
    </row>
    <row r="52" spans="5:34" x14ac:dyDescent="0.3"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H52" s="15"/>
    </row>
    <row r="53" spans="5:34" x14ac:dyDescent="0.3"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H53" s="15"/>
    </row>
    <row r="54" spans="5:34" x14ac:dyDescent="0.3">
      <c r="F54" s="15"/>
      <c r="G54" s="15"/>
      <c r="H54" s="15"/>
      <c r="J54" s="254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H54" s="15"/>
    </row>
    <row r="55" spans="5:34" x14ac:dyDescent="0.3">
      <c r="F55" s="15"/>
      <c r="G55" s="15"/>
      <c r="H55" s="15"/>
      <c r="J55" s="254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H55" s="15"/>
    </row>
    <row r="56" spans="5:34" x14ac:dyDescent="0.3">
      <c r="F56" s="15"/>
      <c r="G56" s="15"/>
      <c r="H56" s="15"/>
      <c r="J56" s="254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H56" s="15"/>
    </row>
    <row r="57" spans="5:34" x14ac:dyDescent="0.3">
      <c r="F57" s="15"/>
      <c r="G57" s="15"/>
      <c r="H57" s="15"/>
      <c r="J57" s="254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H57" s="15"/>
    </row>
    <row r="58" spans="5:34" x14ac:dyDescent="0.3">
      <c r="F58" s="15"/>
      <c r="G58" s="15"/>
      <c r="H58" s="15"/>
      <c r="J58" s="254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H58" s="15"/>
    </row>
    <row r="59" spans="5:34" x14ac:dyDescent="0.3">
      <c r="F59" s="15"/>
      <c r="G59" s="15"/>
      <c r="H59" s="15"/>
      <c r="J59" s="254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H59" s="15"/>
    </row>
    <row r="60" spans="5:34" x14ac:dyDescent="0.3">
      <c r="F60" s="15"/>
      <c r="G60" s="15"/>
      <c r="H60" s="15"/>
      <c r="J60" s="254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H60" s="15"/>
    </row>
    <row r="61" spans="5:34" x14ac:dyDescent="0.3">
      <c r="F61" s="15"/>
      <c r="G61" s="15"/>
      <c r="H61" s="15"/>
      <c r="J61" s="254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H61" s="15"/>
    </row>
    <row r="62" spans="5:34" x14ac:dyDescent="0.3">
      <c r="F62" s="15"/>
      <c r="G62" s="15"/>
      <c r="H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H62" s="15"/>
    </row>
    <row r="63" spans="5:34" x14ac:dyDescent="0.3">
      <c r="F63" s="15"/>
      <c r="G63" s="15"/>
      <c r="H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H63" s="15"/>
    </row>
    <row r="64" spans="5:34" x14ac:dyDescent="0.3">
      <c r="F64" s="15"/>
      <c r="G64" s="15"/>
      <c r="H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H64" s="15"/>
    </row>
    <row r="65" spans="6:34" x14ac:dyDescent="0.3">
      <c r="F65" s="15"/>
      <c r="G65" s="15"/>
      <c r="H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H65" s="15"/>
    </row>
    <row r="66" spans="6:34" x14ac:dyDescent="0.3">
      <c r="F66" s="15"/>
      <c r="G66" s="15"/>
      <c r="H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H66" s="15"/>
    </row>
    <row r="67" spans="6:34" x14ac:dyDescent="0.3">
      <c r="F67" s="15"/>
      <c r="G67" s="15"/>
      <c r="H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H67" s="15"/>
    </row>
    <row r="68" spans="6:34" x14ac:dyDescent="0.3">
      <c r="F68" s="15"/>
      <c r="G68" s="15"/>
      <c r="H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H68" s="15"/>
    </row>
    <row r="69" spans="6:34" x14ac:dyDescent="0.3">
      <c r="F69" s="15"/>
      <c r="G69" s="15"/>
      <c r="H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H69" s="15"/>
    </row>
    <row r="70" spans="6:34" x14ac:dyDescent="0.3">
      <c r="F70" s="15"/>
      <c r="G70" s="15"/>
      <c r="H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H70" s="15"/>
    </row>
    <row r="71" spans="6:34" x14ac:dyDescent="0.3">
      <c r="F71" s="15"/>
      <c r="G71" s="15"/>
      <c r="H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H71" s="15"/>
    </row>
    <row r="72" spans="6:34" x14ac:dyDescent="0.3">
      <c r="F72" s="15"/>
      <c r="G72" s="15"/>
      <c r="H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H72" s="15"/>
    </row>
    <row r="73" spans="6:34" x14ac:dyDescent="0.3">
      <c r="F73" s="15"/>
      <c r="G73" s="15"/>
      <c r="H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H73" s="15"/>
    </row>
    <row r="74" spans="6:34" x14ac:dyDescent="0.3">
      <c r="F74" s="15"/>
      <c r="G74" s="15"/>
      <c r="H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H74" s="15"/>
    </row>
    <row r="75" spans="6:34" x14ac:dyDescent="0.3">
      <c r="F75" s="15"/>
      <c r="G75" s="15"/>
      <c r="H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H75" s="15"/>
    </row>
    <row r="76" spans="6:34" x14ac:dyDescent="0.3">
      <c r="F76" s="15"/>
      <c r="G76" s="15"/>
      <c r="H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H76" s="15"/>
    </row>
    <row r="77" spans="6:34" x14ac:dyDescent="0.3">
      <c r="F77" s="15"/>
      <c r="G77" s="15"/>
      <c r="H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H77" s="15"/>
    </row>
    <row r="78" spans="6:34" x14ac:dyDescent="0.3">
      <c r="F78" s="15"/>
      <c r="G78" s="15"/>
      <c r="H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H78" s="15"/>
    </row>
    <row r="79" spans="6:34" x14ac:dyDescent="0.3">
      <c r="F79" s="15"/>
      <c r="G79" s="15"/>
      <c r="H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H79" s="15"/>
    </row>
    <row r="80" spans="6:34" x14ac:dyDescent="0.3">
      <c r="F80" s="15"/>
      <c r="G80" s="15"/>
      <c r="H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H80" s="15"/>
    </row>
    <row r="81" spans="6:34" x14ac:dyDescent="0.3">
      <c r="F81" s="15"/>
      <c r="G81" s="15"/>
      <c r="H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H81" s="15"/>
    </row>
    <row r="82" spans="6:34" x14ac:dyDescent="0.3">
      <c r="F82" s="15"/>
      <c r="G82" s="15"/>
      <c r="H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H82" s="15"/>
    </row>
    <row r="83" spans="6:34" x14ac:dyDescent="0.3">
      <c r="F83" s="15"/>
      <c r="G83" s="15"/>
      <c r="H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H83" s="15"/>
    </row>
    <row r="84" spans="6:34" x14ac:dyDescent="0.3">
      <c r="F84" s="15"/>
      <c r="G84" s="15"/>
      <c r="H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H84" s="15"/>
    </row>
    <row r="85" spans="6:34" x14ac:dyDescent="0.3">
      <c r="F85" s="15"/>
      <c r="G85" s="15"/>
      <c r="H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H85" s="15"/>
    </row>
    <row r="86" spans="6:34" x14ac:dyDescent="0.3">
      <c r="F86" s="15"/>
      <c r="G86" s="15"/>
      <c r="H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H86" s="15"/>
    </row>
    <row r="87" spans="6:34" x14ac:dyDescent="0.3">
      <c r="F87" s="15"/>
      <c r="G87" s="15"/>
      <c r="H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H87" s="15"/>
    </row>
    <row r="88" spans="6:34" x14ac:dyDescent="0.3">
      <c r="F88" s="15"/>
      <c r="G88" s="15"/>
      <c r="H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H88" s="15"/>
    </row>
    <row r="89" spans="6:34" x14ac:dyDescent="0.3">
      <c r="F89" s="15"/>
      <c r="G89" s="15"/>
      <c r="H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H89" s="15"/>
    </row>
    <row r="90" spans="6:34" x14ac:dyDescent="0.3">
      <c r="F90" s="15"/>
      <c r="G90" s="15"/>
      <c r="H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H90" s="15"/>
    </row>
    <row r="91" spans="6:34" x14ac:dyDescent="0.3">
      <c r="F91" s="15"/>
      <c r="G91" s="15"/>
      <c r="H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H91" s="15"/>
    </row>
    <row r="92" spans="6:34" x14ac:dyDescent="0.3">
      <c r="F92" s="15"/>
      <c r="G92" s="15"/>
      <c r="H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H92" s="15"/>
    </row>
    <row r="93" spans="6:34" x14ac:dyDescent="0.3">
      <c r="F93" s="15"/>
      <c r="G93" s="15"/>
      <c r="H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H93" s="15"/>
    </row>
    <row r="94" spans="6:34" x14ac:dyDescent="0.3">
      <c r="F94" s="15"/>
      <c r="G94" s="15"/>
      <c r="H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H94" s="15"/>
    </row>
    <row r="95" spans="6:34" x14ac:dyDescent="0.3">
      <c r="F95" s="15"/>
      <c r="G95" s="15"/>
      <c r="H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H95" s="15"/>
    </row>
    <row r="96" spans="6:34" x14ac:dyDescent="0.3">
      <c r="F96" s="15"/>
      <c r="G96" s="15"/>
      <c r="H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H96" s="15"/>
    </row>
    <row r="97" spans="6:34" x14ac:dyDescent="0.3">
      <c r="F97" s="15"/>
      <c r="G97" s="15"/>
      <c r="H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H97" s="15"/>
    </row>
    <row r="98" spans="6:34" x14ac:dyDescent="0.3">
      <c r="F98" s="15"/>
      <c r="G98" s="15"/>
      <c r="H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H98" s="15"/>
    </row>
    <row r="99" spans="6:34" x14ac:dyDescent="0.3">
      <c r="F99" s="15"/>
      <c r="G99" s="15"/>
      <c r="H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H99" s="15"/>
    </row>
    <row r="100" spans="6:34" x14ac:dyDescent="0.3">
      <c r="F100" s="15"/>
      <c r="G100" s="15"/>
      <c r="H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H100" s="15"/>
    </row>
    <row r="101" spans="6:34" x14ac:dyDescent="0.3">
      <c r="F101" s="15"/>
      <c r="G101" s="15"/>
      <c r="H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H101" s="15"/>
    </row>
    <row r="102" spans="6:34" x14ac:dyDescent="0.3">
      <c r="F102" s="15"/>
      <c r="G102" s="15"/>
      <c r="H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H102" s="15"/>
    </row>
    <row r="103" spans="6:34" x14ac:dyDescent="0.3">
      <c r="F103" s="15"/>
      <c r="G103" s="15"/>
      <c r="H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H103" s="15"/>
    </row>
    <row r="104" spans="6:34" x14ac:dyDescent="0.3">
      <c r="F104" s="15"/>
      <c r="G104" s="15"/>
      <c r="H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H104" s="15"/>
    </row>
    <row r="105" spans="6:34" x14ac:dyDescent="0.3">
      <c r="F105" s="15"/>
      <c r="G105" s="15"/>
      <c r="H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H105" s="15"/>
    </row>
    <row r="106" spans="6:34" x14ac:dyDescent="0.3">
      <c r="F106" s="15"/>
      <c r="G106" s="15"/>
      <c r="H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H106" s="15"/>
    </row>
    <row r="107" spans="6:34" x14ac:dyDescent="0.3">
      <c r="F107" s="15"/>
      <c r="G107" s="15"/>
      <c r="H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H107" s="15"/>
    </row>
    <row r="108" spans="6:34" x14ac:dyDescent="0.3">
      <c r="F108" s="15"/>
      <c r="G108" s="15"/>
      <c r="H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H108" s="15"/>
    </row>
    <row r="109" spans="6:34" x14ac:dyDescent="0.3">
      <c r="F109" s="15"/>
      <c r="G109" s="15"/>
      <c r="H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H109" s="15"/>
    </row>
    <row r="110" spans="6:34" x14ac:dyDescent="0.3">
      <c r="F110" s="15"/>
      <c r="G110" s="15"/>
      <c r="H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H110" s="15"/>
    </row>
    <row r="111" spans="6:34" x14ac:dyDescent="0.3">
      <c r="F111" s="15"/>
      <c r="G111" s="15"/>
      <c r="H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H111" s="15"/>
    </row>
    <row r="112" spans="6:34" x14ac:dyDescent="0.3">
      <c r="F112" s="15"/>
      <c r="G112" s="15"/>
      <c r="H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H112" s="15"/>
    </row>
    <row r="113" spans="6:34" x14ac:dyDescent="0.3">
      <c r="F113" s="15"/>
      <c r="G113" s="15"/>
      <c r="H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H113" s="15"/>
    </row>
    <row r="114" spans="6:34" x14ac:dyDescent="0.3">
      <c r="F114" s="15"/>
      <c r="G114" s="15"/>
      <c r="H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H114" s="15"/>
    </row>
    <row r="115" spans="6:34" x14ac:dyDescent="0.3">
      <c r="F115" s="15"/>
      <c r="G115" s="15"/>
      <c r="H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H115" s="15"/>
    </row>
    <row r="116" spans="6:34" x14ac:dyDescent="0.3">
      <c r="F116" s="15"/>
      <c r="G116" s="15"/>
      <c r="H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H116" s="15"/>
    </row>
    <row r="117" spans="6:34" x14ac:dyDescent="0.3">
      <c r="F117" s="15"/>
      <c r="G117" s="15"/>
      <c r="H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H117" s="15"/>
    </row>
    <row r="118" spans="6:34" x14ac:dyDescent="0.3">
      <c r="F118" s="15"/>
      <c r="G118" s="15"/>
      <c r="H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H118" s="15"/>
    </row>
    <row r="119" spans="6:34" x14ac:dyDescent="0.3">
      <c r="F119" s="15"/>
      <c r="G119" s="15"/>
      <c r="H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H119" s="15"/>
    </row>
    <row r="120" spans="6:34" x14ac:dyDescent="0.3">
      <c r="F120" s="15"/>
      <c r="G120" s="15"/>
      <c r="H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H120" s="15"/>
    </row>
    <row r="121" spans="6:34" x14ac:dyDescent="0.3">
      <c r="F121" s="15"/>
      <c r="G121" s="15"/>
      <c r="H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H121" s="15"/>
    </row>
    <row r="122" spans="6:34" x14ac:dyDescent="0.3">
      <c r="F122" s="15"/>
      <c r="G122" s="15"/>
      <c r="H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H122" s="15"/>
    </row>
    <row r="123" spans="6:34" x14ac:dyDescent="0.3">
      <c r="F123" s="15"/>
      <c r="G123" s="15"/>
      <c r="H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H123" s="15"/>
    </row>
    <row r="124" spans="6:34" x14ac:dyDescent="0.3">
      <c r="F124" s="15"/>
      <c r="G124" s="15"/>
      <c r="H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H124" s="15"/>
    </row>
    <row r="125" spans="6:34" x14ac:dyDescent="0.3">
      <c r="F125" s="15"/>
      <c r="G125" s="15"/>
      <c r="H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H125" s="15"/>
    </row>
    <row r="126" spans="6:34" x14ac:dyDescent="0.3">
      <c r="F126" s="15"/>
      <c r="G126" s="15"/>
      <c r="H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H126" s="15"/>
    </row>
    <row r="127" spans="6:34" x14ac:dyDescent="0.3">
      <c r="F127" s="15"/>
      <c r="G127" s="15"/>
      <c r="H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H127" s="15"/>
    </row>
    <row r="128" spans="6:34" x14ac:dyDescent="0.3">
      <c r="F128" s="15"/>
      <c r="G128" s="15"/>
      <c r="H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H128" s="15"/>
    </row>
    <row r="129" spans="6:34" x14ac:dyDescent="0.3">
      <c r="F129" s="15"/>
      <c r="G129" s="15"/>
      <c r="H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H129" s="15"/>
    </row>
    <row r="130" spans="6:34" x14ac:dyDescent="0.3">
      <c r="F130" s="15"/>
      <c r="G130" s="15"/>
      <c r="H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H130" s="15"/>
    </row>
    <row r="131" spans="6:34" x14ac:dyDescent="0.3">
      <c r="F131" s="15"/>
      <c r="G131" s="15"/>
      <c r="H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H131" s="15"/>
    </row>
    <row r="132" spans="6:34" x14ac:dyDescent="0.3">
      <c r="F132" s="15"/>
      <c r="G132" s="15"/>
      <c r="H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H132" s="15"/>
    </row>
    <row r="133" spans="6:34" x14ac:dyDescent="0.3">
      <c r="F133" s="15"/>
      <c r="G133" s="15"/>
      <c r="H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H133" s="15"/>
    </row>
    <row r="134" spans="6:34" x14ac:dyDescent="0.3">
      <c r="F134" s="15"/>
      <c r="G134" s="15"/>
      <c r="H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H134" s="15"/>
    </row>
    <row r="135" spans="6:34" x14ac:dyDescent="0.3">
      <c r="F135" s="15"/>
      <c r="G135" s="15"/>
      <c r="H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H135" s="15"/>
    </row>
    <row r="136" spans="6:34" x14ac:dyDescent="0.3">
      <c r="F136" s="15"/>
      <c r="G136" s="15"/>
      <c r="H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H136" s="15"/>
    </row>
    <row r="137" spans="6:34" x14ac:dyDescent="0.3">
      <c r="F137" s="15"/>
      <c r="G137" s="15"/>
      <c r="H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H137" s="15"/>
    </row>
    <row r="138" spans="6:34" x14ac:dyDescent="0.3">
      <c r="F138" s="15"/>
      <c r="G138" s="15"/>
      <c r="H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H138" s="15"/>
    </row>
    <row r="139" spans="6:34" x14ac:dyDescent="0.3">
      <c r="F139" s="15"/>
      <c r="G139" s="15"/>
      <c r="H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H139" s="15"/>
    </row>
    <row r="140" spans="6:34" x14ac:dyDescent="0.3">
      <c r="F140" s="15"/>
      <c r="G140" s="15"/>
      <c r="H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H140" s="15"/>
    </row>
    <row r="141" spans="6:34" x14ac:dyDescent="0.3">
      <c r="F141" s="15"/>
      <c r="G141" s="15"/>
      <c r="H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H141" s="15"/>
    </row>
    <row r="142" spans="6:34" x14ac:dyDescent="0.3">
      <c r="F142" s="15"/>
      <c r="G142" s="15"/>
      <c r="H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H142" s="15"/>
    </row>
    <row r="143" spans="6:34" x14ac:dyDescent="0.3">
      <c r="F143" s="15"/>
      <c r="G143" s="15"/>
      <c r="H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H143" s="15"/>
    </row>
    <row r="144" spans="6:34" x14ac:dyDescent="0.3">
      <c r="F144" s="15"/>
      <c r="G144" s="15"/>
      <c r="H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H144" s="15"/>
    </row>
    <row r="145" spans="6:34" x14ac:dyDescent="0.3">
      <c r="F145" s="15"/>
      <c r="G145" s="15"/>
      <c r="H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H145" s="15"/>
    </row>
    <row r="146" spans="6:34" x14ac:dyDescent="0.3">
      <c r="F146" s="15"/>
      <c r="G146" s="15"/>
      <c r="H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H146" s="15"/>
    </row>
    <row r="147" spans="6:34" x14ac:dyDescent="0.3">
      <c r="F147" s="15"/>
      <c r="G147" s="15"/>
      <c r="H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H147" s="15"/>
    </row>
    <row r="148" spans="6:34" x14ac:dyDescent="0.3">
      <c r="F148" s="15"/>
      <c r="G148" s="15"/>
      <c r="H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H148" s="15"/>
    </row>
    <row r="149" spans="6:34" x14ac:dyDescent="0.3">
      <c r="F149" s="15"/>
      <c r="G149" s="15"/>
      <c r="H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H149" s="15"/>
    </row>
    <row r="150" spans="6:34" x14ac:dyDescent="0.3">
      <c r="F150" s="15"/>
      <c r="G150" s="15"/>
      <c r="H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H150" s="15"/>
    </row>
    <row r="151" spans="6:34" x14ac:dyDescent="0.3">
      <c r="F151" s="15"/>
      <c r="G151" s="15"/>
      <c r="H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H151" s="15"/>
    </row>
    <row r="152" spans="6:34" x14ac:dyDescent="0.3">
      <c r="F152" s="15"/>
      <c r="G152" s="15"/>
      <c r="H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H152" s="15"/>
    </row>
    <row r="153" spans="6:34" x14ac:dyDescent="0.3">
      <c r="F153" s="15"/>
      <c r="G153" s="15"/>
      <c r="H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H153" s="15"/>
    </row>
    <row r="154" spans="6:34" x14ac:dyDescent="0.3">
      <c r="F154" s="15"/>
      <c r="G154" s="15"/>
      <c r="H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H154" s="15"/>
    </row>
    <row r="155" spans="6:34" x14ac:dyDescent="0.3">
      <c r="F155" s="15"/>
      <c r="G155" s="15"/>
      <c r="H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H155" s="15"/>
    </row>
    <row r="156" spans="6:34" x14ac:dyDescent="0.3">
      <c r="F156" s="15"/>
      <c r="G156" s="15"/>
      <c r="H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H156" s="15"/>
    </row>
    <row r="157" spans="6:34" x14ac:dyDescent="0.3">
      <c r="F157" s="15"/>
      <c r="G157" s="15"/>
      <c r="H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H157" s="15"/>
    </row>
    <row r="158" spans="6:34" x14ac:dyDescent="0.3">
      <c r="F158" s="15"/>
      <c r="G158" s="15"/>
      <c r="H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H158" s="15"/>
    </row>
    <row r="159" spans="6:34" x14ac:dyDescent="0.3">
      <c r="F159" s="15"/>
      <c r="G159" s="15"/>
      <c r="H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H159" s="15"/>
    </row>
    <row r="160" spans="6:34" x14ac:dyDescent="0.3">
      <c r="F160" s="15"/>
      <c r="G160" s="15"/>
      <c r="H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H160" s="15"/>
    </row>
    <row r="161" spans="6:34" x14ac:dyDescent="0.3">
      <c r="F161" s="15"/>
      <c r="G161" s="15"/>
      <c r="H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H161" s="15"/>
    </row>
    <row r="162" spans="6:34" x14ac:dyDescent="0.3">
      <c r="F162" s="15"/>
      <c r="G162" s="15"/>
      <c r="H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H162" s="15"/>
    </row>
    <row r="163" spans="6:34" x14ac:dyDescent="0.3">
      <c r="F163" s="15"/>
      <c r="G163" s="15"/>
      <c r="H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H163" s="15"/>
    </row>
    <row r="164" spans="6:34" x14ac:dyDescent="0.3">
      <c r="F164" s="15"/>
      <c r="G164" s="15"/>
      <c r="H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H164" s="15"/>
    </row>
    <row r="165" spans="6:34" x14ac:dyDescent="0.3">
      <c r="F165" s="15"/>
      <c r="G165" s="15"/>
      <c r="H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H165" s="15"/>
    </row>
    <row r="166" spans="6:34" x14ac:dyDescent="0.3">
      <c r="F166" s="15"/>
      <c r="G166" s="15"/>
      <c r="H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H166" s="15"/>
    </row>
    <row r="167" spans="6:34" x14ac:dyDescent="0.3">
      <c r="F167" s="15"/>
      <c r="G167" s="15"/>
      <c r="H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H167" s="15"/>
    </row>
    <row r="168" spans="6:34" x14ac:dyDescent="0.3">
      <c r="F168" s="15"/>
      <c r="G168" s="15"/>
      <c r="H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H168" s="15"/>
    </row>
    <row r="169" spans="6:34" x14ac:dyDescent="0.3">
      <c r="F169" s="15"/>
      <c r="G169" s="15"/>
      <c r="H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H169" s="15"/>
    </row>
    <row r="170" spans="6:34" x14ac:dyDescent="0.3">
      <c r="F170" s="15"/>
      <c r="G170" s="15"/>
      <c r="H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H170" s="15"/>
    </row>
    <row r="171" spans="6:34" x14ac:dyDescent="0.3">
      <c r="F171" s="15"/>
      <c r="G171" s="15"/>
      <c r="H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H171" s="15"/>
    </row>
    <row r="172" spans="6:34" x14ac:dyDescent="0.3">
      <c r="F172" s="15"/>
      <c r="G172" s="15"/>
      <c r="H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H172" s="15"/>
    </row>
    <row r="173" spans="6:34" x14ac:dyDescent="0.3">
      <c r="F173" s="15"/>
      <c r="G173" s="15"/>
      <c r="H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H173" s="15"/>
    </row>
    <row r="174" spans="6:34" x14ac:dyDescent="0.3">
      <c r="F174" s="15"/>
      <c r="G174" s="15"/>
      <c r="H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H174" s="15"/>
    </row>
    <row r="175" spans="6:34" x14ac:dyDescent="0.3">
      <c r="F175" s="15"/>
      <c r="G175" s="15"/>
      <c r="H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H175" s="15"/>
    </row>
    <row r="176" spans="6:34" x14ac:dyDescent="0.3">
      <c r="F176" s="15"/>
      <c r="G176" s="15"/>
      <c r="H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H176" s="15"/>
    </row>
    <row r="177" spans="6:34" x14ac:dyDescent="0.3">
      <c r="F177" s="15"/>
      <c r="G177" s="15"/>
      <c r="H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H177" s="15"/>
    </row>
    <row r="178" spans="6:34" x14ac:dyDescent="0.3">
      <c r="F178" s="15"/>
      <c r="G178" s="15"/>
      <c r="H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H178" s="15"/>
    </row>
    <row r="179" spans="6:34" x14ac:dyDescent="0.3">
      <c r="F179" s="15"/>
      <c r="G179" s="15"/>
      <c r="H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H179" s="15"/>
    </row>
    <row r="180" spans="6:34" x14ac:dyDescent="0.3">
      <c r="F180" s="15"/>
      <c r="G180" s="15"/>
      <c r="H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H180" s="15"/>
    </row>
    <row r="181" spans="6:34" x14ac:dyDescent="0.3">
      <c r="F181" s="15"/>
      <c r="G181" s="15"/>
      <c r="H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H181" s="15"/>
    </row>
    <row r="182" spans="6:34" x14ac:dyDescent="0.3">
      <c r="F182" s="15"/>
      <c r="G182" s="15"/>
      <c r="H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H182" s="15"/>
    </row>
    <row r="183" spans="6:34" x14ac:dyDescent="0.3">
      <c r="F183" s="15"/>
      <c r="G183" s="15"/>
      <c r="H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H183" s="15"/>
    </row>
    <row r="184" spans="6:34" x14ac:dyDescent="0.3">
      <c r="F184" s="15"/>
      <c r="G184" s="15"/>
      <c r="H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H184" s="15"/>
    </row>
    <row r="185" spans="6:34" x14ac:dyDescent="0.3">
      <c r="F185" s="15"/>
      <c r="G185" s="15"/>
      <c r="H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H185" s="15"/>
    </row>
    <row r="186" spans="6:34" x14ac:dyDescent="0.3">
      <c r="F186" s="15"/>
      <c r="G186" s="15"/>
      <c r="H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H186" s="15"/>
    </row>
    <row r="187" spans="6:34" x14ac:dyDescent="0.3">
      <c r="F187" s="15"/>
      <c r="G187" s="15"/>
      <c r="H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H187" s="15"/>
    </row>
    <row r="188" spans="6:34" x14ac:dyDescent="0.3">
      <c r="F188" s="15"/>
      <c r="G188" s="15"/>
      <c r="H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H188" s="15"/>
    </row>
    <row r="189" spans="6:34" x14ac:dyDescent="0.3">
      <c r="F189" s="15"/>
      <c r="G189" s="15"/>
      <c r="H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H189" s="15"/>
    </row>
    <row r="190" spans="6:34" x14ac:dyDescent="0.3">
      <c r="F190" s="15"/>
      <c r="G190" s="15"/>
      <c r="H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H190" s="15"/>
    </row>
    <row r="191" spans="6:34" x14ac:dyDescent="0.3">
      <c r="F191" s="15"/>
      <c r="G191" s="15"/>
      <c r="H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H191" s="15"/>
    </row>
    <row r="192" spans="6:34" x14ac:dyDescent="0.3">
      <c r="F192" s="15"/>
      <c r="G192" s="15"/>
      <c r="H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H192" s="15"/>
    </row>
    <row r="193" spans="6:34" x14ac:dyDescent="0.3">
      <c r="F193" s="15"/>
      <c r="G193" s="15"/>
      <c r="H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H193" s="15"/>
    </row>
    <row r="194" spans="6:34" x14ac:dyDescent="0.3">
      <c r="F194" s="15"/>
      <c r="G194" s="15"/>
      <c r="H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H194" s="15"/>
    </row>
    <row r="195" spans="6:34" x14ac:dyDescent="0.3">
      <c r="F195" s="15"/>
      <c r="G195" s="15"/>
      <c r="H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H195" s="15"/>
    </row>
    <row r="196" spans="6:34" x14ac:dyDescent="0.3">
      <c r="F196" s="15"/>
      <c r="G196" s="15"/>
      <c r="H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H196" s="15"/>
    </row>
    <row r="197" spans="6:34" x14ac:dyDescent="0.3">
      <c r="F197" s="15"/>
      <c r="G197" s="15"/>
      <c r="H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H197" s="15"/>
    </row>
    <row r="198" spans="6:34" x14ac:dyDescent="0.3">
      <c r="F198" s="15"/>
      <c r="G198" s="15"/>
      <c r="H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H198" s="15"/>
    </row>
    <row r="199" spans="6:34" x14ac:dyDescent="0.3">
      <c r="F199" s="15"/>
      <c r="G199" s="15"/>
      <c r="H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H199" s="15"/>
    </row>
    <row r="200" spans="6:34" x14ac:dyDescent="0.3">
      <c r="F200" s="15"/>
      <c r="G200" s="15"/>
      <c r="H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H200" s="15"/>
    </row>
    <row r="201" spans="6:34" x14ac:dyDescent="0.3">
      <c r="F201" s="15"/>
      <c r="G201" s="15"/>
      <c r="H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H201" s="15"/>
    </row>
    <row r="202" spans="6:34" x14ac:dyDescent="0.3">
      <c r="F202" s="15"/>
      <c r="G202" s="15"/>
      <c r="H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H202" s="15"/>
    </row>
    <row r="203" spans="6:34" x14ac:dyDescent="0.3">
      <c r="F203" s="15"/>
      <c r="G203" s="15"/>
      <c r="H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H203" s="15"/>
    </row>
    <row r="204" spans="6:34" x14ac:dyDescent="0.3">
      <c r="F204" s="15"/>
      <c r="G204" s="15"/>
      <c r="H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H204" s="15"/>
    </row>
    <row r="205" spans="6:34" x14ac:dyDescent="0.3">
      <c r="F205" s="15"/>
      <c r="G205" s="15"/>
      <c r="H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H205" s="15"/>
    </row>
    <row r="206" spans="6:34" x14ac:dyDescent="0.3">
      <c r="F206" s="15"/>
      <c r="G206" s="15"/>
      <c r="H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H206" s="15"/>
    </row>
    <row r="207" spans="6:34" x14ac:dyDescent="0.3">
      <c r="F207" s="15"/>
      <c r="G207" s="15"/>
      <c r="H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H207" s="15"/>
    </row>
    <row r="208" spans="6:34" x14ac:dyDescent="0.3">
      <c r="F208" s="15"/>
      <c r="G208" s="15"/>
      <c r="H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H208" s="15"/>
    </row>
    <row r="209" spans="6:34" x14ac:dyDescent="0.3">
      <c r="F209" s="15"/>
      <c r="G209" s="15"/>
      <c r="H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H209" s="15"/>
    </row>
    <row r="210" spans="6:34" x14ac:dyDescent="0.3">
      <c r="F210" s="15"/>
      <c r="G210" s="15"/>
      <c r="H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H210" s="15"/>
    </row>
    <row r="211" spans="6:34" x14ac:dyDescent="0.3">
      <c r="F211" s="15"/>
      <c r="G211" s="15"/>
      <c r="H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H211" s="15"/>
    </row>
    <row r="212" spans="6:34" x14ac:dyDescent="0.3">
      <c r="F212" s="15"/>
      <c r="G212" s="15"/>
      <c r="H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H212" s="15"/>
    </row>
    <row r="213" spans="6:34" x14ac:dyDescent="0.3">
      <c r="F213" s="15"/>
      <c r="G213" s="15"/>
      <c r="H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H213" s="15"/>
    </row>
    <row r="214" spans="6:34" x14ac:dyDescent="0.3">
      <c r="F214" s="15"/>
      <c r="G214" s="15"/>
      <c r="H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H214" s="15"/>
    </row>
    <row r="215" spans="6:34" x14ac:dyDescent="0.3">
      <c r="F215" s="15"/>
      <c r="G215" s="15"/>
      <c r="H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H215" s="15"/>
    </row>
    <row r="216" spans="6:34" x14ac:dyDescent="0.3">
      <c r="F216" s="15"/>
      <c r="G216" s="15"/>
      <c r="H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H216" s="15"/>
    </row>
    <row r="217" spans="6:34" x14ac:dyDescent="0.3">
      <c r="F217" s="15"/>
      <c r="G217" s="15"/>
      <c r="H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H217" s="15"/>
    </row>
    <row r="218" spans="6:34" x14ac:dyDescent="0.3">
      <c r="F218" s="15"/>
      <c r="G218" s="15"/>
      <c r="H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H218" s="15"/>
    </row>
    <row r="219" spans="6:34" x14ac:dyDescent="0.3">
      <c r="F219" s="15"/>
      <c r="G219" s="15"/>
      <c r="H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H219" s="15"/>
    </row>
    <row r="220" spans="6:34" x14ac:dyDescent="0.3">
      <c r="F220" s="15"/>
      <c r="G220" s="15"/>
      <c r="H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H220" s="15"/>
    </row>
    <row r="221" spans="6:34" x14ac:dyDescent="0.3">
      <c r="F221" s="15"/>
      <c r="G221" s="15"/>
      <c r="H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H221" s="15"/>
    </row>
    <row r="222" spans="6:34" x14ac:dyDescent="0.3">
      <c r="F222" s="15"/>
      <c r="G222" s="15"/>
      <c r="H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H222" s="15"/>
    </row>
    <row r="223" spans="6:34" x14ac:dyDescent="0.3">
      <c r="F223" s="15"/>
      <c r="G223" s="15"/>
      <c r="H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H223" s="15"/>
    </row>
    <row r="224" spans="6:34" x14ac:dyDescent="0.3">
      <c r="F224" s="15"/>
      <c r="G224" s="15"/>
      <c r="H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H224" s="15"/>
    </row>
    <row r="225" spans="6:34" x14ac:dyDescent="0.3">
      <c r="F225" s="15"/>
      <c r="G225" s="15"/>
      <c r="H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H225" s="15"/>
    </row>
    <row r="226" spans="6:34" x14ac:dyDescent="0.3">
      <c r="F226" s="15"/>
      <c r="G226" s="15"/>
      <c r="H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H226" s="15"/>
    </row>
    <row r="227" spans="6:34" x14ac:dyDescent="0.3">
      <c r="F227" s="15"/>
      <c r="G227" s="15"/>
      <c r="H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H227" s="15"/>
    </row>
    <row r="228" spans="6:34" x14ac:dyDescent="0.3">
      <c r="F228" s="15"/>
      <c r="G228" s="15"/>
      <c r="H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H228" s="15"/>
    </row>
    <row r="229" spans="6:34" x14ac:dyDescent="0.3">
      <c r="F229" s="15"/>
      <c r="G229" s="15"/>
      <c r="H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H229" s="15"/>
    </row>
    <row r="230" spans="6:34" x14ac:dyDescent="0.3">
      <c r="F230" s="15"/>
      <c r="G230" s="15"/>
      <c r="H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H230" s="15"/>
    </row>
    <row r="231" spans="6:34" x14ac:dyDescent="0.3">
      <c r="F231" s="15"/>
      <c r="G231" s="15"/>
      <c r="H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H231" s="15"/>
    </row>
    <row r="232" spans="6:34" x14ac:dyDescent="0.3">
      <c r="F232" s="15"/>
      <c r="G232" s="15"/>
      <c r="H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H232" s="15"/>
    </row>
    <row r="233" spans="6:34" x14ac:dyDescent="0.3">
      <c r="F233" s="15"/>
      <c r="G233" s="15"/>
      <c r="H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H233" s="15"/>
    </row>
    <row r="234" spans="6:34" x14ac:dyDescent="0.3">
      <c r="F234" s="15"/>
      <c r="G234" s="15"/>
      <c r="H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H234" s="15"/>
    </row>
    <row r="235" spans="6:34" x14ac:dyDescent="0.3">
      <c r="F235" s="15"/>
      <c r="G235" s="15"/>
      <c r="H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H235" s="15"/>
    </row>
    <row r="236" spans="6:34" x14ac:dyDescent="0.3">
      <c r="F236" s="15"/>
      <c r="G236" s="15"/>
      <c r="H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H236" s="15"/>
    </row>
    <row r="237" spans="6:34" x14ac:dyDescent="0.3">
      <c r="F237" s="15"/>
      <c r="G237" s="15"/>
      <c r="H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H237" s="15"/>
    </row>
    <row r="238" spans="6:34" x14ac:dyDescent="0.3">
      <c r="F238" s="15"/>
      <c r="G238" s="15"/>
      <c r="H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H238" s="15"/>
    </row>
    <row r="239" spans="6:34" x14ac:dyDescent="0.3">
      <c r="F239" s="15"/>
      <c r="G239" s="15"/>
      <c r="H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H239" s="15"/>
    </row>
    <row r="240" spans="6:34" x14ac:dyDescent="0.3">
      <c r="F240" s="15"/>
      <c r="G240" s="15"/>
      <c r="H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H240" s="15"/>
    </row>
    <row r="241" spans="6:34" x14ac:dyDescent="0.3">
      <c r="F241" s="15"/>
      <c r="G241" s="15"/>
      <c r="H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H241" s="15"/>
    </row>
    <row r="242" spans="6:34" x14ac:dyDescent="0.3">
      <c r="F242" s="15"/>
      <c r="G242" s="15"/>
      <c r="H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H242" s="15"/>
    </row>
    <row r="243" spans="6:34" x14ac:dyDescent="0.3">
      <c r="F243" s="15"/>
      <c r="G243" s="15"/>
      <c r="H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H243" s="15"/>
    </row>
    <row r="244" spans="6:34" x14ac:dyDescent="0.3">
      <c r="F244" s="15"/>
      <c r="G244" s="15"/>
      <c r="H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H244" s="15"/>
    </row>
    <row r="245" spans="6:34" x14ac:dyDescent="0.3">
      <c r="F245" s="15"/>
      <c r="G245" s="15"/>
      <c r="H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H245" s="15"/>
    </row>
    <row r="246" spans="6:34" x14ac:dyDescent="0.3">
      <c r="F246" s="15"/>
      <c r="G246" s="15"/>
      <c r="H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H246" s="15"/>
    </row>
    <row r="247" spans="6:34" x14ac:dyDescent="0.3">
      <c r="F247" s="15"/>
      <c r="G247" s="15"/>
      <c r="H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H247" s="15"/>
    </row>
    <row r="248" spans="6:34" x14ac:dyDescent="0.3">
      <c r="F248" s="15"/>
      <c r="G248" s="15"/>
      <c r="H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H248" s="15"/>
    </row>
    <row r="249" spans="6:34" x14ac:dyDescent="0.3">
      <c r="F249" s="15"/>
      <c r="G249" s="15"/>
      <c r="H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H249" s="15"/>
    </row>
    <row r="250" spans="6:34" x14ac:dyDescent="0.3">
      <c r="F250" s="15"/>
      <c r="G250" s="15"/>
      <c r="H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H250" s="15"/>
    </row>
    <row r="251" spans="6:34" x14ac:dyDescent="0.3">
      <c r="F251" s="15"/>
      <c r="G251" s="15"/>
      <c r="H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H251" s="15"/>
    </row>
    <row r="252" spans="6:34" x14ac:dyDescent="0.3">
      <c r="F252" s="15"/>
      <c r="G252" s="15"/>
      <c r="H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H252" s="15"/>
    </row>
    <row r="253" spans="6:34" x14ac:dyDescent="0.3">
      <c r="F253" s="15"/>
      <c r="G253" s="15"/>
      <c r="H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H253" s="15"/>
    </row>
    <row r="254" spans="6:34" x14ac:dyDescent="0.3">
      <c r="F254" s="15"/>
      <c r="G254" s="15"/>
      <c r="H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H254" s="15"/>
    </row>
    <row r="255" spans="6:34" x14ac:dyDescent="0.3">
      <c r="F255" s="15"/>
      <c r="G255" s="15"/>
      <c r="H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H255" s="15"/>
    </row>
    <row r="256" spans="6:34" x14ac:dyDescent="0.3">
      <c r="F256" s="15"/>
      <c r="G256" s="15"/>
      <c r="H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H256" s="15"/>
    </row>
    <row r="257" spans="6:34" x14ac:dyDescent="0.3">
      <c r="F257" s="15"/>
      <c r="G257" s="15"/>
      <c r="H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H257" s="15"/>
    </row>
    <row r="258" spans="6:34" x14ac:dyDescent="0.3">
      <c r="F258" s="15"/>
      <c r="G258" s="15"/>
      <c r="H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H258" s="15"/>
    </row>
    <row r="259" spans="6:34" x14ac:dyDescent="0.3">
      <c r="F259" s="15"/>
      <c r="G259" s="15"/>
      <c r="H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H259" s="15"/>
    </row>
    <row r="260" spans="6:34" x14ac:dyDescent="0.3">
      <c r="F260" s="15"/>
      <c r="G260" s="15"/>
      <c r="H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H260" s="15"/>
    </row>
    <row r="261" spans="6:34" x14ac:dyDescent="0.3">
      <c r="F261" s="15"/>
      <c r="G261" s="15"/>
      <c r="H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H261" s="15"/>
    </row>
    <row r="262" spans="6:34" x14ac:dyDescent="0.3">
      <c r="F262" s="15"/>
      <c r="G262" s="15"/>
      <c r="H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H262" s="15"/>
    </row>
    <row r="263" spans="6:34" x14ac:dyDescent="0.3">
      <c r="F263" s="15"/>
      <c r="G263" s="15"/>
      <c r="H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H263" s="15"/>
    </row>
    <row r="264" spans="6:34" x14ac:dyDescent="0.3">
      <c r="F264" s="15"/>
      <c r="G264" s="15"/>
      <c r="H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H264" s="15"/>
    </row>
    <row r="265" spans="6:34" x14ac:dyDescent="0.3">
      <c r="F265" s="15"/>
      <c r="G265" s="15"/>
      <c r="H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H265" s="15"/>
    </row>
    <row r="266" spans="6:34" x14ac:dyDescent="0.3">
      <c r="F266" s="15"/>
      <c r="G266" s="15"/>
      <c r="H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H266" s="15"/>
    </row>
    <row r="267" spans="6:34" x14ac:dyDescent="0.3">
      <c r="F267" s="15"/>
      <c r="G267" s="15"/>
      <c r="H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H267" s="15"/>
    </row>
    <row r="268" spans="6:34" x14ac:dyDescent="0.3">
      <c r="F268" s="15"/>
      <c r="G268" s="15"/>
      <c r="H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H268" s="15"/>
    </row>
    <row r="269" spans="6:34" x14ac:dyDescent="0.3">
      <c r="F269" s="15"/>
      <c r="G269" s="15"/>
      <c r="H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H269" s="15"/>
    </row>
    <row r="270" spans="6:34" x14ac:dyDescent="0.3">
      <c r="F270" s="15"/>
      <c r="G270" s="15"/>
      <c r="H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H270" s="15"/>
    </row>
    <row r="271" spans="6:34" x14ac:dyDescent="0.3">
      <c r="F271" s="15"/>
      <c r="G271" s="15"/>
      <c r="H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H271" s="15"/>
    </row>
    <row r="272" spans="6:34" x14ac:dyDescent="0.3">
      <c r="F272" s="15"/>
      <c r="G272" s="15"/>
      <c r="H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H272" s="15"/>
    </row>
    <row r="273" spans="6:34" x14ac:dyDescent="0.3">
      <c r="F273" s="15"/>
      <c r="G273" s="15"/>
      <c r="H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H273" s="15"/>
    </row>
    <row r="274" spans="6:34" x14ac:dyDescent="0.3">
      <c r="F274" s="15"/>
      <c r="G274" s="15"/>
      <c r="H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H274" s="15"/>
    </row>
    <row r="275" spans="6:34" x14ac:dyDescent="0.3">
      <c r="F275" s="15"/>
      <c r="G275" s="15"/>
      <c r="H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H275" s="15"/>
    </row>
    <row r="276" spans="6:34" x14ac:dyDescent="0.3">
      <c r="F276" s="15"/>
      <c r="G276" s="15"/>
      <c r="H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H276" s="15"/>
    </row>
    <row r="277" spans="6:34" x14ac:dyDescent="0.3">
      <c r="F277" s="15"/>
      <c r="G277" s="15"/>
      <c r="H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H277" s="15"/>
    </row>
    <row r="278" spans="6:34" x14ac:dyDescent="0.3">
      <c r="F278" s="15"/>
      <c r="G278" s="15"/>
      <c r="H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H278" s="15"/>
    </row>
    <row r="279" spans="6:34" x14ac:dyDescent="0.3">
      <c r="F279" s="15"/>
      <c r="G279" s="15"/>
      <c r="H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H279" s="15"/>
    </row>
    <row r="280" spans="6:34" x14ac:dyDescent="0.3">
      <c r="F280" s="15"/>
      <c r="G280" s="15"/>
      <c r="H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H280" s="15"/>
    </row>
    <row r="281" spans="6:34" x14ac:dyDescent="0.3">
      <c r="F281" s="15"/>
      <c r="G281" s="15"/>
      <c r="H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H281" s="15"/>
    </row>
    <row r="282" spans="6:34" x14ac:dyDescent="0.3">
      <c r="F282" s="15"/>
      <c r="G282" s="15"/>
      <c r="H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H282" s="15"/>
    </row>
    <row r="283" spans="6:34" x14ac:dyDescent="0.3">
      <c r="F283" s="15"/>
      <c r="G283" s="15"/>
      <c r="H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H283" s="15"/>
    </row>
    <row r="284" spans="6:34" x14ac:dyDescent="0.3">
      <c r="F284" s="15"/>
      <c r="G284" s="15"/>
      <c r="H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H284" s="15"/>
    </row>
    <row r="285" spans="6:34" x14ac:dyDescent="0.3">
      <c r="F285" s="15"/>
      <c r="G285" s="15"/>
      <c r="H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H285" s="15"/>
    </row>
    <row r="286" spans="6:34" x14ac:dyDescent="0.3">
      <c r="F286" s="15"/>
      <c r="G286" s="15"/>
      <c r="H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H286" s="15"/>
    </row>
    <row r="287" spans="6:34" x14ac:dyDescent="0.3">
      <c r="F287" s="15"/>
      <c r="G287" s="15"/>
      <c r="H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H287" s="15"/>
    </row>
    <row r="288" spans="6:34" x14ac:dyDescent="0.3">
      <c r="F288" s="15"/>
      <c r="G288" s="15"/>
      <c r="H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H288" s="15"/>
    </row>
    <row r="289" spans="6:34" x14ac:dyDescent="0.3">
      <c r="F289" s="15"/>
      <c r="G289" s="15"/>
      <c r="H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H289" s="15"/>
    </row>
    <row r="290" spans="6:34" x14ac:dyDescent="0.3">
      <c r="F290" s="15"/>
      <c r="G290" s="15"/>
      <c r="H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H290" s="15"/>
    </row>
    <row r="291" spans="6:34" x14ac:dyDescent="0.3">
      <c r="F291" s="15"/>
      <c r="G291" s="15"/>
      <c r="H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H291" s="15"/>
    </row>
    <row r="292" spans="6:34" x14ac:dyDescent="0.3">
      <c r="F292" s="15"/>
      <c r="G292" s="15"/>
      <c r="H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H292" s="15"/>
    </row>
    <row r="293" spans="6:34" x14ac:dyDescent="0.3">
      <c r="F293" s="15"/>
      <c r="G293" s="15"/>
      <c r="H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H293" s="15"/>
    </row>
    <row r="294" spans="6:34" x14ac:dyDescent="0.3">
      <c r="F294" s="15"/>
      <c r="G294" s="15"/>
      <c r="H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H294" s="15"/>
    </row>
    <row r="295" spans="6:34" x14ac:dyDescent="0.3">
      <c r="F295" s="15"/>
      <c r="G295" s="15"/>
      <c r="H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H295" s="15"/>
    </row>
    <row r="296" spans="6:34" x14ac:dyDescent="0.3">
      <c r="F296" s="15"/>
      <c r="G296" s="15"/>
      <c r="H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H296" s="15"/>
    </row>
    <row r="297" spans="6:34" x14ac:dyDescent="0.3">
      <c r="F297" s="15"/>
      <c r="G297" s="15"/>
      <c r="H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H297" s="15"/>
    </row>
    <row r="298" spans="6:34" x14ac:dyDescent="0.3">
      <c r="F298" s="15"/>
      <c r="G298" s="15"/>
      <c r="H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H298" s="15"/>
    </row>
    <row r="299" spans="6:34" x14ac:dyDescent="0.3">
      <c r="F299" s="15"/>
      <c r="G299" s="15"/>
      <c r="H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H299" s="15"/>
    </row>
    <row r="300" spans="6:34" x14ac:dyDescent="0.3">
      <c r="F300" s="15"/>
      <c r="G300" s="15"/>
      <c r="H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H300" s="15"/>
    </row>
    <row r="301" spans="6:34" x14ac:dyDescent="0.3">
      <c r="F301" s="15"/>
      <c r="G301" s="15"/>
      <c r="H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H301" s="15"/>
    </row>
    <row r="302" spans="6:34" x14ac:dyDescent="0.3">
      <c r="F302" s="15"/>
      <c r="G302" s="15"/>
      <c r="H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H302" s="15"/>
    </row>
    <row r="303" spans="6:34" x14ac:dyDescent="0.3">
      <c r="F303" s="15"/>
      <c r="G303" s="15"/>
      <c r="H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H303" s="15"/>
    </row>
    <row r="304" spans="6:34" x14ac:dyDescent="0.3">
      <c r="F304" s="15"/>
      <c r="G304" s="15"/>
      <c r="H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H304" s="15"/>
    </row>
    <row r="305" spans="6:34" x14ac:dyDescent="0.3">
      <c r="F305" s="15"/>
      <c r="G305" s="15"/>
      <c r="H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H305" s="15"/>
    </row>
    <row r="306" spans="6:34" x14ac:dyDescent="0.3">
      <c r="F306" s="15"/>
      <c r="G306" s="15"/>
      <c r="H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H306" s="15"/>
    </row>
    <row r="307" spans="6:34" x14ac:dyDescent="0.3">
      <c r="F307" s="15"/>
      <c r="G307" s="15"/>
      <c r="H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H307" s="15"/>
    </row>
    <row r="308" spans="6:34" x14ac:dyDescent="0.3">
      <c r="F308" s="15"/>
      <c r="G308" s="15"/>
      <c r="H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H308" s="15"/>
    </row>
    <row r="309" spans="6:34" x14ac:dyDescent="0.3">
      <c r="F309" s="15"/>
      <c r="G309" s="15"/>
      <c r="H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H309" s="15"/>
    </row>
    <row r="310" spans="6:34" x14ac:dyDescent="0.3">
      <c r="F310" s="15"/>
      <c r="G310" s="15"/>
      <c r="H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H310" s="15"/>
    </row>
    <row r="311" spans="6:34" x14ac:dyDescent="0.3">
      <c r="F311" s="15"/>
      <c r="G311" s="15"/>
      <c r="H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H311" s="15"/>
    </row>
    <row r="312" spans="6:34" x14ac:dyDescent="0.3">
      <c r="F312" s="15"/>
      <c r="G312" s="15"/>
      <c r="H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H312" s="15"/>
    </row>
    <row r="313" spans="6:34" x14ac:dyDescent="0.3">
      <c r="F313" s="15"/>
      <c r="G313" s="15"/>
      <c r="H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H313" s="15"/>
    </row>
    <row r="314" spans="6:34" x14ac:dyDescent="0.3">
      <c r="F314" s="15"/>
      <c r="G314" s="15"/>
      <c r="H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H314" s="15"/>
    </row>
    <row r="315" spans="6:34" x14ac:dyDescent="0.3">
      <c r="F315" s="15"/>
      <c r="G315" s="15"/>
      <c r="H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H315" s="15"/>
    </row>
    <row r="316" spans="6:34" x14ac:dyDescent="0.3">
      <c r="F316" s="15"/>
      <c r="G316" s="15"/>
      <c r="H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H316" s="15"/>
    </row>
    <row r="317" spans="6:34" x14ac:dyDescent="0.3">
      <c r="F317" s="15"/>
      <c r="G317" s="15"/>
      <c r="H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H317" s="15"/>
    </row>
    <row r="318" spans="6:34" x14ac:dyDescent="0.3">
      <c r="F318" s="15"/>
      <c r="G318" s="15"/>
      <c r="H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H318" s="15"/>
    </row>
    <row r="319" spans="6:34" x14ac:dyDescent="0.3">
      <c r="F319" s="15"/>
      <c r="G319" s="15"/>
      <c r="H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H319" s="15"/>
    </row>
    <row r="320" spans="6:34" x14ac:dyDescent="0.3">
      <c r="F320" s="15"/>
      <c r="G320" s="15"/>
      <c r="H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H320" s="15"/>
    </row>
    <row r="321" spans="6:34" x14ac:dyDescent="0.3">
      <c r="F321" s="15"/>
      <c r="G321" s="15"/>
      <c r="H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H321" s="15"/>
    </row>
    <row r="322" spans="6:34" x14ac:dyDescent="0.3">
      <c r="F322" s="15"/>
      <c r="G322" s="15"/>
      <c r="H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H322" s="15"/>
    </row>
    <row r="323" spans="6:34" x14ac:dyDescent="0.3">
      <c r="F323" s="15"/>
      <c r="G323" s="15"/>
      <c r="H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H323" s="15"/>
    </row>
    <row r="324" spans="6:34" x14ac:dyDescent="0.3">
      <c r="F324" s="15"/>
      <c r="G324" s="15"/>
      <c r="H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H324" s="15"/>
    </row>
    <row r="325" spans="6:34" x14ac:dyDescent="0.3">
      <c r="F325" s="15"/>
      <c r="G325" s="15"/>
      <c r="H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H325" s="15"/>
    </row>
    <row r="326" spans="6:34" x14ac:dyDescent="0.3">
      <c r="F326" s="15"/>
      <c r="G326" s="15"/>
      <c r="H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H326" s="15"/>
    </row>
    <row r="327" spans="6:34" x14ac:dyDescent="0.3">
      <c r="F327" s="15"/>
      <c r="G327" s="15"/>
      <c r="H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H327" s="15"/>
    </row>
    <row r="328" spans="6:34" x14ac:dyDescent="0.3">
      <c r="F328" s="15"/>
      <c r="G328" s="15"/>
      <c r="H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H328" s="15"/>
    </row>
    <row r="329" spans="6:34" x14ac:dyDescent="0.3">
      <c r="F329" s="15"/>
      <c r="G329" s="15"/>
      <c r="H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H329" s="15"/>
    </row>
    <row r="330" spans="6:34" x14ac:dyDescent="0.3">
      <c r="F330" s="15"/>
      <c r="G330" s="15"/>
      <c r="H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H330" s="15"/>
    </row>
    <row r="331" spans="6:34" x14ac:dyDescent="0.3">
      <c r="F331" s="15"/>
      <c r="G331" s="15"/>
      <c r="H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H331" s="15"/>
    </row>
    <row r="332" spans="6:34" x14ac:dyDescent="0.3">
      <c r="F332" s="15"/>
      <c r="G332" s="15"/>
      <c r="H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H332" s="15"/>
    </row>
    <row r="333" spans="6:34" x14ac:dyDescent="0.3">
      <c r="F333" s="15"/>
      <c r="G333" s="15"/>
      <c r="H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H333" s="15"/>
    </row>
    <row r="334" spans="6:34" x14ac:dyDescent="0.3">
      <c r="F334" s="15"/>
      <c r="G334" s="15"/>
      <c r="H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H334" s="15"/>
    </row>
    <row r="335" spans="6:34" x14ac:dyDescent="0.3">
      <c r="F335" s="15"/>
      <c r="G335" s="15"/>
      <c r="H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H335" s="15"/>
    </row>
    <row r="336" spans="6:34" x14ac:dyDescent="0.3">
      <c r="F336" s="15"/>
      <c r="G336" s="15"/>
      <c r="H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H336" s="15"/>
    </row>
    <row r="337" spans="6:34" x14ac:dyDescent="0.3">
      <c r="F337" s="15"/>
      <c r="G337" s="15"/>
      <c r="H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H337" s="15"/>
    </row>
    <row r="338" spans="6:34" x14ac:dyDescent="0.3">
      <c r="F338" s="15"/>
      <c r="G338" s="15"/>
      <c r="H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H338" s="15"/>
    </row>
    <row r="339" spans="6:34" x14ac:dyDescent="0.3">
      <c r="F339" s="15"/>
      <c r="G339" s="15"/>
      <c r="H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H339" s="15"/>
    </row>
    <row r="340" spans="6:34" x14ac:dyDescent="0.3">
      <c r="F340" s="15"/>
      <c r="G340" s="15"/>
      <c r="H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H340" s="15"/>
    </row>
    <row r="341" spans="6:34" x14ac:dyDescent="0.3">
      <c r="F341" s="15"/>
      <c r="G341" s="15"/>
      <c r="H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H341" s="15"/>
    </row>
    <row r="342" spans="6:34" x14ac:dyDescent="0.3">
      <c r="F342" s="15"/>
      <c r="G342" s="15"/>
      <c r="H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H342" s="15"/>
    </row>
    <row r="343" spans="6:34" x14ac:dyDescent="0.3">
      <c r="F343" s="15"/>
      <c r="G343" s="15"/>
      <c r="H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H343" s="15"/>
    </row>
    <row r="344" spans="6:34" x14ac:dyDescent="0.3">
      <c r="F344" s="15"/>
      <c r="G344" s="15"/>
      <c r="H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H344" s="15"/>
    </row>
    <row r="345" spans="6:34" x14ac:dyDescent="0.3">
      <c r="F345" s="15"/>
      <c r="G345" s="15"/>
      <c r="H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H345" s="15"/>
    </row>
    <row r="346" spans="6:34" x14ac:dyDescent="0.3">
      <c r="F346" s="15"/>
      <c r="G346" s="15"/>
      <c r="H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H346" s="15"/>
    </row>
    <row r="347" spans="6:34" x14ac:dyDescent="0.3">
      <c r="F347" s="15"/>
      <c r="G347" s="15"/>
      <c r="H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H347" s="15"/>
    </row>
    <row r="348" spans="6:34" x14ac:dyDescent="0.3">
      <c r="F348" s="15"/>
      <c r="G348" s="15"/>
      <c r="H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H348" s="15"/>
    </row>
    <row r="349" spans="6:34" x14ac:dyDescent="0.3">
      <c r="F349" s="15"/>
      <c r="G349" s="15"/>
      <c r="H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H349" s="15"/>
    </row>
    <row r="350" spans="6:34" x14ac:dyDescent="0.3">
      <c r="F350" s="15"/>
      <c r="G350" s="15"/>
      <c r="H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H350" s="15"/>
    </row>
    <row r="351" spans="6:34" x14ac:dyDescent="0.3">
      <c r="F351" s="15"/>
      <c r="G351" s="15"/>
      <c r="H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H351" s="15"/>
    </row>
    <row r="352" spans="6:34" x14ac:dyDescent="0.3">
      <c r="F352" s="15"/>
      <c r="G352" s="15"/>
      <c r="H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H352" s="15"/>
    </row>
    <row r="353" spans="6:34" x14ac:dyDescent="0.3">
      <c r="F353" s="15"/>
      <c r="G353" s="15"/>
      <c r="H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H353" s="15"/>
    </row>
    <row r="354" spans="6:34" x14ac:dyDescent="0.3">
      <c r="F354" s="15"/>
      <c r="G354" s="15"/>
      <c r="H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H354" s="15"/>
    </row>
    <row r="355" spans="6:34" x14ac:dyDescent="0.3">
      <c r="F355" s="15"/>
      <c r="G355" s="15"/>
      <c r="H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H355" s="15"/>
    </row>
    <row r="356" spans="6:34" x14ac:dyDescent="0.3">
      <c r="F356" s="15"/>
      <c r="G356" s="15"/>
      <c r="H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H356" s="15"/>
    </row>
    <row r="357" spans="6:34" x14ac:dyDescent="0.3">
      <c r="F357" s="15"/>
      <c r="G357" s="15"/>
      <c r="H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H357" s="15"/>
    </row>
    <row r="358" spans="6:34" x14ac:dyDescent="0.3">
      <c r="F358" s="15"/>
      <c r="G358" s="15"/>
      <c r="H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H358" s="15"/>
    </row>
    <row r="359" spans="6:34" x14ac:dyDescent="0.3">
      <c r="F359" s="15"/>
      <c r="G359" s="15"/>
      <c r="H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H359" s="15"/>
    </row>
    <row r="360" spans="6:34" x14ac:dyDescent="0.3">
      <c r="F360" s="15"/>
      <c r="G360" s="15"/>
      <c r="H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H360" s="15"/>
    </row>
    <row r="361" spans="6:34" x14ac:dyDescent="0.3">
      <c r="F361" s="15"/>
      <c r="G361" s="15"/>
      <c r="H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H361" s="15"/>
    </row>
    <row r="362" spans="6:34" x14ac:dyDescent="0.3">
      <c r="F362" s="15"/>
      <c r="G362" s="15"/>
      <c r="H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H362" s="15"/>
    </row>
    <row r="363" spans="6:34" x14ac:dyDescent="0.3">
      <c r="F363" s="15"/>
      <c r="G363" s="15"/>
      <c r="H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H363" s="15"/>
    </row>
    <row r="364" spans="6:34" x14ac:dyDescent="0.3">
      <c r="F364" s="15"/>
      <c r="G364" s="15"/>
      <c r="H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H364" s="15"/>
    </row>
    <row r="365" spans="6:34" x14ac:dyDescent="0.3">
      <c r="F365" s="15"/>
      <c r="G365" s="15"/>
      <c r="H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H365" s="15"/>
    </row>
    <row r="366" spans="6:34" x14ac:dyDescent="0.3">
      <c r="F366" s="15"/>
      <c r="G366" s="15"/>
      <c r="H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H366" s="15"/>
    </row>
    <row r="367" spans="6:34" x14ac:dyDescent="0.3">
      <c r="F367" s="15"/>
      <c r="G367" s="15"/>
      <c r="H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H367" s="15"/>
    </row>
    <row r="368" spans="6:34" x14ac:dyDescent="0.3">
      <c r="F368" s="15"/>
      <c r="G368" s="15"/>
      <c r="H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H368" s="15"/>
    </row>
    <row r="369" spans="6:34" x14ac:dyDescent="0.3">
      <c r="F369" s="15"/>
      <c r="G369" s="15"/>
      <c r="H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H369" s="15"/>
    </row>
    <row r="370" spans="6:34" x14ac:dyDescent="0.3">
      <c r="F370" s="15"/>
      <c r="G370" s="15"/>
      <c r="H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H370" s="15"/>
    </row>
    <row r="371" spans="6:34" x14ac:dyDescent="0.3">
      <c r="F371" s="15"/>
      <c r="G371" s="15"/>
      <c r="H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H371" s="15"/>
    </row>
    <row r="372" spans="6:34" x14ac:dyDescent="0.3">
      <c r="F372" s="15"/>
      <c r="G372" s="15"/>
      <c r="H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H372" s="15"/>
    </row>
    <row r="373" spans="6:34" x14ac:dyDescent="0.3">
      <c r="F373" s="15"/>
      <c r="G373" s="15"/>
      <c r="H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H373" s="15"/>
    </row>
    <row r="374" spans="6:34" x14ac:dyDescent="0.3">
      <c r="F374" s="15"/>
      <c r="G374" s="15"/>
      <c r="H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H374" s="15"/>
    </row>
    <row r="375" spans="6:34" x14ac:dyDescent="0.3">
      <c r="F375" s="15"/>
      <c r="G375" s="15"/>
      <c r="H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H375" s="15"/>
    </row>
    <row r="376" spans="6:34" x14ac:dyDescent="0.3">
      <c r="F376" s="15"/>
      <c r="G376" s="15"/>
      <c r="H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H376" s="15"/>
    </row>
    <row r="377" spans="6:34" x14ac:dyDescent="0.3">
      <c r="F377" s="15"/>
      <c r="G377" s="15"/>
      <c r="H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H377" s="15"/>
    </row>
    <row r="378" spans="6:34" x14ac:dyDescent="0.3">
      <c r="F378" s="15"/>
      <c r="G378" s="15"/>
      <c r="H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H378" s="15"/>
    </row>
    <row r="379" spans="6:34" x14ac:dyDescent="0.3">
      <c r="F379" s="15"/>
      <c r="G379" s="15"/>
      <c r="H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H379" s="15"/>
    </row>
    <row r="380" spans="6:34" x14ac:dyDescent="0.3">
      <c r="F380" s="15"/>
      <c r="G380" s="15"/>
      <c r="H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H380" s="15"/>
    </row>
    <row r="381" spans="6:34" x14ac:dyDescent="0.3">
      <c r="F381" s="15"/>
      <c r="G381" s="15"/>
      <c r="H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H381" s="15"/>
    </row>
    <row r="382" spans="6:34" x14ac:dyDescent="0.3">
      <c r="F382" s="15"/>
      <c r="G382" s="15"/>
      <c r="H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H382" s="15"/>
    </row>
    <row r="383" spans="6:34" x14ac:dyDescent="0.3">
      <c r="F383" s="15"/>
      <c r="G383" s="15"/>
      <c r="H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H383" s="15"/>
    </row>
    <row r="384" spans="6:34" x14ac:dyDescent="0.3">
      <c r="F384" s="15"/>
      <c r="G384" s="15"/>
      <c r="H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H384" s="15"/>
    </row>
    <row r="385" spans="6:34" x14ac:dyDescent="0.3">
      <c r="F385" s="15"/>
      <c r="G385" s="15"/>
      <c r="H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H385" s="15"/>
    </row>
    <row r="386" spans="6:34" x14ac:dyDescent="0.3">
      <c r="F386" s="15"/>
      <c r="G386" s="15"/>
      <c r="H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H386" s="15"/>
    </row>
    <row r="387" spans="6:34" x14ac:dyDescent="0.3">
      <c r="F387" s="15"/>
      <c r="G387" s="15"/>
      <c r="H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H387" s="15"/>
    </row>
    <row r="388" spans="6:34" x14ac:dyDescent="0.3">
      <c r="F388" s="15"/>
      <c r="G388" s="15"/>
      <c r="H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H388" s="15"/>
    </row>
    <row r="389" spans="6:34" x14ac:dyDescent="0.3">
      <c r="F389" s="15"/>
      <c r="G389" s="15"/>
      <c r="H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H389" s="15"/>
    </row>
    <row r="390" spans="6:34" x14ac:dyDescent="0.3">
      <c r="F390" s="15"/>
      <c r="G390" s="15"/>
      <c r="H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H390" s="15"/>
    </row>
    <row r="391" spans="6:34" x14ac:dyDescent="0.3">
      <c r="F391" s="15"/>
      <c r="G391" s="15"/>
      <c r="H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H391" s="15"/>
    </row>
    <row r="392" spans="6:34" x14ac:dyDescent="0.3">
      <c r="F392" s="15"/>
      <c r="G392" s="15"/>
      <c r="H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H392" s="15"/>
    </row>
    <row r="393" spans="6:34" x14ac:dyDescent="0.3">
      <c r="F393" s="15"/>
      <c r="G393" s="15"/>
      <c r="H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H393" s="15"/>
    </row>
    <row r="394" spans="6:34" x14ac:dyDescent="0.3">
      <c r="F394" s="15"/>
      <c r="G394" s="15"/>
      <c r="H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H394" s="15"/>
    </row>
    <row r="395" spans="6:34" x14ac:dyDescent="0.3">
      <c r="F395" s="15"/>
      <c r="G395" s="15"/>
      <c r="H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H395" s="15"/>
    </row>
    <row r="396" spans="6:34" x14ac:dyDescent="0.3">
      <c r="F396" s="15"/>
      <c r="G396" s="15"/>
      <c r="H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H396" s="15"/>
    </row>
    <row r="397" spans="6:34" x14ac:dyDescent="0.3">
      <c r="F397" s="15"/>
      <c r="G397" s="15"/>
      <c r="H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H397" s="15"/>
    </row>
    <row r="398" spans="6:34" x14ac:dyDescent="0.3">
      <c r="F398" s="15"/>
      <c r="G398" s="15"/>
      <c r="H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H398" s="15"/>
    </row>
    <row r="399" spans="6:34" x14ac:dyDescent="0.3">
      <c r="F399" s="15"/>
      <c r="G399" s="15"/>
      <c r="H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H399" s="15"/>
    </row>
    <row r="400" spans="6:34" x14ac:dyDescent="0.3">
      <c r="F400" s="15"/>
      <c r="G400" s="15"/>
      <c r="H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H400" s="15"/>
    </row>
    <row r="401" spans="6:34" x14ac:dyDescent="0.3">
      <c r="F401" s="15"/>
      <c r="G401" s="15"/>
      <c r="H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H401" s="15"/>
    </row>
    <row r="402" spans="6:34" x14ac:dyDescent="0.3">
      <c r="F402" s="15"/>
      <c r="G402" s="15"/>
      <c r="H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H402" s="15"/>
    </row>
    <row r="403" spans="6:34" x14ac:dyDescent="0.3">
      <c r="F403" s="15"/>
      <c r="G403" s="15"/>
      <c r="H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H403" s="15"/>
    </row>
    <row r="404" spans="6:34" x14ac:dyDescent="0.3">
      <c r="F404" s="15"/>
      <c r="G404" s="15"/>
      <c r="H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H404" s="15"/>
    </row>
    <row r="405" spans="6:34" x14ac:dyDescent="0.3">
      <c r="F405" s="15"/>
      <c r="G405" s="15"/>
      <c r="H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H405" s="15"/>
    </row>
    <row r="406" spans="6:34" x14ac:dyDescent="0.3">
      <c r="F406" s="15"/>
      <c r="G406" s="15"/>
      <c r="H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H406" s="15"/>
    </row>
    <row r="407" spans="6:34" x14ac:dyDescent="0.3">
      <c r="F407" s="15"/>
      <c r="G407" s="15"/>
      <c r="H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H407" s="15"/>
    </row>
    <row r="408" spans="6:34" x14ac:dyDescent="0.3">
      <c r="F408" s="15"/>
      <c r="G408" s="15"/>
      <c r="H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H408" s="15"/>
    </row>
    <row r="409" spans="6:34" x14ac:dyDescent="0.3">
      <c r="F409" s="15"/>
      <c r="G409" s="15"/>
      <c r="H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H409" s="15"/>
    </row>
    <row r="410" spans="6:34" x14ac:dyDescent="0.3">
      <c r="F410" s="15"/>
      <c r="G410" s="15"/>
      <c r="H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H410" s="15"/>
    </row>
    <row r="411" spans="6:34" x14ac:dyDescent="0.3">
      <c r="F411" s="15"/>
      <c r="G411" s="15"/>
      <c r="H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H411" s="15"/>
    </row>
    <row r="412" spans="6:34" x14ac:dyDescent="0.3">
      <c r="F412" s="15"/>
      <c r="G412" s="15"/>
      <c r="H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H412" s="15"/>
    </row>
    <row r="413" spans="6:34" x14ac:dyDescent="0.3">
      <c r="F413" s="15"/>
      <c r="G413" s="15"/>
      <c r="H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H413" s="15"/>
    </row>
    <row r="414" spans="6:34" x14ac:dyDescent="0.3">
      <c r="F414" s="15"/>
      <c r="G414" s="15"/>
      <c r="H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H414" s="15"/>
    </row>
    <row r="415" spans="6:34" x14ac:dyDescent="0.3">
      <c r="F415" s="15"/>
      <c r="G415" s="15"/>
      <c r="H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H415" s="15"/>
    </row>
    <row r="416" spans="6:34" x14ac:dyDescent="0.3">
      <c r="F416" s="15"/>
      <c r="G416" s="15"/>
      <c r="H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H416" s="15"/>
    </row>
    <row r="417" spans="6:34" x14ac:dyDescent="0.3">
      <c r="F417" s="15"/>
      <c r="G417" s="15"/>
      <c r="H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H417" s="15"/>
    </row>
    <row r="418" spans="6:34" x14ac:dyDescent="0.3">
      <c r="F418" s="15"/>
      <c r="G418" s="15"/>
      <c r="H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H418" s="15"/>
    </row>
    <row r="419" spans="6:34" x14ac:dyDescent="0.3">
      <c r="F419" s="15"/>
      <c r="G419" s="15"/>
      <c r="H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H419" s="15"/>
    </row>
    <row r="420" spans="6:34" x14ac:dyDescent="0.3">
      <c r="F420" s="15"/>
      <c r="G420" s="15"/>
      <c r="H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H420" s="15"/>
    </row>
    <row r="421" spans="6:34" x14ac:dyDescent="0.3">
      <c r="F421" s="15"/>
      <c r="G421" s="15"/>
      <c r="H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H421" s="15"/>
    </row>
    <row r="422" spans="6:34" x14ac:dyDescent="0.3">
      <c r="F422" s="15"/>
      <c r="G422" s="15"/>
      <c r="H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H422" s="15"/>
    </row>
    <row r="423" spans="6:34" x14ac:dyDescent="0.3">
      <c r="F423" s="15"/>
      <c r="G423" s="15"/>
      <c r="H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H423" s="15"/>
    </row>
    <row r="424" spans="6:34" x14ac:dyDescent="0.3">
      <c r="F424" s="15"/>
      <c r="G424" s="15"/>
      <c r="H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H424" s="15"/>
    </row>
    <row r="425" spans="6:34" x14ac:dyDescent="0.3">
      <c r="F425" s="15"/>
      <c r="G425" s="15"/>
      <c r="H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H425" s="15"/>
    </row>
    <row r="426" spans="6:34" x14ac:dyDescent="0.3">
      <c r="F426" s="15"/>
      <c r="G426" s="15"/>
      <c r="H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H426" s="15"/>
    </row>
    <row r="427" spans="6:34" x14ac:dyDescent="0.3">
      <c r="F427" s="15"/>
      <c r="G427" s="15"/>
      <c r="H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H427" s="15"/>
    </row>
    <row r="428" spans="6:34" x14ac:dyDescent="0.3">
      <c r="F428" s="15"/>
      <c r="G428" s="15"/>
      <c r="H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H428" s="15"/>
    </row>
    <row r="429" spans="6:34" x14ac:dyDescent="0.3">
      <c r="F429" s="15"/>
      <c r="G429" s="15"/>
      <c r="H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H429" s="15"/>
    </row>
    <row r="430" spans="6:34" x14ac:dyDescent="0.3">
      <c r="F430" s="15"/>
      <c r="G430" s="15"/>
      <c r="H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H430" s="15"/>
    </row>
    <row r="431" spans="6:34" x14ac:dyDescent="0.3">
      <c r="F431" s="15"/>
      <c r="G431" s="15"/>
      <c r="H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H431" s="15"/>
    </row>
    <row r="432" spans="6:34" x14ac:dyDescent="0.3">
      <c r="F432" s="15"/>
      <c r="G432" s="15"/>
      <c r="H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H432" s="15"/>
    </row>
    <row r="433" spans="6:34" x14ac:dyDescent="0.3">
      <c r="F433" s="15"/>
      <c r="G433" s="15"/>
      <c r="H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H433" s="15"/>
    </row>
    <row r="434" spans="6:34" x14ac:dyDescent="0.3">
      <c r="F434" s="15"/>
      <c r="G434" s="15"/>
      <c r="H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H434" s="15"/>
    </row>
    <row r="435" spans="6:34" x14ac:dyDescent="0.3">
      <c r="F435" s="15"/>
      <c r="G435" s="15"/>
      <c r="H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H435" s="15"/>
    </row>
    <row r="436" spans="6:34" x14ac:dyDescent="0.3">
      <c r="F436" s="15"/>
      <c r="G436" s="15"/>
      <c r="H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H436" s="15"/>
    </row>
    <row r="437" spans="6:34" x14ac:dyDescent="0.3">
      <c r="F437" s="15"/>
      <c r="G437" s="15"/>
      <c r="H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H437" s="15"/>
    </row>
    <row r="438" spans="6:34" x14ac:dyDescent="0.3">
      <c r="F438" s="15"/>
      <c r="G438" s="15"/>
      <c r="H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H438" s="15"/>
    </row>
    <row r="439" spans="6:34" x14ac:dyDescent="0.3">
      <c r="F439" s="15"/>
      <c r="G439" s="15"/>
      <c r="H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H439" s="15"/>
    </row>
    <row r="440" spans="6:34" x14ac:dyDescent="0.3">
      <c r="F440" s="15"/>
      <c r="G440" s="15"/>
      <c r="H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H440" s="15"/>
    </row>
    <row r="441" spans="6:34" x14ac:dyDescent="0.3">
      <c r="F441" s="15"/>
      <c r="G441" s="15"/>
      <c r="H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H441" s="15"/>
    </row>
    <row r="442" spans="6:34" x14ac:dyDescent="0.3">
      <c r="F442" s="15"/>
      <c r="G442" s="15"/>
      <c r="H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H442" s="15"/>
    </row>
    <row r="443" spans="6:34" x14ac:dyDescent="0.3">
      <c r="F443" s="15"/>
      <c r="G443" s="15"/>
      <c r="H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H443" s="15"/>
    </row>
    <row r="444" spans="6:34" x14ac:dyDescent="0.3">
      <c r="F444" s="15"/>
      <c r="G444" s="15"/>
      <c r="H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H444" s="15"/>
    </row>
    <row r="445" spans="6:34" x14ac:dyDescent="0.3">
      <c r="F445" s="15"/>
      <c r="G445" s="15"/>
      <c r="H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H445" s="15"/>
    </row>
    <row r="446" spans="6:34" x14ac:dyDescent="0.3">
      <c r="F446" s="15"/>
      <c r="G446" s="15"/>
      <c r="H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H446" s="15"/>
    </row>
    <row r="447" spans="6:34" x14ac:dyDescent="0.3">
      <c r="F447" s="15"/>
      <c r="G447" s="15"/>
      <c r="H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H447" s="15"/>
    </row>
    <row r="448" spans="6:34" x14ac:dyDescent="0.3">
      <c r="F448" s="15"/>
      <c r="G448" s="15"/>
      <c r="H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H448" s="15"/>
    </row>
    <row r="449" spans="6:34" x14ac:dyDescent="0.3">
      <c r="F449" s="15"/>
      <c r="G449" s="15"/>
      <c r="H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H449" s="15"/>
    </row>
    <row r="450" spans="6:34" x14ac:dyDescent="0.3">
      <c r="F450" s="15"/>
      <c r="G450" s="15"/>
      <c r="H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H450" s="15"/>
    </row>
    <row r="451" spans="6:34" x14ac:dyDescent="0.3">
      <c r="F451" s="15"/>
      <c r="G451" s="15"/>
      <c r="H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H451" s="15"/>
    </row>
    <row r="452" spans="6:34" x14ac:dyDescent="0.3">
      <c r="F452" s="15"/>
      <c r="G452" s="15"/>
      <c r="H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H452" s="15"/>
    </row>
    <row r="453" spans="6:34" x14ac:dyDescent="0.3">
      <c r="F453" s="15"/>
      <c r="G453" s="15"/>
      <c r="H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H453" s="15"/>
    </row>
    <row r="454" spans="6:34" x14ac:dyDescent="0.3">
      <c r="F454" s="15"/>
      <c r="G454" s="15"/>
      <c r="H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H454" s="15"/>
    </row>
    <row r="455" spans="6:34" x14ac:dyDescent="0.3">
      <c r="F455" s="15"/>
      <c r="G455" s="15"/>
      <c r="H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H455" s="15"/>
    </row>
    <row r="456" spans="6:34" x14ac:dyDescent="0.3">
      <c r="F456" s="15"/>
      <c r="G456" s="15"/>
      <c r="H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H456" s="15"/>
    </row>
    <row r="457" spans="6:34" x14ac:dyDescent="0.3">
      <c r="F457" s="15"/>
      <c r="G457" s="15"/>
      <c r="H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H457" s="15"/>
    </row>
    <row r="458" spans="6:34" x14ac:dyDescent="0.3">
      <c r="F458" s="15"/>
      <c r="G458" s="15"/>
      <c r="H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H458" s="15"/>
    </row>
    <row r="459" spans="6:34" x14ac:dyDescent="0.3">
      <c r="F459" s="15"/>
      <c r="G459" s="15"/>
      <c r="H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H459" s="15"/>
    </row>
    <row r="460" spans="6:34" x14ac:dyDescent="0.3">
      <c r="F460" s="15"/>
      <c r="G460" s="15"/>
      <c r="H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H460" s="15"/>
    </row>
    <row r="461" spans="6:34" x14ac:dyDescent="0.3">
      <c r="F461" s="15"/>
      <c r="G461" s="15"/>
      <c r="H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H461" s="15"/>
    </row>
    <row r="462" spans="6:34" x14ac:dyDescent="0.3">
      <c r="F462" s="15"/>
      <c r="G462" s="15"/>
      <c r="H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H462" s="15"/>
    </row>
    <row r="463" spans="6:34" x14ac:dyDescent="0.3">
      <c r="F463" s="15"/>
      <c r="G463" s="15"/>
      <c r="H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H463" s="15"/>
    </row>
    <row r="464" spans="6:34" x14ac:dyDescent="0.3">
      <c r="F464" s="15"/>
      <c r="G464" s="15"/>
      <c r="H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H464" s="15"/>
    </row>
    <row r="465" spans="6:34" x14ac:dyDescent="0.3">
      <c r="F465" s="15"/>
      <c r="G465" s="15"/>
      <c r="H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H465" s="15"/>
    </row>
    <row r="466" spans="6:34" x14ac:dyDescent="0.3">
      <c r="F466" s="15"/>
      <c r="G466" s="15"/>
      <c r="H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H466" s="15"/>
    </row>
    <row r="467" spans="6:34" x14ac:dyDescent="0.3">
      <c r="F467" s="15"/>
      <c r="G467" s="15"/>
      <c r="H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H467" s="15"/>
    </row>
    <row r="468" spans="6:34" x14ac:dyDescent="0.3">
      <c r="F468" s="15"/>
      <c r="G468" s="15"/>
      <c r="H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H468" s="15"/>
    </row>
    <row r="469" spans="6:34" x14ac:dyDescent="0.3">
      <c r="F469" s="15"/>
      <c r="G469" s="15"/>
      <c r="H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H469" s="15"/>
    </row>
    <row r="470" spans="6:34" x14ac:dyDescent="0.3">
      <c r="F470" s="15"/>
      <c r="G470" s="15"/>
      <c r="H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H470" s="15"/>
    </row>
    <row r="471" spans="6:34" x14ac:dyDescent="0.3">
      <c r="F471" s="15"/>
      <c r="G471" s="15"/>
      <c r="H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H471" s="15"/>
    </row>
    <row r="472" spans="6:34" x14ac:dyDescent="0.3">
      <c r="F472" s="15"/>
      <c r="G472" s="15"/>
      <c r="H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H472" s="15"/>
    </row>
    <row r="473" spans="6:34" x14ac:dyDescent="0.3">
      <c r="F473" s="15"/>
      <c r="G473" s="15"/>
      <c r="H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H473" s="15"/>
    </row>
    <row r="474" spans="6:34" x14ac:dyDescent="0.3">
      <c r="F474" s="15"/>
      <c r="G474" s="15"/>
      <c r="H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H474" s="15"/>
    </row>
    <row r="475" spans="6:34" x14ac:dyDescent="0.3">
      <c r="F475" s="15"/>
      <c r="G475" s="15"/>
      <c r="H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H475" s="15"/>
    </row>
    <row r="476" spans="6:34" x14ac:dyDescent="0.3">
      <c r="F476" s="15"/>
      <c r="G476" s="15"/>
      <c r="H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H476" s="15"/>
    </row>
    <row r="477" spans="6:34" x14ac:dyDescent="0.3">
      <c r="F477" s="15"/>
      <c r="G477" s="15"/>
      <c r="H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H477" s="15"/>
    </row>
    <row r="478" spans="6:34" x14ac:dyDescent="0.3">
      <c r="F478" s="15"/>
      <c r="G478" s="15"/>
      <c r="H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H478" s="15"/>
    </row>
    <row r="479" spans="6:34" x14ac:dyDescent="0.3">
      <c r="F479" s="15"/>
      <c r="G479" s="15"/>
      <c r="H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H479" s="15"/>
    </row>
    <row r="480" spans="6:34" x14ac:dyDescent="0.3">
      <c r="F480" s="15"/>
      <c r="G480" s="15"/>
      <c r="H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H480" s="15"/>
    </row>
    <row r="481" spans="6:34" x14ac:dyDescent="0.3">
      <c r="F481" s="15"/>
      <c r="G481" s="15"/>
      <c r="H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H481" s="15"/>
    </row>
    <row r="482" spans="6:34" x14ac:dyDescent="0.3">
      <c r="F482" s="15"/>
      <c r="G482" s="15"/>
      <c r="H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H482" s="15"/>
    </row>
    <row r="483" spans="6:34" x14ac:dyDescent="0.3">
      <c r="F483" s="15"/>
      <c r="G483" s="15"/>
      <c r="H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H483" s="15"/>
    </row>
    <row r="484" spans="6:34" x14ac:dyDescent="0.3">
      <c r="F484" s="15"/>
      <c r="G484" s="15"/>
      <c r="H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H484" s="15"/>
    </row>
    <row r="485" spans="6:34" x14ac:dyDescent="0.3">
      <c r="F485" s="15"/>
      <c r="G485" s="15"/>
      <c r="H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H485" s="15"/>
    </row>
    <row r="486" spans="6:34" x14ac:dyDescent="0.3">
      <c r="F486" s="15"/>
      <c r="G486" s="15"/>
      <c r="H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H486" s="15"/>
    </row>
    <row r="487" spans="6:34" x14ac:dyDescent="0.3">
      <c r="F487" s="15"/>
      <c r="G487" s="15"/>
      <c r="H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H487" s="15"/>
    </row>
    <row r="488" spans="6:34" x14ac:dyDescent="0.3">
      <c r="F488" s="15"/>
      <c r="G488" s="15"/>
      <c r="H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H488" s="15"/>
    </row>
    <row r="489" spans="6:34" x14ac:dyDescent="0.3">
      <c r="F489" s="15"/>
      <c r="G489" s="15"/>
      <c r="H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H489" s="15"/>
    </row>
    <row r="490" spans="6:34" x14ac:dyDescent="0.3">
      <c r="F490" s="15"/>
      <c r="G490" s="15"/>
      <c r="H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H490" s="15"/>
    </row>
    <row r="491" spans="6:34" x14ac:dyDescent="0.3">
      <c r="F491" s="15"/>
      <c r="G491" s="15"/>
      <c r="H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H491" s="15"/>
    </row>
    <row r="492" spans="6:34" x14ac:dyDescent="0.3">
      <c r="F492" s="15"/>
      <c r="G492" s="15"/>
      <c r="H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H492" s="15"/>
    </row>
    <row r="493" spans="6:34" x14ac:dyDescent="0.3">
      <c r="F493" s="15"/>
      <c r="G493" s="15"/>
      <c r="H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H493" s="15"/>
    </row>
    <row r="494" spans="6:34" x14ac:dyDescent="0.3">
      <c r="F494" s="15"/>
      <c r="G494" s="15"/>
      <c r="H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H494" s="15"/>
    </row>
    <row r="495" spans="6:34" x14ac:dyDescent="0.3">
      <c r="F495" s="15"/>
      <c r="G495" s="15"/>
      <c r="H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H495" s="15"/>
    </row>
    <row r="496" spans="6:34" x14ac:dyDescent="0.3">
      <c r="F496" s="15"/>
      <c r="G496" s="15"/>
      <c r="H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H496" s="15"/>
    </row>
    <row r="497" spans="6:34" x14ac:dyDescent="0.3">
      <c r="F497" s="15"/>
      <c r="G497" s="15"/>
      <c r="H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H497" s="15"/>
    </row>
    <row r="498" spans="6:34" x14ac:dyDescent="0.3">
      <c r="F498" s="15"/>
      <c r="G498" s="15"/>
      <c r="H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H498" s="15"/>
    </row>
    <row r="499" spans="6:34" x14ac:dyDescent="0.3">
      <c r="F499" s="15"/>
      <c r="G499" s="15"/>
      <c r="H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H499" s="15"/>
    </row>
    <row r="500" spans="6:34" x14ac:dyDescent="0.3">
      <c r="F500" s="15"/>
      <c r="G500" s="15"/>
      <c r="H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H500" s="15"/>
    </row>
    <row r="501" spans="6:34" x14ac:dyDescent="0.3">
      <c r="F501" s="15"/>
      <c r="G501" s="15"/>
      <c r="H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H501" s="15"/>
    </row>
    <row r="502" spans="6:34" x14ac:dyDescent="0.3">
      <c r="F502" s="15"/>
      <c r="G502" s="15"/>
      <c r="H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H502" s="15"/>
    </row>
    <row r="503" spans="6:34" x14ac:dyDescent="0.3">
      <c r="F503" s="15"/>
      <c r="G503" s="15"/>
      <c r="H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H503" s="15"/>
    </row>
    <row r="504" spans="6:34" x14ac:dyDescent="0.3">
      <c r="F504" s="15"/>
      <c r="G504" s="15"/>
      <c r="H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H504" s="15"/>
    </row>
    <row r="505" spans="6:34" x14ac:dyDescent="0.3">
      <c r="F505" s="15"/>
      <c r="G505" s="15"/>
      <c r="H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H505" s="15"/>
    </row>
    <row r="506" spans="6:34" x14ac:dyDescent="0.3">
      <c r="F506" s="15"/>
      <c r="G506" s="15"/>
      <c r="H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H506" s="15"/>
    </row>
    <row r="507" spans="6:34" x14ac:dyDescent="0.3">
      <c r="F507" s="15"/>
      <c r="G507" s="15"/>
      <c r="H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H507" s="15"/>
    </row>
    <row r="508" spans="6:34" x14ac:dyDescent="0.3">
      <c r="F508" s="15"/>
      <c r="G508" s="15"/>
      <c r="H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H508" s="15"/>
    </row>
    <row r="509" spans="6:34" x14ac:dyDescent="0.3">
      <c r="F509" s="15"/>
      <c r="G509" s="15"/>
      <c r="H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H509" s="15"/>
    </row>
    <row r="510" spans="6:34" x14ac:dyDescent="0.3">
      <c r="F510" s="15"/>
      <c r="G510" s="15"/>
      <c r="H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H510" s="15"/>
    </row>
    <row r="511" spans="6:34" x14ac:dyDescent="0.3">
      <c r="F511" s="15"/>
      <c r="G511" s="15"/>
      <c r="H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H511" s="15"/>
    </row>
    <row r="512" spans="6:34" x14ac:dyDescent="0.3">
      <c r="F512" s="15"/>
      <c r="G512" s="15"/>
      <c r="H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H512" s="15"/>
    </row>
    <row r="513" spans="6:34" x14ac:dyDescent="0.3">
      <c r="F513" s="15"/>
      <c r="G513" s="15"/>
      <c r="H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H513" s="15"/>
    </row>
    <row r="514" spans="6:34" x14ac:dyDescent="0.3">
      <c r="F514" s="15"/>
      <c r="G514" s="15"/>
      <c r="H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H514" s="15"/>
    </row>
    <row r="515" spans="6:34" x14ac:dyDescent="0.3">
      <c r="F515" s="15"/>
      <c r="G515" s="15"/>
      <c r="H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H515" s="15"/>
    </row>
    <row r="516" spans="6:34" x14ac:dyDescent="0.3">
      <c r="F516" s="15"/>
      <c r="G516" s="15"/>
      <c r="H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H516" s="15"/>
    </row>
    <row r="517" spans="6:34" x14ac:dyDescent="0.3">
      <c r="F517" s="15"/>
      <c r="G517" s="15"/>
      <c r="H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H517" s="15"/>
    </row>
    <row r="518" spans="6:34" x14ac:dyDescent="0.3">
      <c r="F518" s="15"/>
      <c r="G518" s="15"/>
      <c r="H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H518" s="15"/>
    </row>
    <row r="519" spans="6:34" x14ac:dyDescent="0.3">
      <c r="F519" s="15"/>
      <c r="G519" s="15"/>
      <c r="H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H519" s="15"/>
    </row>
    <row r="520" spans="6:34" x14ac:dyDescent="0.3">
      <c r="F520" s="15"/>
      <c r="G520" s="15"/>
      <c r="H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H520" s="15"/>
    </row>
    <row r="521" spans="6:34" x14ac:dyDescent="0.3">
      <c r="F521" s="15"/>
      <c r="G521" s="15"/>
      <c r="H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H521" s="15"/>
    </row>
    <row r="522" spans="6:34" x14ac:dyDescent="0.3">
      <c r="F522" s="15"/>
      <c r="G522" s="15"/>
      <c r="H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H522" s="15"/>
    </row>
    <row r="523" spans="6:34" x14ac:dyDescent="0.3">
      <c r="F523" s="15"/>
      <c r="G523" s="15"/>
      <c r="H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H523" s="15"/>
    </row>
    <row r="524" spans="6:34" x14ac:dyDescent="0.3">
      <c r="F524" s="15"/>
      <c r="G524" s="15"/>
      <c r="H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H524" s="15"/>
    </row>
    <row r="525" spans="6:34" x14ac:dyDescent="0.3">
      <c r="F525" s="15"/>
      <c r="G525" s="15"/>
      <c r="H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H525" s="15"/>
    </row>
    <row r="526" spans="6:34" x14ac:dyDescent="0.3">
      <c r="F526" s="15"/>
      <c r="G526" s="15"/>
      <c r="H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H526" s="15"/>
    </row>
    <row r="527" spans="6:34" x14ac:dyDescent="0.3">
      <c r="F527" s="15"/>
      <c r="G527" s="15"/>
      <c r="H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H527" s="15"/>
    </row>
    <row r="528" spans="6:34" x14ac:dyDescent="0.3">
      <c r="F528" s="15"/>
      <c r="G528" s="15"/>
      <c r="H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H528" s="15"/>
    </row>
    <row r="529" spans="6:34" x14ac:dyDescent="0.3">
      <c r="F529" s="15"/>
      <c r="G529" s="15"/>
      <c r="H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H529" s="15"/>
    </row>
    <row r="530" spans="6:34" x14ac:dyDescent="0.3">
      <c r="F530" s="15"/>
      <c r="G530" s="15"/>
      <c r="H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H530" s="15"/>
    </row>
    <row r="531" spans="6:34" x14ac:dyDescent="0.3">
      <c r="F531" s="15"/>
      <c r="G531" s="15"/>
      <c r="H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H531" s="15"/>
    </row>
    <row r="532" spans="6:34" x14ac:dyDescent="0.3">
      <c r="F532" s="15"/>
      <c r="G532" s="15"/>
      <c r="H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H532" s="15"/>
    </row>
    <row r="533" spans="6:34" x14ac:dyDescent="0.3">
      <c r="F533" s="15"/>
      <c r="G533" s="15"/>
      <c r="H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H533" s="15"/>
    </row>
    <row r="534" spans="6:34" x14ac:dyDescent="0.3">
      <c r="F534" s="15"/>
      <c r="G534" s="15"/>
      <c r="H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H534" s="15"/>
    </row>
    <row r="535" spans="6:34" x14ac:dyDescent="0.3">
      <c r="F535" s="15"/>
      <c r="G535" s="15"/>
      <c r="H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H535" s="15"/>
    </row>
    <row r="536" spans="6:34" x14ac:dyDescent="0.3">
      <c r="F536" s="15"/>
      <c r="G536" s="15"/>
      <c r="H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H536" s="15"/>
    </row>
    <row r="537" spans="6:34" x14ac:dyDescent="0.3">
      <c r="F537" s="15"/>
      <c r="G537" s="15"/>
      <c r="H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H537" s="15"/>
    </row>
    <row r="538" spans="6:34" x14ac:dyDescent="0.3">
      <c r="F538" s="15"/>
      <c r="G538" s="15"/>
      <c r="H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H538" s="15"/>
    </row>
    <row r="539" spans="6:34" x14ac:dyDescent="0.3">
      <c r="F539" s="15"/>
      <c r="G539" s="15"/>
      <c r="H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H539" s="15"/>
    </row>
    <row r="540" spans="6:34" x14ac:dyDescent="0.3">
      <c r="F540" s="15"/>
      <c r="G540" s="15"/>
      <c r="H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H540" s="15"/>
    </row>
    <row r="541" spans="6:34" x14ac:dyDescent="0.3">
      <c r="F541" s="15"/>
      <c r="G541" s="15"/>
      <c r="H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H541" s="15"/>
    </row>
    <row r="542" spans="6:34" x14ac:dyDescent="0.3">
      <c r="F542" s="15"/>
      <c r="G542" s="15"/>
      <c r="H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H542" s="15"/>
    </row>
    <row r="543" spans="6:34" x14ac:dyDescent="0.3">
      <c r="F543" s="15"/>
      <c r="G543" s="15"/>
      <c r="H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H543" s="15"/>
    </row>
    <row r="544" spans="6:34" x14ac:dyDescent="0.3">
      <c r="F544" s="15"/>
      <c r="G544" s="15"/>
      <c r="H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H544" s="15"/>
    </row>
    <row r="545" spans="6:34" x14ac:dyDescent="0.3">
      <c r="F545" s="15"/>
      <c r="G545" s="15"/>
      <c r="H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H545" s="15"/>
    </row>
    <row r="546" spans="6:34" x14ac:dyDescent="0.3">
      <c r="F546" s="15"/>
      <c r="G546" s="15"/>
      <c r="H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H546" s="15"/>
    </row>
    <row r="547" spans="6:34" x14ac:dyDescent="0.3">
      <c r="F547" s="15"/>
      <c r="G547" s="15"/>
      <c r="H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H547" s="15"/>
    </row>
    <row r="548" spans="6:34" x14ac:dyDescent="0.3">
      <c r="F548" s="15"/>
      <c r="G548" s="15"/>
      <c r="H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H548" s="15"/>
    </row>
    <row r="549" spans="6:34" x14ac:dyDescent="0.3">
      <c r="F549" s="15"/>
      <c r="G549" s="15"/>
      <c r="H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H549" s="15"/>
    </row>
    <row r="550" spans="6:34" x14ac:dyDescent="0.3">
      <c r="F550" s="15"/>
      <c r="G550" s="15"/>
      <c r="H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H550" s="15"/>
    </row>
    <row r="551" spans="6:34" x14ac:dyDescent="0.3">
      <c r="F551" s="15"/>
      <c r="G551" s="15"/>
      <c r="H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H551" s="15"/>
    </row>
    <row r="552" spans="6:34" x14ac:dyDescent="0.3">
      <c r="F552" s="15"/>
      <c r="G552" s="15"/>
      <c r="H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H552" s="15"/>
    </row>
    <row r="553" spans="6:34" x14ac:dyDescent="0.3">
      <c r="F553" s="15"/>
      <c r="G553" s="15"/>
      <c r="H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H553" s="15"/>
    </row>
    <row r="554" spans="6:34" x14ac:dyDescent="0.3">
      <c r="F554" s="15"/>
      <c r="G554" s="15"/>
      <c r="H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H554" s="15"/>
    </row>
    <row r="555" spans="6:34" x14ac:dyDescent="0.3">
      <c r="F555" s="15"/>
      <c r="G555" s="15"/>
      <c r="H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H555" s="15"/>
    </row>
    <row r="556" spans="6:34" x14ac:dyDescent="0.3">
      <c r="F556" s="15"/>
      <c r="G556" s="15"/>
      <c r="H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H556" s="15"/>
    </row>
    <row r="557" spans="6:34" x14ac:dyDescent="0.3">
      <c r="F557" s="15"/>
      <c r="G557" s="15"/>
      <c r="H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H557" s="15"/>
    </row>
    <row r="558" spans="6:34" x14ac:dyDescent="0.3">
      <c r="F558" s="15"/>
      <c r="G558" s="15"/>
      <c r="H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H558" s="15"/>
    </row>
    <row r="559" spans="6:34" x14ac:dyDescent="0.3">
      <c r="F559" s="15"/>
      <c r="G559" s="15"/>
      <c r="H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H559" s="15"/>
    </row>
    <row r="560" spans="6:34" x14ac:dyDescent="0.3">
      <c r="F560" s="15"/>
      <c r="G560" s="15"/>
      <c r="H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H560" s="15"/>
    </row>
    <row r="561" spans="6:34" x14ac:dyDescent="0.3">
      <c r="F561" s="15"/>
      <c r="G561" s="15"/>
      <c r="H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H561" s="15"/>
    </row>
    <row r="562" spans="6:34" x14ac:dyDescent="0.3">
      <c r="F562" s="15"/>
      <c r="G562" s="15"/>
      <c r="H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H562" s="15"/>
    </row>
    <row r="563" spans="6:34" x14ac:dyDescent="0.3">
      <c r="F563" s="15"/>
      <c r="G563" s="15"/>
      <c r="H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H563" s="15"/>
    </row>
    <row r="564" spans="6:34" x14ac:dyDescent="0.3">
      <c r="F564" s="15"/>
      <c r="G564" s="15"/>
      <c r="H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H564" s="15"/>
    </row>
    <row r="565" spans="6:34" x14ac:dyDescent="0.3">
      <c r="F565" s="15"/>
      <c r="G565" s="15"/>
      <c r="H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H565" s="15"/>
    </row>
    <row r="566" spans="6:34" x14ac:dyDescent="0.3">
      <c r="F566" s="15"/>
      <c r="G566" s="15"/>
      <c r="H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H566" s="15"/>
    </row>
    <row r="567" spans="6:34" x14ac:dyDescent="0.3">
      <c r="F567" s="15"/>
      <c r="G567" s="15"/>
      <c r="H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H567" s="15"/>
    </row>
    <row r="568" spans="6:34" x14ac:dyDescent="0.3">
      <c r="F568" s="15"/>
      <c r="G568" s="15"/>
      <c r="H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H568" s="15"/>
    </row>
    <row r="569" spans="6:34" x14ac:dyDescent="0.3">
      <c r="F569" s="15"/>
      <c r="G569" s="15"/>
      <c r="H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H569" s="15"/>
    </row>
    <row r="570" spans="6:34" x14ac:dyDescent="0.3">
      <c r="F570" s="15"/>
      <c r="G570" s="15"/>
      <c r="H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H570" s="15"/>
    </row>
    <row r="571" spans="6:34" x14ac:dyDescent="0.3">
      <c r="F571" s="15"/>
      <c r="G571" s="15"/>
      <c r="H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H571" s="15"/>
    </row>
    <row r="572" spans="6:34" x14ac:dyDescent="0.3">
      <c r="F572" s="15"/>
      <c r="G572" s="15"/>
      <c r="H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H572" s="15"/>
    </row>
    <row r="573" spans="6:34" x14ac:dyDescent="0.3">
      <c r="F573" s="15"/>
      <c r="G573" s="15"/>
      <c r="H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H573" s="15"/>
    </row>
    <row r="574" spans="6:34" x14ac:dyDescent="0.3">
      <c r="F574" s="15"/>
      <c r="G574" s="15"/>
      <c r="H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H574" s="15"/>
    </row>
    <row r="575" spans="6:34" x14ac:dyDescent="0.3">
      <c r="F575" s="15"/>
      <c r="G575" s="15"/>
      <c r="H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H575" s="15"/>
    </row>
    <row r="576" spans="6:34" x14ac:dyDescent="0.3">
      <c r="F576" s="15"/>
      <c r="G576" s="15"/>
      <c r="H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H576" s="15"/>
    </row>
    <row r="577" spans="6:34" x14ac:dyDescent="0.3">
      <c r="F577" s="15"/>
      <c r="G577" s="15"/>
      <c r="H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H577" s="15"/>
    </row>
    <row r="578" spans="6:34" x14ac:dyDescent="0.3">
      <c r="F578" s="15"/>
      <c r="G578" s="15"/>
      <c r="H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H578" s="15"/>
    </row>
    <row r="579" spans="6:34" x14ac:dyDescent="0.3">
      <c r="F579" s="15"/>
      <c r="G579" s="15"/>
      <c r="H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H579" s="15"/>
    </row>
    <row r="580" spans="6:34" x14ac:dyDescent="0.3">
      <c r="F580" s="15"/>
      <c r="G580" s="15"/>
      <c r="H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H580" s="15"/>
    </row>
    <row r="581" spans="6:34" x14ac:dyDescent="0.3">
      <c r="F581" s="15"/>
      <c r="G581" s="15"/>
      <c r="H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H581" s="15"/>
    </row>
    <row r="582" spans="6:34" x14ac:dyDescent="0.3">
      <c r="F582" s="15"/>
      <c r="G582" s="15"/>
      <c r="H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H582" s="15"/>
    </row>
    <row r="583" spans="6:34" x14ac:dyDescent="0.3">
      <c r="F583" s="15"/>
      <c r="G583" s="15"/>
      <c r="H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H583" s="15"/>
    </row>
    <row r="584" spans="6:34" x14ac:dyDescent="0.3">
      <c r="F584" s="15"/>
      <c r="G584" s="15"/>
      <c r="H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H584" s="15"/>
    </row>
    <row r="585" spans="6:34" x14ac:dyDescent="0.3">
      <c r="F585" s="15"/>
      <c r="G585" s="15"/>
      <c r="H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H585" s="15"/>
    </row>
    <row r="586" spans="6:34" x14ac:dyDescent="0.3">
      <c r="F586" s="15"/>
      <c r="G586" s="15"/>
      <c r="H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H586" s="15"/>
    </row>
    <row r="587" spans="6:34" x14ac:dyDescent="0.3">
      <c r="F587" s="15"/>
      <c r="G587" s="15"/>
      <c r="H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H587" s="15"/>
    </row>
    <row r="588" spans="6:34" x14ac:dyDescent="0.3">
      <c r="F588" s="15"/>
      <c r="G588" s="15"/>
      <c r="H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H588" s="15"/>
    </row>
    <row r="589" spans="6:34" x14ac:dyDescent="0.3">
      <c r="F589" s="15"/>
      <c r="G589" s="15"/>
      <c r="H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H589" s="15"/>
    </row>
    <row r="590" spans="6:34" x14ac:dyDescent="0.3">
      <c r="F590" s="15"/>
      <c r="G590" s="15"/>
      <c r="H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H590" s="15"/>
    </row>
    <row r="591" spans="6:34" x14ac:dyDescent="0.3">
      <c r="F591" s="15"/>
      <c r="G591" s="15"/>
      <c r="H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H591" s="15"/>
    </row>
    <row r="592" spans="6:34" x14ac:dyDescent="0.3">
      <c r="F592" s="15"/>
      <c r="G592" s="15"/>
      <c r="H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H592" s="15"/>
    </row>
    <row r="593" spans="6:34" x14ac:dyDescent="0.3">
      <c r="F593" s="15"/>
      <c r="G593" s="15"/>
      <c r="H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H593" s="15"/>
    </row>
    <row r="594" spans="6:34" x14ac:dyDescent="0.3">
      <c r="F594" s="15"/>
      <c r="G594" s="15"/>
      <c r="H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H594" s="15"/>
    </row>
    <row r="595" spans="6:34" x14ac:dyDescent="0.3">
      <c r="F595" s="15"/>
      <c r="G595" s="15"/>
      <c r="H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H595" s="15"/>
    </row>
    <row r="596" spans="6:34" x14ac:dyDescent="0.3">
      <c r="F596" s="15"/>
      <c r="G596" s="15"/>
      <c r="H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H596" s="15"/>
    </row>
    <row r="597" spans="6:34" x14ac:dyDescent="0.3">
      <c r="F597" s="15"/>
      <c r="G597" s="15"/>
      <c r="H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H597" s="15"/>
    </row>
    <row r="598" spans="6:34" x14ac:dyDescent="0.3">
      <c r="F598" s="15"/>
      <c r="G598" s="15"/>
      <c r="H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H598" s="15"/>
    </row>
    <row r="599" spans="6:34" x14ac:dyDescent="0.3">
      <c r="F599" s="15"/>
      <c r="G599" s="15"/>
      <c r="H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H599" s="15"/>
    </row>
    <row r="600" spans="6:34" x14ac:dyDescent="0.3">
      <c r="F600" s="15"/>
      <c r="G600" s="15"/>
      <c r="H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H600" s="15"/>
    </row>
    <row r="601" spans="6:34" x14ac:dyDescent="0.3">
      <c r="F601" s="15"/>
      <c r="G601" s="15"/>
      <c r="H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H601" s="15"/>
    </row>
    <row r="602" spans="6:34" x14ac:dyDescent="0.3">
      <c r="F602" s="15"/>
      <c r="G602" s="15"/>
      <c r="H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H602" s="15"/>
    </row>
    <row r="603" spans="6:34" x14ac:dyDescent="0.3">
      <c r="F603" s="15"/>
      <c r="G603" s="15"/>
      <c r="H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H603" s="15"/>
    </row>
    <row r="604" spans="6:34" x14ac:dyDescent="0.3">
      <c r="F604" s="15"/>
      <c r="G604" s="15"/>
      <c r="H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H604" s="15"/>
    </row>
    <row r="605" spans="6:34" x14ac:dyDescent="0.3">
      <c r="F605" s="15"/>
      <c r="G605" s="15"/>
      <c r="H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H605" s="15"/>
    </row>
    <row r="606" spans="6:34" x14ac:dyDescent="0.3">
      <c r="F606" s="15"/>
      <c r="G606" s="15"/>
      <c r="H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H606" s="15"/>
    </row>
    <row r="607" spans="6:34" x14ac:dyDescent="0.3">
      <c r="F607" s="15"/>
      <c r="G607" s="15"/>
      <c r="H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H607" s="15"/>
    </row>
    <row r="608" spans="6:34" x14ac:dyDescent="0.3">
      <c r="F608" s="15"/>
      <c r="G608" s="15"/>
      <c r="H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H608" s="15"/>
    </row>
    <row r="609" spans="6:34" x14ac:dyDescent="0.3">
      <c r="F609" s="15"/>
      <c r="G609" s="15"/>
      <c r="H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H609" s="15"/>
    </row>
    <row r="610" spans="6:34" x14ac:dyDescent="0.3">
      <c r="F610" s="15"/>
      <c r="G610" s="15"/>
      <c r="H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H610" s="15"/>
    </row>
    <row r="611" spans="6:34" x14ac:dyDescent="0.3">
      <c r="F611" s="15"/>
      <c r="G611" s="15"/>
      <c r="H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H611" s="15"/>
    </row>
    <row r="612" spans="6:34" x14ac:dyDescent="0.3">
      <c r="F612" s="15"/>
      <c r="G612" s="15"/>
      <c r="H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H612" s="15"/>
    </row>
    <row r="613" spans="6:34" x14ac:dyDescent="0.3">
      <c r="F613" s="15"/>
      <c r="G613" s="15"/>
      <c r="H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H613" s="15"/>
    </row>
    <row r="614" spans="6:34" x14ac:dyDescent="0.3">
      <c r="F614" s="15"/>
      <c r="G614" s="15"/>
      <c r="H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H614" s="15"/>
    </row>
    <row r="615" spans="6:34" x14ac:dyDescent="0.3">
      <c r="F615" s="15"/>
      <c r="G615" s="15"/>
      <c r="H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H615" s="15"/>
    </row>
    <row r="616" spans="6:34" x14ac:dyDescent="0.3">
      <c r="F616" s="15"/>
      <c r="G616" s="15"/>
      <c r="H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H616" s="15"/>
    </row>
    <row r="617" spans="6:34" x14ac:dyDescent="0.3">
      <c r="F617" s="15"/>
      <c r="G617" s="15"/>
      <c r="H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H617" s="15"/>
    </row>
    <row r="618" spans="6:34" x14ac:dyDescent="0.3">
      <c r="F618" s="15"/>
      <c r="G618" s="15"/>
      <c r="H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H618" s="15"/>
    </row>
    <row r="619" spans="6:34" x14ac:dyDescent="0.3">
      <c r="F619" s="15"/>
      <c r="G619" s="15"/>
      <c r="H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H619" s="15"/>
    </row>
    <row r="620" spans="6:34" x14ac:dyDescent="0.3">
      <c r="F620" s="15"/>
      <c r="G620" s="15"/>
      <c r="H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H620" s="15"/>
    </row>
    <row r="621" spans="6:34" x14ac:dyDescent="0.3">
      <c r="F621" s="15"/>
      <c r="G621" s="15"/>
      <c r="H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H621" s="15"/>
    </row>
    <row r="622" spans="6:34" x14ac:dyDescent="0.3">
      <c r="F622" s="15"/>
      <c r="G622" s="15"/>
      <c r="H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H622" s="15"/>
    </row>
    <row r="623" spans="6:34" x14ac:dyDescent="0.3">
      <c r="F623" s="15"/>
      <c r="G623" s="15"/>
      <c r="H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H623" s="15"/>
    </row>
    <row r="624" spans="6:34" x14ac:dyDescent="0.3">
      <c r="F624" s="15"/>
      <c r="G624" s="15"/>
      <c r="H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H624" s="15"/>
    </row>
    <row r="625" spans="6:34" x14ac:dyDescent="0.3">
      <c r="F625" s="15"/>
      <c r="G625" s="15"/>
      <c r="H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H625" s="15"/>
    </row>
    <row r="626" spans="6:34" x14ac:dyDescent="0.3">
      <c r="F626" s="15"/>
      <c r="G626" s="15"/>
      <c r="H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H626" s="15"/>
    </row>
    <row r="627" spans="6:34" x14ac:dyDescent="0.3">
      <c r="F627" s="15"/>
      <c r="G627" s="15"/>
      <c r="H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H627" s="15"/>
    </row>
    <row r="628" spans="6:34" x14ac:dyDescent="0.3">
      <c r="F628" s="15"/>
      <c r="G628" s="15"/>
      <c r="H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H628" s="15"/>
    </row>
    <row r="629" spans="6:34" x14ac:dyDescent="0.3">
      <c r="F629" s="15"/>
      <c r="G629" s="15"/>
      <c r="H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H629" s="15"/>
    </row>
    <row r="630" spans="6:34" x14ac:dyDescent="0.3">
      <c r="F630" s="15"/>
      <c r="G630" s="15"/>
      <c r="H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H630" s="15"/>
    </row>
    <row r="631" spans="6:34" x14ac:dyDescent="0.3">
      <c r="F631" s="15"/>
      <c r="G631" s="15"/>
      <c r="H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H631" s="15"/>
    </row>
    <row r="632" spans="6:34" x14ac:dyDescent="0.3">
      <c r="F632" s="15"/>
      <c r="G632" s="15"/>
      <c r="H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H632" s="15"/>
    </row>
    <row r="633" spans="6:34" x14ac:dyDescent="0.3">
      <c r="F633" s="15"/>
      <c r="G633" s="15"/>
      <c r="H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H633" s="15"/>
    </row>
    <row r="634" spans="6:34" x14ac:dyDescent="0.3">
      <c r="F634" s="15"/>
      <c r="G634" s="15"/>
      <c r="H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H634" s="15"/>
    </row>
    <row r="635" spans="6:34" x14ac:dyDescent="0.3">
      <c r="F635" s="15"/>
      <c r="G635" s="15"/>
      <c r="H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H635" s="15"/>
    </row>
    <row r="636" spans="6:34" x14ac:dyDescent="0.3">
      <c r="F636" s="15"/>
      <c r="G636" s="15"/>
      <c r="H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H636" s="15"/>
    </row>
    <row r="637" spans="6:34" x14ac:dyDescent="0.3">
      <c r="F637" s="15"/>
      <c r="G637" s="15"/>
      <c r="H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H637" s="15"/>
    </row>
    <row r="638" spans="6:34" x14ac:dyDescent="0.3">
      <c r="F638" s="15"/>
      <c r="G638" s="15"/>
      <c r="H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H638" s="15"/>
    </row>
    <row r="639" spans="6:34" x14ac:dyDescent="0.3">
      <c r="F639" s="15"/>
      <c r="G639" s="15"/>
      <c r="H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H639" s="15"/>
    </row>
    <row r="640" spans="6:34" x14ac:dyDescent="0.3">
      <c r="F640" s="15"/>
      <c r="G640" s="15"/>
      <c r="H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H640" s="15"/>
    </row>
    <row r="641" spans="6:34" x14ac:dyDescent="0.3">
      <c r="F641" s="15"/>
      <c r="G641" s="15"/>
      <c r="H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H641" s="15"/>
    </row>
    <row r="642" spans="6:34" x14ac:dyDescent="0.3">
      <c r="F642" s="15"/>
      <c r="G642" s="15"/>
      <c r="H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H642" s="15"/>
    </row>
    <row r="643" spans="6:34" x14ac:dyDescent="0.3">
      <c r="F643" s="15"/>
      <c r="G643" s="15"/>
      <c r="H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H643" s="15"/>
    </row>
    <row r="644" spans="6:34" x14ac:dyDescent="0.3">
      <c r="F644" s="15"/>
      <c r="G644" s="15"/>
      <c r="H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H644" s="15"/>
    </row>
    <row r="645" spans="6:34" x14ac:dyDescent="0.3">
      <c r="F645" s="15"/>
      <c r="G645" s="15"/>
      <c r="H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H645" s="15"/>
    </row>
    <row r="646" spans="6:34" x14ac:dyDescent="0.3">
      <c r="F646" s="15"/>
      <c r="G646" s="15"/>
      <c r="H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H646" s="15"/>
    </row>
    <row r="647" spans="6:34" x14ac:dyDescent="0.3">
      <c r="F647" s="15"/>
      <c r="G647" s="15"/>
      <c r="H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H647" s="15"/>
    </row>
    <row r="648" spans="6:34" x14ac:dyDescent="0.3">
      <c r="F648" s="15"/>
      <c r="G648" s="15"/>
      <c r="H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H648" s="15"/>
    </row>
    <row r="649" spans="6:34" x14ac:dyDescent="0.3">
      <c r="F649" s="15"/>
      <c r="G649" s="15"/>
      <c r="H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H649" s="15"/>
    </row>
    <row r="650" spans="6:34" x14ac:dyDescent="0.3">
      <c r="F650" s="15"/>
      <c r="G650" s="15"/>
      <c r="H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H650" s="15"/>
    </row>
    <row r="651" spans="6:34" x14ac:dyDescent="0.3">
      <c r="F651" s="15"/>
      <c r="G651" s="15"/>
      <c r="H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H651" s="15"/>
    </row>
    <row r="652" spans="6:34" x14ac:dyDescent="0.3">
      <c r="F652" s="15"/>
      <c r="G652" s="15"/>
      <c r="H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H652" s="15"/>
    </row>
    <row r="653" spans="6:34" x14ac:dyDescent="0.3">
      <c r="F653" s="15"/>
      <c r="G653" s="15"/>
      <c r="H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H653" s="15"/>
    </row>
    <row r="654" spans="6:34" x14ac:dyDescent="0.3">
      <c r="F654" s="15"/>
      <c r="G654" s="15"/>
      <c r="H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H654" s="15"/>
    </row>
    <row r="655" spans="6:34" x14ac:dyDescent="0.3">
      <c r="F655" s="15"/>
      <c r="G655" s="15"/>
      <c r="H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H655" s="15"/>
    </row>
    <row r="656" spans="6:34" x14ac:dyDescent="0.3">
      <c r="F656" s="15"/>
      <c r="G656" s="15"/>
      <c r="H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H656" s="15"/>
    </row>
    <row r="657" spans="6:34" x14ac:dyDescent="0.3">
      <c r="F657" s="15"/>
      <c r="G657" s="15"/>
      <c r="H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H657" s="15"/>
    </row>
    <row r="658" spans="6:34" x14ac:dyDescent="0.3">
      <c r="F658" s="15"/>
      <c r="G658" s="15"/>
      <c r="H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H658" s="15"/>
    </row>
    <row r="659" spans="6:34" x14ac:dyDescent="0.3">
      <c r="F659" s="15"/>
      <c r="G659" s="15"/>
      <c r="H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H659" s="15"/>
    </row>
    <row r="660" spans="6:34" x14ac:dyDescent="0.3">
      <c r="F660" s="15"/>
      <c r="G660" s="15"/>
      <c r="H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H660" s="15"/>
    </row>
    <row r="661" spans="6:34" x14ac:dyDescent="0.3">
      <c r="F661" s="15"/>
      <c r="G661" s="15"/>
      <c r="H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H661" s="15"/>
    </row>
    <row r="662" spans="6:34" x14ac:dyDescent="0.3">
      <c r="F662" s="15"/>
      <c r="G662" s="15"/>
      <c r="H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H662" s="15"/>
    </row>
    <row r="663" spans="6:34" x14ac:dyDescent="0.3">
      <c r="F663" s="15"/>
      <c r="G663" s="15"/>
      <c r="H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H663" s="15"/>
    </row>
    <row r="664" spans="6:34" x14ac:dyDescent="0.3">
      <c r="F664" s="15"/>
      <c r="G664" s="15"/>
      <c r="H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H664" s="15"/>
    </row>
    <row r="665" spans="6:34" x14ac:dyDescent="0.3">
      <c r="F665" s="15"/>
      <c r="G665" s="15"/>
      <c r="H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H665" s="15"/>
    </row>
    <row r="666" spans="6:34" x14ac:dyDescent="0.3">
      <c r="F666" s="15"/>
      <c r="G666" s="15"/>
      <c r="H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H666" s="15"/>
    </row>
    <row r="667" spans="6:34" x14ac:dyDescent="0.3">
      <c r="F667" s="15"/>
      <c r="G667" s="15"/>
      <c r="H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H667" s="15"/>
    </row>
    <row r="668" spans="6:34" x14ac:dyDescent="0.3">
      <c r="F668" s="15"/>
      <c r="G668" s="15"/>
      <c r="H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H668" s="15"/>
    </row>
    <row r="669" spans="6:34" x14ac:dyDescent="0.3">
      <c r="F669" s="15"/>
      <c r="G669" s="15"/>
      <c r="H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H669" s="15"/>
    </row>
    <row r="670" spans="6:34" x14ac:dyDescent="0.3">
      <c r="F670" s="15"/>
      <c r="G670" s="15"/>
      <c r="H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H670" s="15"/>
    </row>
    <row r="671" spans="6:34" x14ac:dyDescent="0.3">
      <c r="F671" s="15"/>
      <c r="G671" s="15"/>
      <c r="H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H671" s="15"/>
    </row>
    <row r="672" spans="6:34" x14ac:dyDescent="0.3">
      <c r="F672" s="15"/>
      <c r="G672" s="15"/>
      <c r="H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H672" s="15"/>
    </row>
    <row r="673" spans="6:34" x14ac:dyDescent="0.3">
      <c r="F673" s="15"/>
      <c r="G673" s="15"/>
      <c r="H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H673" s="15"/>
    </row>
    <row r="674" spans="6:34" x14ac:dyDescent="0.3">
      <c r="F674" s="15"/>
      <c r="G674" s="15"/>
      <c r="H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H674" s="15"/>
    </row>
    <row r="675" spans="6:34" x14ac:dyDescent="0.3">
      <c r="F675" s="15"/>
      <c r="G675" s="15"/>
      <c r="H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H675" s="15"/>
    </row>
    <row r="676" spans="6:34" x14ac:dyDescent="0.3">
      <c r="F676" s="15"/>
      <c r="G676" s="15"/>
      <c r="H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H676" s="15"/>
    </row>
    <row r="677" spans="6:34" x14ac:dyDescent="0.3">
      <c r="F677" s="15"/>
      <c r="G677" s="15"/>
      <c r="H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H677" s="15"/>
    </row>
    <row r="678" spans="6:34" x14ac:dyDescent="0.3">
      <c r="F678" s="15"/>
      <c r="G678" s="15"/>
      <c r="H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H678" s="15"/>
    </row>
    <row r="679" spans="6:34" x14ac:dyDescent="0.3">
      <c r="F679" s="15"/>
      <c r="G679" s="15"/>
      <c r="H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H679" s="15"/>
    </row>
    <row r="680" spans="6:34" x14ac:dyDescent="0.3">
      <c r="F680" s="15"/>
      <c r="G680" s="15"/>
      <c r="H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H680" s="15"/>
    </row>
    <row r="681" spans="6:34" x14ac:dyDescent="0.3">
      <c r="F681" s="15"/>
      <c r="G681" s="15"/>
      <c r="H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H681" s="15"/>
    </row>
    <row r="682" spans="6:34" x14ac:dyDescent="0.3">
      <c r="F682" s="15"/>
      <c r="G682" s="15"/>
      <c r="H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H682" s="15"/>
    </row>
    <row r="683" spans="6:34" x14ac:dyDescent="0.3">
      <c r="F683" s="15"/>
      <c r="G683" s="15"/>
      <c r="H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H683" s="15"/>
    </row>
    <row r="684" spans="6:34" x14ac:dyDescent="0.3">
      <c r="F684" s="15"/>
      <c r="G684" s="15"/>
      <c r="H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H684" s="15"/>
    </row>
    <row r="685" spans="6:34" x14ac:dyDescent="0.3">
      <c r="F685" s="15"/>
      <c r="G685" s="15"/>
      <c r="H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H685" s="15"/>
    </row>
    <row r="686" spans="6:34" x14ac:dyDescent="0.3">
      <c r="F686" s="15"/>
      <c r="G686" s="15"/>
      <c r="H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H686" s="15"/>
    </row>
    <row r="687" spans="6:34" x14ac:dyDescent="0.3">
      <c r="F687" s="15"/>
      <c r="G687" s="15"/>
      <c r="H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H687" s="15"/>
    </row>
    <row r="688" spans="6:34" x14ac:dyDescent="0.3">
      <c r="F688" s="15"/>
      <c r="G688" s="15"/>
      <c r="H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H688" s="15"/>
    </row>
    <row r="689" spans="6:34" x14ac:dyDescent="0.3">
      <c r="F689" s="15"/>
      <c r="G689" s="15"/>
      <c r="H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H689" s="15"/>
    </row>
    <row r="690" spans="6:34" x14ac:dyDescent="0.3">
      <c r="F690" s="15"/>
      <c r="G690" s="15"/>
      <c r="H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H690" s="15"/>
    </row>
    <row r="691" spans="6:34" x14ac:dyDescent="0.3">
      <c r="F691" s="15"/>
      <c r="G691" s="15"/>
      <c r="H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H691" s="15"/>
    </row>
    <row r="692" spans="6:34" x14ac:dyDescent="0.3">
      <c r="F692" s="15"/>
      <c r="G692" s="15"/>
      <c r="H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H692" s="15"/>
    </row>
    <row r="693" spans="6:34" x14ac:dyDescent="0.3">
      <c r="F693" s="15"/>
      <c r="G693" s="15"/>
      <c r="H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H693" s="15"/>
    </row>
    <row r="694" spans="6:34" x14ac:dyDescent="0.3">
      <c r="F694" s="15"/>
      <c r="G694" s="15"/>
      <c r="H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H694" s="15"/>
    </row>
    <row r="695" spans="6:34" x14ac:dyDescent="0.3">
      <c r="F695" s="15"/>
      <c r="G695" s="15"/>
      <c r="H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H695" s="15"/>
    </row>
    <row r="696" spans="6:34" x14ac:dyDescent="0.3">
      <c r="F696" s="15"/>
      <c r="G696" s="15"/>
      <c r="H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H696" s="15"/>
    </row>
    <row r="697" spans="6:34" x14ac:dyDescent="0.3">
      <c r="F697" s="15"/>
      <c r="G697" s="15"/>
      <c r="H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H697" s="15"/>
    </row>
    <row r="698" spans="6:34" x14ac:dyDescent="0.3">
      <c r="F698" s="15"/>
      <c r="G698" s="15"/>
      <c r="H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H698" s="15"/>
    </row>
    <row r="699" spans="6:34" x14ac:dyDescent="0.3">
      <c r="F699" s="15"/>
      <c r="G699" s="15"/>
      <c r="H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H699" s="15"/>
    </row>
    <row r="700" spans="6:34" x14ac:dyDescent="0.3">
      <c r="F700" s="15"/>
      <c r="G700" s="15"/>
      <c r="H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H700" s="15"/>
    </row>
    <row r="701" spans="6:34" x14ac:dyDescent="0.3">
      <c r="F701" s="15"/>
      <c r="G701" s="15"/>
      <c r="H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H701" s="15"/>
    </row>
    <row r="702" spans="6:34" x14ac:dyDescent="0.3">
      <c r="F702" s="15"/>
      <c r="G702" s="15"/>
      <c r="H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H702" s="15"/>
    </row>
    <row r="703" spans="6:34" x14ac:dyDescent="0.3">
      <c r="F703" s="15"/>
      <c r="G703" s="15"/>
      <c r="H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H703" s="15"/>
    </row>
    <row r="704" spans="6:34" x14ac:dyDescent="0.3">
      <c r="F704" s="15"/>
      <c r="G704" s="15"/>
      <c r="H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H704" s="15"/>
    </row>
    <row r="705" spans="6:34" x14ac:dyDescent="0.3">
      <c r="F705" s="15"/>
      <c r="G705" s="15"/>
      <c r="H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H705" s="15"/>
    </row>
    <row r="706" spans="6:34" x14ac:dyDescent="0.3">
      <c r="F706" s="15"/>
      <c r="G706" s="15"/>
      <c r="H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H706" s="15"/>
    </row>
    <row r="707" spans="6:34" x14ac:dyDescent="0.3">
      <c r="F707" s="15"/>
      <c r="G707" s="15"/>
      <c r="H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H707" s="15"/>
    </row>
    <row r="708" spans="6:34" x14ac:dyDescent="0.3">
      <c r="F708" s="15"/>
      <c r="G708" s="15"/>
      <c r="H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H708" s="15"/>
    </row>
    <row r="709" spans="6:34" x14ac:dyDescent="0.3">
      <c r="F709" s="15"/>
      <c r="G709" s="15"/>
      <c r="H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H709" s="15"/>
    </row>
    <row r="710" spans="6:34" x14ac:dyDescent="0.3">
      <c r="F710" s="15"/>
      <c r="G710" s="15"/>
      <c r="H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H710" s="15"/>
    </row>
    <row r="711" spans="6:34" x14ac:dyDescent="0.3">
      <c r="F711" s="15"/>
      <c r="G711" s="15"/>
      <c r="H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H711" s="15"/>
    </row>
    <row r="712" spans="6:34" x14ac:dyDescent="0.3">
      <c r="F712" s="15"/>
      <c r="G712" s="15"/>
      <c r="H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H712" s="15"/>
    </row>
    <row r="713" spans="6:34" x14ac:dyDescent="0.3">
      <c r="F713" s="15"/>
      <c r="G713" s="15"/>
      <c r="H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H713" s="15"/>
    </row>
    <row r="714" spans="6:34" x14ac:dyDescent="0.3">
      <c r="F714" s="15"/>
      <c r="G714" s="15"/>
      <c r="H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H714" s="15"/>
    </row>
    <row r="715" spans="6:34" x14ac:dyDescent="0.3">
      <c r="F715" s="15"/>
      <c r="G715" s="15"/>
      <c r="H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H715" s="15"/>
    </row>
    <row r="716" spans="6:34" x14ac:dyDescent="0.3">
      <c r="F716" s="15"/>
      <c r="G716" s="15"/>
      <c r="H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H716" s="15"/>
    </row>
    <row r="717" spans="6:34" x14ac:dyDescent="0.3">
      <c r="F717" s="15"/>
      <c r="G717" s="15"/>
      <c r="H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H717" s="15"/>
    </row>
    <row r="718" spans="6:34" x14ac:dyDescent="0.3">
      <c r="F718" s="15"/>
      <c r="G718" s="15"/>
      <c r="H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H718" s="15"/>
    </row>
    <row r="719" spans="6:34" x14ac:dyDescent="0.3">
      <c r="F719" s="15"/>
      <c r="G719" s="15"/>
      <c r="H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H719" s="15"/>
    </row>
    <row r="720" spans="6:34" x14ac:dyDescent="0.3">
      <c r="F720" s="15"/>
      <c r="G720" s="15"/>
      <c r="H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H720" s="15"/>
    </row>
    <row r="721" spans="6:34" x14ac:dyDescent="0.3">
      <c r="F721" s="15"/>
      <c r="G721" s="15"/>
      <c r="H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H721" s="15"/>
    </row>
    <row r="722" spans="6:34" x14ac:dyDescent="0.3">
      <c r="F722" s="15"/>
      <c r="G722" s="15"/>
      <c r="H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H722" s="15"/>
    </row>
    <row r="723" spans="6:34" x14ac:dyDescent="0.3">
      <c r="F723" s="15"/>
      <c r="G723" s="15"/>
      <c r="H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H723" s="15"/>
    </row>
    <row r="724" spans="6:34" x14ac:dyDescent="0.3">
      <c r="F724" s="15"/>
      <c r="G724" s="15"/>
      <c r="H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H724" s="15"/>
    </row>
    <row r="725" spans="6:34" x14ac:dyDescent="0.3">
      <c r="F725" s="15"/>
      <c r="G725" s="15"/>
      <c r="H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H725" s="15"/>
    </row>
    <row r="726" spans="6:34" x14ac:dyDescent="0.3">
      <c r="F726" s="15"/>
      <c r="G726" s="15"/>
      <c r="H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H726" s="15"/>
    </row>
    <row r="727" spans="6:34" x14ac:dyDescent="0.3">
      <c r="F727" s="15"/>
      <c r="G727" s="15"/>
      <c r="H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H727" s="15"/>
    </row>
    <row r="728" spans="6:34" x14ac:dyDescent="0.3">
      <c r="F728" s="15"/>
      <c r="G728" s="15"/>
      <c r="H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H728" s="15"/>
    </row>
    <row r="729" spans="6:34" x14ac:dyDescent="0.3">
      <c r="F729" s="15"/>
      <c r="G729" s="15"/>
      <c r="H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H729" s="15"/>
    </row>
    <row r="730" spans="6:34" x14ac:dyDescent="0.3">
      <c r="F730" s="15"/>
      <c r="G730" s="15"/>
      <c r="H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H730" s="15"/>
    </row>
    <row r="731" spans="6:34" x14ac:dyDescent="0.3">
      <c r="F731" s="15"/>
      <c r="G731" s="15"/>
      <c r="H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H731" s="15"/>
    </row>
    <row r="732" spans="6:34" x14ac:dyDescent="0.3">
      <c r="F732" s="15"/>
      <c r="G732" s="15"/>
      <c r="H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H732" s="15"/>
    </row>
    <row r="733" spans="6:34" x14ac:dyDescent="0.3">
      <c r="F733" s="15"/>
      <c r="G733" s="15"/>
      <c r="H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H733" s="15"/>
    </row>
    <row r="734" spans="6:34" x14ac:dyDescent="0.3">
      <c r="F734" s="15"/>
      <c r="G734" s="15"/>
      <c r="H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H734" s="15"/>
    </row>
    <row r="735" spans="6:34" x14ac:dyDescent="0.3">
      <c r="F735" s="15"/>
      <c r="G735" s="15"/>
      <c r="H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H735" s="15"/>
    </row>
    <row r="736" spans="6:34" x14ac:dyDescent="0.3">
      <c r="F736" s="15"/>
      <c r="G736" s="15"/>
      <c r="H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H736" s="15"/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CST x Marca</vt:lpstr>
      <vt:lpstr>Critico x Marca</vt:lpstr>
      <vt:lpstr>Detalle Critico</vt:lpstr>
      <vt:lpstr>Sobrestock x SKU Padre</vt:lpstr>
      <vt:lpstr>Tránsitos por Embarque</vt:lpstr>
      <vt:lpstr>Nuevos en Tránsito</vt:lpstr>
      <vt:lpstr>TD REPORTES UNID (2)</vt:lpstr>
      <vt:lpstr>TD REPORTES CST MP+N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Caballero Blanco</cp:lastModifiedBy>
  <dcterms:created xsi:type="dcterms:W3CDTF">2026-07-21T14:35:14Z</dcterms:created>
  <dcterms:modified xsi:type="dcterms:W3CDTF">2026-09-28T20:25:44Z</dcterms:modified>
</cp:coreProperties>
</file>